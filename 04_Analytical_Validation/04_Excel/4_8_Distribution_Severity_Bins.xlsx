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tist\Data Analyst\Excel\Long Island Hospital Excel Analysis\FOR GITHUB\LongIsland_NY_Hospitals_SQL_Excel_PowerBI_Analysis\04_Analytical_Validation\04_Excel\"/>
    </mc:Choice>
  </mc:AlternateContent>
  <xr:revisionPtr revIDLastSave="0" documentId="13_ncr:1_{AE18215B-1A30-41DE-9485-96A3B8523B39}" xr6:coauthVersionLast="47" xr6:coauthVersionMax="47" xr10:uidLastSave="{00000000-0000-0000-0000-000000000000}"/>
  <bookViews>
    <workbookView xWindow="0" yWindow="750" windowWidth="38085" windowHeight="19695" xr2:uid="{54D57E4D-8B00-4CB6-A9CF-6509ED82ECB7}"/>
  </bookViews>
  <sheets>
    <sheet name="Sheet1" sheetId="1" r:id="rId1"/>
  </sheets>
  <definedNames>
    <definedName name="_xlchart.v1.0" hidden="1">Sheet1!$A$2:$B$5</definedName>
    <definedName name="_xlchart.v1.1" hidden="1">Sheet1!$C$2:$C$5</definedName>
    <definedName name="_xlchart.v1.2" hidden="1">Sheet1!$D$2:$D$5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I3" i="1"/>
  <c r="I4" i="1"/>
  <c r="I5" i="1"/>
  <c r="I2" i="1"/>
  <c r="D3" i="1"/>
  <c r="D4" i="1"/>
  <c r="D5" i="1"/>
  <c r="D2" i="1"/>
  <c r="C6" i="1"/>
  <c r="M6" i="1"/>
  <c r="H6" i="1"/>
</calcChain>
</file>

<file path=xl/sharedStrings.xml><?xml version="1.0" encoding="utf-8"?>
<sst xmlns="http://schemas.openxmlformats.org/spreadsheetml/2006/main" count="36" uniqueCount="11">
  <si>
    <t>Metric</t>
  </si>
  <si>
    <t>Pct_Diff_Bin</t>
  </si>
  <si>
    <t>Outlier_Count</t>
  </si>
  <si>
    <t>Charges</t>
  </si>
  <si>
    <t>&lt; 50%</t>
  </si>
  <si>
    <t>&lt; 200%</t>
  </si>
  <si>
    <t>&lt; 500%</t>
  </si>
  <si>
    <t>&gt; 500%</t>
  </si>
  <si>
    <t>Costs</t>
  </si>
  <si>
    <t>LOS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</si>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</sst>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Counts per</a:t>
            </a:r>
            <a:r>
              <a:rPr lang="en-US" baseline="0"/>
              <a:t> Percentage in Charges Outliers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Sheet1!$A$2:$B$5</c:f>
              <c:multiLvlStrCache>
                <c:ptCount val="4"/>
                <c:lvl>
                  <c:pt idx="0">
                    <c:v>&lt; 50%</c:v>
                  </c:pt>
                  <c:pt idx="1">
                    <c:v>&lt; 200%</c:v>
                  </c:pt>
                  <c:pt idx="2">
                    <c:v>&lt; 500%</c:v>
                  </c:pt>
                  <c:pt idx="3">
                    <c:v>&gt; 500%</c:v>
                  </c:pt>
                </c:lvl>
                <c:lvl>
                  <c:pt idx="0">
                    <c:v>Charges</c:v>
                  </c:pt>
                  <c:pt idx="1">
                    <c:v>Charges</c:v>
                  </c:pt>
                  <c:pt idx="2">
                    <c:v>Charges</c:v>
                  </c:pt>
                  <c:pt idx="3">
                    <c:v>Charges</c:v>
                  </c:pt>
                </c:lvl>
              </c:multiLvlStrCache>
            </c:multiLvl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14384</c:v>
                </c:pt>
                <c:pt idx="1">
                  <c:v>10151</c:v>
                </c:pt>
                <c:pt idx="2">
                  <c:v>2405</c:v>
                </c:pt>
                <c:pt idx="3">
                  <c:v>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8-49C8-96DF-9F0BBD91C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940495"/>
        <c:axId val="1287941455"/>
      </c:barChart>
      <c:lineChart>
        <c:grouping val="standard"/>
        <c:varyColors val="0"/>
        <c:ser>
          <c:idx val="1"/>
          <c:order val="1"/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Sheet1!$A$2:$B$5</c:f>
              <c:multiLvlStrCache>
                <c:ptCount val="4"/>
                <c:lvl>
                  <c:pt idx="0">
                    <c:v>&lt; 50%</c:v>
                  </c:pt>
                  <c:pt idx="1">
                    <c:v>&lt; 200%</c:v>
                  </c:pt>
                  <c:pt idx="2">
                    <c:v>&lt; 500%</c:v>
                  </c:pt>
                  <c:pt idx="3">
                    <c:v>&gt; 500%</c:v>
                  </c:pt>
                </c:lvl>
                <c:lvl>
                  <c:pt idx="0">
                    <c:v>Charges</c:v>
                  </c:pt>
                  <c:pt idx="1">
                    <c:v>Charges</c:v>
                  </c:pt>
                  <c:pt idx="2">
                    <c:v>Charges</c:v>
                  </c:pt>
                  <c:pt idx="3">
                    <c:v>Charges</c:v>
                  </c:pt>
                </c:lvl>
              </c:multiLvlStrCache>
            </c:multiLvlStrRef>
          </c:cat>
          <c:val>
            <c:numRef>
              <c:f>Sheet1!$D$2:$D$5</c:f>
              <c:numCache>
                <c:formatCode>0%</c:formatCode>
                <c:ptCount val="4"/>
                <c:pt idx="0">
                  <c:v>0.52393093902527865</c:v>
                </c:pt>
                <c:pt idx="1">
                  <c:v>0.36974575653820935</c:v>
                </c:pt>
                <c:pt idx="2">
                  <c:v>8.7601078167115903E-2</c:v>
                </c:pt>
                <c:pt idx="3">
                  <c:v>1.872222626939608E-2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68-49C8-96DF-9F0BBD91C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7952975"/>
        <c:axId val="1287952495"/>
      </c:lineChart>
      <c:catAx>
        <c:axId val="128794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941455"/>
        <c:crosses val="autoZero"/>
        <c:auto val="1"/>
        <c:lblAlgn val="ctr"/>
        <c:lblOffset val="100"/>
        <c:noMultiLvlLbl val="0"/>
      </c:catAx>
      <c:valAx>
        <c:axId val="128794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940495"/>
        <c:crosses val="autoZero"/>
        <c:crossBetween val="between"/>
      </c:valAx>
      <c:valAx>
        <c:axId val="128795249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952975"/>
        <c:crosses val="max"/>
        <c:crossBetween val="between"/>
      </c:valAx>
      <c:catAx>
        <c:axId val="12879529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79524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Counts per Percentage in Costs Outliers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Sheet1!$F$2:$G$5</c:f>
              <c:multiLvlStrCache>
                <c:ptCount val="4"/>
                <c:lvl>
                  <c:pt idx="0">
                    <c:v>&lt; 50%</c:v>
                  </c:pt>
                  <c:pt idx="1">
                    <c:v>&lt; 200%</c:v>
                  </c:pt>
                  <c:pt idx="2">
                    <c:v>&lt; 500%</c:v>
                  </c:pt>
                  <c:pt idx="3">
                    <c:v>&gt; 500%</c:v>
                  </c:pt>
                </c:lvl>
                <c:lvl>
                  <c:pt idx="0">
                    <c:v>Costs</c:v>
                  </c:pt>
                  <c:pt idx="1">
                    <c:v>Costs</c:v>
                  </c:pt>
                  <c:pt idx="2">
                    <c:v>Costs</c:v>
                  </c:pt>
                  <c:pt idx="3">
                    <c:v>Costs</c:v>
                  </c:pt>
                </c:lvl>
              </c:multiLvlStrCache>
            </c:multiLvlStrRef>
          </c:cat>
          <c:val>
            <c:numRef>
              <c:f>Sheet1!$H$2:$H$5</c:f>
              <c:numCache>
                <c:formatCode>General</c:formatCode>
                <c:ptCount val="4"/>
                <c:pt idx="0">
                  <c:v>15028</c:v>
                </c:pt>
                <c:pt idx="1">
                  <c:v>10550</c:v>
                </c:pt>
                <c:pt idx="2">
                  <c:v>2565</c:v>
                </c:pt>
                <c:pt idx="3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E-4E19-BF45-7A525A3BE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7364751"/>
        <c:axId val="1377357551"/>
      </c:barChart>
      <c:lineChart>
        <c:grouping val="standard"/>
        <c:varyColors val="0"/>
        <c:ser>
          <c:idx val="1"/>
          <c:order val="1"/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Sheet1!$F$2:$G$5</c:f>
              <c:multiLvlStrCache>
                <c:ptCount val="4"/>
                <c:lvl>
                  <c:pt idx="0">
                    <c:v>&lt; 50%</c:v>
                  </c:pt>
                  <c:pt idx="1">
                    <c:v>&lt; 200%</c:v>
                  </c:pt>
                  <c:pt idx="2">
                    <c:v>&lt; 500%</c:v>
                  </c:pt>
                  <c:pt idx="3">
                    <c:v>&gt; 500%</c:v>
                  </c:pt>
                </c:lvl>
                <c:lvl>
                  <c:pt idx="0">
                    <c:v>Costs</c:v>
                  </c:pt>
                  <c:pt idx="1">
                    <c:v>Costs</c:v>
                  </c:pt>
                  <c:pt idx="2">
                    <c:v>Costs</c:v>
                  </c:pt>
                  <c:pt idx="3">
                    <c:v>Costs</c:v>
                  </c:pt>
                </c:lvl>
              </c:multiLvlStrCache>
            </c:multiLvlStrRef>
          </c:cat>
          <c:val>
            <c:numRef>
              <c:f>Sheet1!$I$2:$I$5</c:f>
              <c:numCache>
                <c:formatCode>0%</c:formatCode>
                <c:ptCount val="4"/>
                <c:pt idx="0">
                  <c:v>0.52205933439866603</c:v>
                </c:pt>
                <c:pt idx="1">
                  <c:v>0.36649760300145906</c:v>
                </c:pt>
                <c:pt idx="2">
                  <c:v>8.9105815326895016E-2</c:v>
                </c:pt>
                <c:pt idx="3">
                  <c:v>2.2337247272979921E-2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E-4E19-BF45-7A525A3BE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366191"/>
        <c:axId val="1377366671"/>
      </c:lineChart>
      <c:catAx>
        <c:axId val="137736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357551"/>
        <c:crosses val="autoZero"/>
        <c:auto val="1"/>
        <c:lblAlgn val="ctr"/>
        <c:lblOffset val="100"/>
        <c:noMultiLvlLbl val="0"/>
      </c:catAx>
      <c:valAx>
        <c:axId val="13773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364751"/>
        <c:crosses val="autoZero"/>
        <c:crossBetween val="between"/>
      </c:valAx>
      <c:valAx>
        <c:axId val="137736667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366191"/>
        <c:crosses val="max"/>
        <c:crossBetween val="between"/>
      </c:valAx>
      <c:catAx>
        <c:axId val="13773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773666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Counts per Percentage in LOS Outliers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Sheet1!$K$2:$L$5</c:f>
              <c:multiLvlStrCache>
                <c:ptCount val="4"/>
                <c:lvl>
                  <c:pt idx="0">
                    <c:v>&lt; 50%</c:v>
                  </c:pt>
                  <c:pt idx="1">
                    <c:v>&lt; 200%</c:v>
                  </c:pt>
                  <c:pt idx="2">
                    <c:v>&lt; 500%</c:v>
                  </c:pt>
                  <c:pt idx="3">
                    <c:v>&gt; 500%</c:v>
                  </c:pt>
                </c:lvl>
                <c:lvl>
                  <c:pt idx="0">
                    <c:v>LOS</c:v>
                  </c:pt>
                  <c:pt idx="1">
                    <c:v>LOS</c:v>
                  </c:pt>
                  <c:pt idx="2">
                    <c:v>LOS</c:v>
                  </c:pt>
                  <c:pt idx="3">
                    <c:v>LOS</c:v>
                  </c:pt>
                </c:lvl>
              </c:multiLvlStrCache>
            </c:multiLvlStrRef>
          </c:cat>
          <c:val>
            <c:numRef>
              <c:f>Sheet1!$M$2:$M$5</c:f>
              <c:numCache>
                <c:formatCode>General</c:formatCode>
                <c:ptCount val="4"/>
                <c:pt idx="0">
                  <c:v>13131</c:v>
                </c:pt>
                <c:pt idx="1">
                  <c:v>11590</c:v>
                </c:pt>
                <c:pt idx="2">
                  <c:v>2435</c:v>
                </c:pt>
                <c:pt idx="3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9-46A2-A868-99FA1260F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2520783"/>
        <c:axId val="1372528463"/>
      </c:barChart>
      <c:lineChart>
        <c:grouping val="standard"/>
        <c:varyColors val="0"/>
        <c:ser>
          <c:idx val="1"/>
          <c:order val="1"/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Sheet1!$K$2:$L$5</c:f>
              <c:multiLvlStrCache>
                <c:ptCount val="4"/>
                <c:lvl>
                  <c:pt idx="0">
                    <c:v>&lt; 50%</c:v>
                  </c:pt>
                  <c:pt idx="1">
                    <c:v>&lt; 200%</c:v>
                  </c:pt>
                  <c:pt idx="2">
                    <c:v>&lt; 500%</c:v>
                  </c:pt>
                  <c:pt idx="3">
                    <c:v>&gt; 500%</c:v>
                  </c:pt>
                </c:lvl>
                <c:lvl>
                  <c:pt idx="0">
                    <c:v>LOS</c:v>
                  </c:pt>
                  <c:pt idx="1">
                    <c:v>LOS</c:v>
                  </c:pt>
                  <c:pt idx="2">
                    <c:v>LOS</c:v>
                  </c:pt>
                  <c:pt idx="3">
                    <c:v>LOS</c:v>
                  </c:pt>
                </c:lvl>
              </c:multiLvlStrCache>
            </c:multiLvlStrRef>
          </c:cat>
          <c:val>
            <c:numRef>
              <c:f>Sheet1!$N$2:$N$5</c:f>
              <c:numCache>
                <c:formatCode>0%</c:formatCode>
                <c:ptCount val="4"/>
                <c:pt idx="0">
                  <c:v>0.47267818574514037</c:v>
                </c:pt>
                <c:pt idx="1">
                  <c:v>0.41720662347012238</c:v>
                </c:pt>
                <c:pt idx="2">
                  <c:v>8.7652987760979129E-2</c:v>
                </c:pt>
                <c:pt idx="3">
                  <c:v>2.24622030237581E-2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49-46A2-A868-99FA1260F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527023"/>
        <c:axId val="1372528943"/>
      </c:lineChart>
      <c:catAx>
        <c:axId val="137252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528463"/>
        <c:crosses val="autoZero"/>
        <c:auto val="1"/>
        <c:lblAlgn val="ctr"/>
        <c:lblOffset val="100"/>
        <c:noMultiLvlLbl val="0"/>
      </c:catAx>
      <c:valAx>
        <c:axId val="137252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520783"/>
        <c:crosses val="autoZero"/>
        <c:crossBetween val="between"/>
      </c:valAx>
      <c:valAx>
        <c:axId val="137252894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527023"/>
        <c:crosses val="max"/>
        <c:crossBetween val="between"/>
      </c:valAx>
      <c:catAx>
        <c:axId val="1372527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725289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166687</xdr:colOff>
      <xdr:row>8</xdr:row>
      <xdr:rowOff>57149</xdr:rowOff>
    </xdr:from>
    <xdr:to>
      <xdr:col>4</xdr:col>
      <xdr:colOff>90487</xdr:colOff>
      <xdr:row>21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166875-3C50-EDA3-43D7-68F771BDD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42862</xdr:colOff>
      <xdr:row>8</xdr:row>
      <xdr:rowOff>57150</xdr:rowOff>
    </xdr:from>
    <xdr:to>
      <xdr:col>9</xdr:col>
      <xdr:colOff>80962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39EA78-7D7E-887C-C28D-9FDCD3670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</xdr:colOff>
      <xdr:row>8</xdr:row>
      <xdr:rowOff>47625</xdr:rowOff>
    </xdr:from>
    <xdr:to>
      <xdr:col>14</xdr:col>
      <xdr:colOff>57150</xdr:colOff>
      <xdr:row>21</xdr:row>
      <xdr:rowOff>200025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86E65E-267D-31A9-2C6E-27B0FF228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C5E52-EF32-4D14-80B7-89F0328CCBC7}" name="Table1" displayName="Table1" ref="A1:D6" totalsRowShown="0">
  <autoFilter ref="A1:D6" xr:uid="{952C5E52-EF32-4D14-80B7-89F0328CCBC7}"/>
  <tableColumns count="4">
    <tableColumn id="1" xr3:uid="{D3179084-12A6-451B-A493-E7E45AE49AF9}" name="Metric"/>
    <tableColumn id="2" xr3:uid="{4F18A4F0-DCEC-40A8-9FEE-5CF0D797A56F}" name="Pct_Diff_Bin"/>
    <tableColumn id="3" xr3:uid="{A26506AB-B2AB-4E31-9312-D8AF1100AE0B}" name="Outlier_Count"/>
    <tableColumn id="4" xr3:uid="{DE5B251B-64E3-40FA-BB5E-CEC863227375}" name="Percentage" dataDxfId="2" dataCellStyle="Perce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65E12F-B23D-48AA-B36A-48EF431B55C2}" name="Table2" displayName="Table2" ref="F1:I6" totalsRowShown="0">
  <autoFilter ref="F1:I6" xr:uid="{4A65E12F-B23D-48AA-B36A-48EF431B55C2}"/>
  <tableColumns count="4">
    <tableColumn id="1" xr3:uid="{30F6D537-3DB1-4C44-A3DB-5C1CFC40C454}" name="Metric"/>
    <tableColumn id="2" xr3:uid="{171F9F44-500C-4D62-A09D-81D3A490413D}" name="Pct_Diff_Bin"/>
    <tableColumn id="3" xr3:uid="{26DCE3D1-3DD4-4915-99FF-EA543E65568D}" name="Outlier_Count"/>
    <tableColumn id="4" xr3:uid="{F2A7052F-BD60-4140-8388-BF87544C30FF}" name="Percentage" dataDxfId="1" dataCellStyle="Percen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FA5C6F-29DC-4AEA-BD76-042C788633A7}" name="Table3" displayName="Table3" ref="K1:N6" totalsRowShown="0">
  <autoFilter ref="K1:N6" xr:uid="{57FA5C6F-29DC-4AEA-BD76-042C788633A7}"/>
  <tableColumns count="4">
    <tableColumn id="1" xr3:uid="{52BE0764-E5B2-4F2E-B66E-2549AC63C4FD}" name="Metric"/>
    <tableColumn id="2" xr3:uid="{6C2058FC-218F-440A-A4D3-3F24EB84D54F}" name="Pct_Diff_Bin"/>
    <tableColumn id="3" xr3:uid="{D9E4E8D0-63BC-4E55-8BDC-713DA3C7B564}" name="Outlier_Count"/>
    <tableColumn id="4" xr3:uid="{AD756A91-D949-454B-B472-A745301B1F10}" name="Percentage" dataDxfId="0" dataCellStyle="Percen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CFBB-CB4A-4F83-B45F-C434F4CDACDF}">
  <dimension ref="A1:N6"/>
  <sheetViews>
    <sheetView tabSelected="1" workbookViewId="0">
      <selection activeCell="P16" sqref="P16"/>
    </sheetView>
  </sheetViews>
  <sheetFormatPr defaultRowHeight="21" x14ac:dyDescent="0.35"/>
  <cols>
    <col min="2" max="2" width="11.36328125" customWidth="1"/>
    <col min="3" max="3" width="12.7265625" customWidth="1"/>
    <col min="4" max="4" width="11.54296875" customWidth="1"/>
    <col min="7" max="7" width="11.36328125" customWidth="1"/>
    <col min="8" max="8" width="12.7265625" customWidth="1"/>
    <col min="9" max="9" width="10.453125" customWidth="1"/>
    <col min="12" max="12" width="11.36328125" customWidth="1"/>
    <col min="13" max="13" width="12.7265625" customWidth="1"/>
    <col min="14" max="14" width="10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10</v>
      </c>
      <c r="F1" t="s">
        <v>0</v>
      </c>
      <c r="G1" t="s">
        <v>1</v>
      </c>
      <c r="H1" t="s">
        <v>2</v>
      </c>
      <c r="I1" t="s">
        <v>10</v>
      </c>
      <c r="K1" t="s">
        <v>0</v>
      </c>
      <c r="L1" t="s">
        <v>1</v>
      </c>
      <c r="M1" t="s">
        <v>2</v>
      </c>
      <c r="N1" t="s">
        <v>10</v>
      </c>
    </row>
    <row r="2" spans="1:14" x14ac:dyDescent="0.35">
      <c r="A2" t="s">
        <v>3</v>
      </c>
      <c r="B2" t="s">
        <v>4</v>
      </c>
      <c r="C2">
        <v>14384</v>
      </c>
      <c r="D2" s="1">
        <f>C2/$C$6</f>
        <v>0.52393093902527865</v>
      </c>
      <c r="F2" t="s">
        <v>8</v>
      </c>
      <c r="G2" t="s">
        <v>4</v>
      </c>
      <c r="H2">
        <v>15028</v>
      </c>
      <c r="I2" s="1">
        <f>H2/$H$6</f>
        <v>0.52205933439866603</v>
      </c>
      <c r="K2" t="s">
        <v>9</v>
      </c>
      <c r="L2" t="s">
        <v>4</v>
      </c>
      <c r="M2">
        <v>13131</v>
      </c>
      <c r="N2" s="1">
        <f>M2/$M$6</f>
        <v>0.47267818574514037</v>
      </c>
    </row>
    <row r="3" spans="1:14" x14ac:dyDescent="0.35">
      <c r="A3" t="s">
        <v>3</v>
      </c>
      <c r="B3" t="s">
        <v>5</v>
      </c>
      <c r="C3">
        <v>10151</v>
      </c>
      <c r="D3" s="1">
        <f t="shared" ref="D3:D5" si="0">C3/$C$6</f>
        <v>0.36974575653820935</v>
      </c>
      <c r="F3" t="s">
        <v>8</v>
      </c>
      <c r="G3" t="s">
        <v>5</v>
      </c>
      <c r="H3">
        <v>10550</v>
      </c>
      <c r="I3" s="1">
        <f t="shared" ref="I3:I5" si="1">H3/$H$6</f>
        <v>0.36649760300145906</v>
      </c>
      <c r="K3" t="s">
        <v>9</v>
      </c>
      <c r="L3" t="s">
        <v>5</v>
      </c>
      <c r="M3">
        <v>11590</v>
      </c>
      <c r="N3" s="1">
        <f>M3/$M$6</f>
        <v>0.41720662347012238</v>
      </c>
    </row>
    <row r="4" spans="1:14" x14ac:dyDescent="0.35">
      <c r="A4" t="s">
        <v>3</v>
      </c>
      <c r="B4" t="s">
        <v>6</v>
      </c>
      <c r="C4">
        <v>2405</v>
      </c>
      <c r="D4" s="1">
        <f t="shared" si="0"/>
        <v>8.7601078167115903E-2</v>
      </c>
      <c r="F4" t="s">
        <v>8</v>
      </c>
      <c r="G4" t="s">
        <v>6</v>
      </c>
      <c r="H4">
        <v>2565</v>
      </c>
      <c r="I4" s="1">
        <f t="shared" si="1"/>
        <v>8.9105815326895016E-2</v>
      </c>
      <c r="K4" t="s">
        <v>9</v>
      </c>
      <c r="L4" t="s">
        <v>6</v>
      </c>
      <c r="M4">
        <v>2435</v>
      </c>
      <c r="N4" s="1">
        <f>M4/$M$6</f>
        <v>8.7652987760979129E-2</v>
      </c>
    </row>
    <row r="5" spans="1:14" x14ac:dyDescent="0.35">
      <c r="A5" t="s">
        <v>3</v>
      </c>
      <c r="B5" t="s">
        <v>7</v>
      </c>
      <c r="C5">
        <v>514</v>
      </c>
      <c r="D5" s="1">
        <f t="shared" si="0"/>
        <v>1.872222626939608E-2</v>
      </c>
      <c r="F5" t="s">
        <v>8</v>
      </c>
      <c r="G5" t="s">
        <v>7</v>
      </c>
      <c r="H5">
        <v>643</v>
      </c>
      <c r="I5" s="1">
        <f t="shared" si="1"/>
        <v>2.2337247272979921E-2</v>
      </c>
      <c r="K5" t="s">
        <v>9</v>
      </c>
      <c r="L5" t="s">
        <v>7</v>
      </c>
      <c r="M5">
        <v>624</v>
      </c>
      <c r="N5" s="1">
        <f>M5/$M$6</f>
        <v>2.24622030237581E-2</v>
      </c>
    </row>
    <row r="6" spans="1:14" x14ac:dyDescent="0.35">
      <c r="C6">
        <f>SUM(C2:C5)</f>
        <v>27454</v>
      </c>
      <c r="H6">
        <f>SUM(H2:H5)</f>
        <v>28786</v>
      </c>
      <c r="M6">
        <f>SUM(M2:M5)</f>
        <v>27780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TRAN</dc:creator>
  <cp:lastModifiedBy>Jean-Yves TRAN</cp:lastModifiedBy>
  <dcterms:created xsi:type="dcterms:W3CDTF">2025-12-09T13:20:17Z</dcterms:created>
  <dcterms:modified xsi:type="dcterms:W3CDTF">2025-12-09T19:31:27Z</dcterms:modified>
</cp:coreProperties>
</file>