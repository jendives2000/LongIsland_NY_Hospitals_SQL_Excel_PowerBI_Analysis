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5_KPI_Dev_PowerBI_Modeling\05_01_Severity_Mix_Index_APR\05_Excel\"/>
    </mc:Choice>
  </mc:AlternateContent>
  <xr:revisionPtr revIDLastSave="0" documentId="13_ncr:1_{28F93D15-6109-43D3-9807-1DA982AB0DBB}" xr6:coauthVersionLast="47" xr6:coauthVersionMax="47" xr10:uidLastSave="{00000000-0000-0000-0000-000000000000}"/>
  <bookViews>
    <workbookView xWindow="38640" yWindow="330" windowWidth="38085" windowHeight="19695" xr2:uid="{2DE53BD7-15F0-485C-9F97-83052951E59A}"/>
  </bookViews>
  <sheets>
    <sheet name="NegativeMargin Logic Validation" sheetId="1" r:id="rId1"/>
    <sheet name="Encounter Count Reconciliation" sheetId="2" r:id="rId2"/>
    <sheet name="Payer Group Mapping Validation" sheetId="4" r:id="rId3"/>
    <sheet name="Payer Group Mapping" sheetId="3" r:id="rId4"/>
  </sheets>
  <calcPr calcId="191029"/>
  <pivotCaches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D27" i="2"/>
  <c r="B27" i="2"/>
  <c r="D54" i="2"/>
  <c r="B54" i="2"/>
  <c r="F106" i="1"/>
  <c r="F105" i="1"/>
  <c r="F104" i="1"/>
  <c r="F72" i="1"/>
  <c r="F70" i="1"/>
  <c r="F68" i="1"/>
  <c r="F66" i="1"/>
  <c r="F65" i="1"/>
  <c r="F60" i="1"/>
  <c r="F59" i="1"/>
  <c r="F57" i="1"/>
  <c r="F58" i="1"/>
  <c r="F61" i="1"/>
  <c r="F62" i="1"/>
  <c r="F63" i="1"/>
  <c r="F64" i="1"/>
  <c r="F67" i="1"/>
  <c r="F69" i="1"/>
  <c r="F71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56" i="1"/>
  <c r="F51" i="1"/>
  <c r="F48" i="1"/>
  <c r="F49" i="1"/>
  <c r="F50" i="1"/>
  <c r="F52" i="1"/>
  <c r="F53" i="1"/>
  <c r="F54" i="1"/>
  <c r="F55" i="1"/>
  <c r="F47" i="1"/>
  <c r="G9" i="4"/>
  <c r="G8" i="4"/>
  <c r="G7" i="4"/>
  <c r="G6" i="4"/>
  <c r="G5" i="4"/>
  <c r="G4" i="4"/>
</calcChain>
</file>

<file path=xl/sharedStrings.xml><?xml version="1.0" encoding="utf-8"?>
<sst xmlns="http://schemas.openxmlformats.org/spreadsheetml/2006/main" count="31774" uniqueCount="60">
  <si>
    <t>Facility_Name</t>
  </si>
  <si>
    <t>Encounter_Year</t>
  </si>
  <si>
    <t>Payment_Typology_Group</t>
  </si>
  <si>
    <t>Negative_Margin_Encounter_Count</t>
  </si>
  <si>
    <t>Brookhaven Memorial Hospital Medical Center Inc</t>
  </si>
  <si>
    <t>Commercial</t>
  </si>
  <si>
    <t>Medicaid</t>
  </si>
  <si>
    <t>Medicare</t>
  </si>
  <si>
    <t>Self-Pay</t>
  </si>
  <si>
    <t>Eastern Long Island Hospital</t>
  </si>
  <si>
    <t>Other</t>
  </si>
  <si>
    <t>Franklin Hospital</t>
  </si>
  <si>
    <t>Glen Cove Hospital</t>
  </si>
  <si>
    <t>Good Samaritan Hospital Medical Center</t>
  </si>
  <si>
    <t>Huntington Hospital</t>
  </si>
  <si>
    <t>John T Mather Memorial Hospital of Port Jefferson New York Inc</t>
  </si>
  <si>
    <t>Long Island Jewish Valley Stream</t>
  </si>
  <si>
    <t>Mercy Medical Center</t>
  </si>
  <si>
    <t>Nassau University Medical Center</t>
  </si>
  <si>
    <t>North Shore University Hospital</t>
  </si>
  <si>
    <t>Peconic Bay Medical Center</t>
  </si>
  <si>
    <t>Plainview Hospital</t>
  </si>
  <si>
    <t>South Nassau Communities Hospital</t>
  </si>
  <si>
    <t>Southampton Hospital</t>
  </si>
  <si>
    <t>Southside Hospital</t>
  </si>
  <si>
    <t>St Catherine of Siena Hospital</t>
  </si>
  <si>
    <t>St Charles Hospital</t>
  </si>
  <si>
    <t>St Francis Hospital</t>
  </si>
  <si>
    <t>St. Joseph Hospital</t>
  </si>
  <si>
    <t>Syosset Hospital</t>
  </si>
  <si>
    <t>University Hospital</t>
  </si>
  <si>
    <t>Winthrop-University Hospital</t>
  </si>
  <si>
    <t>KPI view negative-margin counts per Facility-Year-PayerGroup</t>
  </si>
  <si>
    <t>If difference between Raw counts and KPI view counts = 0, data is validated</t>
  </si>
  <si>
    <t>Identical Bar graphs for both KPI View and Raw counts = Counts are all correct</t>
  </si>
  <si>
    <t>Raw negative-margin counts per Facility-Year-PayerGroup (all rows, filtered)</t>
  </si>
  <si>
    <t>Fact_Encounter_Count</t>
  </si>
  <si>
    <t>Encounter Count (Fact Table) - all rows</t>
  </si>
  <si>
    <t>View_Encounter_Count</t>
  </si>
  <si>
    <t>….</t>
  </si>
  <si>
    <t>Count</t>
  </si>
  <si>
    <t>Counts from both graphs are identical - Encounter count Reconciled</t>
  </si>
  <si>
    <t>Blue Cross/Blue Shield</t>
  </si>
  <si>
    <t>Private Health Insurance</t>
  </si>
  <si>
    <t>Miscellaneous/Other</t>
  </si>
  <si>
    <t>Federal/State/Local/VA</t>
  </si>
  <si>
    <t>Encounter_ID</t>
  </si>
  <si>
    <t>Payer_Key</t>
  </si>
  <si>
    <t>Payment_Typology_1</t>
  </si>
  <si>
    <t>Payment_Typology_Group_Std</t>
  </si>
  <si>
    <t>Total_Charges</t>
  </si>
  <si>
    <t>Total_Costs</t>
  </si>
  <si>
    <t>Negative_Margin_Flag</t>
  </si>
  <si>
    <t>Grand Total</t>
  </si>
  <si>
    <t>Row Labels</t>
  </si>
  <si>
    <t>Count of Encounter_ID</t>
  </si>
  <si>
    <t>Encounter_Count</t>
  </si>
  <si>
    <t>PGM from raw data</t>
  </si>
  <si>
    <t>PGM from KPI data</t>
  </si>
  <si>
    <t>Differences for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</si>
</sst>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Raw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'NegativeMargin Logic Validation'!$D$3</c:f>
              <c:strCache>
                <c:ptCount val="1"/>
                <c:pt idx="0">
                  <c:v>Negative_Margin_Encounter_Count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'NegativeMargin Logic Validation'!$D$4:$D$106</c:f>
              <c:numCache>
                <c:formatCode>General</c:formatCode>
                <c:ptCount val="17"/>
                <c:pt idx="0">
                  <c:v>134</c:v>
                </c:pt>
                <c:pt idx="1">
                  <c:v>221</c:v>
                </c:pt>
                <c:pt idx="2">
                  <c:v>207</c:v>
                </c:pt>
                <c:pt idx="3">
                  <c:v>9</c:v>
                </c:pt>
                <c:pt idx="4">
                  <c:v>30</c:v>
                </c:pt>
                <c:pt idx="5">
                  <c:v>30</c:v>
                </c:pt>
                <c:pt idx="6">
                  <c:v>233</c:v>
                </c:pt>
                <c:pt idx="7">
                  <c:v>1</c:v>
                </c:pt>
                <c:pt idx="8">
                  <c:v>2</c:v>
                </c:pt>
                <c:pt idx="9">
                  <c:v>53</c:v>
                </c:pt>
                <c:pt idx="10">
                  <c:v>119</c:v>
                </c:pt>
                <c:pt idx="11">
                  <c:v>3</c:v>
                </c:pt>
                <c:pt idx="12">
                  <c:v>10</c:v>
                </c:pt>
                <c:pt idx="13">
                  <c:v>1</c:v>
                </c:pt>
                <c:pt idx="14">
                  <c:v>16</c:v>
                </c:pt>
                <c:pt idx="15">
                  <c:v>5</c:v>
                </c:pt>
                <c:pt idx="1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B-419C-BBF7-39445C427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674112"/>
        <c:axId val="1884659232"/>
      </c:barChart>
      <c:catAx>
        <c:axId val="188467411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59232"/>
        <c:crosses val="autoZero"/>
        <c:auto val="1"/>
        <c:lblAlgn val="ctr"/>
        <c:lblOffset val="100"/>
        <c:noMultiLvlLbl val="0"/>
      </c:catAx>
      <c:valAx>
        <c:axId val="188465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7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KPI View counts</a:t>
            </a:r>
          </a:p>
        </c:rich>
      </c:tx>
      <c:layout>
        <c:manualLayout>
          <c:xMode val="edge"/>
          <c:yMode val="edge"/>
          <c:x val="0.385798556430446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'NegativeMargin Logic Validation'!$D$118:$D$134</c:f>
              <c:numCache>
                <c:formatCode>General</c:formatCode>
                <c:ptCount val="17"/>
                <c:pt idx="0">
                  <c:v>134</c:v>
                </c:pt>
                <c:pt idx="1">
                  <c:v>221</c:v>
                </c:pt>
                <c:pt idx="2">
                  <c:v>207</c:v>
                </c:pt>
                <c:pt idx="3">
                  <c:v>9</c:v>
                </c:pt>
                <c:pt idx="4">
                  <c:v>30</c:v>
                </c:pt>
                <c:pt idx="5">
                  <c:v>30</c:v>
                </c:pt>
                <c:pt idx="6">
                  <c:v>233</c:v>
                </c:pt>
                <c:pt idx="7">
                  <c:v>1</c:v>
                </c:pt>
                <c:pt idx="8">
                  <c:v>2</c:v>
                </c:pt>
                <c:pt idx="9">
                  <c:v>53</c:v>
                </c:pt>
                <c:pt idx="10">
                  <c:v>119</c:v>
                </c:pt>
                <c:pt idx="11">
                  <c:v>3</c:v>
                </c:pt>
                <c:pt idx="12">
                  <c:v>10</c:v>
                </c:pt>
                <c:pt idx="13">
                  <c:v>1</c:v>
                </c:pt>
                <c:pt idx="14">
                  <c:v>16</c:v>
                </c:pt>
                <c:pt idx="15">
                  <c:v>5</c:v>
                </c:pt>
                <c:pt idx="1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E-48C7-ABE6-D57699A87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05312"/>
        <c:axId val="1884700992"/>
      </c:barChart>
      <c:catAx>
        <c:axId val="1884705312"/>
        <c:scaling>
          <c:orientation val="minMax"/>
        </c:scaling>
        <c:delete val="0"/>
        <c:axPos val="r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00992"/>
        <c:crosses val="autoZero"/>
        <c:auto val="1"/>
        <c:lblAlgn val="ctr"/>
        <c:lblOffset val="100"/>
        <c:noMultiLvlLbl val="0"/>
      </c:catAx>
      <c:valAx>
        <c:axId val="1884700992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0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'Encounter Count Reconciliation'!$D$3</c:f>
              <c:strCache>
                <c:ptCount val="1"/>
                <c:pt idx="0">
                  <c:v>Fact_Encounter_Count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'Encounter Count Reconciliation'!$D$4:$D$27</c:f>
              <c:numCache>
                <c:formatCode>General</c:formatCode>
                <c:ptCount val="23"/>
                <c:pt idx="0">
                  <c:v>12200</c:v>
                </c:pt>
                <c:pt idx="1">
                  <c:v>2576</c:v>
                </c:pt>
                <c:pt idx="2">
                  <c:v>6167</c:v>
                </c:pt>
                <c:pt idx="3">
                  <c:v>4011</c:v>
                </c:pt>
                <c:pt idx="4">
                  <c:v>26288</c:v>
                </c:pt>
                <c:pt idx="5">
                  <c:v>16299</c:v>
                </c:pt>
                <c:pt idx="6">
                  <c:v>10975</c:v>
                </c:pt>
                <c:pt idx="7">
                  <c:v>2657</c:v>
                </c:pt>
                <c:pt idx="8">
                  <c:v>11128</c:v>
                </c:pt>
                <c:pt idx="9">
                  <c:v>19208</c:v>
                </c:pt>
                <c:pt idx="10">
                  <c:v>47664</c:v>
                </c:pt>
                <c:pt idx="11">
                  <c:v>7856</c:v>
                </c:pt>
                <c:pt idx="12">
                  <c:v>8369</c:v>
                </c:pt>
                <c:pt idx="13">
                  <c:v>21435</c:v>
                </c:pt>
                <c:pt idx="14">
                  <c:v>5434</c:v>
                </c:pt>
                <c:pt idx="15">
                  <c:v>18921</c:v>
                </c:pt>
                <c:pt idx="16">
                  <c:v>11126</c:v>
                </c:pt>
                <c:pt idx="17">
                  <c:v>11120</c:v>
                </c:pt>
                <c:pt idx="18">
                  <c:v>15626</c:v>
                </c:pt>
                <c:pt idx="19">
                  <c:v>6081</c:v>
                </c:pt>
                <c:pt idx="20">
                  <c:v>3748</c:v>
                </c:pt>
                <c:pt idx="21">
                  <c:v>35229</c:v>
                </c:pt>
                <c:pt idx="22">
                  <c:v>34921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0-4E60-8D0E-E3285397E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735072"/>
        <c:axId val="1884722112"/>
      </c:barChart>
      <c:catAx>
        <c:axId val="1884735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22112"/>
        <c:crosses val="autoZero"/>
        <c:auto val="1"/>
        <c:lblAlgn val="ctr"/>
        <c:lblOffset val="100"/>
        <c:noMultiLvlLbl val="0"/>
      </c:catAx>
      <c:valAx>
        <c:axId val="188472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'Encounter Count Reconciliation'!$D$30</c:f>
              <c:strCache>
                <c:ptCount val="1"/>
                <c:pt idx="0">
                  <c:v>View_Encounter_Count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'Encounter Count Reconciliation'!$D$31:$D$54</c:f>
              <c:numCache>
                <c:formatCode>General</c:formatCode>
                <c:ptCount val="23"/>
                <c:pt idx="0">
                  <c:v>12200</c:v>
                </c:pt>
                <c:pt idx="1">
                  <c:v>2576</c:v>
                </c:pt>
                <c:pt idx="2">
                  <c:v>6167</c:v>
                </c:pt>
                <c:pt idx="3">
                  <c:v>4011</c:v>
                </c:pt>
                <c:pt idx="4">
                  <c:v>26288</c:v>
                </c:pt>
                <c:pt idx="5">
                  <c:v>16299</c:v>
                </c:pt>
                <c:pt idx="6">
                  <c:v>10975</c:v>
                </c:pt>
                <c:pt idx="7">
                  <c:v>2657</c:v>
                </c:pt>
                <c:pt idx="8">
                  <c:v>11128</c:v>
                </c:pt>
                <c:pt idx="9">
                  <c:v>19208</c:v>
                </c:pt>
                <c:pt idx="10">
                  <c:v>47664</c:v>
                </c:pt>
                <c:pt idx="11">
                  <c:v>7856</c:v>
                </c:pt>
                <c:pt idx="12">
                  <c:v>8369</c:v>
                </c:pt>
                <c:pt idx="13">
                  <c:v>21435</c:v>
                </c:pt>
                <c:pt idx="14">
                  <c:v>5434</c:v>
                </c:pt>
                <c:pt idx="15">
                  <c:v>18921</c:v>
                </c:pt>
                <c:pt idx="16">
                  <c:v>11126</c:v>
                </c:pt>
                <c:pt idx="17">
                  <c:v>11120</c:v>
                </c:pt>
                <c:pt idx="18">
                  <c:v>15626</c:v>
                </c:pt>
                <c:pt idx="19">
                  <c:v>6081</c:v>
                </c:pt>
                <c:pt idx="20">
                  <c:v>3748</c:v>
                </c:pt>
                <c:pt idx="21">
                  <c:v>35229</c:v>
                </c:pt>
                <c:pt idx="22">
                  <c:v>34921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8-456A-B939-1F2551374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4639072"/>
        <c:axId val="1884633312"/>
      </c:barChart>
      <c:catAx>
        <c:axId val="18846390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33312"/>
        <c:crosses val="autoZero"/>
        <c:auto val="1"/>
        <c:lblAlgn val="ctr"/>
        <c:lblOffset val="100"/>
        <c:noMultiLvlLbl val="0"/>
      </c:catAx>
      <c:valAx>
        <c:axId val="1884633312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3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442912</xdr:colOff>
      <xdr:row>116</xdr:row>
      <xdr:rowOff>104775</xdr:rowOff>
    </xdr:from>
    <xdr:to>
      <xdr:col>15</xdr:col>
      <xdr:colOff>442912</xdr:colOff>
      <xdr:row>126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51FC5-2085-9C7D-F993-A7CC9449D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357187</xdr:colOff>
      <xdr:row>116</xdr:row>
      <xdr:rowOff>114300</xdr:rowOff>
    </xdr:from>
    <xdr:to>
      <xdr:col>10</xdr:col>
      <xdr:colOff>357187</xdr:colOff>
      <xdr:row>126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98226C-A9D6-A62A-B8E3-1DC2EFF59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12</xdr:row>
      <xdr:rowOff>104775</xdr:rowOff>
    </xdr:from>
    <xdr:to>
      <xdr:col>15</xdr:col>
      <xdr:colOff>123825</xdr:colOff>
      <xdr:row>22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913925-2FDB-41C3-FFDD-8955C1CDC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828675</xdr:colOff>
      <xdr:row>12</xdr:row>
      <xdr:rowOff>114300</xdr:rowOff>
    </xdr:from>
    <xdr:to>
      <xdr:col>9</xdr:col>
      <xdr:colOff>828675</xdr:colOff>
      <xdr:row>22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A39A46-BCF6-1866-F835-1AD183C35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Yves TRAN" refreshedDate="46003.76295300926" createdVersion="8" refreshedVersion="8" minRefreshableVersion="3" recordCount="7856" xr:uid="{C74AE088-6E9C-46CA-B836-1059EA5DF270}">
  <cacheSource type="worksheet">
    <worksheetSource name="Table5"/>
  </cacheSource>
  <cacheFields count="10">
    <cacheField name="Encounter_ID" numFmtId="0">
      <sharedItems containsSemiMixedTypes="0" containsString="0" containsNumber="1" containsInteger="1" minValue="269472" maxValue="329558" count="7856">
        <n v="317708"/>
        <n v="317722"/>
        <n v="317749"/>
        <n v="317779"/>
        <n v="317787"/>
        <n v="317793"/>
        <n v="317805"/>
        <n v="317815"/>
        <n v="317828"/>
        <n v="317837"/>
        <n v="317841"/>
        <n v="317844"/>
        <n v="317849"/>
        <n v="317863"/>
        <n v="317894"/>
        <n v="317904"/>
        <n v="317913"/>
        <n v="317979"/>
        <n v="318028"/>
        <n v="318031"/>
        <n v="318036"/>
        <n v="318037"/>
        <n v="318040"/>
        <n v="318042"/>
        <n v="318043"/>
        <n v="318045"/>
        <n v="318048"/>
        <n v="318053"/>
        <n v="318055"/>
        <n v="318092"/>
        <n v="318104"/>
        <n v="318144"/>
        <n v="318173"/>
        <n v="318177"/>
        <n v="318181"/>
        <n v="318187"/>
        <n v="318201"/>
        <n v="318216"/>
        <n v="318266"/>
        <n v="318283"/>
        <n v="318294"/>
        <n v="318313"/>
        <n v="318320"/>
        <n v="318326"/>
        <n v="318355"/>
        <n v="318361"/>
        <n v="318397"/>
        <n v="318399"/>
        <n v="318403"/>
        <n v="318406"/>
        <n v="318411"/>
        <n v="318423"/>
        <n v="318454"/>
        <n v="318460"/>
        <n v="318471"/>
        <n v="318477"/>
        <n v="318494"/>
        <n v="318499"/>
        <n v="318507"/>
        <n v="318519"/>
        <n v="318526"/>
        <n v="318531"/>
        <n v="318535"/>
        <n v="318545"/>
        <n v="318552"/>
        <n v="318561"/>
        <n v="318567"/>
        <n v="318577"/>
        <n v="318582"/>
        <n v="318600"/>
        <n v="318604"/>
        <n v="318624"/>
        <n v="318627"/>
        <n v="318642"/>
        <n v="318645"/>
        <n v="318664"/>
        <n v="318684"/>
        <n v="318687"/>
        <n v="318692"/>
        <n v="318715"/>
        <n v="318728"/>
        <n v="318736"/>
        <n v="318741"/>
        <n v="318758"/>
        <n v="318766"/>
        <n v="318773"/>
        <n v="318792"/>
        <n v="318825"/>
        <n v="318826"/>
        <n v="318831"/>
        <n v="318837"/>
        <n v="318847"/>
        <n v="318851"/>
        <n v="318852"/>
        <n v="318858"/>
        <n v="318872"/>
        <n v="318883"/>
        <n v="318891"/>
        <n v="318896"/>
        <n v="318897"/>
        <n v="318915"/>
        <n v="318917"/>
        <n v="318931"/>
        <n v="318940"/>
        <n v="318960"/>
        <n v="319009"/>
        <n v="319019"/>
        <n v="319038"/>
        <n v="319054"/>
        <n v="319070"/>
        <n v="319078"/>
        <n v="319092"/>
        <n v="319113"/>
        <n v="319116"/>
        <n v="319125"/>
        <n v="319151"/>
        <n v="319157"/>
        <n v="319168"/>
        <n v="319172"/>
        <n v="319216"/>
        <n v="319227"/>
        <n v="319233"/>
        <n v="319252"/>
        <n v="319263"/>
        <n v="319274"/>
        <n v="319280"/>
        <n v="319285"/>
        <n v="319291"/>
        <n v="319317"/>
        <n v="319343"/>
        <n v="319347"/>
        <n v="319356"/>
        <n v="319362"/>
        <n v="319381"/>
        <n v="319383"/>
        <n v="319386"/>
        <n v="319396"/>
        <n v="319397"/>
        <n v="319405"/>
        <n v="319407"/>
        <n v="319435"/>
        <n v="319459"/>
        <n v="319477"/>
        <n v="319488"/>
        <n v="319497"/>
        <n v="319511"/>
        <n v="319512"/>
        <n v="319522"/>
        <n v="319529"/>
        <n v="319540"/>
        <n v="319551"/>
        <n v="319558"/>
        <n v="319570"/>
        <n v="319575"/>
        <n v="319585"/>
        <n v="319588"/>
        <n v="319618"/>
        <n v="319646"/>
        <n v="319651"/>
        <n v="319653"/>
        <n v="319656"/>
        <n v="319671"/>
        <n v="319690"/>
        <n v="319702"/>
        <n v="319718"/>
        <n v="319722"/>
        <n v="319726"/>
        <n v="319727"/>
        <n v="319728"/>
        <n v="319732"/>
        <n v="319735"/>
        <n v="319747"/>
        <n v="319757"/>
        <n v="319760"/>
        <n v="319766"/>
        <n v="319780"/>
        <n v="319788"/>
        <n v="319794"/>
        <n v="319803"/>
        <n v="319837"/>
        <n v="319843"/>
        <n v="319848"/>
        <n v="319859"/>
        <n v="319874"/>
        <n v="319893"/>
        <n v="319906"/>
        <n v="319916"/>
        <n v="319922"/>
        <n v="319925"/>
        <n v="319950"/>
        <n v="319954"/>
        <n v="319960"/>
        <n v="319961"/>
        <n v="319991"/>
        <n v="319997"/>
        <n v="319998"/>
        <n v="320021"/>
        <n v="320027"/>
        <n v="320035"/>
        <n v="320039"/>
        <n v="320053"/>
        <n v="320063"/>
        <n v="320071"/>
        <n v="320078"/>
        <n v="320115"/>
        <n v="320142"/>
        <n v="320144"/>
        <n v="320160"/>
        <n v="320161"/>
        <n v="320176"/>
        <n v="320192"/>
        <n v="320193"/>
        <n v="320195"/>
        <n v="320198"/>
        <n v="320223"/>
        <n v="320228"/>
        <n v="320240"/>
        <n v="320248"/>
        <n v="320257"/>
        <n v="320259"/>
        <n v="320264"/>
        <n v="320266"/>
        <n v="320279"/>
        <n v="320297"/>
        <n v="320298"/>
        <n v="320338"/>
        <n v="320341"/>
        <n v="320348"/>
        <n v="320355"/>
        <n v="320359"/>
        <n v="320361"/>
        <n v="320369"/>
        <n v="320371"/>
        <n v="320388"/>
        <n v="320390"/>
        <n v="320401"/>
        <n v="320410"/>
        <n v="320419"/>
        <n v="320422"/>
        <n v="320427"/>
        <n v="320429"/>
        <n v="320436"/>
        <n v="320437"/>
        <n v="320440"/>
        <n v="320446"/>
        <n v="320448"/>
        <n v="320455"/>
        <n v="320464"/>
        <n v="320472"/>
        <n v="320477"/>
        <n v="320481"/>
        <n v="320491"/>
        <n v="320505"/>
        <n v="320508"/>
        <n v="320510"/>
        <n v="320523"/>
        <n v="320540"/>
        <n v="320541"/>
        <n v="320543"/>
        <n v="320545"/>
        <n v="320549"/>
        <n v="320550"/>
        <n v="320555"/>
        <n v="320565"/>
        <n v="320571"/>
        <n v="320575"/>
        <n v="320581"/>
        <n v="320588"/>
        <n v="320589"/>
        <n v="320601"/>
        <n v="320606"/>
        <n v="320608"/>
        <n v="320609"/>
        <n v="320611"/>
        <n v="320621"/>
        <n v="320624"/>
        <n v="320634"/>
        <n v="320638"/>
        <n v="320641"/>
        <n v="320644"/>
        <n v="320645"/>
        <n v="320648"/>
        <n v="320652"/>
        <n v="320657"/>
        <n v="320666"/>
        <n v="320671"/>
        <n v="320673"/>
        <n v="320674"/>
        <n v="320676"/>
        <n v="320678"/>
        <n v="320682"/>
        <n v="320692"/>
        <n v="320697"/>
        <n v="320704"/>
        <n v="320716"/>
        <n v="320718"/>
        <n v="320725"/>
        <n v="320734"/>
        <n v="320736"/>
        <n v="320741"/>
        <n v="320746"/>
        <n v="320766"/>
        <n v="320783"/>
        <n v="320789"/>
        <n v="320795"/>
        <n v="320800"/>
        <n v="320803"/>
        <n v="320828"/>
        <n v="320834"/>
        <n v="320843"/>
        <n v="320846"/>
        <n v="320857"/>
        <n v="320869"/>
        <n v="320870"/>
        <n v="320893"/>
        <n v="320945"/>
        <n v="320949"/>
        <n v="320959"/>
        <n v="320960"/>
        <n v="320969"/>
        <n v="320976"/>
        <n v="320980"/>
        <n v="320986"/>
        <n v="320990"/>
        <n v="320992"/>
        <n v="320997"/>
        <n v="321005"/>
        <n v="321009"/>
        <n v="321010"/>
        <n v="321015"/>
        <n v="321017"/>
        <n v="321024"/>
        <n v="321043"/>
        <n v="321045"/>
        <n v="321049"/>
        <n v="321050"/>
        <n v="321051"/>
        <n v="321055"/>
        <n v="321058"/>
        <n v="321073"/>
        <n v="321081"/>
        <n v="321086"/>
        <n v="321087"/>
        <n v="321088"/>
        <n v="321089"/>
        <n v="321092"/>
        <n v="321097"/>
        <n v="321098"/>
        <n v="321102"/>
        <n v="321109"/>
        <n v="321111"/>
        <n v="321118"/>
        <n v="321121"/>
        <n v="321122"/>
        <n v="321147"/>
        <n v="321150"/>
        <n v="321152"/>
        <n v="321161"/>
        <n v="321165"/>
        <n v="321169"/>
        <n v="321186"/>
        <n v="321190"/>
        <n v="321196"/>
        <n v="321199"/>
        <n v="321203"/>
        <n v="321205"/>
        <n v="321213"/>
        <n v="321220"/>
        <n v="321222"/>
        <n v="321230"/>
        <n v="321235"/>
        <n v="321236"/>
        <n v="321240"/>
        <n v="321251"/>
        <n v="321252"/>
        <n v="321255"/>
        <n v="321258"/>
        <n v="321266"/>
        <n v="321271"/>
        <n v="321273"/>
        <n v="321276"/>
        <n v="321305"/>
        <n v="321316"/>
        <n v="321336"/>
        <n v="321337"/>
        <n v="321340"/>
        <n v="321349"/>
        <n v="321356"/>
        <n v="321363"/>
        <n v="321367"/>
        <n v="321371"/>
        <n v="321380"/>
        <n v="321381"/>
        <n v="321386"/>
        <n v="321389"/>
        <n v="321391"/>
        <n v="321397"/>
        <n v="321398"/>
        <n v="321407"/>
        <n v="321418"/>
        <n v="321419"/>
        <n v="321433"/>
        <n v="321435"/>
        <n v="321448"/>
        <n v="321456"/>
        <n v="321461"/>
        <n v="321468"/>
        <n v="321469"/>
        <n v="321470"/>
        <n v="321476"/>
        <n v="321477"/>
        <n v="321484"/>
        <n v="321497"/>
        <n v="321511"/>
        <n v="321515"/>
        <n v="321517"/>
        <n v="321519"/>
        <n v="321524"/>
        <n v="321525"/>
        <n v="321530"/>
        <n v="321534"/>
        <n v="321538"/>
        <n v="321539"/>
        <n v="321541"/>
        <n v="321542"/>
        <n v="321555"/>
        <n v="321556"/>
        <n v="321558"/>
        <n v="321559"/>
        <n v="321561"/>
        <n v="321562"/>
        <n v="321566"/>
        <n v="321582"/>
        <n v="321583"/>
        <n v="321587"/>
        <n v="321596"/>
        <n v="321597"/>
        <n v="321599"/>
        <n v="321600"/>
        <n v="321609"/>
        <n v="321614"/>
        <n v="321616"/>
        <n v="321620"/>
        <n v="321625"/>
        <n v="321627"/>
        <n v="321634"/>
        <n v="321639"/>
        <n v="321641"/>
        <n v="321647"/>
        <n v="321648"/>
        <n v="321656"/>
        <n v="321657"/>
        <n v="321663"/>
        <n v="321671"/>
        <n v="321679"/>
        <n v="321685"/>
        <n v="321690"/>
        <n v="321695"/>
        <n v="321700"/>
        <n v="321704"/>
        <n v="321708"/>
        <n v="321712"/>
        <n v="321713"/>
        <n v="321714"/>
        <n v="321729"/>
        <n v="321736"/>
        <n v="321737"/>
        <n v="321745"/>
        <n v="321749"/>
        <n v="321751"/>
        <n v="321766"/>
        <n v="321767"/>
        <n v="321772"/>
        <n v="321774"/>
        <n v="321780"/>
        <n v="321785"/>
        <n v="321797"/>
        <n v="321805"/>
        <n v="321814"/>
        <n v="321816"/>
        <n v="321824"/>
        <n v="321826"/>
        <n v="321829"/>
        <n v="321832"/>
        <n v="321833"/>
        <n v="321834"/>
        <n v="321838"/>
        <n v="321839"/>
        <n v="321841"/>
        <n v="321850"/>
        <n v="321858"/>
        <n v="321860"/>
        <n v="321861"/>
        <n v="321862"/>
        <n v="321868"/>
        <n v="321870"/>
        <n v="321883"/>
        <n v="321886"/>
        <n v="321888"/>
        <n v="321898"/>
        <n v="321903"/>
        <n v="321911"/>
        <n v="321913"/>
        <n v="321930"/>
        <n v="321935"/>
        <n v="321939"/>
        <n v="321949"/>
        <n v="321956"/>
        <n v="321967"/>
        <n v="321968"/>
        <n v="321979"/>
        <n v="321983"/>
        <n v="321984"/>
        <n v="321986"/>
        <n v="321991"/>
        <n v="321992"/>
        <n v="321993"/>
        <n v="321996"/>
        <n v="322001"/>
        <n v="322016"/>
        <n v="322019"/>
        <n v="322029"/>
        <n v="322031"/>
        <n v="322037"/>
        <n v="322039"/>
        <n v="322040"/>
        <n v="322042"/>
        <n v="322047"/>
        <n v="322058"/>
        <n v="322060"/>
        <n v="322068"/>
        <n v="322070"/>
        <n v="322072"/>
        <n v="322076"/>
        <n v="322079"/>
        <n v="322084"/>
        <n v="322091"/>
        <n v="322097"/>
        <n v="322107"/>
        <n v="322110"/>
        <n v="322136"/>
        <n v="322143"/>
        <n v="322147"/>
        <n v="322149"/>
        <n v="322154"/>
        <n v="322157"/>
        <n v="322164"/>
        <n v="322165"/>
        <n v="322175"/>
        <n v="322177"/>
        <n v="322180"/>
        <n v="322182"/>
        <n v="322187"/>
        <n v="322189"/>
        <n v="322205"/>
        <n v="322207"/>
        <n v="322208"/>
        <n v="322212"/>
        <n v="322215"/>
        <n v="322219"/>
        <n v="322221"/>
        <n v="322223"/>
        <n v="322232"/>
        <n v="322233"/>
        <n v="322243"/>
        <n v="322254"/>
        <n v="322266"/>
        <n v="322277"/>
        <n v="322287"/>
        <n v="322296"/>
        <n v="322299"/>
        <n v="322301"/>
        <n v="322304"/>
        <n v="322318"/>
        <n v="322319"/>
        <n v="322322"/>
        <n v="322326"/>
        <n v="322329"/>
        <n v="322331"/>
        <n v="322336"/>
        <n v="322338"/>
        <n v="322340"/>
        <n v="322345"/>
        <n v="322356"/>
        <n v="322359"/>
        <n v="322362"/>
        <n v="322363"/>
        <n v="322375"/>
        <n v="322382"/>
        <n v="322386"/>
        <n v="322387"/>
        <n v="322388"/>
        <n v="322389"/>
        <n v="322393"/>
        <n v="322395"/>
        <n v="322397"/>
        <n v="322400"/>
        <n v="322409"/>
        <n v="322417"/>
        <n v="322418"/>
        <n v="322422"/>
        <n v="322437"/>
        <n v="322439"/>
        <n v="322444"/>
        <n v="322459"/>
        <n v="322467"/>
        <n v="322478"/>
        <n v="322480"/>
        <n v="322482"/>
        <n v="322484"/>
        <n v="322486"/>
        <n v="322490"/>
        <n v="322504"/>
        <n v="322506"/>
        <n v="322510"/>
        <n v="322511"/>
        <n v="322521"/>
        <n v="322524"/>
        <n v="322530"/>
        <n v="322532"/>
        <n v="322535"/>
        <n v="322544"/>
        <n v="322548"/>
        <n v="322550"/>
        <n v="322563"/>
        <n v="322566"/>
        <n v="322577"/>
        <n v="322578"/>
        <n v="322580"/>
        <n v="322583"/>
        <n v="322586"/>
        <n v="322599"/>
        <n v="322606"/>
        <n v="322609"/>
        <n v="322611"/>
        <n v="322612"/>
        <n v="322615"/>
        <n v="322617"/>
        <n v="322622"/>
        <n v="322625"/>
        <n v="322627"/>
        <n v="322632"/>
        <n v="322638"/>
        <n v="322647"/>
        <n v="322657"/>
        <n v="322661"/>
        <n v="322670"/>
        <n v="322672"/>
        <n v="322679"/>
        <n v="322690"/>
        <n v="322698"/>
        <n v="322705"/>
        <n v="322711"/>
        <n v="322714"/>
        <n v="322725"/>
        <n v="322726"/>
        <n v="322729"/>
        <n v="322735"/>
        <n v="322739"/>
        <n v="322747"/>
        <n v="322749"/>
        <n v="322750"/>
        <n v="322754"/>
        <n v="322759"/>
        <n v="322772"/>
        <n v="322778"/>
        <n v="322782"/>
        <n v="322787"/>
        <n v="322806"/>
        <n v="322811"/>
        <n v="322814"/>
        <n v="322815"/>
        <n v="322816"/>
        <n v="322820"/>
        <n v="322821"/>
        <n v="322826"/>
        <n v="322842"/>
        <n v="322848"/>
        <n v="322852"/>
        <n v="322857"/>
        <n v="322865"/>
        <n v="322870"/>
        <n v="322871"/>
        <n v="322876"/>
        <n v="322878"/>
        <n v="322879"/>
        <n v="322890"/>
        <n v="322900"/>
        <n v="322902"/>
        <n v="322915"/>
        <n v="322919"/>
        <n v="322928"/>
        <n v="322933"/>
        <n v="322939"/>
        <n v="322949"/>
        <n v="322956"/>
        <n v="322958"/>
        <n v="322966"/>
        <n v="322972"/>
        <n v="322981"/>
        <n v="322983"/>
        <n v="322985"/>
        <n v="322986"/>
        <n v="322989"/>
        <n v="322995"/>
        <n v="322996"/>
        <n v="322999"/>
        <n v="323015"/>
        <n v="323021"/>
        <n v="323033"/>
        <n v="323063"/>
        <n v="323064"/>
        <n v="323069"/>
        <n v="323076"/>
        <n v="323084"/>
        <n v="323087"/>
        <n v="323095"/>
        <n v="323104"/>
        <n v="323115"/>
        <n v="323139"/>
        <n v="323142"/>
        <n v="323143"/>
        <n v="323151"/>
        <n v="323162"/>
        <n v="323165"/>
        <n v="323167"/>
        <n v="323170"/>
        <n v="323176"/>
        <n v="323182"/>
        <n v="323186"/>
        <n v="323192"/>
        <n v="323198"/>
        <n v="323199"/>
        <n v="323201"/>
        <n v="323208"/>
        <n v="323216"/>
        <n v="323217"/>
        <n v="323218"/>
        <n v="323220"/>
        <n v="323222"/>
        <n v="323223"/>
        <n v="323228"/>
        <n v="323234"/>
        <n v="323244"/>
        <n v="323245"/>
        <n v="323251"/>
        <n v="323263"/>
        <n v="323265"/>
        <n v="323268"/>
        <n v="323276"/>
        <n v="323278"/>
        <n v="323279"/>
        <n v="323282"/>
        <n v="323288"/>
        <n v="323293"/>
        <n v="323299"/>
        <n v="323305"/>
        <n v="323308"/>
        <n v="323311"/>
        <n v="323315"/>
        <n v="323330"/>
        <n v="323332"/>
        <n v="323336"/>
        <n v="323337"/>
        <n v="323338"/>
        <n v="323344"/>
        <n v="323351"/>
        <n v="323352"/>
        <n v="323354"/>
        <n v="323355"/>
        <n v="323363"/>
        <n v="323369"/>
        <n v="323373"/>
        <n v="323381"/>
        <n v="323387"/>
        <n v="323390"/>
        <n v="323392"/>
        <n v="323395"/>
        <n v="323397"/>
        <n v="323399"/>
        <n v="323412"/>
        <n v="323414"/>
        <n v="323415"/>
        <n v="323416"/>
        <n v="323419"/>
        <n v="323421"/>
        <n v="323429"/>
        <n v="323437"/>
        <n v="323442"/>
        <n v="323443"/>
        <n v="323457"/>
        <n v="323466"/>
        <n v="323472"/>
        <n v="323482"/>
        <n v="323484"/>
        <n v="323488"/>
        <n v="323490"/>
        <n v="323491"/>
        <n v="323506"/>
        <n v="323508"/>
        <n v="323512"/>
        <n v="323513"/>
        <n v="323514"/>
        <n v="323522"/>
        <n v="323530"/>
        <n v="323532"/>
        <n v="323562"/>
        <n v="323564"/>
        <n v="323577"/>
        <n v="323580"/>
        <n v="323581"/>
        <n v="323584"/>
        <n v="323589"/>
        <n v="323592"/>
        <n v="323602"/>
        <n v="323604"/>
        <n v="323607"/>
        <n v="323613"/>
        <n v="323616"/>
        <n v="323620"/>
        <n v="323623"/>
        <n v="323629"/>
        <n v="323631"/>
        <n v="323632"/>
        <n v="323637"/>
        <n v="323641"/>
        <n v="323653"/>
        <n v="323661"/>
        <n v="323662"/>
        <n v="323673"/>
        <n v="323681"/>
        <n v="323688"/>
        <n v="323698"/>
        <n v="323710"/>
        <n v="323711"/>
        <n v="323716"/>
        <n v="323718"/>
        <n v="323732"/>
        <n v="323734"/>
        <n v="323736"/>
        <n v="323745"/>
        <n v="323747"/>
        <n v="323750"/>
        <n v="323754"/>
        <n v="323756"/>
        <n v="323759"/>
        <n v="323768"/>
        <n v="323783"/>
        <n v="323791"/>
        <n v="323794"/>
        <n v="323795"/>
        <n v="323797"/>
        <n v="323802"/>
        <n v="323812"/>
        <n v="323813"/>
        <n v="323826"/>
        <n v="323833"/>
        <n v="323849"/>
        <n v="323853"/>
        <n v="323854"/>
        <n v="323855"/>
        <n v="323856"/>
        <n v="323858"/>
        <n v="323861"/>
        <n v="323864"/>
        <n v="323871"/>
        <n v="323883"/>
        <n v="323896"/>
        <n v="323898"/>
        <n v="323905"/>
        <n v="323907"/>
        <n v="323908"/>
        <n v="323911"/>
        <n v="323918"/>
        <n v="323931"/>
        <n v="323934"/>
        <n v="323941"/>
        <n v="323956"/>
        <n v="323960"/>
        <n v="323969"/>
        <n v="323975"/>
        <n v="323984"/>
        <n v="323988"/>
        <n v="323989"/>
        <n v="323992"/>
        <n v="323997"/>
        <n v="324002"/>
        <n v="324017"/>
        <n v="324021"/>
        <n v="324023"/>
        <n v="324027"/>
        <n v="324030"/>
        <n v="324032"/>
        <n v="324038"/>
        <n v="324057"/>
        <n v="324061"/>
        <n v="324068"/>
        <n v="324069"/>
        <n v="324088"/>
        <n v="324092"/>
        <n v="324100"/>
        <n v="324101"/>
        <n v="324104"/>
        <n v="324106"/>
        <n v="324107"/>
        <n v="324112"/>
        <n v="324116"/>
        <n v="324126"/>
        <n v="324128"/>
        <n v="324133"/>
        <n v="324138"/>
        <n v="324140"/>
        <n v="324150"/>
        <n v="324152"/>
        <n v="324153"/>
        <n v="324154"/>
        <n v="324158"/>
        <n v="324170"/>
        <n v="324196"/>
        <n v="324201"/>
        <n v="324202"/>
        <n v="324203"/>
        <n v="324210"/>
        <n v="324211"/>
        <n v="324212"/>
        <n v="324216"/>
        <n v="324226"/>
        <n v="324230"/>
        <n v="324245"/>
        <n v="324247"/>
        <n v="324250"/>
        <n v="324263"/>
        <n v="324266"/>
        <n v="324269"/>
        <n v="324271"/>
        <n v="324284"/>
        <n v="324288"/>
        <n v="324290"/>
        <n v="324299"/>
        <n v="324300"/>
        <n v="324309"/>
        <n v="324310"/>
        <n v="324312"/>
        <n v="324331"/>
        <n v="324332"/>
        <n v="324339"/>
        <n v="324350"/>
        <n v="324356"/>
        <n v="324358"/>
        <n v="324366"/>
        <n v="324377"/>
        <n v="324387"/>
        <n v="324397"/>
        <n v="324400"/>
        <n v="324401"/>
        <n v="324402"/>
        <n v="324404"/>
        <n v="324422"/>
        <n v="324424"/>
        <n v="324429"/>
        <n v="324441"/>
        <n v="324449"/>
        <n v="324450"/>
        <n v="324454"/>
        <n v="324460"/>
        <n v="324464"/>
        <n v="324467"/>
        <n v="324475"/>
        <n v="324492"/>
        <n v="324503"/>
        <n v="324504"/>
        <n v="324511"/>
        <n v="324521"/>
        <n v="324522"/>
        <n v="324524"/>
        <n v="324525"/>
        <n v="324539"/>
        <n v="324544"/>
        <n v="324568"/>
        <n v="324594"/>
        <n v="324595"/>
        <n v="324605"/>
        <n v="324606"/>
        <n v="324612"/>
        <n v="324619"/>
        <n v="324620"/>
        <n v="324624"/>
        <n v="324625"/>
        <n v="324626"/>
        <n v="324633"/>
        <n v="324634"/>
        <n v="324642"/>
        <n v="324647"/>
        <n v="324651"/>
        <n v="324652"/>
        <n v="324657"/>
        <n v="324661"/>
        <n v="324665"/>
        <n v="324676"/>
        <n v="324680"/>
        <n v="324684"/>
        <n v="324686"/>
        <n v="324687"/>
        <n v="324690"/>
        <n v="324703"/>
        <n v="324705"/>
        <n v="324715"/>
        <n v="324723"/>
        <n v="324728"/>
        <n v="324729"/>
        <n v="324731"/>
        <n v="324736"/>
        <n v="324744"/>
        <n v="324751"/>
        <n v="324760"/>
        <n v="324761"/>
        <n v="324762"/>
        <n v="324764"/>
        <n v="324777"/>
        <n v="324778"/>
        <n v="324791"/>
        <n v="324792"/>
        <n v="324798"/>
        <n v="324800"/>
        <n v="324805"/>
        <n v="324810"/>
        <n v="324835"/>
        <n v="324842"/>
        <n v="324851"/>
        <n v="324853"/>
        <n v="324869"/>
        <n v="324874"/>
        <n v="324876"/>
        <n v="324880"/>
        <n v="324886"/>
        <n v="324888"/>
        <n v="324901"/>
        <n v="324907"/>
        <n v="324915"/>
        <n v="324921"/>
        <n v="324927"/>
        <n v="324932"/>
        <n v="324936"/>
        <n v="324944"/>
        <n v="324945"/>
        <n v="324955"/>
        <n v="324958"/>
        <n v="324963"/>
        <n v="324965"/>
        <n v="324967"/>
        <n v="324975"/>
        <n v="324978"/>
        <n v="324983"/>
        <n v="324995"/>
        <n v="324998"/>
        <n v="325000"/>
        <n v="325008"/>
        <n v="325012"/>
        <n v="325013"/>
        <n v="325014"/>
        <n v="325023"/>
        <n v="325024"/>
        <n v="325031"/>
        <n v="325044"/>
        <n v="325053"/>
        <n v="325054"/>
        <n v="325055"/>
        <n v="325056"/>
        <n v="325062"/>
        <n v="325075"/>
        <n v="325083"/>
        <n v="325092"/>
        <n v="325100"/>
        <n v="325104"/>
        <n v="325107"/>
        <n v="325110"/>
        <n v="325115"/>
        <n v="325116"/>
        <n v="325121"/>
        <n v="325125"/>
        <n v="325126"/>
        <n v="325131"/>
        <n v="325134"/>
        <n v="325151"/>
        <n v="325153"/>
        <n v="325154"/>
        <n v="325161"/>
        <n v="325172"/>
        <n v="325175"/>
        <n v="325176"/>
        <n v="325177"/>
        <n v="325180"/>
        <n v="325183"/>
        <n v="325187"/>
        <n v="325193"/>
        <n v="325198"/>
        <n v="325199"/>
        <n v="325208"/>
        <n v="325211"/>
        <n v="325217"/>
        <n v="325219"/>
        <n v="325222"/>
        <n v="325224"/>
        <n v="325229"/>
        <n v="325244"/>
        <n v="325252"/>
        <n v="325259"/>
        <n v="325260"/>
        <n v="325267"/>
        <n v="325268"/>
        <n v="325279"/>
        <n v="325288"/>
        <n v="325292"/>
        <n v="325296"/>
        <n v="325299"/>
        <n v="325313"/>
        <n v="325319"/>
        <n v="325324"/>
        <n v="325338"/>
        <n v="325339"/>
        <n v="325341"/>
        <n v="325346"/>
        <n v="325349"/>
        <n v="325350"/>
        <n v="325355"/>
        <n v="325360"/>
        <n v="325362"/>
        <n v="325364"/>
        <n v="325370"/>
        <n v="325373"/>
        <n v="325375"/>
        <n v="325377"/>
        <n v="325378"/>
        <n v="325381"/>
        <n v="325385"/>
        <n v="325390"/>
        <n v="325393"/>
        <n v="325408"/>
        <n v="325411"/>
        <n v="325413"/>
        <n v="325414"/>
        <n v="325420"/>
        <n v="325424"/>
        <n v="325425"/>
        <n v="325435"/>
        <n v="325452"/>
        <n v="325463"/>
        <n v="325466"/>
        <n v="325492"/>
        <n v="325502"/>
        <n v="325503"/>
        <n v="325508"/>
        <n v="325529"/>
        <n v="325538"/>
        <n v="325539"/>
        <n v="325543"/>
        <n v="325558"/>
        <n v="325559"/>
        <n v="325563"/>
        <n v="325568"/>
        <n v="325569"/>
        <n v="325573"/>
        <n v="325602"/>
        <n v="325609"/>
        <n v="325612"/>
        <n v="325614"/>
        <n v="325615"/>
        <n v="325616"/>
        <n v="325623"/>
        <n v="325629"/>
        <n v="325638"/>
        <n v="325641"/>
        <n v="325650"/>
        <n v="325651"/>
        <n v="325658"/>
        <n v="325663"/>
        <n v="325669"/>
        <n v="325671"/>
        <n v="325675"/>
        <n v="325676"/>
        <n v="325683"/>
        <n v="325692"/>
        <n v="325694"/>
        <n v="325697"/>
        <n v="325698"/>
        <n v="325699"/>
        <n v="325706"/>
        <n v="325709"/>
        <n v="325713"/>
        <n v="325715"/>
        <n v="325716"/>
        <n v="325718"/>
        <n v="325722"/>
        <n v="325736"/>
        <n v="325738"/>
        <n v="325742"/>
        <n v="325743"/>
        <n v="325748"/>
        <n v="325760"/>
        <n v="325764"/>
        <n v="325766"/>
        <n v="325768"/>
        <n v="325778"/>
        <n v="325787"/>
        <n v="325789"/>
        <n v="325790"/>
        <n v="325795"/>
        <n v="325797"/>
        <n v="325798"/>
        <n v="325803"/>
        <n v="325808"/>
        <n v="325827"/>
        <n v="325828"/>
        <n v="325830"/>
        <n v="325836"/>
        <n v="325840"/>
        <n v="325853"/>
        <n v="325854"/>
        <n v="325857"/>
        <n v="325858"/>
        <n v="325864"/>
        <n v="325873"/>
        <n v="325874"/>
        <n v="325883"/>
        <n v="325892"/>
        <n v="325899"/>
        <n v="325905"/>
        <n v="325908"/>
        <n v="325910"/>
        <n v="325911"/>
        <n v="325912"/>
        <n v="325916"/>
        <n v="325928"/>
        <n v="325929"/>
        <n v="325932"/>
        <n v="325934"/>
        <n v="325942"/>
        <n v="325943"/>
        <n v="325944"/>
        <n v="325950"/>
        <n v="325951"/>
        <n v="325958"/>
        <n v="325964"/>
        <n v="325968"/>
        <n v="325969"/>
        <n v="325976"/>
        <n v="325986"/>
        <n v="325987"/>
        <n v="325992"/>
        <n v="325996"/>
        <n v="325998"/>
        <n v="326002"/>
        <n v="326004"/>
        <n v="326011"/>
        <n v="326013"/>
        <n v="326029"/>
        <n v="326031"/>
        <n v="326033"/>
        <n v="326035"/>
        <n v="326037"/>
        <n v="326039"/>
        <n v="326043"/>
        <n v="326049"/>
        <n v="326054"/>
        <n v="326064"/>
        <n v="326067"/>
        <n v="326073"/>
        <n v="326075"/>
        <n v="326076"/>
        <n v="326077"/>
        <n v="326082"/>
        <n v="326091"/>
        <n v="326093"/>
        <n v="326111"/>
        <n v="326112"/>
        <n v="326114"/>
        <n v="326129"/>
        <n v="326143"/>
        <n v="326149"/>
        <n v="326156"/>
        <n v="326158"/>
        <n v="326163"/>
        <n v="326164"/>
        <n v="326165"/>
        <n v="326171"/>
        <n v="326177"/>
        <n v="326179"/>
        <n v="326182"/>
        <n v="326191"/>
        <n v="326201"/>
        <n v="326209"/>
        <n v="326219"/>
        <n v="326243"/>
        <n v="326245"/>
        <n v="326247"/>
        <n v="326248"/>
        <n v="326251"/>
        <n v="326257"/>
        <n v="326259"/>
        <n v="326260"/>
        <n v="326270"/>
        <n v="326282"/>
        <n v="326289"/>
        <n v="326292"/>
        <n v="326294"/>
        <n v="326295"/>
        <n v="326311"/>
        <n v="326314"/>
        <n v="326320"/>
        <n v="326321"/>
        <n v="326324"/>
        <n v="326327"/>
        <n v="326329"/>
        <n v="326338"/>
        <n v="326347"/>
        <n v="326349"/>
        <n v="326358"/>
        <n v="326363"/>
        <n v="326364"/>
        <n v="326369"/>
        <n v="326371"/>
        <n v="326372"/>
        <n v="326377"/>
        <n v="326383"/>
        <n v="326390"/>
        <n v="326399"/>
        <n v="326404"/>
        <n v="326413"/>
        <n v="326440"/>
        <n v="326446"/>
        <n v="326449"/>
        <n v="326469"/>
        <n v="326505"/>
        <n v="326506"/>
        <n v="326509"/>
        <n v="326516"/>
        <n v="326525"/>
        <n v="326530"/>
        <n v="326545"/>
        <n v="326548"/>
        <n v="326552"/>
        <n v="326554"/>
        <n v="326558"/>
        <n v="326568"/>
        <n v="326569"/>
        <n v="326578"/>
        <n v="326584"/>
        <n v="326589"/>
        <n v="326607"/>
        <n v="326609"/>
        <n v="326611"/>
        <n v="326620"/>
        <n v="326621"/>
        <n v="326631"/>
        <n v="326639"/>
        <n v="326646"/>
        <n v="326650"/>
        <n v="326659"/>
        <n v="326660"/>
        <n v="326668"/>
        <n v="326670"/>
        <n v="326671"/>
        <n v="326676"/>
        <n v="326692"/>
        <n v="326693"/>
        <n v="326698"/>
        <n v="326705"/>
        <n v="326709"/>
        <n v="326717"/>
        <n v="326724"/>
        <n v="326730"/>
        <n v="326752"/>
        <n v="326778"/>
        <n v="326789"/>
        <n v="326795"/>
        <n v="326800"/>
        <n v="326809"/>
        <n v="326810"/>
        <n v="326820"/>
        <n v="326821"/>
        <n v="326825"/>
        <n v="326828"/>
        <n v="326840"/>
        <n v="326843"/>
        <n v="326845"/>
        <n v="326856"/>
        <n v="326857"/>
        <n v="326868"/>
        <n v="326869"/>
        <n v="326870"/>
        <n v="326871"/>
        <n v="326872"/>
        <n v="326877"/>
        <n v="326882"/>
        <n v="326884"/>
        <n v="326887"/>
        <n v="326890"/>
        <n v="326896"/>
        <n v="326903"/>
        <n v="326909"/>
        <n v="326910"/>
        <n v="326915"/>
        <n v="326924"/>
        <n v="326926"/>
        <n v="326927"/>
        <n v="326931"/>
        <n v="326935"/>
        <n v="326955"/>
        <n v="326961"/>
        <n v="326976"/>
        <n v="326979"/>
        <n v="326980"/>
        <n v="326987"/>
        <n v="326990"/>
        <n v="326997"/>
        <n v="327003"/>
        <n v="327008"/>
        <n v="327022"/>
        <n v="327033"/>
        <n v="327049"/>
        <n v="327079"/>
        <n v="327083"/>
        <n v="327086"/>
        <n v="327091"/>
        <n v="327092"/>
        <n v="327094"/>
        <n v="327099"/>
        <n v="327112"/>
        <n v="327117"/>
        <n v="327129"/>
        <n v="327136"/>
        <n v="327138"/>
        <n v="327148"/>
        <n v="327164"/>
        <n v="327167"/>
        <n v="327187"/>
        <n v="327198"/>
        <n v="327207"/>
        <n v="327216"/>
        <n v="327225"/>
        <n v="327252"/>
        <n v="327253"/>
        <n v="327255"/>
        <n v="327266"/>
        <n v="327267"/>
        <n v="327283"/>
        <n v="327286"/>
        <n v="327291"/>
        <n v="327297"/>
        <n v="327308"/>
        <n v="327315"/>
        <n v="327320"/>
        <n v="327328"/>
        <n v="327331"/>
        <n v="327341"/>
        <n v="327344"/>
        <n v="327347"/>
        <n v="327355"/>
        <n v="327361"/>
        <n v="327372"/>
        <n v="327379"/>
        <n v="327392"/>
        <n v="327394"/>
        <n v="327405"/>
        <n v="327407"/>
        <n v="327428"/>
        <n v="327433"/>
        <n v="327439"/>
        <n v="327446"/>
        <n v="327461"/>
        <n v="327464"/>
        <n v="327494"/>
        <n v="327499"/>
        <n v="327501"/>
        <n v="327505"/>
        <n v="327523"/>
        <n v="327535"/>
        <n v="327546"/>
        <n v="327548"/>
        <n v="327559"/>
        <n v="327561"/>
        <n v="327569"/>
        <n v="327581"/>
        <n v="327591"/>
        <n v="327593"/>
        <n v="327663"/>
        <n v="327665"/>
        <n v="327666"/>
        <n v="327679"/>
        <n v="327686"/>
        <n v="327693"/>
        <n v="327709"/>
        <n v="327712"/>
        <n v="327714"/>
        <n v="327757"/>
        <n v="327781"/>
        <n v="327786"/>
        <n v="327810"/>
        <n v="327820"/>
        <n v="327848"/>
        <n v="327850"/>
        <n v="327862"/>
        <n v="327872"/>
        <n v="327874"/>
        <n v="327882"/>
        <n v="327901"/>
        <n v="327913"/>
        <n v="327915"/>
        <n v="327918"/>
        <n v="327928"/>
        <n v="327967"/>
        <n v="327975"/>
        <n v="327977"/>
        <n v="328010"/>
        <n v="328017"/>
        <n v="328025"/>
        <n v="328055"/>
        <n v="328080"/>
        <n v="328088"/>
        <n v="328095"/>
        <n v="328107"/>
        <n v="328159"/>
        <n v="328184"/>
        <n v="328194"/>
        <n v="328196"/>
        <n v="328198"/>
        <n v="328209"/>
        <n v="328270"/>
        <n v="328336"/>
        <n v="328363"/>
        <n v="328366"/>
        <n v="328386"/>
        <n v="328424"/>
        <n v="328442"/>
        <n v="328455"/>
        <n v="328462"/>
        <n v="328468"/>
        <n v="328472"/>
        <n v="328511"/>
        <n v="328516"/>
        <n v="328549"/>
        <n v="328550"/>
        <n v="328600"/>
        <n v="328616"/>
        <n v="328636"/>
        <n v="328652"/>
        <n v="328666"/>
        <n v="328695"/>
        <n v="328703"/>
        <n v="328728"/>
        <n v="328765"/>
        <n v="328791"/>
        <n v="328803"/>
        <n v="328881"/>
        <n v="328893"/>
        <n v="328896"/>
        <n v="328908"/>
        <n v="328919"/>
        <n v="328927"/>
        <n v="328942"/>
        <n v="328948"/>
        <n v="328957"/>
        <n v="328976"/>
        <n v="328998"/>
        <n v="329064"/>
        <n v="329153"/>
        <n v="329182"/>
        <n v="329219"/>
        <n v="329238"/>
        <n v="329252"/>
        <n v="329369"/>
        <n v="329443"/>
        <n v="329526"/>
        <n v="269472"/>
        <n v="297054"/>
        <n v="297665"/>
        <n v="298481"/>
        <n v="298608"/>
        <n v="299146"/>
        <n v="317753"/>
        <n v="317760"/>
        <n v="317859"/>
        <n v="317868"/>
        <n v="317874"/>
        <n v="317882"/>
        <n v="317891"/>
        <n v="317900"/>
        <n v="317909"/>
        <n v="317924"/>
        <n v="317936"/>
        <n v="317952"/>
        <n v="317961"/>
        <n v="317983"/>
        <n v="317996"/>
        <n v="317999"/>
        <n v="318003"/>
        <n v="318009"/>
        <n v="318025"/>
        <n v="318032"/>
        <n v="318033"/>
        <n v="318034"/>
        <n v="318057"/>
        <n v="318063"/>
        <n v="318069"/>
        <n v="318072"/>
        <n v="318077"/>
        <n v="318082"/>
        <n v="318089"/>
        <n v="318113"/>
        <n v="318146"/>
        <n v="318152"/>
        <n v="318153"/>
        <n v="318164"/>
        <n v="318165"/>
        <n v="318183"/>
        <n v="318194"/>
        <n v="318211"/>
        <n v="318215"/>
        <n v="318225"/>
        <n v="318237"/>
        <n v="318244"/>
        <n v="318250"/>
        <n v="318262"/>
        <n v="318273"/>
        <n v="318276"/>
        <n v="318278"/>
        <n v="318289"/>
        <n v="318305"/>
        <n v="318309"/>
        <n v="318331"/>
        <n v="318334"/>
        <n v="318351"/>
        <n v="318363"/>
        <n v="318371"/>
        <n v="318375"/>
        <n v="318383"/>
        <n v="318393"/>
        <n v="318424"/>
        <n v="318434"/>
        <n v="318440"/>
        <n v="318447"/>
        <n v="318455"/>
        <n v="318462"/>
        <n v="318475"/>
        <n v="318483"/>
        <n v="318547"/>
        <n v="318588"/>
        <n v="318597"/>
        <n v="318606"/>
        <n v="318612"/>
        <n v="318634"/>
        <n v="318638"/>
        <n v="318653"/>
        <n v="318667"/>
        <n v="318668"/>
        <n v="318677"/>
        <n v="318682"/>
        <n v="318690"/>
        <n v="318694"/>
        <n v="318706"/>
        <n v="318724"/>
        <n v="318732"/>
        <n v="318781"/>
        <n v="318788"/>
        <n v="318805"/>
        <n v="318814"/>
        <n v="318820"/>
        <n v="318840"/>
        <n v="318848"/>
        <n v="318856"/>
        <n v="318866"/>
        <n v="318886"/>
        <n v="318903"/>
        <n v="318936"/>
        <n v="318947"/>
        <n v="318954"/>
        <n v="318979"/>
        <n v="318987"/>
        <n v="319025"/>
        <n v="319033"/>
        <n v="319036"/>
        <n v="319042"/>
        <n v="319064"/>
        <n v="319090"/>
        <n v="319112"/>
        <n v="319120"/>
        <n v="319122"/>
        <n v="319130"/>
        <n v="319132"/>
        <n v="319143"/>
        <n v="319148"/>
        <n v="319179"/>
        <n v="319185"/>
        <n v="319187"/>
        <n v="319191"/>
        <n v="319202"/>
        <n v="319222"/>
        <n v="319231"/>
        <n v="319243"/>
        <n v="319250"/>
        <n v="319255"/>
        <n v="319262"/>
        <n v="319269"/>
        <n v="319282"/>
        <n v="319293"/>
        <n v="319303"/>
        <n v="319324"/>
        <n v="319331"/>
        <n v="319335"/>
        <n v="319352"/>
        <n v="319360"/>
        <n v="319368"/>
        <n v="319375"/>
        <n v="319398"/>
        <n v="319411"/>
        <n v="319415"/>
        <n v="319424"/>
        <n v="319444"/>
        <n v="319445"/>
        <n v="319449"/>
        <n v="319451"/>
        <n v="319454"/>
        <n v="319461"/>
        <n v="319466"/>
        <n v="319474"/>
        <n v="319483"/>
        <n v="319491"/>
        <n v="319492"/>
        <n v="319499"/>
        <n v="319513"/>
        <n v="319517"/>
        <n v="319519"/>
        <n v="319520"/>
        <n v="319527"/>
        <n v="319532"/>
        <n v="319538"/>
        <n v="319543"/>
        <n v="319547"/>
        <n v="319549"/>
        <n v="319553"/>
        <n v="319555"/>
        <n v="319561"/>
        <n v="319565"/>
        <n v="319578"/>
        <n v="319580"/>
        <n v="319586"/>
        <n v="319601"/>
        <n v="319605"/>
        <n v="319608"/>
        <n v="319616"/>
        <n v="319644"/>
        <n v="319670"/>
        <n v="319678"/>
        <n v="319686"/>
        <n v="319688"/>
        <n v="319694"/>
        <n v="319700"/>
        <n v="319740"/>
        <n v="319741"/>
        <n v="319774"/>
        <n v="319789"/>
        <n v="319797"/>
        <n v="319820"/>
        <n v="319824"/>
        <n v="319830"/>
        <n v="319867"/>
        <n v="319875"/>
        <n v="319881"/>
        <n v="319892"/>
        <n v="319930"/>
        <n v="319935"/>
        <n v="319941"/>
        <n v="319977"/>
        <n v="319982"/>
        <n v="319985"/>
        <n v="319990"/>
        <n v="319994"/>
        <n v="320002"/>
        <n v="320009"/>
        <n v="320010"/>
        <n v="320012"/>
        <n v="320043"/>
        <n v="320057"/>
        <n v="320062"/>
        <n v="320072"/>
        <n v="320080"/>
        <n v="320088"/>
        <n v="320125"/>
        <n v="320128"/>
        <n v="320136"/>
        <n v="320154"/>
        <n v="320218"/>
        <n v="320232"/>
        <n v="320239"/>
        <n v="320242"/>
        <n v="320253"/>
        <n v="320275"/>
        <n v="320280"/>
        <n v="320284"/>
        <n v="320293"/>
        <n v="320295"/>
        <n v="320300"/>
        <n v="320307"/>
        <n v="320322"/>
        <n v="320323"/>
        <n v="320379"/>
        <n v="320383"/>
        <n v="320387"/>
        <n v="320405"/>
        <n v="320408"/>
        <n v="320411"/>
        <n v="320423"/>
        <n v="320430"/>
        <n v="320443"/>
        <n v="320480"/>
        <n v="320485"/>
        <n v="320488"/>
        <n v="320511"/>
        <n v="320514"/>
        <n v="320517"/>
        <n v="320558"/>
        <n v="320578"/>
        <n v="320583"/>
        <n v="320632"/>
        <n v="320640"/>
        <n v="320651"/>
        <n v="320664"/>
        <n v="320667"/>
        <n v="320677"/>
        <n v="320684"/>
        <n v="320688"/>
        <n v="320695"/>
        <n v="320701"/>
        <n v="320710"/>
        <n v="320724"/>
        <n v="320726"/>
        <n v="320731"/>
        <n v="320743"/>
        <n v="320748"/>
        <n v="320749"/>
        <n v="320757"/>
        <n v="320767"/>
        <n v="320773"/>
        <n v="320775"/>
        <n v="320780"/>
        <n v="320781"/>
        <n v="320799"/>
        <n v="320802"/>
        <n v="320814"/>
        <n v="320829"/>
        <n v="320831"/>
        <n v="320836"/>
        <n v="320851"/>
        <n v="320860"/>
        <n v="320861"/>
        <n v="320863"/>
        <n v="320864"/>
        <n v="320865"/>
        <n v="320867"/>
        <n v="320886"/>
        <n v="320888"/>
        <n v="320905"/>
        <n v="320915"/>
        <n v="320930"/>
        <n v="320937"/>
        <n v="320942"/>
        <n v="320947"/>
        <n v="320953"/>
        <n v="320954"/>
        <n v="320961"/>
        <n v="320963"/>
        <n v="320987"/>
        <n v="321011"/>
        <n v="321029"/>
        <n v="321038"/>
        <n v="321039"/>
        <n v="321056"/>
        <n v="321060"/>
        <n v="321062"/>
        <n v="321067"/>
        <n v="321072"/>
        <n v="321078"/>
        <n v="321080"/>
        <n v="321101"/>
        <n v="321114"/>
        <n v="321117"/>
        <n v="321123"/>
        <n v="321127"/>
        <n v="321136"/>
        <n v="321137"/>
        <n v="321142"/>
        <n v="321151"/>
        <n v="321155"/>
        <n v="321159"/>
        <n v="321174"/>
        <n v="321178"/>
        <n v="321183"/>
        <n v="321189"/>
        <n v="321193"/>
        <n v="321224"/>
        <n v="321228"/>
        <n v="321232"/>
        <n v="321238"/>
        <n v="321243"/>
        <n v="321250"/>
        <n v="321289"/>
        <n v="321299"/>
        <n v="321309"/>
        <n v="321311"/>
        <n v="321315"/>
        <n v="321317"/>
        <n v="321324"/>
        <n v="321352"/>
        <n v="321374"/>
        <n v="321382"/>
        <n v="321417"/>
        <n v="321429"/>
        <n v="321437"/>
        <n v="321447"/>
        <n v="321453"/>
        <n v="321463"/>
        <n v="321482"/>
        <n v="321486"/>
        <n v="321488"/>
        <n v="321491"/>
        <n v="321494"/>
        <n v="321495"/>
        <n v="321496"/>
        <n v="321505"/>
        <n v="321510"/>
        <n v="321518"/>
        <n v="321520"/>
        <n v="321527"/>
        <n v="321537"/>
        <n v="321544"/>
        <n v="321547"/>
        <n v="321548"/>
        <n v="321550"/>
        <n v="321552"/>
        <n v="321554"/>
        <n v="321563"/>
        <n v="321567"/>
        <n v="321571"/>
        <n v="321573"/>
        <n v="321574"/>
        <n v="321575"/>
        <n v="321590"/>
        <n v="321601"/>
        <n v="321602"/>
        <n v="321608"/>
        <n v="321621"/>
        <n v="321622"/>
        <n v="321631"/>
        <n v="321644"/>
        <n v="321645"/>
        <n v="321665"/>
        <n v="321672"/>
        <n v="321681"/>
        <n v="321688"/>
        <n v="321693"/>
        <n v="321694"/>
        <n v="321696"/>
        <n v="321697"/>
        <n v="321707"/>
        <n v="321711"/>
        <n v="321726"/>
        <n v="321731"/>
        <n v="321738"/>
        <n v="321752"/>
        <n v="321769"/>
        <n v="321773"/>
        <n v="321776"/>
        <n v="321782"/>
        <n v="321783"/>
        <n v="321786"/>
        <n v="321787"/>
        <n v="321789"/>
        <n v="321793"/>
        <n v="321796"/>
        <n v="321799"/>
        <n v="321803"/>
        <n v="321804"/>
        <n v="321813"/>
        <n v="321844"/>
        <n v="321846"/>
        <n v="321872"/>
        <n v="321874"/>
        <n v="321894"/>
        <n v="321905"/>
        <n v="321910"/>
        <n v="321919"/>
        <n v="321921"/>
        <n v="321922"/>
        <n v="321924"/>
        <n v="321957"/>
        <n v="321961"/>
        <n v="321973"/>
        <n v="321978"/>
        <n v="321980"/>
        <n v="322004"/>
        <n v="322007"/>
        <n v="322012"/>
        <n v="322018"/>
        <n v="322024"/>
        <n v="322027"/>
        <n v="322033"/>
        <n v="322036"/>
        <n v="322050"/>
        <n v="322054"/>
        <n v="322055"/>
        <n v="322057"/>
        <n v="322061"/>
        <n v="322064"/>
        <n v="322069"/>
        <n v="322075"/>
        <n v="322078"/>
        <n v="322080"/>
        <n v="322086"/>
        <n v="322087"/>
        <n v="322094"/>
        <n v="322095"/>
        <n v="322100"/>
        <n v="322103"/>
        <n v="322104"/>
        <n v="322106"/>
        <n v="322108"/>
        <n v="322109"/>
        <n v="322133"/>
        <n v="322135"/>
        <n v="322140"/>
        <n v="322141"/>
        <n v="322159"/>
        <n v="322161"/>
        <n v="322163"/>
        <n v="322172"/>
        <n v="322178"/>
        <n v="322181"/>
        <n v="322195"/>
        <n v="322199"/>
        <n v="322200"/>
        <n v="322202"/>
        <n v="322204"/>
        <n v="322222"/>
        <n v="322226"/>
        <n v="322228"/>
        <n v="322239"/>
        <n v="322244"/>
        <n v="322245"/>
        <n v="322264"/>
        <n v="322267"/>
        <n v="322271"/>
        <n v="322279"/>
        <n v="322284"/>
        <n v="322288"/>
        <n v="322290"/>
        <n v="322303"/>
        <n v="322312"/>
        <n v="322314"/>
        <n v="322317"/>
        <n v="322321"/>
        <n v="322328"/>
        <n v="322330"/>
        <n v="322333"/>
        <n v="322337"/>
        <n v="322346"/>
        <n v="322353"/>
        <n v="322370"/>
        <n v="322371"/>
        <n v="322377"/>
        <n v="322379"/>
        <n v="322380"/>
        <n v="322381"/>
        <n v="322390"/>
        <n v="322394"/>
        <n v="322396"/>
        <n v="322401"/>
        <n v="322404"/>
        <n v="322405"/>
        <n v="322406"/>
        <n v="322410"/>
        <n v="322411"/>
        <n v="322412"/>
        <n v="322435"/>
        <n v="322440"/>
        <n v="322445"/>
        <n v="322448"/>
        <n v="322450"/>
        <n v="322451"/>
        <n v="322453"/>
        <n v="322455"/>
        <n v="322462"/>
        <n v="322468"/>
        <n v="322471"/>
        <n v="322472"/>
        <n v="322477"/>
        <n v="322479"/>
        <n v="322483"/>
        <n v="322485"/>
        <n v="322489"/>
        <n v="322494"/>
        <n v="322495"/>
        <n v="322523"/>
        <n v="322531"/>
        <n v="322533"/>
        <n v="322534"/>
        <n v="322537"/>
        <n v="322541"/>
        <n v="322554"/>
        <n v="322557"/>
        <n v="322558"/>
        <n v="322562"/>
        <n v="322568"/>
        <n v="322572"/>
        <n v="322591"/>
        <n v="322607"/>
        <n v="322610"/>
        <n v="322620"/>
        <n v="322624"/>
        <n v="322628"/>
        <n v="322631"/>
        <n v="322633"/>
        <n v="322635"/>
        <n v="322636"/>
        <n v="322643"/>
        <n v="322648"/>
        <n v="322651"/>
        <n v="322653"/>
        <n v="322656"/>
        <n v="322659"/>
        <n v="322662"/>
        <n v="322664"/>
        <n v="322665"/>
        <n v="322669"/>
        <n v="322673"/>
        <n v="322684"/>
        <n v="322689"/>
        <n v="322691"/>
        <n v="322695"/>
        <n v="322703"/>
        <n v="322723"/>
        <n v="322732"/>
        <n v="322733"/>
        <n v="322737"/>
        <n v="322740"/>
        <n v="322770"/>
        <n v="322771"/>
        <n v="322784"/>
        <n v="322786"/>
        <n v="322788"/>
        <n v="322789"/>
        <n v="322797"/>
        <n v="322799"/>
        <n v="322819"/>
        <n v="322823"/>
        <n v="322829"/>
        <n v="322830"/>
        <n v="322837"/>
        <n v="322839"/>
        <n v="322859"/>
        <n v="322861"/>
        <n v="322863"/>
        <n v="322868"/>
        <n v="322881"/>
        <n v="322884"/>
        <n v="322893"/>
        <n v="322912"/>
        <n v="322914"/>
        <n v="322917"/>
        <n v="322921"/>
        <n v="322924"/>
        <n v="322926"/>
        <n v="322930"/>
        <n v="322936"/>
        <n v="322938"/>
        <n v="322944"/>
        <n v="322948"/>
        <n v="322950"/>
        <n v="322951"/>
        <n v="322962"/>
        <n v="322963"/>
        <n v="322970"/>
        <n v="322974"/>
        <n v="322987"/>
        <n v="322991"/>
        <n v="322992"/>
        <n v="322993"/>
        <n v="323002"/>
        <n v="323005"/>
        <n v="323007"/>
        <n v="323011"/>
        <n v="323012"/>
        <n v="323013"/>
        <n v="323027"/>
        <n v="323044"/>
        <n v="323050"/>
        <n v="323065"/>
        <n v="323068"/>
        <n v="323071"/>
        <n v="323072"/>
        <n v="323075"/>
        <n v="323081"/>
        <n v="323090"/>
        <n v="323102"/>
        <n v="323107"/>
        <n v="323112"/>
        <n v="323113"/>
        <n v="323116"/>
        <n v="323121"/>
        <n v="323127"/>
        <n v="323129"/>
        <n v="323132"/>
        <n v="323133"/>
        <n v="323136"/>
        <n v="323150"/>
        <n v="323155"/>
        <n v="323171"/>
        <n v="323203"/>
        <n v="323205"/>
        <n v="323214"/>
        <n v="323215"/>
        <n v="323224"/>
        <n v="323230"/>
        <n v="323238"/>
        <n v="323255"/>
        <n v="323262"/>
        <n v="323267"/>
        <n v="323281"/>
        <n v="323295"/>
        <n v="323297"/>
        <n v="323298"/>
        <n v="323302"/>
        <n v="323309"/>
        <n v="323319"/>
        <n v="323331"/>
        <n v="323346"/>
        <n v="323349"/>
        <n v="323350"/>
        <n v="323356"/>
        <n v="323357"/>
        <n v="323374"/>
        <n v="323375"/>
        <n v="323379"/>
        <n v="323383"/>
        <n v="323384"/>
        <n v="323391"/>
        <n v="323394"/>
        <n v="323410"/>
        <n v="323411"/>
        <n v="323423"/>
        <n v="323425"/>
        <n v="323428"/>
        <n v="323450"/>
        <n v="323454"/>
        <n v="323455"/>
        <n v="323459"/>
        <n v="323463"/>
        <n v="323468"/>
        <n v="323471"/>
        <n v="323479"/>
        <n v="323480"/>
        <n v="323483"/>
        <n v="323486"/>
        <n v="323493"/>
        <n v="323495"/>
        <n v="323496"/>
        <n v="323503"/>
        <n v="323509"/>
        <n v="323511"/>
        <n v="323517"/>
        <n v="323526"/>
        <n v="323527"/>
        <n v="323534"/>
        <n v="323538"/>
        <n v="323542"/>
        <n v="323551"/>
        <n v="323570"/>
        <n v="323579"/>
        <n v="323587"/>
        <n v="323596"/>
        <n v="323598"/>
        <n v="323599"/>
        <n v="323603"/>
        <n v="323609"/>
        <n v="323610"/>
        <n v="323612"/>
        <n v="323615"/>
        <n v="323618"/>
        <n v="323619"/>
        <n v="323627"/>
        <n v="323628"/>
        <n v="323630"/>
        <n v="323633"/>
        <n v="323635"/>
        <n v="323652"/>
        <n v="323655"/>
        <n v="323658"/>
        <n v="323665"/>
        <n v="323679"/>
        <n v="323682"/>
        <n v="323683"/>
        <n v="323690"/>
        <n v="323692"/>
        <n v="323694"/>
        <n v="323700"/>
        <n v="323702"/>
        <n v="323706"/>
        <n v="323707"/>
        <n v="323708"/>
        <n v="323720"/>
        <n v="323722"/>
        <n v="323724"/>
        <n v="323735"/>
        <n v="323741"/>
        <n v="323743"/>
        <n v="323744"/>
        <n v="323748"/>
        <n v="323758"/>
        <n v="323767"/>
        <n v="323770"/>
        <n v="323773"/>
        <n v="323774"/>
        <n v="323777"/>
        <n v="323778"/>
        <n v="323779"/>
        <n v="323785"/>
        <n v="323790"/>
        <n v="323792"/>
        <n v="323796"/>
        <n v="323798"/>
        <n v="323801"/>
        <n v="323808"/>
        <n v="323815"/>
        <n v="323816"/>
        <n v="323817"/>
        <n v="323821"/>
        <n v="323824"/>
        <n v="323830"/>
        <n v="323840"/>
        <n v="323850"/>
        <n v="323851"/>
        <n v="323862"/>
        <n v="323868"/>
        <n v="323874"/>
        <n v="323876"/>
        <n v="323881"/>
        <n v="323882"/>
        <n v="323889"/>
        <n v="323891"/>
        <n v="323892"/>
        <n v="323900"/>
        <n v="323910"/>
        <n v="323917"/>
        <n v="323928"/>
        <n v="323933"/>
        <n v="323935"/>
        <n v="323948"/>
        <n v="323971"/>
        <n v="323976"/>
        <n v="323983"/>
        <n v="323985"/>
        <n v="324001"/>
        <n v="324004"/>
        <n v="324006"/>
        <n v="324009"/>
        <n v="324012"/>
        <n v="324022"/>
        <n v="324025"/>
        <n v="324026"/>
        <n v="324044"/>
        <n v="324048"/>
        <n v="324049"/>
        <n v="324051"/>
        <n v="324058"/>
        <n v="324059"/>
        <n v="324062"/>
        <n v="324099"/>
        <n v="324117"/>
        <n v="324134"/>
        <n v="324135"/>
        <n v="324137"/>
        <n v="324148"/>
        <n v="324160"/>
        <n v="324168"/>
        <n v="324169"/>
        <n v="324172"/>
        <n v="324175"/>
        <n v="324176"/>
        <n v="324182"/>
        <n v="324188"/>
        <n v="324207"/>
        <n v="324209"/>
        <n v="324215"/>
        <n v="324217"/>
        <n v="324222"/>
        <n v="324227"/>
        <n v="324233"/>
        <n v="324234"/>
        <n v="324235"/>
        <n v="324248"/>
        <n v="324268"/>
        <n v="324293"/>
        <n v="324321"/>
        <n v="324328"/>
        <n v="324337"/>
        <n v="324341"/>
        <n v="324343"/>
        <n v="324347"/>
        <n v="324352"/>
        <n v="324361"/>
        <n v="324385"/>
        <n v="324398"/>
        <n v="324403"/>
        <n v="324405"/>
        <n v="324413"/>
        <n v="324419"/>
        <n v="324427"/>
        <n v="324447"/>
        <n v="324448"/>
        <n v="324456"/>
        <n v="324457"/>
        <n v="324459"/>
        <n v="324466"/>
        <n v="324472"/>
        <n v="324481"/>
        <n v="324483"/>
        <n v="324484"/>
        <n v="324488"/>
        <n v="324490"/>
        <n v="324502"/>
        <n v="324520"/>
        <n v="324530"/>
        <n v="324531"/>
        <n v="324534"/>
        <n v="324540"/>
        <n v="324546"/>
        <n v="324548"/>
        <n v="324549"/>
        <n v="324550"/>
        <n v="324560"/>
        <n v="324562"/>
        <n v="324565"/>
        <n v="324567"/>
        <n v="324573"/>
        <n v="324574"/>
        <n v="324582"/>
        <n v="324587"/>
        <n v="324588"/>
        <n v="324589"/>
        <n v="324608"/>
        <n v="324631"/>
        <n v="324636"/>
        <n v="324638"/>
        <n v="324645"/>
        <n v="324655"/>
        <n v="324667"/>
        <n v="324672"/>
        <n v="324673"/>
        <n v="324677"/>
        <n v="324682"/>
        <n v="324683"/>
        <n v="324696"/>
        <n v="324704"/>
        <n v="324706"/>
        <n v="324709"/>
        <n v="324711"/>
        <n v="324714"/>
        <n v="324730"/>
        <n v="324740"/>
        <n v="324745"/>
        <n v="324750"/>
        <n v="324752"/>
        <n v="324754"/>
        <n v="324757"/>
        <n v="324763"/>
        <n v="324770"/>
        <n v="324808"/>
        <n v="324811"/>
        <n v="324815"/>
        <n v="324820"/>
        <n v="324821"/>
        <n v="324826"/>
        <n v="324832"/>
        <n v="324850"/>
        <n v="324854"/>
        <n v="324859"/>
        <n v="324862"/>
        <n v="324870"/>
        <n v="324879"/>
        <n v="324884"/>
        <n v="324908"/>
        <n v="324912"/>
        <n v="324917"/>
        <n v="324928"/>
        <n v="324931"/>
        <n v="324940"/>
        <n v="324946"/>
        <n v="324950"/>
        <n v="324956"/>
        <n v="324970"/>
        <n v="324971"/>
        <n v="324986"/>
        <n v="324987"/>
        <n v="324989"/>
        <n v="324991"/>
        <n v="324994"/>
        <n v="325011"/>
        <n v="325018"/>
        <n v="325034"/>
        <n v="325037"/>
        <n v="325039"/>
        <n v="325045"/>
        <n v="325049"/>
        <n v="325050"/>
        <n v="325052"/>
        <n v="325066"/>
        <n v="325068"/>
        <n v="325074"/>
        <n v="325077"/>
        <n v="325086"/>
        <n v="325088"/>
        <n v="325089"/>
        <n v="325091"/>
        <n v="325102"/>
        <n v="325114"/>
        <n v="325122"/>
        <n v="325130"/>
        <n v="325142"/>
        <n v="325147"/>
        <n v="325152"/>
        <n v="325156"/>
        <n v="325158"/>
        <n v="325165"/>
        <n v="325166"/>
        <n v="325171"/>
        <n v="325178"/>
        <n v="325184"/>
        <n v="325185"/>
        <n v="325186"/>
        <n v="325192"/>
        <n v="325206"/>
        <n v="325207"/>
        <n v="325209"/>
        <n v="325210"/>
        <n v="325212"/>
        <n v="325216"/>
        <n v="325218"/>
        <n v="325228"/>
        <n v="325231"/>
        <n v="325235"/>
        <n v="325238"/>
        <n v="325241"/>
        <n v="325248"/>
        <n v="325250"/>
        <n v="325257"/>
        <n v="325277"/>
        <n v="325284"/>
        <n v="325289"/>
        <n v="325304"/>
        <n v="325305"/>
        <n v="325311"/>
        <n v="325318"/>
        <n v="325322"/>
        <n v="325326"/>
        <n v="325331"/>
        <n v="325343"/>
        <n v="325347"/>
        <n v="325353"/>
        <n v="325356"/>
        <n v="325358"/>
        <n v="325361"/>
        <n v="325365"/>
        <n v="325386"/>
        <n v="325389"/>
        <n v="325392"/>
        <n v="325402"/>
        <n v="325406"/>
        <n v="325409"/>
        <n v="325439"/>
        <n v="325450"/>
        <n v="325451"/>
        <n v="325457"/>
        <n v="325462"/>
        <n v="325476"/>
        <n v="325484"/>
        <n v="325489"/>
        <n v="325490"/>
        <n v="325514"/>
        <n v="325518"/>
        <n v="325523"/>
        <n v="325527"/>
        <n v="325531"/>
        <n v="325534"/>
        <n v="325535"/>
        <n v="325536"/>
        <n v="325537"/>
        <n v="325542"/>
        <n v="325544"/>
        <n v="325545"/>
        <n v="325549"/>
        <n v="325550"/>
        <n v="325551"/>
        <n v="325557"/>
        <n v="325570"/>
        <n v="325590"/>
        <n v="325608"/>
        <n v="325618"/>
        <n v="325622"/>
        <n v="325625"/>
        <n v="325646"/>
        <n v="325649"/>
        <n v="325656"/>
        <n v="325667"/>
        <n v="325673"/>
        <n v="325674"/>
        <n v="325677"/>
        <n v="325704"/>
        <n v="325712"/>
        <n v="325720"/>
        <n v="325725"/>
        <n v="325729"/>
        <n v="325739"/>
        <n v="325747"/>
        <n v="325750"/>
        <n v="325752"/>
        <n v="325754"/>
        <n v="325756"/>
        <n v="325772"/>
        <n v="325779"/>
        <n v="325781"/>
        <n v="325785"/>
        <n v="325793"/>
        <n v="325794"/>
        <n v="325801"/>
        <n v="325821"/>
        <n v="325831"/>
        <n v="325834"/>
        <n v="325839"/>
        <n v="325842"/>
        <n v="325850"/>
        <n v="325861"/>
        <n v="325867"/>
        <n v="325872"/>
        <n v="325875"/>
        <n v="325884"/>
        <n v="325887"/>
        <n v="325902"/>
        <n v="325904"/>
        <n v="325913"/>
        <n v="325918"/>
        <n v="325920"/>
        <n v="325923"/>
        <n v="325930"/>
        <n v="325936"/>
        <n v="325959"/>
        <n v="325961"/>
        <n v="325962"/>
        <n v="325970"/>
        <n v="325972"/>
        <n v="325973"/>
        <n v="325990"/>
        <n v="325991"/>
        <n v="325994"/>
        <n v="326003"/>
        <n v="326012"/>
        <n v="326042"/>
        <n v="326047"/>
        <n v="326065"/>
        <n v="326078"/>
        <n v="326080"/>
        <n v="326081"/>
        <n v="326083"/>
        <n v="326086"/>
        <n v="326098"/>
        <n v="326100"/>
        <n v="326107"/>
        <n v="326116"/>
        <n v="326121"/>
        <n v="326127"/>
        <n v="326137"/>
        <n v="326142"/>
        <n v="326152"/>
        <n v="326162"/>
        <n v="326173"/>
        <n v="326180"/>
        <n v="326181"/>
        <n v="326193"/>
        <n v="326196"/>
        <n v="326208"/>
        <n v="326213"/>
        <n v="326217"/>
        <n v="326230"/>
        <n v="326233"/>
        <n v="326235"/>
        <n v="326249"/>
        <n v="326250"/>
        <n v="326252"/>
        <n v="326255"/>
        <n v="326256"/>
        <n v="326267"/>
        <n v="326274"/>
        <n v="326276"/>
        <n v="326279"/>
        <n v="326305"/>
        <n v="326316"/>
        <n v="326317"/>
        <n v="326318"/>
        <n v="326322"/>
        <n v="326325"/>
        <n v="326331"/>
        <n v="326334"/>
        <n v="326343"/>
        <n v="326351"/>
        <n v="326354"/>
        <n v="326356"/>
        <n v="326357"/>
        <n v="326360"/>
        <n v="326366"/>
        <n v="326370"/>
        <n v="326373"/>
        <n v="326376"/>
        <n v="326384"/>
        <n v="326385"/>
        <n v="326392"/>
        <n v="326407"/>
        <n v="326412"/>
        <n v="326422"/>
        <n v="326423"/>
        <n v="326428"/>
        <n v="326430"/>
        <n v="326433"/>
        <n v="326435"/>
        <n v="326436"/>
        <n v="326439"/>
        <n v="326442"/>
        <n v="326445"/>
        <n v="326448"/>
        <n v="326450"/>
        <n v="326457"/>
        <n v="326460"/>
        <n v="326463"/>
        <n v="326467"/>
        <n v="326468"/>
        <n v="326472"/>
        <n v="326473"/>
        <n v="326477"/>
        <n v="326479"/>
        <n v="326481"/>
        <n v="326490"/>
        <n v="326496"/>
        <n v="326498"/>
        <n v="326499"/>
        <n v="326500"/>
        <n v="326511"/>
        <n v="326514"/>
        <n v="326523"/>
        <n v="326532"/>
        <n v="326535"/>
        <n v="326536"/>
        <n v="326538"/>
        <n v="326539"/>
        <n v="326540"/>
        <n v="326543"/>
        <n v="326544"/>
        <n v="326546"/>
        <n v="326549"/>
        <n v="326550"/>
        <n v="326551"/>
        <n v="326555"/>
        <n v="326556"/>
        <n v="326559"/>
        <n v="326561"/>
        <n v="326563"/>
        <n v="326567"/>
        <n v="326570"/>
        <n v="326572"/>
        <n v="326576"/>
        <n v="326577"/>
        <n v="326582"/>
        <n v="326583"/>
        <n v="326586"/>
        <n v="326591"/>
        <n v="326593"/>
        <n v="326596"/>
        <n v="326600"/>
        <n v="326604"/>
        <n v="326612"/>
        <n v="326614"/>
        <n v="326619"/>
        <n v="326622"/>
        <n v="326623"/>
        <n v="326625"/>
        <n v="326629"/>
        <n v="326630"/>
        <n v="326633"/>
        <n v="326636"/>
        <n v="326637"/>
        <n v="326638"/>
        <n v="326645"/>
        <n v="326647"/>
        <n v="326652"/>
        <n v="326657"/>
        <n v="326661"/>
        <n v="326667"/>
        <n v="326672"/>
        <n v="326675"/>
        <n v="326679"/>
        <n v="326682"/>
        <n v="326685"/>
        <n v="326694"/>
        <n v="326699"/>
        <n v="326700"/>
        <n v="326701"/>
        <n v="326706"/>
        <n v="326708"/>
        <n v="326719"/>
        <n v="326722"/>
        <n v="326723"/>
        <n v="326726"/>
        <n v="326728"/>
        <n v="326733"/>
        <n v="326737"/>
        <n v="326741"/>
        <n v="326744"/>
        <n v="326750"/>
        <n v="326751"/>
        <n v="326756"/>
        <n v="326765"/>
        <n v="326766"/>
        <n v="326776"/>
        <n v="326777"/>
        <n v="326779"/>
        <n v="326780"/>
        <n v="326783"/>
        <n v="326785"/>
        <n v="326788"/>
        <n v="326792"/>
        <n v="326799"/>
        <n v="326801"/>
        <n v="326802"/>
        <n v="326805"/>
        <n v="326807"/>
        <n v="326811"/>
        <n v="326816"/>
        <n v="326823"/>
        <n v="326827"/>
        <n v="326829"/>
        <n v="326831"/>
        <n v="326841"/>
        <n v="326846"/>
        <n v="326848"/>
        <n v="326849"/>
        <n v="326855"/>
        <n v="326859"/>
        <n v="326864"/>
        <n v="326876"/>
        <n v="326879"/>
        <n v="326883"/>
        <n v="326885"/>
        <n v="326893"/>
        <n v="326895"/>
        <n v="326897"/>
        <n v="326899"/>
        <n v="326906"/>
        <n v="326911"/>
        <n v="326913"/>
        <n v="326919"/>
        <n v="326920"/>
        <n v="326930"/>
        <n v="326933"/>
        <n v="326937"/>
        <n v="326938"/>
        <n v="326939"/>
        <n v="326941"/>
        <n v="326944"/>
        <n v="326947"/>
        <n v="326953"/>
        <n v="326957"/>
        <n v="326960"/>
        <n v="326966"/>
        <n v="326969"/>
        <n v="326970"/>
        <n v="326973"/>
        <n v="326978"/>
        <n v="326985"/>
        <n v="326992"/>
        <n v="326993"/>
        <n v="326995"/>
        <n v="326996"/>
        <n v="327002"/>
        <n v="327011"/>
        <n v="327013"/>
        <n v="327017"/>
        <n v="327018"/>
        <n v="327025"/>
        <n v="327030"/>
        <n v="327037"/>
        <n v="327038"/>
        <n v="327043"/>
        <n v="327046"/>
        <n v="327059"/>
        <n v="327063"/>
        <n v="327069"/>
        <n v="327075"/>
        <n v="327076"/>
        <n v="327081"/>
        <n v="327085"/>
        <n v="327088"/>
        <n v="327101"/>
        <n v="327104"/>
        <n v="327105"/>
        <n v="327108"/>
        <n v="327110"/>
        <n v="327119"/>
        <n v="327121"/>
        <n v="327125"/>
        <n v="327127"/>
        <n v="327130"/>
        <n v="327131"/>
        <n v="327143"/>
        <n v="327149"/>
        <n v="327152"/>
        <n v="327153"/>
        <n v="327155"/>
        <n v="327156"/>
        <n v="327159"/>
        <n v="327166"/>
        <n v="327169"/>
        <n v="327179"/>
        <n v="327180"/>
        <n v="327186"/>
        <n v="327193"/>
        <n v="327194"/>
        <n v="327197"/>
        <n v="327201"/>
        <n v="327203"/>
        <n v="327206"/>
        <n v="327213"/>
        <n v="327217"/>
        <n v="327224"/>
        <n v="327228"/>
        <n v="327235"/>
        <n v="327238"/>
        <n v="327240"/>
        <n v="327242"/>
        <n v="327244"/>
        <n v="327246"/>
        <n v="327250"/>
        <n v="327251"/>
        <n v="327263"/>
        <n v="327264"/>
        <n v="327268"/>
        <n v="327270"/>
        <n v="327274"/>
        <n v="327279"/>
        <n v="327281"/>
        <n v="327299"/>
        <n v="327301"/>
        <n v="327304"/>
        <n v="327309"/>
        <n v="327314"/>
        <n v="327318"/>
        <n v="327319"/>
        <n v="327323"/>
        <n v="327330"/>
        <n v="327337"/>
        <n v="327340"/>
        <n v="327342"/>
        <n v="327350"/>
        <n v="327359"/>
        <n v="327360"/>
        <n v="327367"/>
        <n v="327376"/>
        <n v="327377"/>
        <n v="327380"/>
        <n v="327389"/>
        <n v="327396"/>
        <n v="327416"/>
        <n v="327438"/>
        <n v="327455"/>
        <n v="327476"/>
        <n v="327481"/>
        <n v="327489"/>
        <n v="327492"/>
        <n v="327498"/>
        <n v="327508"/>
        <n v="327509"/>
        <n v="327511"/>
        <n v="327519"/>
        <n v="327525"/>
        <n v="327528"/>
        <n v="327532"/>
        <n v="327534"/>
        <n v="327537"/>
        <n v="327541"/>
        <n v="327543"/>
        <n v="327550"/>
        <n v="327554"/>
        <n v="327556"/>
        <n v="327566"/>
        <n v="327572"/>
        <n v="327573"/>
        <n v="327589"/>
        <n v="327594"/>
        <n v="327600"/>
        <n v="327601"/>
        <n v="327602"/>
        <n v="327605"/>
        <n v="327611"/>
        <n v="327614"/>
        <n v="327620"/>
        <n v="327628"/>
        <n v="327630"/>
        <n v="327639"/>
        <n v="327645"/>
        <n v="327650"/>
        <n v="327654"/>
        <n v="327656"/>
        <n v="327658"/>
        <n v="327660"/>
        <n v="327673"/>
        <n v="327685"/>
        <n v="327688"/>
        <n v="327699"/>
        <n v="327701"/>
        <n v="327711"/>
        <n v="327720"/>
        <n v="327721"/>
        <n v="327724"/>
        <n v="327725"/>
        <n v="327729"/>
        <n v="327736"/>
        <n v="327742"/>
        <n v="327751"/>
        <n v="327759"/>
        <n v="327760"/>
        <n v="327761"/>
        <n v="327766"/>
        <n v="327772"/>
        <n v="327773"/>
        <n v="327775"/>
        <n v="327780"/>
        <n v="327782"/>
        <n v="327784"/>
        <n v="327791"/>
        <n v="327792"/>
        <n v="327798"/>
        <n v="327801"/>
        <n v="327803"/>
        <n v="327807"/>
        <n v="327808"/>
        <n v="327813"/>
        <n v="327816"/>
        <n v="327817"/>
        <n v="327826"/>
        <n v="327829"/>
        <n v="327833"/>
        <n v="327837"/>
        <n v="327842"/>
        <n v="327844"/>
        <n v="327854"/>
        <n v="327860"/>
        <n v="327865"/>
        <n v="327878"/>
        <n v="327880"/>
        <n v="327883"/>
        <n v="327888"/>
        <n v="327894"/>
        <n v="327896"/>
        <n v="327902"/>
        <n v="327907"/>
        <n v="327914"/>
        <n v="327923"/>
        <n v="327926"/>
        <n v="327929"/>
        <n v="327933"/>
        <n v="327940"/>
        <n v="327948"/>
        <n v="327952"/>
        <n v="327955"/>
        <n v="327958"/>
        <n v="327960"/>
        <n v="327971"/>
        <n v="327976"/>
        <n v="327980"/>
        <n v="327989"/>
        <n v="327992"/>
        <n v="328000"/>
        <n v="328006"/>
        <n v="328013"/>
        <n v="328016"/>
        <n v="328024"/>
        <n v="328031"/>
        <n v="328041"/>
        <n v="328054"/>
        <n v="328061"/>
        <n v="328074"/>
        <n v="328081"/>
        <n v="328085"/>
        <n v="328093"/>
        <n v="328098"/>
        <n v="328102"/>
        <n v="328104"/>
        <n v="328110"/>
        <n v="328114"/>
        <n v="328118"/>
        <n v="328128"/>
        <n v="328131"/>
        <n v="328137"/>
        <n v="328142"/>
        <n v="328153"/>
        <n v="328160"/>
        <n v="328167"/>
        <n v="328172"/>
        <n v="328175"/>
        <n v="328203"/>
        <n v="328211"/>
        <n v="328223"/>
        <n v="328233"/>
        <n v="328235"/>
        <n v="328244"/>
        <n v="328249"/>
        <n v="328251"/>
        <n v="328263"/>
        <n v="328268"/>
        <n v="328281"/>
        <n v="328288"/>
        <n v="328296"/>
        <n v="328302"/>
        <n v="328310"/>
        <n v="328318"/>
        <n v="328327"/>
        <n v="328330"/>
        <n v="328338"/>
        <n v="328347"/>
        <n v="328356"/>
        <n v="328360"/>
        <n v="328369"/>
        <n v="328378"/>
        <n v="328379"/>
        <n v="328395"/>
        <n v="328404"/>
        <n v="328411"/>
        <n v="328484"/>
        <n v="328519"/>
        <n v="328531"/>
        <n v="328668"/>
        <n v="328681"/>
        <n v="328692"/>
        <n v="328737"/>
        <n v="328743"/>
        <n v="328745"/>
        <n v="328783"/>
        <n v="328810"/>
        <n v="328819"/>
        <n v="328836"/>
        <n v="328855"/>
        <n v="328861"/>
        <n v="328872"/>
        <n v="328878"/>
        <n v="328885"/>
        <n v="328888"/>
        <n v="328924"/>
        <n v="328971"/>
        <n v="329001"/>
        <n v="329016"/>
        <n v="329090"/>
        <n v="329124"/>
        <n v="329145"/>
        <n v="329175"/>
        <n v="329300"/>
        <n v="329319"/>
        <n v="329352"/>
        <n v="329494"/>
        <n v="329535"/>
        <n v="295817"/>
        <n v="296192"/>
        <n v="297309"/>
        <n v="298557"/>
        <n v="298803"/>
        <n v="299003"/>
        <n v="299440"/>
        <n v="317715"/>
        <n v="317727"/>
        <n v="317735"/>
        <n v="317741"/>
        <n v="317771"/>
        <n v="317797"/>
        <n v="317811"/>
        <n v="317820"/>
        <n v="317832"/>
        <n v="317855"/>
        <n v="317919"/>
        <n v="317969"/>
        <n v="317973"/>
        <n v="317988"/>
        <n v="318005"/>
        <n v="318010"/>
        <n v="318016"/>
        <n v="318023"/>
        <n v="318030"/>
        <n v="318035"/>
        <n v="318039"/>
        <n v="318047"/>
        <n v="318061"/>
        <n v="318074"/>
        <n v="318081"/>
        <n v="318094"/>
        <n v="318098"/>
        <n v="318100"/>
        <n v="318110"/>
        <n v="318114"/>
        <n v="318119"/>
        <n v="318126"/>
        <n v="318127"/>
        <n v="318134"/>
        <n v="318142"/>
        <n v="318160"/>
        <n v="318170"/>
        <n v="318189"/>
        <n v="318196"/>
        <n v="318204"/>
        <n v="318210"/>
        <n v="318218"/>
        <n v="318226"/>
        <n v="318230"/>
        <n v="318235"/>
        <n v="318246"/>
        <n v="318253"/>
        <n v="318256"/>
        <n v="318265"/>
        <n v="318271"/>
        <n v="318287"/>
        <n v="318300"/>
        <n v="318304"/>
        <n v="318312"/>
        <n v="318319"/>
        <n v="318328"/>
        <n v="318339"/>
        <n v="318343"/>
        <n v="318345"/>
        <n v="318347"/>
        <n v="318358"/>
        <n v="318368"/>
        <n v="318378"/>
        <n v="318384"/>
        <n v="318389"/>
        <n v="318410"/>
        <n v="318418"/>
        <n v="318428"/>
        <n v="318432"/>
        <n v="318442"/>
        <n v="318465"/>
        <n v="318482"/>
        <n v="318490"/>
        <n v="318491"/>
        <n v="318498"/>
        <n v="318504"/>
        <n v="318510"/>
        <n v="318514"/>
        <n v="318520"/>
        <n v="318527"/>
        <n v="318538"/>
        <n v="318540"/>
        <n v="318551"/>
        <n v="318565"/>
        <n v="318571"/>
        <n v="318574"/>
        <n v="318585"/>
        <n v="318595"/>
        <n v="318609"/>
        <n v="318618"/>
        <n v="318625"/>
        <n v="318635"/>
        <n v="318648"/>
        <n v="318656"/>
        <n v="318659"/>
        <n v="318674"/>
        <n v="318699"/>
        <n v="318702"/>
        <n v="318712"/>
        <n v="318713"/>
        <n v="318720"/>
        <n v="318725"/>
        <n v="318742"/>
        <n v="318752"/>
        <n v="318813"/>
        <n v="318830"/>
        <n v="318834"/>
        <n v="318841"/>
        <n v="318843"/>
        <n v="318861"/>
        <n v="318864"/>
        <n v="318869"/>
        <n v="318877"/>
        <n v="318878"/>
        <n v="318887"/>
        <n v="318901"/>
        <n v="318909"/>
        <n v="318923"/>
        <n v="318929"/>
        <n v="318944"/>
        <n v="318968"/>
        <n v="318974"/>
        <n v="318984"/>
        <n v="318991"/>
        <n v="318998"/>
        <n v="319004"/>
        <n v="319045"/>
        <n v="319051"/>
        <n v="319057"/>
        <n v="319065"/>
        <n v="319075"/>
        <n v="319086"/>
        <n v="319096"/>
        <n v="319099"/>
        <n v="319102"/>
        <n v="319106"/>
        <n v="319134"/>
        <n v="319142"/>
        <n v="319146"/>
        <n v="319150"/>
        <n v="319156"/>
        <n v="319163"/>
        <n v="319166"/>
        <n v="319178"/>
        <n v="319182"/>
        <n v="319193"/>
        <n v="319197"/>
        <n v="319201"/>
        <n v="319203"/>
        <n v="319207"/>
        <n v="319209"/>
        <n v="319214"/>
        <n v="319220"/>
        <n v="319236"/>
        <n v="319237"/>
        <n v="319244"/>
        <n v="319247"/>
        <n v="319259"/>
        <n v="319266"/>
        <n v="319276"/>
        <n v="319288"/>
        <n v="319297"/>
        <n v="319302"/>
        <n v="319306"/>
        <n v="319309"/>
        <n v="319312"/>
        <n v="319315"/>
        <n v="319325"/>
        <n v="319326"/>
        <n v="319328"/>
        <n v="319336"/>
        <n v="319340"/>
        <n v="319342"/>
        <n v="319355"/>
        <n v="319370"/>
        <n v="319372"/>
        <n v="319378"/>
        <n v="319389"/>
        <n v="319390"/>
        <n v="319410"/>
        <n v="319416"/>
        <n v="319423"/>
        <n v="319426"/>
        <n v="319431"/>
        <n v="319434"/>
        <n v="319441"/>
        <n v="319452"/>
        <n v="319467"/>
        <n v="319469"/>
        <n v="319473"/>
        <n v="319480"/>
        <n v="319485"/>
        <n v="319504"/>
        <n v="319505"/>
        <n v="319514"/>
        <n v="319523"/>
        <n v="319528"/>
        <n v="319531"/>
        <n v="319535"/>
        <n v="319536"/>
        <n v="319542"/>
        <n v="319546"/>
        <n v="319560"/>
        <n v="319564"/>
        <n v="319567"/>
        <n v="319572"/>
        <n v="319573"/>
        <n v="319583"/>
        <n v="319591"/>
        <n v="319594"/>
        <n v="319595"/>
        <n v="319596"/>
        <n v="319604"/>
        <n v="319606"/>
        <n v="319610"/>
        <n v="319614"/>
        <n v="319622"/>
        <n v="319624"/>
        <n v="319627"/>
        <n v="319628"/>
        <n v="319631"/>
        <n v="319633"/>
        <n v="319637"/>
        <n v="319638"/>
        <n v="319640"/>
        <n v="319649"/>
        <n v="319654"/>
        <n v="319658"/>
        <n v="319661"/>
        <n v="319662"/>
        <n v="319665"/>
        <n v="319667"/>
        <n v="319673"/>
        <n v="319679"/>
        <n v="319681"/>
        <n v="319683"/>
        <n v="319691"/>
        <n v="319695"/>
        <n v="319698"/>
        <n v="319701"/>
        <n v="319705"/>
        <n v="319706"/>
        <n v="319708"/>
        <n v="319709"/>
        <n v="319711"/>
        <n v="319714"/>
        <n v="319716"/>
        <n v="319719"/>
        <n v="319724"/>
        <n v="319725"/>
        <n v="319731"/>
        <n v="319737"/>
        <n v="319743"/>
        <n v="319745"/>
        <n v="319748"/>
        <n v="319749"/>
        <n v="319755"/>
        <n v="319758"/>
        <n v="319765"/>
        <n v="319767"/>
        <n v="319768"/>
        <n v="319775"/>
        <n v="319776"/>
        <n v="319777"/>
        <n v="319783"/>
        <n v="319784"/>
        <n v="319793"/>
        <n v="319802"/>
        <n v="319805"/>
        <n v="319807"/>
        <n v="319812"/>
        <n v="319813"/>
        <n v="319815"/>
        <n v="319818"/>
        <n v="319825"/>
        <n v="319827"/>
        <n v="319833"/>
        <n v="319835"/>
        <n v="319836"/>
        <n v="319841"/>
        <n v="319844"/>
        <n v="319847"/>
        <n v="319849"/>
        <n v="319855"/>
        <n v="319858"/>
        <n v="319861"/>
        <n v="319865"/>
        <n v="319872"/>
        <n v="319876"/>
        <n v="319884"/>
        <n v="319886"/>
        <n v="319887"/>
        <n v="319896"/>
        <n v="319897"/>
        <n v="319901"/>
        <n v="319903"/>
        <n v="319907"/>
        <n v="319912"/>
        <n v="319914"/>
        <n v="319919"/>
        <n v="319923"/>
        <n v="319929"/>
        <n v="319932"/>
        <n v="319934"/>
        <n v="319942"/>
        <n v="319943"/>
        <n v="319947"/>
        <n v="319949"/>
        <n v="319955"/>
        <n v="319959"/>
        <n v="319963"/>
        <n v="319969"/>
        <n v="319970"/>
        <n v="319972"/>
        <n v="319974"/>
        <n v="319980"/>
        <n v="319983"/>
        <n v="319989"/>
        <n v="320005"/>
        <n v="320006"/>
        <n v="320014"/>
        <n v="320017"/>
        <n v="320018"/>
        <n v="320024"/>
        <n v="320025"/>
        <n v="320029"/>
        <n v="320031"/>
        <n v="320033"/>
        <n v="320036"/>
        <n v="320040"/>
        <n v="320046"/>
        <n v="320048"/>
        <n v="320049"/>
        <n v="320055"/>
        <n v="320056"/>
        <n v="320058"/>
        <n v="320059"/>
        <n v="320065"/>
        <n v="320070"/>
        <n v="320075"/>
        <n v="320076"/>
        <n v="320085"/>
        <n v="320089"/>
        <n v="320091"/>
        <n v="320092"/>
        <n v="320098"/>
        <n v="320099"/>
        <n v="320100"/>
        <n v="320104"/>
        <n v="320106"/>
        <n v="320107"/>
        <n v="320108"/>
        <n v="320109"/>
        <n v="320116"/>
        <n v="320118"/>
        <n v="320120"/>
        <n v="320121"/>
        <n v="320126"/>
        <n v="320130"/>
        <n v="320133"/>
        <n v="320137"/>
        <n v="320138"/>
        <n v="320148"/>
        <n v="320150"/>
        <n v="320152"/>
        <n v="320156"/>
        <n v="320159"/>
        <n v="320165"/>
        <n v="320166"/>
        <n v="320167"/>
        <n v="320168"/>
        <n v="320171"/>
        <n v="320177"/>
        <n v="320178"/>
        <n v="320179"/>
        <n v="320184"/>
        <n v="320186"/>
        <n v="320187"/>
        <n v="320189"/>
        <n v="320200"/>
        <n v="320201"/>
        <n v="320203"/>
        <n v="320206"/>
        <n v="320209"/>
        <n v="320211"/>
        <n v="320215"/>
        <n v="320224"/>
        <n v="320227"/>
        <n v="320252"/>
        <n v="320269"/>
        <n v="320273"/>
        <n v="320278"/>
        <n v="320286"/>
        <n v="320289"/>
        <n v="320292"/>
        <n v="320304"/>
        <n v="320305"/>
        <n v="320313"/>
        <n v="320314"/>
        <n v="320317"/>
        <n v="320321"/>
        <n v="320326"/>
        <n v="320328"/>
        <n v="320329"/>
        <n v="320330"/>
        <n v="320332"/>
        <n v="320334"/>
        <n v="320337"/>
        <n v="320339"/>
        <n v="320343"/>
        <n v="320345"/>
        <n v="320350"/>
        <n v="320353"/>
        <n v="320363"/>
        <n v="320364"/>
        <n v="320367"/>
        <n v="320374"/>
        <n v="320376"/>
        <n v="320380"/>
        <n v="320381"/>
        <n v="320393"/>
        <n v="320395"/>
        <n v="320397"/>
        <n v="320399"/>
        <n v="320402"/>
        <n v="320412"/>
        <n v="320413"/>
        <n v="320416"/>
        <n v="320418"/>
        <n v="320426"/>
        <n v="320431"/>
        <n v="320438"/>
        <n v="320439"/>
        <n v="320444"/>
        <n v="320450"/>
        <n v="320452"/>
        <n v="320457"/>
        <n v="320458"/>
        <n v="320461"/>
        <n v="320462"/>
        <n v="320466"/>
        <n v="320469"/>
        <n v="320471"/>
        <n v="320473"/>
        <n v="320476"/>
        <n v="320483"/>
        <n v="320490"/>
        <n v="320494"/>
        <n v="320496"/>
        <n v="320497"/>
        <n v="320500"/>
        <n v="320502"/>
        <n v="320504"/>
        <n v="320506"/>
        <n v="320512"/>
        <n v="320516"/>
        <n v="320519"/>
        <n v="320520"/>
        <n v="320524"/>
        <n v="320525"/>
        <n v="320527"/>
        <n v="320531"/>
        <n v="320532"/>
        <n v="320533"/>
        <n v="320537"/>
        <n v="320538"/>
        <n v="320546"/>
        <n v="320547"/>
        <n v="320554"/>
        <n v="320560"/>
        <n v="320561"/>
        <n v="320562"/>
        <n v="320566"/>
        <n v="320567"/>
        <n v="320572"/>
        <n v="320573"/>
        <n v="320580"/>
        <n v="320582"/>
        <n v="320584"/>
        <n v="320590"/>
        <n v="320591"/>
        <n v="320593"/>
        <n v="320597"/>
        <n v="320598"/>
        <n v="320602"/>
        <n v="320610"/>
        <n v="320615"/>
        <n v="320616"/>
        <n v="320617"/>
        <n v="320618"/>
        <n v="320622"/>
        <n v="320623"/>
        <n v="320625"/>
        <n v="320626"/>
        <n v="320630"/>
        <n v="320636"/>
        <n v="320643"/>
        <n v="320649"/>
        <n v="320653"/>
        <n v="320655"/>
        <n v="320658"/>
        <n v="320660"/>
        <n v="320661"/>
        <n v="320662"/>
        <n v="320668"/>
        <n v="320669"/>
        <n v="320679"/>
        <n v="320685"/>
        <n v="320687"/>
        <n v="320689"/>
        <n v="320690"/>
        <n v="320693"/>
        <n v="320696"/>
        <n v="320699"/>
        <n v="320700"/>
        <n v="320702"/>
        <n v="320706"/>
        <n v="320707"/>
        <n v="320709"/>
        <n v="320712"/>
        <n v="320714"/>
        <n v="320715"/>
        <n v="320721"/>
        <n v="320723"/>
        <n v="320730"/>
        <n v="320732"/>
        <n v="320739"/>
        <n v="320747"/>
        <n v="320753"/>
        <n v="320756"/>
        <n v="320759"/>
        <n v="320762"/>
        <n v="320763"/>
        <n v="320765"/>
        <n v="320770"/>
        <n v="320771"/>
        <n v="320774"/>
        <n v="320777"/>
        <n v="320787"/>
        <n v="320788"/>
        <n v="320792"/>
        <n v="320793"/>
        <n v="320806"/>
        <n v="320809"/>
        <n v="320811"/>
        <n v="320812"/>
        <n v="320818"/>
        <n v="320819"/>
        <n v="320823"/>
        <n v="320839"/>
        <n v="320840"/>
        <n v="320842"/>
        <n v="320845"/>
        <n v="320848"/>
        <n v="320853"/>
        <n v="320854"/>
        <n v="320856"/>
        <n v="320871"/>
        <n v="320872"/>
        <n v="320876"/>
        <n v="320877"/>
        <n v="320878"/>
        <n v="320879"/>
        <n v="320881"/>
        <n v="320883"/>
        <n v="320885"/>
        <n v="320889"/>
        <n v="320891"/>
        <n v="320896"/>
        <n v="320897"/>
        <n v="320898"/>
        <n v="320899"/>
        <n v="320904"/>
        <n v="320909"/>
        <n v="320910"/>
        <n v="320913"/>
        <n v="320916"/>
        <n v="320920"/>
        <n v="320923"/>
        <n v="320924"/>
        <n v="320925"/>
        <n v="320928"/>
        <n v="320933"/>
        <n v="320934"/>
        <n v="320935"/>
        <n v="320940"/>
        <n v="320943"/>
        <n v="320951"/>
        <n v="320957"/>
        <n v="320964"/>
        <n v="320966"/>
        <n v="320968"/>
        <n v="320970"/>
        <n v="320972"/>
        <n v="320973"/>
        <n v="320974"/>
        <n v="320978"/>
        <n v="320984"/>
        <n v="320985"/>
        <n v="320993"/>
        <n v="320996"/>
        <n v="320999"/>
        <n v="321001"/>
        <n v="321002"/>
        <n v="321004"/>
        <n v="321008"/>
        <n v="321016"/>
        <n v="321018"/>
        <n v="321021"/>
        <n v="321023"/>
        <n v="321025"/>
        <n v="321027"/>
        <n v="321031"/>
        <n v="321032"/>
        <n v="321035"/>
        <n v="321036"/>
        <n v="321037"/>
        <n v="321040"/>
        <n v="321042"/>
        <n v="321053"/>
        <n v="321061"/>
        <n v="321063"/>
        <n v="321066"/>
        <n v="321068"/>
        <n v="321075"/>
        <n v="321077"/>
        <n v="321085"/>
        <n v="321095"/>
        <n v="321099"/>
        <n v="321103"/>
        <n v="321108"/>
        <n v="321115"/>
        <n v="321125"/>
        <n v="321129"/>
        <n v="321131"/>
        <n v="321133"/>
        <n v="321134"/>
        <n v="321139"/>
        <n v="321143"/>
        <n v="321145"/>
        <n v="321146"/>
        <n v="321157"/>
        <n v="321160"/>
        <n v="321163"/>
        <n v="321167"/>
        <n v="321172"/>
        <n v="321175"/>
        <n v="321179"/>
        <n v="321181"/>
        <n v="321185"/>
        <n v="321191"/>
        <n v="321197"/>
        <n v="321198"/>
        <n v="321202"/>
        <n v="321204"/>
        <n v="321208"/>
        <n v="321211"/>
        <n v="321214"/>
        <n v="321215"/>
        <n v="321219"/>
        <n v="321225"/>
        <n v="321226"/>
        <n v="321237"/>
        <n v="321241"/>
        <n v="321245"/>
        <n v="321247"/>
        <n v="321248"/>
        <n v="321254"/>
        <n v="321259"/>
        <n v="321260"/>
        <n v="321264"/>
        <n v="321265"/>
        <n v="321270"/>
        <n v="321272"/>
        <n v="321277"/>
        <n v="321279"/>
        <n v="321282"/>
        <n v="321283"/>
        <n v="321284"/>
        <n v="321285"/>
        <n v="321287"/>
        <n v="321290"/>
        <n v="321293"/>
        <n v="321295"/>
        <n v="321296"/>
        <n v="321298"/>
        <n v="321300"/>
        <n v="321303"/>
        <n v="321306"/>
        <n v="321314"/>
        <n v="321323"/>
        <n v="321325"/>
        <n v="321327"/>
        <n v="321328"/>
        <n v="321332"/>
        <n v="321334"/>
        <n v="321335"/>
        <n v="321341"/>
        <n v="321343"/>
        <n v="321345"/>
        <n v="321346"/>
        <n v="321351"/>
        <n v="321354"/>
        <n v="321358"/>
        <n v="321359"/>
        <n v="321365"/>
        <n v="321366"/>
        <n v="321373"/>
        <n v="321376"/>
        <n v="321383"/>
        <n v="321387"/>
        <n v="321392"/>
        <n v="321394"/>
        <n v="321396"/>
        <n v="321403"/>
        <n v="321405"/>
        <n v="321410"/>
        <n v="321411"/>
        <n v="321412"/>
        <n v="321413"/>
        <n v="321420"/>
        <n v="321422"/>
        <n v="321426"/>
        <n v="321427"/>
        <n v="321428"/>
        <n v="321432"/>
        <n v="321436"/>
        <n v="321438"/>
        <n v="321441"/>
        <n v="321442"/>
        <n v="321449"/>
        <n v="321452"/>
        <n v="321455"/>
        <n v="321458"/>
        <n v="321459"/>
        <n v="321465"/>
        <n v="321466"/>
        <n v="321473"/>
        <n v="321474"/>
        <n v="321475"/>
        <n v="321478"/>
        <n v="321480"/>
        <n v="321483"/>
        <n v="321485"/>
        <n v="321487"/>
        <n v="321489"/>
        <n v="321492"/>
        <n v="321493"/>
        <n v="321499"/>
        <n v="321500"/>
        <n v="321501"/>
        <n v="321502"/>
        <n v="321503"/>
        <n v="321506"/>
        <n v="321508"/>
        <n v="321509"/>
        <n v="321512"/>
        <n v="321516"/>
        <n v="321521"/>
        <n v="321523"/>
        <n v="321526"/>
        <n v="321528"/>
        <n v="321531"/>
        <n v="321532"/>
        <n v="321533"/>
        <n v="321535"/>
        <n v="321540"/>
        <n v="321543"/>
        <n v="321545"/>
        <n v="321549"/>
        <n v="321553"/>
        <n v="321560"/>
        <n v="321564"/>
        <n v="321565"/>
        <n v="321568"/>
        <n v="321570"/>
        <n v="321577"/>
        <n v="321578"/>
        <n v="321579"/>
        <n v="321580"/>
        <n v="321585"/>
        <n v="321589"/>
        <n v="321593"/>
        <n v="321594"/>
        <n v="321598"/>
        <n v="321603"/>
        <n v="321606"/>
        <n v="321607"/>
        <n v="321610"/>
        <n v="321611"/>
        <n v="321612"/>
        <n v="321615"/>
        <n v="321617"/>
        <n v="321619"/>
        <n v="321624"/>
        <n v="321626"/>
        <n v="321629"/>
        <n v="321630"/>
        <n v="321632"/>
        <n v="321636"/>
        <n v="321637"/>
        <n v="321638"/>
        <n v="321640"/>
        <n v="321642"/>
        <n v="321649"/>
        <n v="321650"/>
        <n v="321651"/>
        <n v="321652"/>
        <n v="321654"/>
        <n v="321658"/>
        <n v="321660"/>
        <n v="321661"/>
        <n v="321662"/>
        <n v="321664"/>
        <n v="321666"/>
        <n v="321667"/>
        <n v="321668"/>
        <n v="321673"/>
        <n v="321674"/>
        <n v="321675"/>
        <n v="321677"/>
        <n v="321680"/>
        <n v="321683"/>
        <n v="321689"/>
        <n v="321698"/>
        <n v="321699"/>
        <n v="321703"/>
        <n v="321705"/>
        <n v="321706"/>
        <n v="321710"/>
        <n v="321716"/>
        <n v="321717"/>
        <n v="321718"/>
        <n v="321719"/>
        <n v="321720"/>
        <n v="321721"/>
        <n v="321722"/>
        <n v="321725"/>
        <n v="321727"/>
        <n v="321728"/>
        <n v="321730"/>
        <n v="321734"/>
        <n v="321735"/>
        <n v="321739"/>
        <n v="321740"/>
        <n v="321741"/>
        <n v="321743"/>
        <n v="321744"/>
        <n v="321746"/>
        <n v="321748"/>
        <n v="321754"/>
        <n v="321755"/>
        <n v="321756"/>
        <n v="321758"/>
        <n v="321759"/>
        <n v="321760"/>
        <n v="321761"/>
        <n v="321762"/>
        <n v="321764"/>
        <n v="321768"/>
        <n v="321771"/>
        <n v="321777"/>
        <n v="321779"/>
        <n v="321784"/>
        <n v="321790"/>
        <n v="321792"/>
        <n v="321794"/>
        <n v="321795"/>
        <n v="321798"/>
        <n v="321802"/>
        <n v="321806"/>
        <n v="321807"/>
        <n v="321808"/>
        <n v="321810"/>
        <n v="321812"/>
        <n v="321817"/>
        <n v="321818"/>
        <n v="321819"/>
        <n v="321822"/>
        <n v="321823"/>
        <n v="321825"/>
        <n v="321827"/>
        <n v="321835"/>
        <n v="321837"/>
        <n v="321840"/>
        <n v="321843"/>
        <n v="321847"/>
        <n v="321848"/>
        <n v="321849"/>
        <n v="321851"/>
        <n v="321853"/>
        <n v="321854"/>
        <n v="321856"/>
        <n v="321857"/>
        <n v="321863"/>
        <n v="321864"/>
        <n v="321866"/>
        <n v="321871"/>
        <n v="321877"/>
        <n v="321878"/>
        <n v="321879"/>
        <n v="321880"/>
        <n v="321884"/>
        <n v="321885"/>
        <n v="321889"/>
        <n v="321890"/>
        <n v="321895"/>
        <n v="321896"/>
        <n v="321897"/>
        <n v="321899"/>
        <n v="321902"/>
        <n v="321904"/>
        <n v="321906"/>
        <n v="321909"/>
        <n v="321912"/>
        <n v="321914"/>
        <n v="321916"/>
        <n v="321917"/>
        <n v="321923"/>
        <n v="321927"/>
        <n v="321928"/>
        <n v="321929"/>
        <n v="321931"/>
        <n v="321933"/>
        <n v="321934"/>
        <n v="321937"/>
        <n v="321940"/>
        <n v="321941"/>
        <n v="321942"/>
        <n v="321943"/>
        <n v="321944"/>
        <n v="321946"/>
        <n v="321948"/>
        <n v="321950"/>
        <n v="321951"/>
        <n v="321954"/>
        <n v="321955"/>
        <n v="321958"/>
        <n v="321959"/>
        <n v="321962"/>
        <n v="321963"/>
        <n v="321969"/>
        <n v="321970"/>
        <n v="321971"/>
        <n v="321974"/>
        <n v="321976"/>
        <n v="321981"/>
        <n v="321982"/>
        <n v="321987"/>
        <n v="321988"/>
        <n v="321990"/>
        <n v="321995"/>
        <n v="321997"/>
        <n v="321999"/>
        <n v="322000"/>
        <n v="322003"/>
        <n v="322006"/>
        <n v="322008"/>
        <n v="322009"/>
        <n v="322010"/>
        <n v="322013"/>
        <n v="322015"/>
        <n v="322017"/>
        <n v="322020"/>
        <n v="322021"/>
        <n v="322023"/>
        <n v="322025"/>
        <n v="322026"/>
        <n v="322028"/>
        <n v="322030"/>
        <n v="322032"/>
        <n v="322034"/>
        <n v="322041"/>
        <n v="322044"/>
        <n v="322045"/>
        <n v="322046"/>
        <n v="322048"/>
        <n v="322051"/>
        <n v="322052"/>
        <n v="322053"/>
        <n v="322059"/>
        <n v="322062"/>
        <n v="322065"/>
        <n v="322066"/>
        <n v="322067"/>
        <n v="322071"/>
        <n v="322074"/>
        <n v="322077"/>
        <n v="322081"/>
        <n v="322082"/>
        <n v="322083"/>
        <n v="322088"/>
        <n v="322090"/>
        <n v="322092"/>
        <n v="322093"/>
        <n v="322098"/>
        <n v="322099"/>
        <n v="322101"/>
        <n v="322102"/>
        <n v="322112"/>
        <n v="322113"/>
        <n v="322114"/>
        <n v="322115"/>
        <n v="322116"/>
        <n v="322117"/>
        <n v="322120"/>
        <n v="322121"/>
        <n v="322122"/>
        <n v="322123"/>
        <n v="322124"/>
        <n v="322125"/>
        <n v="322126"/>
        <n v="322127"/>
        <n v="322128"/>
        <n v="322130"/>
        <n v="322132"/>
        <n v="322134"/>
        <n v="322137"/>
        <n v="322138"/>
        <n v="322139"/>
        <n v="322142"/>
        <n v="322146"/>
        <n v="322148"/>
        <n v="322150"/>
        <n v="322151"/>
        <n v="322153"/>
        <n v="322155"/>
        <n v="322156"/>
        <n v="322160"/>
        <n v="322162"/>
        <n v="322167"/>
        <n v="322168"/>
        <n v="322169"/>
        <n v="322170"/>
        <n v="322171"/>
        <n v="322173"/>
        <n v="322174"/>
        <n v="322179"/>
        <n v="322183"/>
        <n v="322184"/>
        <n v="322186"/>
        <n v="322188"/>
        <n v="322190"/>
        <n v="322191"/>
        <n v="322192"/>
        <n v="322194"/>
        <n v="322197"/>
        <n v="322198"/>
        <n v="322201"/>
        <n v="322206"/>
        <n v="322209"/>
        <n v="322210"/>
        <n v="322213"/>
        <n v="322214"/>
        <n v="322217"/>
        <n v="322218"/>
        <n v="322220"/>
        <n v="322224"/>
        <n v="322227"/>
        <n v="322229"/>
        <n v="322230"/>
        <n v="322235"/>
        <n v="322236"/>
        <n v="322238"/>
        <n v="322240"/>
        <n v="322241"/>
        <n v="322246"/>
        <n v="322247"/>
        <n v="322249"/>
        <n v="322250"/>
        <n v="322251"/>
        <n v="322253"/>
        <n v="322255"/>
        <n v="322256"/>
        <n v="322257"/>
        <n v="322258"/>
        <n v="322259"/>
        <n v="322261"/>
        <n v="322262"/>
        <n v="322263"/>
        <n v="322265"/>
        <n v="322269"/>
        <n v="322270"/>
        <n v="322272"/>
        <n v="322273"/>
        <n v="322274"/>
        <n v="322275"/>
        <n v="322276"/>
        <n v="322281"/>
        <n v="322282"/>
        <n v="322283"/>
        <n v="322285"/>
        <n v="322286"/>
        <n v="322289"/>
        <n v="322292"/>
        <n v="322293"/>
        <n v="322294"/>
        <n v="322295"/>
        <n v="322297"/>
        <n v="322300"/>
        <n v="322302"/>
        <n v="322306"/>
        <n v="322307"/>
        <n v="322308"/>
        <n v="322309"/>
        <n v="322310"/>
        <n v="322311"/>
        <n v="322313"/>
        <n v="322315"/>
        <n v="322320"/>
        <n v="322323"/>
        <n v="322324"/>
        <n v="322327"/>
        <n v="322332"/>
        <n v="322335"/>
        <n v="322341"/>
        <n v="322342"/>
        <n v="322344"/>
        <n v="322347"/>
        <n v="322348"/>
        <n v="322349"/>
        <n v="322350"/>
        <n v="322351"/>
        <n v="322352"/>
        <n v="322354"/>
        <n v="322355"/>
        <n v="322357"/>
        <n v="322358"/>
        <n v="322360"/>
        <n v="322361"/>
        <n v="322364"/>
        <n v="322365"/>
        <n v="322366"/>
        <n v="322367"/>
        <n v="322368"/>
        <n v="322369"/>
        <n v="322372"/>
        <n v="322373"/>
        <n v="322374"/>
        <n v="322376"/>
        <n v="322378"/>
        <n v="322383"/>
        <n v="322384"/>
        <n v="322385"/>
        <n v="322391"/>
        <n v="322392"/>
        <n v="322398"/>
        <n v="322399"/>
        <n v="322402"/>
        <n v="322403"/>
        <n v="322407"/>
        <n v="322408"/>
        <n v="322413"/>
        <n v="322414"/>
        <n v="322415"/>
        <n v="322416"/>
        <n v="322419"/>
        <n v="322420"/>
        <n v="322421"/>
        <n v="322423"/>
        <n v="322424"/>
        <n v="322425"/>
        <n v="322426"/>
        <n v="322427"/>
        <n v="322428"/>
        <n v="322429"/>
        <n v="322430"/>
        <n v="322431"/>
        <n v="322432"/>
        <n v="322433"/>
        <n v="322436"/>
        <n v="322438"/>
        <n v="322441"/>
        <n v="322442"/>
        <n v="322443"/>
        <n v="322446"/>
        <n v="322447"/>
        <n v="322449"/>
        <n v="322452"/>
        <n v="322454"/>
        <n v="322456"/>
        <n v="322457"/>
        <n v="322458"/>
        <n v="322461"/>
        <n v="322463"/>
        <n v="322464"/>
        <n v="322465"/>
        <n v="322466"/>
        <n v="322469"/>
        <n v="322470"/>
        <n v="322473"/>
        <n v="322474"/>
        <n v="322475"/>
        <n v="322476"/>
        <n v="322481"/>
        <n v="322487"/>
        <n v="322488"/>
        <n v="322491"/>
        <n v="322492"/>
        <n v="322493"/>
        <n v="322496"/>
        <n v="322497"/>
        <n v="322498"/>
        <n v="322499"/>
        <n v="322501"/>
        <n v="322502"/>
        <n v="322503"/>
        <n v="322505"/>
        <n v="322507"/>
        <n v="322508"/>
        <n v="322509"/>
        <n v="322512"/>
        <n v="322513"/>
        <n v="322514"/>
        <n v="322515"/>
        <n v="322516"/>
        <n v="322517"/>
        <n v="322518"/>
        <n v="322519"/>
        <n v="322520"/>
        <n v="322522"/>
        <n v="322525"/>
        <n v="322526"/>
        <n v="322527"/>
        <n v="322528"/>
        <n v="322529"/>
        <n v="322538"/>
        <n v="322539"/>
        <n v="322540"/>
        <n v="322542"/>
        <n v="322543"/>
        <n v="322545"/>
        <n v="322546"/>
        <n v="322547"/>
        <n v="322549"/>
        <n v="322551"/>
        <n v="322552"/>
        <n v="322553"/>
        <n v="322555"/>
        <n v="322556"/>
        <n v="322559"/>
        <n v="322560"/>
        <n v="322561"/>
        <n v="322564"/>
        <n v="322565"/>
        <n v="322567"/>
        <n v="322569"/>
        <n v="322571"/>
        <n v="322573"/>
        <n v="322574"/>
        <n v="322575"/>
        <n v="322576"/>
        <n v="322581"/>
        <n v="322582"/>
        <n v="322584"/>
        <n v="322587"/>
        <n v="322588"/>
        <n v="322589"/>
        <n v="322590"/>
        <n v="322592"/>
        <n v="322593"/>
        <n v="322594"/>
        <n v="322595"/>
        <n v="322596"/>
        <n v="322597"/>
        <n v="322598"/>
        <n v="322600"/>
        <n v="322601"/>
        <n v="322602"/>
        <n v="322603"/>
        <n v="322604"/>
        <n v="322605"/>
        <n v="322608"/>
        <n v="322613"/>
        <n v="322614"/>
        <n v="322616"/>
        <n v="322618"/>
        <n v="322619"/>
        <n v="322623"/>
        <n v="322626"/>
        <n v="322629"/>
        <n v="322630"/>
        <n v="322634"/>
        <n v="322637"/>
        <n v="322639"/>
        <n v="322640"/>
        <n v="322641"/>
        <n v="322642"/>
        <n v="322644"/>
        <n v="322645"/>
        <n v="322646"/>
        <n v="322649"/>
        <n v="322650"/>
        <n v="322652"/>
        <n v="322654"/>
        <n v="322655"/>
        <n v="322658"/>
        <n v="322660"/>
        <n v="322663"/>
        <n v="322666"/>
        <n v="322667"/>
        <n v="322668"/>
        <n v="322671"/>
        <n v="322674"/>
        <n v="322675"/>
        <n v="322676"/>
        <n v="322678"/>
        <n v="322680"/>
        <n v="322681"/>
        <n v="322682"/>
        <n v="322683"/>
        <n v="322685"/>
        <n v="322686"/>
        <n v="322688"/>
        <n v="322692"/>
        <n v="322693"/>
        <n v="322694"/>
        <n v="322696"/>
        <n v="322697"/>
        <n v="322700"/>
        <n v="322701"/>
        <n v="322702"/>
        <n v="322704"/>
        <n v="322706"/>
        <n v="322707"/>
        <n v="322708"/>
        <n v="322709"/>
        <n v="322710"/>
        <n v="322712"/>
        <n v="322713"/>
        <n v="322715"/>
        <n v="322716"/>
        <n v="322717"/>
        <n v="322718"/>
        <n v="322719"/>
        <n v="322720"/>
        <n v="322721"/>
        <n v="322722"/>
        <n v="322724"/>
        <n v="322727"/>
        <n v="322728"/>
        <n v="322730"/>
        <n v="322731"/>
        <n v="322734"/>
        <n v="322736"/>
        <n v="322738"/>
        <n v="322741"/>
        <n v="322742"/>
        <n v="322743"/>
        <n v="322744"/>
        <n v="322745"/>
        <n v="322746"/>
        <n v="322748"/>
        <n v="322751"/>
        <n v="322752"/>
        <n v="322753"/>
        <n v="322755"/>
        <n v="322756"/>
        <n v="322757"/>
        <n v="322758"/>
        <n v="322760"/>
        <n v="322761"/>
        <n v="322762"/>
        <n v="322764"/>
        <n v="322765"/>
        <n v="322766"/>
        <n v="322768"/>
        <n v="322769"/>
        <n v="322773"/>
        <n v="322775"/>
        <n v="322776"/>
        <n v="322777"/>
        <n v="322779"/>
        <n v="322780"/>
        <n v="322781"/>
        <n v="322783"/>
        <n v="322790"/>
        <n v="322791"/>
        <n v="322792"/>
        <n v="322793"/>
        <n v="322794"/>
        <n v="322795"/>
        <n v="322796"/>
        <n v="322798"/>
        <n v="322800"/>
        <n v="322801"/>
        <n v="322802"/>
        <n v="322803"/>
        <n v="322804"/>
        <n v="322805"/>
        <n v="322807"/>
        <n v="322808"/>
        <n v="322809"/>
        <n v="322810"/>
        <n v="322812"/>
        <n v="322813"/>
        <n v="322818"/>
        <n v="322822"/>
        <n v="322824"/>
        <n v="322825"/>
        <n v="322827"/>
        <n v="322828"/>
        <n v="322831"/>
        <n v="322832"/>
        <n v="322833"/>
        <n v="322834"/>
        <n v="322835"/>
        <n v="322836"/>
        <n v="322838"/>
        <n v="322840"/>
        <n v="322841"/>
        <n v="322843"/>
        <n v="322844"/>
        <n v="322845"/>
        <n v="322846"/>
        <n v="322847"/>
        <n v="322849"/>
        <n v="322850"/>
        <n v="322851"/>
        <n v="322853"/>
        <n v="322854"/>
        <n v="322855"/>
        <n v="322856"/>
        <n v="322858"/>
        <n v="322860"/>
        <n v="322862"/>
        <n v="322864"/>
        <n v="322866"/>
        <n v="322869"/>
        <n v="322872"/>
        <n v="322873"/>
        <n v="322874"/>
        <n v="322875"/>
        <n v="322877"/>
        <n v="322880"/>
        <n v="322882"/>
        <n v="322883"/>
        <n v="322885"/>
        <n v="322886"/>
        <n v="322887"/>
        <n v="322888"/>
        <n v="322889"/>
        <n v="322891"/>
        <n v="322892"/>
        <n v="322894"/>
        <n v="322895"/>
        <n v="322896"/>
        <n v="322897"/>
        <n v="322898"/>
        <n v="322899"/>
        <n v="322901"/>
        <n v="322903"/>
        <n v="322904"/>
        <n v="322905"/>
        <n v="322906"/>
        <n v="322907"/>
        <n v="322908"/>
        <n v="322909"/>
        <n v="322911"/>
        <n v="322913"/>
        <n v="322916"/>
        <n v="322918"/>
        <n v="322920"/>
        <n v="322922"/>
        <n v="322923"/>
        <n v="322925"/>
        <n v="322927"/>
        <n v="322929"/>
        <n v="322931"/>
        <n v="322932"/>
        <n v="322934"/>
        <n v="322935"/>
        <n v="322937"/>
        <n v="322940"/>
        <n v="322941"/>
        <n v="322942"/>
        <n v="322943"/>
        <n v="322945"/>
        <n v="322946"/>
        <n v="322947"/>
        <n v="322952"/>
        <n v="322954"/>
        <n v="322955"/>
        <n v="322957"/>
        <n v="322959"/>
        <n v="322960"/>
        <n v="322961"/>
        <n v="322964"/>
        <n v="322965"/>
        <n v="322967"/>
        <n v="322968"/>
        <n v="322969"/>
        <n v="322971"/>
        <n v="322973"/>
        <n v="322975"/>
        <n v="322976"/>
        <n v="322977"/>
        <n v="322978"/>
        <n v="322979"/>
        <n v="322980"/>
        <n v="322982"/>
        <n v="322984"/>
        <n v="322988"/>
        <n v="322990"/>
        <n v="322997"/>
        <n v="322998"/>
        <n v="323000"/>
        <n v="323001"/>
        <n v="323003"/>
        <n v="323004"/>
        <n v="323006"/>
        <n v="323008"/>
        <n v="323009"/>
        <n v="323010"/>
        <n v="323014"/>
        <n v="323016"/>
        <n v="323017"/>
        <n v="323018"/>
        <n v="323019"/>
        <n v="323020"/>
        <n v="323022"/>
        <n v="323023"/>
        <n v="323024"/>
        <n v="323025"/>
        <n v="323026"/>
        <n v="323028"/>
        <n v="323029"/>
        <n v="323030"/>
        <n v="323031"/>
        <n v="323032"/>
        <n v="323034"/>
        <n v="323035"/>
        <n v="323036"/>
        <n v="323037"/>
        <n v="323038"/>
        <n v="323039"/>
        <n v="323040"/>
        <n v="323041"/>
        <n v="323042"/>
        <n v="323043"/>
        <n v="323046"/>
        <n v="323048"/>
        <n v="323049"/>
        <n v="323052"/>
        <n v="323053"/>
        <n v="323054"/>
        <n v="323055"/>
        <n v="323057"/>
        <n v="323058"/>
        <n v="323059"/>
        <n v="323060"/>
        <n v="323061"/>
        <n v="323062"/>
        <n v="323066"/>
        <n v="323067"/>
        <n v="323073"/>
        <n v="323074"/>
        <n v="323077"/>
        <n v="323078"/>
        <n v="323079"/>
        <n v="323080"/>
        <n v="323083"/>
        <n v="323085"/>
        <n v="323088"/>
        <n v="323089"/>
        <n v="323091"/>
        <n v="323092"/>
        <n v="323093"/>
        <n v="323094"/>
        <n v="323096"/>
        <n v="323097"/>
        <n v="323098"/>
        <n v="323099"/>
        <n v="323100"/>
        <n v="323101"/>
        <n v="323103"/>
        <n v="323105"/>
        <n v="323106"/>
        <n v="323108"/>
        <n v="323109"/>
        <n v="323110"/>
        <n v="323111"/>
        <n v="323114"/>
        <n v="323117"/>
        <n v="323118"/>
        <n v="323119"/>
        <n v="323120"/>
        <n v="323122"/>
        <n v="323123"/>
        <n v="323124"/>
        <n v="323125"/>
        <n v="323126"/>
        <n v="323128"/>
        <n v="323130"/>
        <n v="323131"/>
        <n v="323134"/>
        <n v="323135"/>
        <n v="323138"/>
        <n v="323140"/>
        <n v="323141"/>
        <n v="323145"/>
        <n v="323146"/>
        <n v="323147"/>
        <n v="323148"/>
        <n v="323149"/>
        <n v="323152"/>
        <n v="323153"/>
        <n v="323154"/>
        <n v="323156"/>
        <n v="323157"/>
        <n v="323158"/>
        <n v="323159"/>
        <n v="323160"/>
        <n v="323161"/>
        <n v="323163"/>
        <n v="323164"/>
        <n v="323166"/>
        <n v="323168"/>
        <n v="323169"/>
        <n v="323172"/>
        <n v="323173"/>
        <n v="323174"/>
        <n v="323175"/>
        <n v="323177"/>
        <n v="323178"/>
        <n v="323179"/>
        <n v="323180"/>
        <n v="323181"/>
        <n v="323183"/>
        <n v="323184"/>
        <n v="323185"/>
        <n v="323187"/>
        <n v="323188"/>
        <n v="323189"/>
        <n v="323190"/>
        <n v="323193"/>
        <n v="323194"/>
        <n v="323195"/>
        <n v="323196"/>
        <n v="323197"/>
        <n v="323200"/>
        <n v="323202"/>
        <n v="323206"/>
        <n v="323207"/>
        <n v="323209"/>
        <n v="323211"/>
        <n v="323212"/>
        <n v="323213"/>
        <n v="323219"/>
        <n v="323221"/>
        <n v="323225"/>
        <n v="323226"/>
        <n v="323227"/>
        <n v="323229"/>
        <n v="323231"/>
        <n v="323232"/>
        <n v="323233"/>
        <n v="323235"/>
        <n v="323236"/>
        <n v="323239"/>
        <n v="323240"/>
        <n v="323241"/>
        <n v="323242"/>
        <n v="323243"/>
        <n v="323247"/>
        <n v="323248"/>
        <n v="323249"/>
        <n v="323250"/>
        <n v="323252"/>
        <n v="323253"/>
        <n v="323254"/>
        <n v="323256"/>
        <n v="323257"/>
        <n v="323258"/>
        <n v="323259"/>
        <n v="323260"/>
        <n v="323261"/>
        <n v="323264"/>
        <n v="323266"/>
        <n v="323269"/>
        <n v="323270"/>
        <n v="323271"/>
        <n v="323273"/>
        <n v="323274"/>
        <n v="323275"/>
        <n v="323280"/>
        <n v="323283"/>
        <n v="323285"/>
        <n v="323286"/>
        <n v="323287"/>
        <n v="323289"/>
        <n v="323290"/>
        <n v="323291"/>
        <n v="323292"/>
        <n v="323294"/>
        <n v="323296"/>
        <n v="323300"/>
        <n v="323301"/>
        <n v="323303"/>
        <n v="323304"/>
        <n v="323306"/>
        <n v="323307"/>
        <n v="323310"/>
        <n v="323312"/>
        <n v="323313"/>
        <n v="323314"/>
        <n v="323316"/>
        <n v="323317"/>
        <n v="323318"/>
        <n v="323321"/>
        <n v="323322"/>
        <n v="323323"/>
        <n v="323324"/>
        <n v="323325"/>
        <n v="323326"/>
        <n v="323327"/>
        <n v="323328"/>
        <n v="323329"/>
        <n v="323333"/>
        <n v="323334"/>
        <n v="323335"/>
        <n v="323339"/>
        <n v="323340"/>
        <n v="323341"/>
        <n v="323342"/>
        <n v="323343"/>
        <n v="323345"/>
        <n v="323347"/>
        <n v="323348"/>
        <n v="323353"/>
        <n v="323358"/>
        <n v="323359"/>
        <n v="323360"/>
        <n v="323361"/>
        <n v="323362"/>
        <n v="323364"/>
        <n v="323366"/>
        <n v="323367"/>
        <n v="323370"/>
        <n v="323371"/>
        <n v="323372"/>
        <n v="323376"/>
        <n v="323377"/>
        <n v="323378"/>
        <n v="323380"/>
        <n v="323382"/>
        <n v="323385"/>
        <n v="323386"/>
        <n v="323388"/>
        <n v="323389"/>
        <n v="323393"/>
        <n v="323396"/>
        <n v="323398"/>
        <n v="323401"/>
        <n v="323402"/>
        <n v="323403"/>
        <n v="323404"/>
        <n v="323405"/>
        <n v="323406"/>
        <n v="323407"/>
        <n v="323408"/>
        <n v="323409"/>
        <n v="323413"/>
        <n v="323417"/>
        <n v="323418"/>
        <n v="323420"/>
        <n v="323426"/>
        <n v="323427"/>
        <n v="323430"/>
        <n v="323431"/>
        <n v="323433"/>
        <n v="323435"/>
        <n v="323436"/>
        <n v="323438"/>
        <n v="323439"/>
        <n v="323440"/>
        <n v="323441"/>
        <n v="323444"/>
        <n v="323445"/>
        <n v="323446"/>
        <n v="323447"/>
        <n v="323448"/>
        <n v="323449"/>
        <n v="323451"/>
        <n v="323452"/>
        <n v="323453"/>
        <n v="323458"/>
        <n v="323460"/>
        <n v="323461"/>
        <n v="323462"/>
        <n v="323464"/>
        <n v="323467"/>
        <n v="323469"/>
        <n v="323470"/>
        <n v="323473"/>
        <n v="323474"/>
        <n v="323475"/>
        <n v="323476"/>
        <n v="323477"/>
        <n v="323481"/>
        <n v="323485"/>
        <n v="323487"/>
        <n v="323489"/>
        <n v="323492"/>
        <n v="323494"/>
        <n v="323497"/>
        <n v="323498"/>
        <n v="323499"/>
        <n v="323500"/>
        <n v="323501"/>
        <n v="323502"/>
        <n v="323507"/>
        <n v="323510"/>
        <n v="323515"/>
        <n v="323516"/>
        <n v="323518"/>
        <n v="323519"/>
        <n v="323520"/>
        <n v="323521"/>
        <n v="323523"/>
        <n v="323524"/>
        <n v="323525"/>
        <n v="323529"/>
        <n v="323531"/>
        <n v="323533"/>
        <n v="323535"/>
        <n v="323536"/>
        <n v="323537"/>
        <n v="323539"/>
        <n v="323540"/>
        <n v="323541"/>
        <n v="323543"/>
        <n v="323544"/>
        <n v="323545"/>
        <n v="323546"/>
        <n v="323548"/>
        <n v="323549"/>
        <n v="323550"/>
        <n v="323552"/>
        <n v="323553"/>
        <n v="323554"/>
        <n v="323557"/>
        <n v="323558"/>
        <n v="323559"/>
        <n v="323560"/>
        <n v="323561"/>
        <n v="323563"/>
        <n v="323565"/>
        <n v="323566"/>
        <n v="323567"/>
        <n v="323568"/>
        <n v="323569"/>
        <n v="323571"/>
        <n v="323572"/>
        <n v="323573"/>
        <n v="323575"/>
        <n v="323576"/>
        <n v="323578"/>
        <n v="323582"/>
        <n v="323583"/>
        <n v="323585"/>
        <n v="323586"/>
        <n v="323588"/>
        <n v="323590"/>
        <n v="323591"/>
        <n v="323593"/>
        <n v="323594"/>
        <n v="323595"/>
        <n v="323597"/>
        <n v="323600"/>
        <n v="323601"/>
        <n v="323605"/>
        <n v="323606"/>
        <n v="323608"/>
        <n v="323611"/>
        <n v="323614"/>
        <n v="323617"/>
        <n v="323621"/>
        <n v="323622"/>
        <n v="323624"/>
        <n v="323625"/>
        <n v="323626"/>
        <n v="323634"/>
        <n v="323636"/>
        <n v="323639"/>
        <n v="323640"/>
        <n v="323642"/>
        <n v="323643"/>
        <n v="323644"/>
        <n v="323645"/>
        <n v="323646"/>
        <n v="323647"/>
        <n v="323648"/>
        <n v="323649"/>
        <n v="323650"/>
        <n v="323651"/>
        <n v="323654"/>
        <n v="323656"/>
        <n v="323657"/>
        <n v="323659"/>
        <n v="323660"/>
        <n v="323663"/>
        <n v="323664"/>
        <n v="323666"/>
        <n v="323667"/>
        <n v="323668"/>
        <n v="323669"/>
        <n v="323670"/>
        <n v="323671"/>
        <n v="323672"/>
        <n v="323674"/>
        <n v="323675"/>
        <n v="323676"/>
        <n v="323677"/>
        <n v="323678"/>
        <n v="323680"/>
        <n v="323684"/>
        <n v="323685"/>
        <n v="323686"/>
        <n v="323687"/>
        <n v="323689"/>
        <n v="323691"/>
        <n v="323693"/>
        <n v="323695"/>
        <n v="323696"/>
        <n v="323699"/>
        <n v="323701"/>
        <n v="323703"/>
        <n v="323704"/>
        <n v="323705"/>
        <n v="323709"/>
        <n v="323712"/>
        <n v="323713"/>
        <n v="323714"/>
        <n v="323715"/>
        <n v="323717"/>
        <n v="323719"/>
        <n v="323721"/>
        <n v="323723"/>
        <n v="323725"/>
        <n v="323726"/>
        <n v="323727"/>
        <n v="323728"/>
        <n v="323729"/>
        <n v="323730"/>
        <n v="323731"/>
        <n v="323733"/>
        <n v="323737"/>
        <n v="323738"/>
        <n v="323739"/>
        <n v="323740"/>
        <n v="323742"/>
        <n v="323749"/>
        <n v="323751"/>
        <n v="323752"/>
        <n v="323753"/>
        <n v="323755"/>
        <n v="323757"/>
        <n v="323760"/>
        <n v="323761"/>
        <n v="323762"/>
        <n v="323763"/>
        <n v="323764"/>
        <n v="323765"/>
        <n v="323766"/>
        <n v="323769"/>
        <n v="323771"/>
        <n v="323772"/>
        <n v="323775"/>
        <n v="323776"/>
        <n v="323780"/>
        <n v="323781"/>
        <n v="323782"/>
        <n v="323784"/>
        <n v="323786"/>
        <n v="323787"/>
        <n v="323788"/>
        <n v="323789"/>
        <n v="323793"/>
        <n v="323799"/>
        <n v="323800"/>
        <n v="323803"/>
        <n v="323804"/>
        <n v="323805"/>
        <n v="323806"/>
        <n v="323807"/>
        <n v="323809"/>
        <n v="323811"/>
        <n v="323814"/>
        <n v="323818"/>
        <n v="323819"/>
        <n v="323820"/>
        <n v="323822"/>
        <n v="323823"/>
        <n v="323825"/>
        <n v="323827"/>
        <n v="323828"/>
        <n v="323829"/>
        <n v="323831"/>
        <n v="323832"/>
        <n v="323834"/>
        <n v="323835"/>
        <n v="323836"/>
        <n v="323837"/>
        <n v="323838"/>
        <n v="323839"/>
        <n v="323841"/>
        <n v="323842"/>
        <n v="323843"/>
        <n v="323844"/>
        <n v="323845"/>
        <n v="323846"/>
        <n v="323847"/>
        <n v="323848"/>
        <n v="323852"/>
        <n v="323857"/>
        <n v="323859"/>
        <n v="323860"/>
        <n v="323863"/>
        <n v="323865"/>
        <n v="323866"/>
        <n v="323867"/>
        <n v="323869"/>
        <n v="323870"/>
        <n v="323873"/>
        <n v="323875"/>
        <n v="323877"/>
        <n v="323879"/>
        <n v="323880"/>
        <n v="323884"/>
        <n v="323885"/>
        <n v="323886"/>
        <n v="323887"/>
        <n v="323888"/>
        <n v="323890"/>
        <n v="323893"/>
        <n v="323894"/>
        <n v="323895"/>
        <n v="323897"/>
        <n v="323899"/>
        <n v="323902"/>
        <n v="323903"/>
        <n v="323904"/>
        <n v="323906"/>
        <n v="323909"/>
        <n v="323912"/>
        <n v="323913"/>
        <n v="323914"/>
        <n v="323915"/>
        <n v="323916"/>
        <n v="323919"/>
        <n v="323920"/>
        <n v="323921"/>
        <n v="323922"/>
        <n v="323923"/>
        <n v="323924"/>
        <n v="323925"/>
        <n v="323926"/>
        <n v="323927"/>
        <n v="323929"/>
        <n v="323930"/>
        <n v="323932"/>
        <n v="323936"/>
        <n v="323937"/>
        <n v="323939"/>
        <n v="323940"/>
        <n v="323942"/>
        <n v="323944"/>
        <n v="323945"/>
        <n v="323946"/>
        <n v="323947"/>
        <n v="323949"/>
        <n v="323951"/>
        <n v="323952"/>
        <n v="323953"/>
        <n v="323954"/>
        <n v="323955"/>
        <n v="323957"/>
        <n v="323958"/>
        <n v="323959"/>
        <n v="323961"/>
        <n v="323962"/>
        <n v="323963"/>
        <n v="323964"/>
        <n v="323965"/>
        <n v="323966"/>
        <n v="323967"/>
        <n v="323968"/>
        <n v="323970"/>
        <n v="323972"/>
        <n v="323973"/>
        <n v="323974"/>
        <n v="323977"/>
        <n v="323978"/>
        <n v="323979"/>
        <n v="323980"/>
        <n v="323981"/>
        <n v="323982"/>
        <n v="323986"/>
        <n v="323987"/>
        <n v="323990"/>
        <n v="323991"/>
        <n v="323993"/>
        <n v="323994"/>
        <n v="323995"/>
        <n v="323996"/>
        <n v="323998"/>
        <n v="323999"/>
        <n v="324000"/>
        <n v="324003"/>
        <n v="324005"/>
        <n v="324007"/>
        <n v="324008"/>
        <n v="324010"/>
        <n v="324011"/>
        <n v="324013"/>
        <n v="324014"/>
        <n v="324015"/>
        <n v="324016"/>
        <n v="324018"/>
        <n v="324019"/>
        <n v="324020"/>
        <n v="324024"/>
        <n v="324028"/>
        <n v="324029"/>
        <n v="324031"/>
        <n v="324033"/>
        <n v="324034"/>
        <n v="324035"/>
        <n v="324036"/>
        <n v="324037"/>
        <n v="324039"/>
        <n v="324040"/>
        <n v="324041"/>
        <n v="324042"/>
        <n v="324043"/>
        <n v="324045"/>
        <n v="324046"/>
        <n v="324047"/>
        <n v="324050"/>
        <n v="324052"/>
        <n v="324053"/>
        <n v="324054"/>
        <n v="324055"/>
        <n v="324056"/>
        <n v="324060"/>
        <n v="324063"/>
        <n v="324064"/>
        <n v="324065"/>
        <n v="324066"/>
        <n v="324067"/>
        <n v="324070"/>
        <n v="324071"/>
        <n v="324072"/>
        <n v="324073"/>
        <n v="324074"/>
        <n v="324075"/>
        <n v="324076"/>
        <n v="324077"/>
        <n v="324078"/>
        <n v="324079"/>
        <n v="324080"/>
        <n v="324081"/>
        <n v="324082"/>
        <n v="324083"/>
        <n v="324084"/>
        <n v="324085"/>
        <n v="324086"/>
        <n v="324087"/>
        <n v="324089"/>
        <n v="324090"/>
        <n v="324091"/>
        <n v="324093"/>
        <n v="324094"/>
        <n v="324095"/>
        <n v="324096"/>
        <n v="324097"/>
        <n v="324098"/>
        <n v="324103"/>
        <n v="324105"/>
        <n v="324108"/>
        <n v="324109"/>
        <n v="324110"/>
        <n v="324111"/>
        <n v="324113"/>
        <n v="324114"/>
        <n v="324115"/>
        <n v="324118"/>
        <n v="324120"/>
        <n v="324121"/>
        <n v="324122"/>
        <n v="324123"/>
        <n v="324124"/>
        <n v="324125"/>
        <n v="324127"/>
        <n v="324129"/>
        <n v="324130"/>
        <n v="324131"/>
        <n v="324132"/>
        <n v="324136"/>
        <n v="324139"/>
        <n v="324141"/>
        <n v="324142"/>
        <n v="324143"/>
        <n v="324144"/>
        <n v="324145"/>
        <n v="324146"/>
        <n v="324147"/>
        <n v="324149"/>
        <n v="324151"/>
        <n v="324155"/>
        <n v="324156"/>
        <n v="324157"/>
        <n v="324159"/>
        <n v="324161"/>
        <n v="324162"/>
        <n v="324164"/>
        <n v="324165"/>
        <n v="324166"/>
        <n v="324167"/>
        <n v="324171"/>
        <n v="324173"/>
        <n v="324174"/>
        <n v="324177"/>
        <n v="324178"/>
        <n v="324179"/>
        <n v="324180"/>
        <n v="324181"/>
        <n v="324183"/>
        <n v="324184"/>
        <n v="324185"/>
        <n v="324186"/>
        <n v="324187"/>
        <n v="324189"/>
        <n v="324190"/>
        <n v="324191"/>
        <n v="324192"/>
        <n v="324193"/>
        <n v="324194"/>
        <n v="324197"/>
        <n v="324198"/>
        <n v="324199"/>
        <n v="324200"/>
        <n v="324204"/>
        <n v="324205"/>
        <n v="324206"/>
        <n v="324213"/>
        <n v="324214"/>
        <n v="324218"/>
        <n v="324219"/>
        <n v="324220"/>
        <n v="324221"/>
        <n v="324223"/>
        <n v="324224"/>
        <n v="324225"/>
        <n v="324228"/>
        <n v="324231"/>
        <n v="324232"/>
        <n v="324236"/>
        <n v="324237"/>
        <n v="324239"/>
        <n v="324240"/>
        <n v="324241"/>
        <n v="324242"/>
        <n v="324243"/>
        <n v="324244"/>
        <n v="324246"/>
        <n v="324249"/>
        <n v="324251"/>
        <n v="324252"/>
        <n v="324253"/>
        <n v="324254"/>
        <n v="324255"/>
        <n v="324256"/>
        <n v="324258"/>
        <n v="324259"/>
        <n v="324260"/>
        <n v="324261"/>
        <n v="324262"/>
        <n v="324265"/>
        <n v="324267"/>
        <n v="324270"/>
        <n v="324272"/>
        <n v="324273"/>
        <n v="324274"/>
        <n v="324275"/>
        <n v="324276"/>
        <n v="324277"/>
        <n v="324278"/>
        <n v="324279"/>
        <n v="324280"/>
        <n v="324281"/>
        <n v="324282"/>
        <n v="324283"/>
        <n v="324285"/>
        <n v="324286"/>
        <n v="324287"/>
        <n v="324289"/>
        <n v="324291"/>
        <n v="324292"/>
        <n v="324294"/>
        <n v="324295"/>
        <n v="324296"/>
        <n v="324297"/>
        <n v="324298"/>
        <n v="324301"/>
        <n v="324303"/>
        <n v="324305"/>
        <n v="324306"/>
        <n v="324307"/>
        <n v="324308"/>
        <n v="324311"/>
        <n v="324313"/>
        <n v="324314"/>
        <n v="324317"/>
        <n v="324318"/>
        <n v="324319"/>
        <n v="324320"/>
        <n v="324322"/>
        <n v="324323"/>
        <n v="324324"/>
        <n v="324325"/>
        <n v="324326"/>
        <n v="324327"/>
        <n v="324329"/>
        <n v="324330"/>
        <n v="324333"/>
        <n v="324334"/>
        <n v="324335"/>
        <n v="324336"/>
        <n v="324338"/>
        <n v="324340"/>
        <n v="324342"/>
        <n v="324345"/>
        <n v="324346"/>
        <n v="324348"/>
        <n v="324349"/>
        <n v="324351"/>
        <n v="324353"/>
        <n v="324355"/>
        <n v="324357"/>
        <n v="324359"/>
        <n v="324360"/>
        <n v="324362"/>
        <n v="324363"/>
        <n v="324364"/>
        <n v="324365"/>
        <n v="324367"/>
        <n v="324368"/>
        <n v="324369"/>
        <n v="324371"/>
        <n v="324373"/>
        <n v="324374"/>
        <n v="324375"/>
        <n v="324376"/>
        <n v="324378"/>
        <n v="324379"/>
        <n v="324380"/>
        <n v="324381"/>
        <n v="324382"/>
        <n v="324383"/>
        <n v="324384"/>
        <n v="324386"/>
        <n v="324388"/>
        <n v="324389"/>
        <n v="324390"/>
        <n v="324391"/>
        <n v="324392"/>
        <n v="324393"/>
        <n v="324394"/>
        <n v="324396"/>
        <n v="324399"/>
        <n v="324406"/>
        <n v="324407"/>
        <n v="324408"/>
        <n v="324409"/>
        <n v="324410"/>
        <n v="324411"/>
        <n v="324412"/>
        <n v="324414"/>
        <n v="324415"/>
        <n v="324416"/>
        <n v="324417"/>
        <n v="324418"/>
        <n v="324420"/>
        <n v="324421"/>
        <n v="324423"/>
        <n v="324425"/>
        <n v="324426"/>
        <n v="324428"/>
        <n v="324430"/>
        <n v="324431"/>
        <n v="324432"/>
        <n v="324433"/>
        <n v="324434"/>
        <n v="324435"/>
        <n v="324436"/>
        <n v="324437"/>
        <n v="324438"/>
        <n v="324439"/>
        <n v="324440"/>
        <n v="324442"/>
        <n v="324443"/>
        <n v="324444"/>
        <n v="324445"/>
        <n v="324446"/>
        <n v="324452"/>
        <n v="324453"/>
        <n v="324455"/>
        <n v="324458"/>
        <n v="324461"/>
        <n v="324462"/>
        <n v="324463"/>
        <n v="324465"/>
        <n v="324468"/>
        <n v="324469"/>
        <n v="324470"/>
        <n v="324471"/>
        <n v="324473"/>
        <n v="324474"/>
        <n v="324476"/>
        <n v="324477"/>
        <n v="324478"/>
        <n v="324479"/>
        <n v="324480"/>
        <n v="324482"/>
        <n v="324485"/>
        <n v="324487"/>
        <n v="324489"/>
        <n v="324493"/>
        <n v="324494"/>
        <n v="324495"/>
        <n v="324496"/>
        <n v="324497"/>
        <n v="324498"/>
        <n v="324499"/>
        <n v="324500"/>
        <n v="324501"/>
        <n v="324505"/>
        <n v="324506"/>
        <n v="324507"/>
        <n v="324508"/>
        <n v="324509"/>
        <n v="324510"/>
        <n v="324512"/>
        <n v="324513"/>
        <n v="324514"/>
        <n v="324515"/>
        <n v="324516"/>
        <n v="324517"/>
        <n v="324518"/>
        <n v="324519"/>
        <n v="324523"/>
        <n v="324526"/>
        <n v="324527"/>
        <n v="324528"/>
        <n v="324529"/>
        <n v="324532"/>
        <n v="324533"/>
        <n v="324535"/>
        <n v="324536"/>
        <n v="324537"/>
        <n v="324538"/>
        <n v="324541"/>
        <n v="324542"/>
        <n v="324543"/>
        <n v="324545"/>
        <n v="324547"/>
        <n v="324551"/>
        <n v="324552"/>
        <n v="324553"/>
        <n v="324554"/>
        <n v="324556"/>
        <n v="324557"/>
        <n v="324558"/>
        <n v="324559"/>
        <n v="324561"/>
        <n v="324563"/>
        <n v="324564"/>
        <n v="324566"/>
        <n v="324569"/>
        <n v="324570"/>
        <n v="324571"/>
        <n v="324572"/>
        <n v="324575"/>
        <n v="324576"/>
        <n v="324577"/>
        <n v="324578"/>
        <n v="324579"/>
        <n v="324580"/>
        <n v="324581"/>
        <n v="324583"/>
        <n v="324585"/>
        <n v="324586"/>
        <n v="324590"/>
        <n v="324591"/>
        <n v="324592"/>
        <n v="324593"/>
        <n v="324596"/>
        <n v="324597"/>
        <n v="324598"/>
        <n v="324599"/>
        <n v="324600"/>
        <n v="324601"/>
        <n v="324602"/>
        <n v="324603"/>
        <n v="324604"/>
        <n v="324609"/>
        <n v="324610"/>
        <n v="324611"/>
        <n v="324613"/>
        <n v="324614"/>
        <n v="324615"/>
        <n v="324616"/>
        <n v="324617"/>
        <n v="324618"/>
        <n v="324621"/>
        <n v="324622"/>
        <n v="324623"/>
        <n v="324627"/>
        <n v="324628"/>
        <n v="324629"/>
        <n v="324630"/>
        <n v="324632"/>
        <n v="324637"/>
        <n v="324639"/>
        <n v="324640"/>
        <n v="324641"/>
        <n v="324643"/>
        <n v="324644"/>
        <n v="324646"/>
        <n v="324648"/>
        <n v="324649"/>
        <n v="324653"/>
        <n v="324654"/>
        <n v="324656"/>
        <n v="324658"/>
        <n v="324659"/>
        <n v="324660"/>
        <n v="324662"/>
        <n v="324663"/>
        <n v="324664"/>
        <n v="324666"/>
        <n v="324668"/>
        <n v="324670"/>
        <n v="324671"/>
        <n v="324674"/>
        <n v="324675"/>
        <n v="324678"/>
        <n v="324679"/>
        <n v="324681"/>
        <n v="324685"/>
        <n v="324688"/>
        <n v="324689"/>
        <n v="324691"/>
        <n v="324692"/>
        <n v="324693"/>
        <n v="324694"/>
        <n v="324695"/>
        <n v="324697"/>
        <n v="324698"/>
        <n v="324699"/>
        <n v="324700"/>
        <n v="324701"/>
        <n v="324702"/>
        <n v="324707"/>
        <n v="324708"/>
        <n v="324710"/>
        <n v="324712"/>
        <n v="324713"/>
        <n v="324716"/>
        <n v="324717"/>
        <n v="324720"/>
        <n v="324721"/>
        <n v="324722"/>
        <n v="324724"/>
        <n v="324725"/>
        <n v="324727"/>
        <n v="324732"/>
        <n v="324733"/>
        <n v="324734"/>
        <n v="324735"/>
        <n v="324738"/>
        <n v="324739"/>
        <n v="324741"/>
        <n v="324742"/>
        <n v="324746"/>
        <n v="324747"/>
        <n v="324748"/>
        <n v="324749"/>
        <n v="324755"/>
        <n v="324756"/>
        <n v="324758"/>
        <n v="324759"/>
        <n v="324765"/>
        <n v="324766"/>
        <n v="324767"/>
        <n v="324768"/>
        <n v="324769"/>
        <n v="324771"/>
        <n v="324772"/>
        <n v="324773"/>
        <n v="324774"/>
        <n v="324775"/>
        <n v="324776"/>
        <n v="324779"/>
        <n v="324780"/>
        <n v="324781"/>
        <n v="324782"/>
        <n v="324783"/>
        <n v="324785"/>
        <n v="324786"/>
        <n v="324787"/>
        <n v="324788"/>
        <n v="324789"/>
        <n v="324790"/>
        <n v="324793"/>
        <n v="324794"/>
        <n v="324795"/>
        <n v="324796"/>
        <n v="324797"/>
        <n v="324799"/>
        <n v="324801"/>
        <n v="324802"/>
        <n v="324803"/>
        <n v="324804"/>
        <n v="324806"/>
        <n v="324807"/>
        <n v="324809"/>
        <n v="324812"/>
        <n v="324813"/>
        <n v="324814"/>
        <n v="324816"/>
        <n v="324817"/>
        <n v="324818"/>
        <n v="324819"/>
        <n v="324822"/>
        <n v="324823"/>
        <n v="324824"/>
        <n v="324825"/>
        <n v="324827"/>
        <n v="324828"/>
        <n v="324829"/>
        <n v="324830"/>
        <n v="324833"/>
        <n v="324834"/>
        <n v="324836"/>
        <n v="324837"/>
        <n v="324838"/>
        <n v="324839"/>
        <n v="324840"/>
        <n v="324841"/>
        <n v="324843"/>
        <n v="324844"/>
        <n v="324845"/>
        <n v="324846"/>
        <n v="324847"/>
        <n v="324848"/>
        <n v="324849"/>
        <n v="324852"/>
        <n v="324855"/>
        <n v="324856"/>
        <n v="324857"/>
        <n v="324858"/>
        <n v="324860"/>
        <n v="324861"/>
        <n v="324863"/>
        <n v="324864"/>
        <n v="324865"/>
        <n v="324866"/>
        <n v="324867"/>
        <n v="324868"/>
        <n v="324872"/>
        <n v="324873"/>
        <n v="324875"/>
        <n v="324877"/>
        <n v="324878"/>
        <n v="324881"/>
        <n v="324882"/>
        <n v="324883"/>
        <n v="324885"/>
        <n v="324887"/>
        <n v="324889"/>
        <n v="324890"/>
        <n v="324891"/>
        <n v="324892"/>
        <n v="324893"/>
        <n v="324894"/>
        <n v="324895"/>
        <n v="324896"/>
        <n v="324897"/>
        <n v="324898"/>
        <n v="324899"/>
        <n v="324900"/>
        <n v="324902"/>
        <n v="324903"/>
        <n v="324904"/>
        <n v="324905"/>
        <n v="324906"/>
        <n v="324909"/>
        <n v="324910"/>
        <n v="324913"/>
        <n v="324914"/>
        <n v="324916"/>
        <n v="324918"/>
        <n v="324919"/>
        <n v="324920"/>
        <n v="324922"/>
        <n v="324923"/>
        <n v="324924"/>
        <n v="324925"/>
        <n v="324926"/>
        <n v="324929"/>
        <n v="324930"/>
        <n v="324933"/>
        <n v="324934"/>
        <n v="324935"/>
        <n v="324937"/>
        <n v="324938"/>
        <n v="324939"/>
        <n v="324941"/>
        <n v="324942"/>
        <n v="324943"/>
        <n v="324947"/>
        <n v="324948"/>
        <n v="324949"/>
        <n v="324951"/>
        <n v="324952"/>
        <n v="324953"/>
        <n v="324954"/>
        <n v="324959"/>
        <n v="324960"/>
        <n v="324961"/>
        <n v="324962"/>
        <n v="324966"/>
        <n v="324968"/>
        <n v="324969"/>
        <n v="324972"/>
        <n v="324973"/>
        <n v="324976"/>
        <n v="324977"/>
        <n v="324979"/>
        <n v="324980"/>
        <n v="324981"/>
        <n v="324982"/>
        <n v="324984"/>
        <n v="324985"/>
        <n v="324988"/>
        <n v="324990"/>
        <n v="324992"/>
        <n v="324993"/>
        <n v="324996"/>
        <n v="324997"/>
        <n v="324999"/>
        <n v="325001"/>
        <n v="325002"/>
        <n v="325003"/>
        <n v="325004"/>
        <n v="325005"/>
        <n v="325006"/>
        <n v="325007"/>
        <n v="325009"/>
        <n v="325010"/>
        <n v="325015"/>
        <n v="325016"/>
        <n v="325017"/>
        <n v="325019"/>
        <n v="325020"/>
        <n v="325021"/>
        <n v="325022"/>
        <n v="325025"/>
        <n v="325026"/>
        <n v="325027"/>
        <n v="325028"/>
        <n v="325029"/>
        <n v="325030"/>
        <n v="325032"/>
        <n v="325033"/>
        <n v="325035"/>
        <n v="325036"/>
        <n v="325038"/>
        <n v="325040"/>
        <n v="325041"/>
        <n v="325042"/>
        <n v="325043"/>
        <n v="325046"/>
        <n v="325047"/>
        <n v="325048"/>
        <n v="325051"/>
        <n v="325057"/>
        <n v="325058"/>
        <n v="325059"/>
        <n v="325060"/>
        <n v="325061"/>
        <n v="325063"/>
        <n v="325064"/>
        <n v="325065"/>
        <n v="325067"/>
        <n v="325069"/>
        <n v="325070"/>
        <n v="325071"/>
        <n v="325072"/>
        <n v="325073"/>
        <n v="325076"/>
        <n v="325078"/>
        <n v="325080"/>
        <n v="325081"/>
        <n v="325082"/>
        <n v="325084"/>
        <n v="325087"/>
        <n v="325090"/>
        <n v="325093"/>
        <n v="325094"/>
        <n v="325095"/>
        <n v="325096"/>
        <n v="325097"/>
        <n v="325098"/>
        <n v="325099"/>
        <n v="325103"/>
        <n v="325105"/>
        <n v="325106"/>
        <n v="325108"/>
        <n v="325109"/>
        <n v="325111"/>
        <n v="325112"/>
        <n v="325113"/>
        <n v="325117"/>
        <n v="325118"/>
        <n v="325120"/>
        <n v="325123"/>
        <n v="325124"/>
        <n v="325127"/>
        <n v="325128"/>
        <n v="325129"/>
        <n v="325132"/>
        <n v="325133"/>
        <n v="325136"/>
        <n v="325137"/>
        <n v="325138"/>
        <n v="325139"/>
        <n v="325140"/>
        <n v="325141"/>
        <n v="325143"/>
        <n v="325144"/>
        <n v="325145"/>
        <n v="325146"/>
        <n v="325148"/>
        <n v="325149"/>
        <n v="325150"/>
        <n v="325155"/>
        <n v="325157"/>
        <n v="325159"/>
        <n v="325162"/>
        <n v="325163"/>
        <n v="325164"/>
        <n v="325167"/>
        <n v="325168"/>
        <n v="325169"/>
        <n v="325170"/>
        <n v="325173"/>
        <n v="325174"/>
        <n v="325181"/>
        <n v="325182"/>
        <n v="325188"/>
        <n v="325189"/>
        <n v="325190"/>
        <n v="325191"/>
        <n v="325194"/>
        <n v="325195"/>
        <n v="325196"/>
        <n v="325197"/>
        <n v="325200"/>
        <n v="325201"/>
        <n v="325202"/>
        <n v="325203"/>
        <n v="325204"/>
        <n v="325205"/>
        <n v="325213"/>
        <n v="325214"/>
        <n v="325215"/>
        <n v="325220"/>
        <n v="325221"/>
        <n v="325223"/>
        <n v="325225"/>
        <n v="325226"/>
        <n v="325227"/>
        <n v="325230"/>
        <n v="325232"/>
        <n v="325233"/>
        <n v="325234"/>
        <n v="325236"/>
        <n v="325237"/>
        <n v="325239"/>
        <n v="325240"/>
        <n v="325242"/>
        <n v="325243"/>
        <n v="325245"/>
        <n v="325246"/>
        <n v="325247"/>
        <n v="325249"/>
        <n v="325251"/>
        <n v="325253"/>
        <n v="325254"/>
        <n v="325255"/>
        <n v="325256"/>
        <n v="325258"/>
        <n v="325261"/>
        <n v="325262"/>
        <n v="325263"/>
        <n v="325264"/>
        <n v="325265"/>
        <n v="325266"/>
        <n v="325269"/>
        <n v="325270"/>
        <n v="325271"/>
        <n v="325272"/>
        <n v="325273"/>
        <n v="325274"/>
        <n v="325276"/>
        <n v="325278"/>
        <n v="325280"/>
        <n v="325281"/>
        <n v="325282"/>
        <n v="325283"/>
        <n v="325285"/>
        <n v="325286"/>
        <n v="325287"/>
        <n v="325290"/>
        <n v="325294"/>
        <n v="325295"/>
        <n v="325297"/>
        <n v="325298"/>
        <n v="325300"/>
        <n v="325301"/>
        <n v="325302"/>
        <n v="325303"/>
        <n v="325306"/>
        <n v="325307"/>
        <n v="325308"/>
        <n v="325309"/>
        <n v="325310"/>
        <n v="325312"/>
        <n v="325314"/>
        <n v="325315"/>
        <n v="325316"/>
        <n v="325317"/>
        <n v="325320"/>
        <n v="325321"/>
        <n v="325323"/>
        <n v="325325"/>
        <n v="325327"/>
        <n v="325328"/>
        <n v="325329"/>
        <n v="325330"/>
        <n v="325332"/>
        <n v="325334"/>
        <n v="325335"/>
        <n v="325336"/>
        <n v="325337"/>
        <n v="325340"/>
        <n v="325342"/>
        <n v="325344"/>
        <n v="325345"/>
        <n v="325348"/>
        <n v="325351"/>
        <n v="325354"/>
        <n v="325357"/>
        <n v="325359"/>
        <n v="325366"/>
        <n v="325367"/>
        <n v="325368"/>
        <n v="325369"/>
        <n v="325371"/>
        <n v="325372"/>
        <n v="325374"/>
        <n v="325376"/>
        <n v="325379"/>
        <n v="325380"/>
        <n v="325382"/>
        <n v="325383"/>
        <n v="325387"/>
        <n v="325388"/>
        <n v="325391"/>
        <n v="325394"/>
        <n v="325395"/>
        <n v="325396"/>
        <n v="325397"/>
        <n v="325398"/>
        <n v="325399"/>
        <n v="325400"/>
        <n v="325401"/>
        <n v="325403"/>
        <n v="325404"/>
        <n v="325405"/>
        <n v="325407"/>
        <n v="325410"/>
        <n v="325415"/>
        <n v="325416"/>
        <n v="325417"/>
        <n v="325418"/>
        <n v="325419"/>
        <n v="325421"/>
        <n v="325422"/>
        <n v="325423"/>
        <n v="325426"/>
        <n v="325427"/>
        <n v="325428"/>
        <n v="325429"/>
        <n v="325430"/>
        <n v="325431"/>
        <n v="325432"/>
        <n v="325434"/>
        <n v="325436"/>
        <n v="325437"/>
        <n v="325438"/>
        <n v="325440"/>
        <n v="325441"/>
        <n v="325442"/>
        <n v="325443"/>
        <n v="325444"/>
        <n v="325445"/>
        <n v="325446"/>
        <n v="325447"/>
        <n v="325448"/>
        <n v="325449"/>
        <n v="325453"/>
        <n v="325454"/>
        <n v="325455"/>
        <n v="325456"/>
        <n v="325458"/>
        <n v="325459"/>
        <n v="325460"/>
        <n v="325461"/>
        <n v="325464"/>
        <n v="325465"/>
        <n v="325467"/>
        <n v="325468"/>
        <n v="325469"/>
        <n v="325470"/>
        <n v="325471"/>
        <n v="325472"/>
        <n v="325473"/>
        <n v="325474"/>
        <n v="325475"/>
        <n v="325477"/>
        <n v="325478"/>
        <n v="325479"/>
        <n v="325480"/>
        <n v="325481"/>
        <n v="325482"/>
        <n v="325483"/>
        <n v="325485"/>
        <n v="325486"/>
        <n v="325488"/>
        <n v="325491"/>
        <n v="325493"/>
        <n v="325494"/>
        <n v="325495"/>
        <n v="325496"/>
        <n v="325497"/>
        <n v="325498"/>
        <n v="325499"/>
        <n v="325500"/>
        <n v="325501"/>
        <n v="325504"/>
        <n v="325505"/>
        <n v="325506"/>
        <n v="325507"/>
        <n v="325509"/>
        <n v="325510"/>
        <n v="325511"/>
        <n v="325512"/>
        <n v="325513"/>
        <n v="325515"/>
        <n v="325516"/>
        <n v="325517"/>
        <n v="325519"/>
        <n v="325520"/>
        <n v="325521"/>
        <n v="325522"/>
        <n v="325524"/>
        <n v="325525"/>
        <n v="325526"/>
        <n v="325528"/>
        <n v="325530"/>
        <n v="325533"/>
        <n v="325540"/>
        <n v="325541"/>
        <n v="325546"/>
        <n v="325547"/>
        <n v="325548"/>
        <n v="325552"/>
        <n v="325553"/>
        <n v="325554"/>
        <n v="325555"/>
        <n v="325556"/>
        <n v="325560"/>
        <n v="325562"/>
        <n v="325564"/>
        <n v="325565"/>
        <n v="325566"/>
        <n v="325567"/>
        <n v="325571"/>
        <n v="325572"/>
        <n v="325574"/>
        <n v="325576"/>
        <n v="325577"/>
        <n v="325578"/>
        <n v="325579"/>
        <n v="325580"/>
        <n v="325581"/>
        <n v="325582"/>
        <n v="325583"/>
        <n v="325584"/>
        <n v="325585"/>
        <n v="325586"/>
        <n v="325587"/>
        <n v="325588"/>
        <n v="325589"/>
        <n v="325591"/>
        <n v="325592"/>
        <n v="325593"/>
        <n v="325594"/>
        <n v="325595"/>
        <n v="325596"/>
        <n v="325597"/>
        <n v="325598"/>
        <n v="325599"/>
        <n v="325600"/>
        <n v="325601"/>
        <n v="325603"/>
        <n v="325604"/>
        <n v="325605"/>
        <n v="325606"/>
        <n v="325607"/>
        <n v="325610"/>
        <n v="325611"/>
        <n v="325613"/>
        <n v="325619"/>
        <n v="325620"/>
        <n v="325621"/>
        <n v="325624"/>
        <n v="325626"/>
        <n v="325628"/>
        <n v="325630"/>
        <n v="325631"/>
        <n v="325632"/>
        <n v="325633"/>
        <n v="325634"/>
        <n v="325635"/>
        <n v="325636"/>
        <n v="325637"/>
        <n v="325639"/>
        <n v="325640"/>
        <n v="325642"/>
        <n v="325644"/>
        <n v="325645"/>
        <n v="325647"/>
        <n v="325648"/>
        <n v="325652"/>
        <n v="325653"/>
        <n v="325654"/>
        <n v="325655"/>
        <n v="325657"/>
        <n v="325659"/>
        <n v="325660"/>
        <n v="325661"/>
        <n v="325662"/>
        <n v="325664"/>
        <n v="325665"/>
        <n v="325666"/>
        <n v="325668"/>
        <n v="325670"/>
        <n v="325672"/>
        <n v="325678"/>
        <n v="325679"/>
        <n v="325681"/>
        <n v="325682"/>
        <n v="325684"/>
        <n v="325685"/>
        <n v="325686"/>
        <n v="325687"/>
        <n v="325689"/>
        <n v="325690"/>
        <n v="325691"/>
        <n v="325693"/>
        <n v="325696"/>
        <n v="325700"/>
        <n v="325701"/>
        <n v="325702"/>
        <n v="325703"/>
        <n v="325705"/>
        <n v="325708"/>
        <n v="325710"/>
        <n v="325711"/>
        <n v="325717"/>
        <n v="325719"/>
        <n v="325721"/>
        <n v="325723"/>
        <n v="325724"/>
        <n v="325726"/>
        <n v="325727"/>
        <n v="325728"/>
        <n v="325730"/>
        <n v="325731"/>
        <n v="325732"/>
        <n v="325733"/>
        <n v="325734"/>
        <n v="325735"/>
        <n v="325737"/>
        <n v="325740"/>
        <n v="325741"/>
        <n v="325744"/>
        <n v="325746"/>
        <n v="325749"/>
        <n v="325751"/>
        <n v="325753"/>
        <n v="325755"/>
        <n v="325757"/>
        <n v="325758"/>
        <n v="325759"/>
        <n v="325761"/>
        <n v="325762"/>
        <n v="325763"/>
        <n v="325765"/>
        <n v="325767"/>
        <n v="325769"/>
        <n v="325770"/>
        <n v="325771"/>
        <n v="325773"/>
        <n v="325774"/>
        <n v="325775"/>
        <n v="325776"/>
        <n v="325777"/>
        <n v="325780"/>
        <n v="325782"/>
        <n v="325783"/>
        <n v="325784"/>
        <n v="325786"/>
        <n v="325788"/>
        <n v="325791"/>
        <n v="325792"/>
        <n v="325799"/>
        <n v="325800"/>
        <n v="325802"/>
        <n v="325804"/>
        <n v="325805"/>
        <n v="325806"/>
        <n v="325807"/>
        <n v="325809"/>
        <n v="325810"/>
        <n v="325811"/>
        <n v="325812"/>
        <n v="325813"/>
        <n v="325814"/>
        <n v="325815"/>
        <n v="325816"/>
        <n v="325818"/>
        <n v="325819"/>
        <n v="325820"/>
        <n v="325822"/>
        <n v="325823"/>
        <n v="325824"/>
        <n v="325825"/>
        <n v="325826"/>
        <n v="325832"/>
        <n v="325833"/>
        <n v="325835"/>
        <n v="325837"/>
        <n v="325838"/>
        <n v="325841"/>
        <n v="325843"/>
        <n v="325844"/>
        <n v="325845"/>
        <n v="325846"/>
        <n v="325847"/>
        <n v="325848"/>
        <n v="325849"/>
        <n v="325851"/>
        <n v="325852"/>
        <n v="325855"/>
        <n v="325856"/>
        <n v="325859"/>
        <n v="325860"/>
        <n v="325862"/>
        <n v="325863"/>
        <n v="325865"/>
        <n v="325866"/>
        <n v="325868"/>
        <n v="325869"/>
        <n v="325870"/>
        <n v="325871"/>
        <n v="325876"/>
        <n v="325878"/>
        <n v="325879"/>
        <n v="325881"/>
        <n v="325882"/>
        <n v="325885"/>
        <n v="325886"/>
        <n v="325888"/>
        <n v="325889"/>
        <n v="325890"/>
        <n v="325891"/>
        <n v="325893"/>
        <n v="325894"/>
        <n v="325895"/>
        <n v="325896"/>
        <n v="325897"/>
        <n v="325898"/>
        <n v="325900"/>
        <n v="325901"/>
        <n v="325903"/>
        <n v="325906"/>
        <n v="325907"/>
        <n v="325909"/>
        <n v="325914"/>
        <n v="325915"/>
        <n v="325917"/>
        <n v="325919"/>
        <n v="325921"/>
        <n v="325922"/>
        <n v="325924"/>
        <n v="325925"/>
        <n v="325926"/>
        <n v="325927"/>
        <n v="325931"/>
        <n v="325933"/>
        <n v="325935"/>
        <n v="325937"/>
        <n v="325938"/>
        <n v="325939"/>
        <n v="325941"/>
        <n v="325945"/>
        <n v="325946"/>
        <n v="325947"/>
        <n v="325948"/>
        <n v="325949"/>
        <n v="325952"/>
        <n v="325953"/>
        <n v="325954"/>
        <n v="325955"/>
        <n v="325956"/>
        <n v="325957"/>
        <n v="325963"/>
        <n v="325965"/>
        <n v="325966"/>
        <n v="325967"/>
        <n v="325971"/>
        <n v="325974"/>
        <n v="325975"/>
        <n v="325977"/>
        <n v="325978"/>
        <n v="325979"/>
        <n v="325980"/>
        <n v="325983"/>
        <n v="325984"/>
        <n v="325985"/>
        <n v="325988"/>
        <n v="325989"/>
        <n v="325993"/>
        <n v="325995"/>
        <n v="325999"/>
        <n v="326000"/>
        <n v="326001"/>
        <n v="326005"/>
        <n v="326007"/>
        <n v="326008"/>
        <n v="326009"/>
        <n v="326010"/>
        <n v="326014"/>
        <n v="326015"/>
        <n v="326016"/>
        <n v="326017"/>
        <n v="326018"/>
        <n v="326019"/>
        <n v="326020"/>
        <n v="326021"/>
        <n v="326022"/>
        <n v="326023"/>
        <n v="326024"/>
        <n v="326025"/>
        <n v="326026"/>
        <n v="326027"/>
        <n v="326028"/>
        <n v="326030"/>
        <n v="326032"/>
        <n v="326034"/>
        <n v="326036"/>
        <n v="326038"/>
        <n v="326040"/>
        <n v="326041"/>
        <n v="326044"/>
        <n v="326045"/>
        <n v="326046"/>
        <n v="326048"/>
        <n v="326050"/>
        <n v="326051"/>
        <n v="326052"/>
        <n v="326053"/>
        <n v="326055"/>
        <n v="326058"/>
        <n v="326059"/>
        <n v="326060"/>
        <n v="326061"/>
        <n v="326062"/>
        <n v="326063"/>
        <n v="326066"/>
        <n v="326068"/>
        <n v="326069"/>
        <n v="326070"/>
        <n v="326071"/>
        <n v="326072"/>
        <n v="326074"/>
        <n v="326079"/>
        <n v="326084"/>
        <n v="326085"/>
        <n v="326087"/>
        <n v="326088"/>
        <n v="326089"/>
        <n v="326090"/>
        <n v="326092"/>
        <n v="326094"/>
        <n v="326095"/>
        <n v="326096"/>
        <n v="326097"/>
        <n v="326099"/>
        <n v="326101"/>
        <n v="326102"/>
        <n v="326103"/>
        <n v="326104"/>
        <n v="326105"/>
        <n v="326106"/>
        <n v="326108"/>
        <n v="326109"/>
        <n v="326110"/>
        <n v="326113"/>
        <n v="326117"/>
        <n v="326118"/>
        <n v="326119"/>
        <n v="326120"/>
        <n v="326122"/>
        <n v="326123"/>
        <n v="326125"/>
        <n v="326126"/>
        <n v="326128"/>
        <n v="326130"/>
        <n v="326131"/>
        <n v="326132"/>
        <n v="326133"/>
        <n v="326134"/>
        <n v="326135"/>
        <n v="326138"/>
        <n v="326139"/>
        <n v="326140"/>
        <n v="326141"/>
        <n v="326144"/>
        <n v="326145"/>
        <n v="326146"/>
        <n v="326147"/>
        <n v="326148"/>
        <n v="326150"/>
        <n v="326151"/>
        <n v="326153"/>
        <n v="326154"/>
        <n v="326155"/>
        <n v="326157"/>
        <n v="326159"/>
        <n v="326160"/>
        <n v="326161"/>
        <n v="326166"/>
        <n v="326167"/>
        <n v="326168"/>
        <n v="326169"/>
        <n v="326170"/>
        <n v="326172"/>
        <n v="326174"/>
        <n v="326175"/>
        <n v="326176"/>
        <n v="326183"/>
        <n v="326184"/>
        <n v="326185"/>
        <n v="326186"/>
        <n v="326187"/>
        <n v="326188"/>
        <n v="326189"/>
        <n v="326190"/>
        <n v="326192"/>
        <n v="326195"/>
        <n v="326197"/>
        <n v="326198"/>
        <n v="326199"/>
        <n v="326200"/>
        <n v="326202"/>
        <n v="326205"/>
        <n v="326206"/>
        <n v="326207"/>
        <n v="326210"/>
        <n v="326211"/>
        <n v="326212"/>
        <n v="326214"/>
        <n v="326215"/>
        <n v="326216"/>
        <n v="326218"/>
        <n v="326220"/>
        <n v="326221"/>
        <n v="326222"/>
        <n v="326223"/>
        <n v="326224"/>
        <n v="326225"/>
        <n v="326226"/>
        <n v="326227"/>
        <n v="326228"/>
        <n v="326229"/>
        <n v="326231"/>
        <n v="326232"/>
        <n v="326234"/>
        <n v="326236"/>
        <n v="326237"/>
        <n v="326238"/>
        <n v="326239"/>
        <n v="326240"/>
        <n v="326241"/>
        <n v="326242"/>
        <n v="326244"/>
        <n v="326246"/>
        <n v="326253"/>
        <n v="326254"/>
        <n v="326258"/>
        <n v="326261"/>
        <n v="326262"/>
        <n v="326263"/>
        <n v="326264"/>
        <n v="326265"/>
        <n v="326266"/>
        <n v="326268"/>
        <n v="326269"/>
        <n v="326271"/>
        <n v="326273"/>
        <n v="326275"/>
        <n v="326277"/>
        <n v="326278"/>
        <n v="326280"/>
        <n v="326281"/>
        <n v="326283"/>
        <n v="326284"/>
        <n v="326285"/>
        <n v="326286"/>
        <n v="326287"/>
        <n v="326288"/>
        <n v="326290"/>
        <n v="326291"/>
        <n v="326293"/>
        <n v="326296"/>
        <n v="326297"/>
        <n v="326298"/>
        <n v="326299"/>
        <n v="326300"/>
        <n v="326301"/>
        <n v="326302"/>
        <n v="326303"/>
        <n v="326304"/>
        <n v="326306"/>
        <n v="326307"/>
        <n v="326308"/>
        <n v="326309"/>
        <n v="326310"/>
        <n v="326312"/>
        <n v="326313"/>
        <n v="326315"/>
        <n v="326319"/>
        <n v="326323"/>
        <n v="326326"/>
        <n v="326328"/>
        <n v="326330"/>
        <n v="326332"/>
        <n v="326333"/>
        <n v="326335"/>
        <n v="326336"/>
        <n v="326337"/>
        <n v="326339"/>
        <n v="326340"/>
        <n v="326341"/>
        <n v="326342"/>
        <n v="326344"/>
        <n v="326345"/>
        <n v="326346"/>
        <n v="326348"/>
        <n v="326350"/>
        <n v="326352"/>
        <n v="326353"/>
        <n v="326355"/>
        <n v="326359"/>
        <n v="326361"/>
        <n v="326362"/>
        <n v="326365"/>
        <n v="326367"/>
        <n v="326368"/>
        <n v="326374"/>
        <n v="326375"/>
        <n v="326378"/>
        <n v="326380"/>
        <n v="326381"/>
        <n v="326382"/>
        <n v="326386"/>
        <n v="326387"/>
        <n v="326388"/>
        <n v="326389"/>
        <n v="326391"/>
        <n v="326393"/>
        <n v="326394"/>
        <n v="326395"/>
        <n v="326397"/>
        <n v="326398"/>
        <n v="326400"/>
        <n v="326401"/>
        <n v="326402"/>
        <n v="326403"/>
        <n v="326405"/>
        <n v="326406"/>
        <n v="326408"/>
        <n v="326409"/>
        <n v="326410"/>
        <n v="326411"/>
        <n v="326414"/>
        <n v="326415"/>
        <n v="326416"/>
        <n v="326417"/>
        <n v="326418"/>
        <n v="326419"/>
        <n v="326420"/>
        <n v="326421"/>
        <n v="326424"/>
        <n v="326425"/>
        <n v="326426"/>
        <n v="326427"/>
        <n v="326429"/>
        <n v="326431"/>
        <n v="326432"/>
        <n v="326434"/>
        <n v="326437"/>
        <n v="326438"/>
        <n v="326441"/>
        <n v="326443"/>
        <n v="326444"/>
        <n v="326447"/>
        <n v="326451"/>
        <n v="326452"/>
        <n v="326453"/>
        <n v="326454"/>
        <n v="326455"/>
        <n v="326456"/>
        <n v="326458"/>
        <n v="326459"/>
        <n v="326461"/>
        <n v="326462"/>
        <n v="326464"/>
        <n v="326465"/>
        <n v="326466"/>
        <n v="326470"/>
        <n v="326471"/>
        <n v="326474"/>
        <n v="326475"/>
        <n v="326476"/>
        <n v="326478"/>
        <n v="326480"/>
        <n v="326483"/>
        <n v="326484"/>
        <n v="326485"/>
        <n v="326486"/>
        <n v="326487"/>
        <n v="326488"/>
        <n v="326489"/>
        <n v="326491"/>
        <n v="326492"/>
        <n v="326493"/>
        <n v="326494"/>
        <n v="326495"/>
        <n v="326497"/>
        <n v="326501"/>
        <n v="326503"/>
        <n v="326504"/>
        <n v="326507"/>
        <n v="326508"/>
        <n v="326510"/>
        <n v="326512"/>
        <n v="326513"/>
        <n v="326515"/>
        <n v="326517"/>
        <n v="326518"/>
        <n v="326519"/>
        <n v="326520"/>
        <n v="326521"/>
        <n v="326522"/>
        <n v="326524"/>
        <n v="326526"/>
        <n v="326527"/>
        <n v="326528"/>
        <n v="326529"/>
        <n v="326531"/>
        <n v="326533"/>
        <n v="326534"/>
        <n v="326537"/>
        <n v="326541"/>
        <n v="326542"/>
        <n v="326547"/>
        <n v="326553"/>
        <n v="326557"/>
        <n v="326560"/>
        <n v="326562"/>
        <n v="326564"/>
        <n v="326566"/>
        <n v="326571"/>
        <n v="326573"/>
        <n v="326574"/>
        <n v="326575"/>
        <n v="326579"/>
        <n v="326580"/>
        <n v="326581"/>
        <n v="326585"/>
        <n v="326587"/>
        <n v="326588"/>
        <n v="326590"/>
        <n v="326592"/>
        <n v="326594"/>
        <n v="326595"/>
        <n v="326597"/>
        <n v="326598"/>
        <n v="326599"/>
        <n v="326601"/>
        <n v="326602"/>
        <n v="326603"/>
        <n v="326605"/>
        <n v="326606"/>
        <n v="326608"/>
        <n v="326613"/>
        <n v="326615"/>
        <n v="326616"/>
        <n v="326617"/>
        <n v="326618"/>
        <n v="326624"/>
        <n v="326626"/>
        <n v="326627"/>
        <n v="326628"/>
        <n v="326632"/>
        <n v="326635"/>
        <n v="326641"/>
        <n v="326642"/>
        <n v="326643"/>
        <n v="326644"/>
        <n v="326648"/>
        <n v="326649"/>
        <n v="326651"/>
        <n v="326653"/>
        <n v="326654"/>
        <n v="326656"/>
        <n v="326658"/>
        <n v="326662"/>
        <n v="326663"/>
        <n v="326664"/>
        <n v="326665"/>
        <n v="326666"/>
        <n v="326669"/>
        <n v="326673"/>
        <n v="326674"/>
        <n v="326677"/>
        <n v="326678"/>
        <n v="326680"/>
        <n v="326681"/>
        <n v="326683"/>
        <n v="326684"/>
        <n v="326686"/>
        <n v="326687"/>
        <n v="326688"/>
        <n v="326689"/>
        <n v="326690"/>
        <n v="326691"/>
        <n v="326695"/>
        <n v="326696"/>
        <n v="326697"/>
        <n v="326702"/>
        <n v="326703"/>
        <n v="326704"/>
        <n v="326707"/>
        <n v="326710"/>
        <n v="326711"/>
        <n v="326712"/>
        <n v="326713"/>
        <n v="326714"/>
        <n v="326715"/>
        <n v="326716"/>
        <n v="326720"/>
        <n v="326721"/>
        <n v="326725"/>
        <n v="326727"/>
        <n v="326729"/>
        <n v="326731"/>
        <n v="326732"/>
        <n v="326735"/>
        <n v="326736"/>
        <n v="326739"/>
        <n v="326740"/>
        <n v="326742"/>
        <n v="326743"/>
        <n v="326745"/>
        <n v="326746"/>
        <n v="326747"/>
        <n v="326748"/>
        <n v="326749"/>
        <n v="326753"/>
        <n v="326754"/>
        <n v="326755"/>
        <n v="326757"/>
        <n v="326758"/>
        <n v="326759"/>
        <n v="326760"/>
        <n v="326762"/>
        <n v="326763"/>
        <n v="326764"/>
        <n v="326767"/>
        <n v="326768"/>
        <n v="326769"/>
        <n v="326770"/>
        <n v="326771"/>
        <n v="326772"/>
        <n v="326773"/>
        <n v="326775"/>
        <n v="326781"/>
        <n v="326782"/>
        <n v="326784"/>
        <n v="326786"/>
        <n v="326787"/>
        <n v="326790"/>
        <n v="326791"/>
        <n v="326793"/>
        <n v="326794"/>
        <n v="326796"/>
        <n v="326797"/>
        <n v="326798"/>
        <n v="326803"/>
        <n v="326804"/>
        <n v="326806"/>
        <n v="326808"/>
        <n v="326812"/>
        <n v="326814"/>
        <n v="326815"/>
        <n v="326817"/>
        <n v="326818"/>
        <n v="326819"/>
        <n v="326822"/>
        <n v="326824"/>
        <n v="326826"/>
        <n v="326830"/>
        <n v="326832"/>
        <n v="326833"/>
        <n v="326834"/>
        <n v="326835"/>
        <n v="326836"/>
        <n v="326837"/>
        <n v="326838"/>
        <n v="326839"/>
        <n v="326842"/>
        <n v="326844"/>
        <n v="326847"/>
        <n v="326850"/>
        <n v="326851"/>
        <n v="326852"/>
        <n v="326854"/>
        <n v="326858"/>
        <n v="326860"/>
        <n v="326861"/>
        <n v="326862"/>
        <n v="326863"/>
        <n v="326865"/>
        <n v="326866"/>
        <n v="326867"/>
        <n v="326873"/>
        <n v="326874"/>
        <n v="326875"/>
        <n v="326880"/>
        <n v="326881"/>
        <n v="326886"/>
        <n v="326889"/>
        <n v="326891"/>
        <n v="326892"/>
        <n v="326894"/>
        <n v="326900"/>
        <n v="326901"/>
        <n v="326902"/>
        <n v="326904"/>
        <n v="326905"/>
        <n v="326914"/>
        <n v="326916"/>
        <n v="326917"/>
        <n v="326921"/>
        <n v="326923"/>
        <n v="326929"/>
        <n v="326932"/>
        <n v="326936"/>
        <n v="326940"/>
        <n v="326943"/>
        <n v="326946"/>
        <n v="326948"/>
        <n v="326949"/>
        <n v="326950"/>
        <n v="326952"/>
        <n v="326954"/>
        <n v="326956"/>
        <n v="326959"/>
        <n v="326962"/>
        <n v="326964"/>
        <n v="326967"/>
        <n v="326968"/>
        <n v="326971"/>
        <n v="326974"/>
        <n v="326977"/>
        <n v="326982"/>
        <n v="326983"/>
        <n v="326984"/>
        <n v="326986"/>
        <n v="326988"/>
        <n v="326994"/>
        <n v="326998"/>
        <n v="327001"/>
        <n v="327004"/>
        <n v="327005"/>
        <n v="327007"/>
        <n v="327009"/>
        <n v="327010"/>
        <n v="327012"/>
        <n v="327015"/>
        <n v="327019"/>
        <n v="327020"/>
        <n v="327021"/>
        <n v="327024"/>
        <n v="327026"/>
        <n v="327027"/>
        <n v="327028"/>
        <n v="327029"/>
        <n v="327031"/>
        <n v="327035"/>
        <n v="327036"/>
        <n v="327039"/>
        <n v="327040"/>
        <n v="327041"/>
        <n v="327044"/>
        <n v="327045"/>
        <n v="327048"/>
        <n v="327050"/>
        <n v="327051"/>
        <n v="327052"/>
        <n v="327053"/>
        <n v="327056"/>
        <n v="327057"/>
        <n v="327060"/>
        <n v="327061"/>
        <n v="327064"/>
        <n v="327065"/>
        <n v="327067"/>
        <n v="327068"/>
        <n v="327070"/>
        <n v="327072"/>
        <n v="327073"/>
        <n v="327077"/>
        <n v="327078"/>
        <n v="327084"/>
        <n v="327089"/>
        <n v="327090"/>
        <n v="327093"/>
        <n v="327096"/>
        <n v="327097"/>
        <n v="327098"/>
        <n v="327102"/>
        <n v="327106"/>
        <n v="327109"/>
        <n v="327111"/>
        <n v="327113"/>
        <n v="327116"/>
        <n v="327118"/>
        <n v="327122"/>
        <n v="327123"/>
        <n v="327124"/>
        <n v="327128"/>
        <n v="327133"/>
        <n v="327135"/>
        <n v="327137"/>
        <n v="327139"/>
        <n v="327141"/>
        <n v="327144"/>
        <n v="327145"/>
        <n v="327146"/>
        <n v="327154"/>
        <n v="327158"/>
        <n v="327160"/>
        <n v="327163"/>
        <n v="327165"/>
        <n v="327171"/>
        <n v="327172"/>
        <n v="327174"/>
        <n v="327175"/>
        <n v="327178"/>
        <n v="327184"/>
        <n v="327185"/>
        <n v="327188"/>
        <n v="327190"/>
        <n v="327191"/>
        <n v="327199"/>
        <n v="327202"/>
        <n v="327205"/>
        <n v="327208"/>
        <n v="327210"/>
        <n v="327212"/>
        <n v="327214"/>
        <n v="327219"/>
        <n v="327220"/>
        <n v="327221"/>
        <n v="327223"/>
        <n v="327227"/>
        <n v="327229"/>
        <n v="327230"/>
        <n v="327232"/>
        <n v="327233"/>
        <n v="327237"/>
        <n v="327241"/>
        <n v="327243"/>
        <n v="327247"/>
        <n v="327249"/>
        <n v="327254"/>
        <n v="327257"/>
        <n v="327258"/>
        <n v="327259"/>
        <n v="327261"/>
        <n v="327265"/>
        <n v="327269"/>
        <n v="327271"/>
        <n v="327275"/>
        <n v="327276"/>
        <n v="327277"/>
        <n v="327280"/>
        <n v="327282"/>
        <n v="327285"/>
        <n v="327287"/>
        <n v="327288"/>
        <n v="327290"/>
        <n v="327292"/>
        <n v="327294"/>
        <n v="327296"/>
        <n v="327298"/>
        <n v="327300"/>
        <n v="327303"/>
        <n v="327307"/>
        <n v="327310"/>
        <n v="327311"/>
        <n v="327313"/>
        <n v="327316"/>
        <n v="327321"/>
        <n v="327325"/>
        <n v="327326"/>
        <n v="327327"/>
        <n v="327333"/>
        <n v="327334"/>
        <n v="327335"/>
        <n v="327336"/>
        <n v="327345"/>
        <n v="327346"/>
        <n v="327351"/>
        <n v="327353"/>
        <n v="327356"/>
        <n v="327357"/>
        <n v="327358"/>
        <n v="327364"/>
        <n v="327366"/>
        <n v="327368"/>
        <n v="327369"/>
        <n v="327371"/>
        <n v="327374"/>
        <n v="327381"/>
        <n v="327383"/>
        <n v="327387"/>
        <n v="327388"/>
        <n v="327391"/>
        <n v="327397"/>
        <n v="327398"/>
        <n v="327399"/>
        <n v="327401"/>
        <n v="327404"/>
        <n v="327406"/>
        <n v="327410"/>
        <n v="327411"/>
        <n v="327413"/>
        <n v="327414"/>
        <n v="327417"/>
        <n v="327419"/>
        <n v="327420"/>
        <n v="327421"/>
        <n v="327423"/>
        <n v="327424"/>
        <n v="327426"/>
        <n v="327427"/>
        <n v="327432"/>
        <n v="327434"/>
        <n v="327436"/>
        <n v="327440"/>
        <n v="327441"/>
        <n v="327444"/>
        <n v="327445"/>
        <n v="327448"/>
        <n v="327450"/>
        <n v="327451"/>
        <n v="327454"/>
        <n v="327456"/>
        <n v="327458"/>
        <n v="327459"/>
        <n v="327463"/>
        <n v="327466"/>
        <n v="327467"/>
        <n v="327469"/>
        <n v="327471"/>
        <n v="327472"/>
        <n v="327473"/>
        <n v="327474"/>
        <n v="327478"/>
        <n v="327479"/>
        <n v="327480"/>
        <n v="327482"/>
        <n v="327485"/>
        <n v="327486"/>
        <n v="327490"/>
        <n v="327491"/>
        <n v="327495"/>
        <n v="327500"/>
        <n v="327502"/>
        <n v="327503"/>
        <n v="327506"/>
        <n v="327510"/>
        <n v="327512"/>
        <n v="327513"/>
        <n v="327515"/>
        <n v="327517"/>
        <n v="327520"/>
        <n v="327521"/>
        <n v="327526"/>
        <n v="327527"/>
        <n v="327531"/>
        <n v="327536"/>
        <n v="327538"/>
        <n v="327549"/>
        <n v="327553"/>
        <n v="327555"/>
        <n v="327562"/>
        <n v="327563"/>
        <n v="327567"/>
        <n v="327570"/>
        <n v="327578"/>
        <n v="327579"/>
        <n v="327580"/>
        <n v="327585"/>
        <n v="327587"/>
        <n v="327596"/>
        <n v="327606"/>
        <n v="327607"/>
        <n v="327612"/>
        <n v="327616"/>
        <n v="327618"/>
        <n v="327619"/>
        <n v="327624"/>
        <n v="327626"/>
        <n v="327627"/>
        <n v="327633"/>
        <n v="327635"/>
        <n v="327637"/>
        <n v="327641"/>
        <n v="327642"/>
        <n v="327644"/>
        <n v="327649"/>
        <n v="327657"/>
        <n v="327662"/>
        <n v="327671"/>
        <n v="327672"/>
        <n v="327674"/>
        <n v="327677"/>
        <n v="327681"/>
        <n v="327691"/>
        <n v="327692"/>
        <n v="327694"/>
        <n v="327703"/>
        <n v="327705"/>
        <n v="327706"/>
        <n v="327716"/>
        <n v="327723"/>
        <n v="327731"/>
        <n v="327732"/>
        <n v="327738"/>
        <n v="327740"/>
        <n v="327741"/>
        <n v="327746"/>
        <n v="327749"/>
        <n v="327750"/>
        <n v="327755"/>
        <n v="327765"/>
        <n v="327767"/>
        <n v="327768"/>
        <n v="327788"/>
        <n v="327793"/>
        <n v="327799"/>
        <n v="327802"/>
        <n v="327812"/>
        <n v="327823"/>
        <n v="327830"/>
        <n v="327836"/>
        <n v="327840"/>
        <n v="327841"/>
        <n v="327852"/>
        <n v="327853"/>
        <n v="327857"/>
        <n v="327864"/>
        <n v="327867"/>
        <n v="327870"/>
        <n v="327873"/>
        <n v="327885"/>
        <n v="327886"/>
        <n v="327892"/>
        <n v="327893"/>
        <n v="327906"/>
        <n v="327908"/>
        <n v="327920"/>
        <n v="327936"/>
        <n v="327937"/>
        <n v="327945"/>
        <n v="327946"/>
        <n v="327950"/>
        <n v="327962"/>
        <n v="327965"/>
        <n v="327984"/>
        <n v="327987"/>
        <n v="327997"/>
        <n v="328005"/>
        <n v="328012"/>
        <n v="328018"/>
        <n v="328034"/>
        <n v="328043"/>
        <n v="328049"/>
        <n v="328064"/>
        <n v="328071"/>
        <n v="328072"/>
        <n v="328091"/>
        <n v="328121"/>
        <n v="328123"/>
        <n v="328132"/>
        <n v="328140"/>
        <n v="328144"/>
        <n v="328150"/>
        <n v="328155"/>
        <n v="328163"/>
        <n v="328178"/>
        <n v="328181"/>
        <n v="328186"/>
        <n v="328188"/>
        <n v="328205"/>
        <n v="328215"/>
        <n v="328216"/>
        <n v="328221"/>
        <n v="328225"/>
        <n v="328229"/>
        <n v="328236"/>
        <n v="328240"/>
        <n v="328259"/>
        <n v="328278"/>
        <n v="328286"/>
        <n v="328292"/>
        <n v="328297"/>
        <n v="328309"/>
        <n v="328315"/>
        <n v="328322"/>
        <n v="328340"/>
        <n v="328346"/>
        <n v="328349"/>
        <n v="328359"/>
        <n v="328370"/>
        <n v="328375"/>
        <n v="328384"/>
        <n v="328388"/>
        <n v="328399"/>
        <n v="328414"/>
        <n v="328418"/>
        <n v="328425"/>
        <n v="328433"/>
        <n v="328436"/>
        <n v="328445"/>
        <n v="328448"/>
        <n v="328454"/>
        <n v="328474"/>
        <n v="328481"/>
        <n v="328491"/>
        <n v="328501"/>
        <n v="328502"/>
        <n v="328510"/>
        <n v="328522"/>
        <n v="328526"/>
        <n v="328533"/>
        <n v="328559"/>
        <n v="328564"/>
        <n v="328571"/>
        <n v="328572"/>
        <n v="328580"/>
        <n v="328584"/>
        <n v="328591"/>
        <n v="328595"/>
        <n v="328607"/>
        <n v="328610"/>
        <n v="328619"/>
        <n v="328625"/>
        <n v="328630"/>
        <n v="328634"/>
        <n v="328642"/>
        <n v="328643"/>
        <n v="328649"/>
        <n v="328658"/>
        <n v="328663"/>
        <n v="328675"/>
        <n v="328690"/>
        <n v="328707"/>
        <n v="328714"/>
        <n v="328718"/>
        <n v="328723"/>
        <n v="328725"/>
        <n v="328735"/>
        <n v="328748"/>
        <n v="328756"/>
        <n v="328759"/>
        <n v="328764"/>
        <n v="328773"/>
        <n v="328775"/>
        <n v="328782"/>
        <n v="328793"/>
        <n v="328801"/>
        <n v="328811"/>
        <n v="328818"/>
        <n v="328826"/>
        <n v="328828"/>
        <n v="328835"/>
        <n v="328845"/>
        <n v="328851"/>
        <n v="328866"/>
        <n v="328875"/>
        <n v="328899"/>
        <n v="328902"/>
        <n v="328909"/>
        <n v="328914"/>
        <n v="328923"/>
        <n v="328933"/>
        <n v="328934"/>
        <n v="328941"/>
        <n v="328950"/>
        <n v="328959"/>
        <n v="328964"/>
        <n v="328966"/>
        <n v="328978"/>
        <n v="328984"/>
        <n v="328986"/>
        <n v="328995"/>
        <n v="329006"/>
        <n v="329024"/>
        <n v="329030"/>
        <n v="329036"/>
        <n v="329046"/>
        <n v="329054"/>
        <n v="329060"/>
        <n v="329074"/>
        <n v="329100"/>
        <n v="329112"/>
        <n v="329131"/>
        <n v="329136"/>
        <n v="329160"/>
        <n v="329167"/>
        <n v="329193"/>
        <n v="329204"/>
        <n v="329230"/>
        <n v="329259"/>
        <n v="329267"/>
        <n v="329275"/>
        <n v="329281"/>
        <n v="329291"/>
        <n v="329306"/>
        <n v="329327"/>
        <n v="329339"/>
        <n v="329362"/>
        <n v="329377"/>
        <n v="329388"/>
        <n v="329397"/>
        <n v="329407"/>
        <n v="329416"/>
        <n v="329424"/>
        <n v="329434"/>
        <n v="329450"/>
        <n v="329460"/>
        <n v="329473"/>
        <n v="329486"/>
        <n v="329503"/>
        <n v="329512"/>
        <n v="329520"/>
        <n v="329543"/>
        <n v="329548"/>
        <n v="329558"/>
        <n v="317766"/>
        <n v="318017"/>
        <n v="318106"/>
        <n v="318133"/>
        <n v="318259"/>
        <n v="318296"/>
        <n v="318922"/>
        <n v="318965"/>
        <n v="319013"/>
        <n v="319030"/>
        <n v="319155"/>
        <n v="319171"/>
        <n v="319348"/>
        <n v="319675"/>
        <n v="319753"/>
        <n v="319796"/>
        <n v="319853"/>
        <n v="320310"/>
        <n v="320319"/>
        <n v="320400"/>
        <n v="320487"/>
        <n v="320528"/>
        <n v="320556"/>
        <n v="320604"/>
        <n v="320629"/>
        <n v="320633"/>
        <n v="320822"/>
        <n v="321048"/>
        <n v="321070"/>
        <n v="321094"/>
        <n v="321106"/>
        <n v="321171"/>
        <n v="321210"/>
        <n v="321318"/>
        <n v="321375"/>
        <n v="321401"/>
        <n v="321414"/>
        <n v="321445"/>
        <n v="321507"/>
        <n v="321572"/>
        <n v="321581"/>
        <n v="321584"/>
        <n v="321588"/>
        <n v="321591"/>
        <n v="321865"/>
        <n v="321873"/>
        <n v="321892"/>
        <n v="322011"/>
        <n v="322035"/>
        <n v="322043"/>
        <n v="322089"/>
        <n v="322118"/>
        <n v="322131"/>
        <n v="322145"/>
        <n v="322234"/>
        <n v="322237"/>
        <n v="322252"/>
        <n v="322278"/>
        <n v="322500"/>
        <n v="322536"/>
        <n v="322570"/>
        <n v="322579"/>
        <n v="322687"/>
        <n v="322699"/>
        <n v="322767"/>
        <n v="322785"/>
        <n v="322910"/>
        <n v="322994"/>
        <n v="323045"/>
        <n v="323047"/>
        <n v="323051"/>
        <n v="323056"/>
        <n v="323086"/>
        <n v="323137"/>
        <n v="323144"/>
        <n v="323204"/>
        <n v="323237"/>
        <n v="323284"/>
        <n v="323320"/>
        <n v="323365"/>
        <n v="323368"/>
        <n v="323434"/>
        <n v="323478"/>
        <n v="323528"/>
        <n v="323547"/>
        <n v="323555"/>
        <n v="323556"/>
        <n v="323697"/>
        <n v="323746"/>
        <n v="323810"/>
        <n v="323878"/>
        <n v="323901"/>
        <n v="323938"/>
        <n v="323943"/>
        <n v="323950"/>
        <n v="324119"/>
        <n v="324195"/>
        <n v="324229"/>
        <n v="324304"/>
        <n v="324344"/>
        <n v="324372"/>
        <n v="324395"/>
        <n v="324486"/>
        <n v="324491"/>
        <n v="324555"/>
        <n v="324607"/>
        <n v="324635"/>
        <n v="324719"/>
        <n v="324726"/>
        <n v="324737"/>
        <n v="324743"/>
        <n v="324784"/>
        <n v="324831"/>
        <n v="324871"/>
        <n v="324974"/>
        <n v="325085"/>
        <n v="325101"/>
        <n v="325119"/>
        <n v="325135"/>
        <n v="325179"/>
        <n v="325275"/>
        <n v="325291"/>
        <n v="325293"/>
        <n v="325333"/>
        <n v="325352"/>
        <n v="325363"/>
        <n v="325384"/>
        <n v="325412"/>
        <n v="325532"/>
        <n v="325561"/>
        <n v="325575"/>
        <n v="325617"/>
        <n v="325643"/>
        <n v="325688"/>
        <n v="325707"/>
        <n v="325796"/>
        <n v="325829"/>
        <n v="325940"/>
        <n v="325981"/>
        <n v="325982"/>
        <n v="326006"/>
        <n v="326056"/>
        <n v="326057"/>
        <n v="326115"/>
        <n v="326124"/>
        <n v="326136"/>
        <n v="326194"/>
        <n v="326272"/>
        <n v="326379"/>
        <n v="326396"/>
        <n v="326482"/>
        <n v="326502"/>
        <n v="326565"/>
        <n v="326610"/>
        <n v="326640"/>
        <n v="326655"/>
        <n v="326734"/>
        <n v="326761"/>
        <n v="326774"/>
        <n v="326813"/>
        <n v="326922"/>
        <n v="326925"/>
        <n v="326991"/>
        <n v="326999"/>
        <n v="327014"/>
        <n v="327162"/>
        <n v="327195"/>
        <n v="327306"/>
        <n v="327431"/>
        <n v="327542"/>
        <n v="327682"/>
        <n v="327730"/>
        <n v="327824"/>
        <n v="328065"/>
        <n v="328539"/>
        <n v="328541"/>
        <n v="328682"/>
        <n v="328843"/>
        <n v="329010"/>
        <n v="329082"/>
        <n v="329211"/>
        <n v="320149"/>
        <n v="320214"/>
        <n v="320246"/>
        <n v="320449"/>
        <n v="320631"/>
        <n v="320752"/>
        <n v="320912"/>
        <n v="321467"/>
        <n v="321514"/>
        <n v="321684"/>
        <n v="321687"/>
        <n v="321828"/>
        <n v="322196"/>
        <n v="322339"/>
        <n v="322460"/>
        <n v="322585"/>
        <n v="322621"/>
        <n v="322677"/>
        <n v="322774"/>
        <n v="322817"/>
        <n v="322867"/>
        <n v="322953"/>
        <n v="323082"/>
        <n v="323191"/>
        <n v="323210"/>
        <n v="323246"/>
        <n v="323272"/>
        <n v="323277"/>
        <n v="323400"/>
        <n v="323422"/>
        <n v="323424"/>
        <n v="323432"/>
        <n v="323465"/>
        <n v="323504"/>
        <n v="323505"/>
        <n v="323574"/>
        <n v="323638"/>
        <n v="323872"/>
        <n v="324102"/>
        <n v="324163"/>
        <n v="324208"/>
        <n v="324238"/>
        <n v="324257"/>
        <n v="324264"/>
        <n v="324302"/>
        <n v="324315"/>
        <n v="324316"/>
        <n v="324354"/>
        <n v="324451"/>
        <n v="324584"/>
        <n v="324650"/>
        <n v="324669"/>
        <n v="324718"/>
        <n v="324753"/>
        <n v="324911"/>
        <n v="324957"/>
        <n v="324964"/>
        <n v="325079"/>
        <n v="325160"/>
        <n v="325433"/>
        <n v="325487"/>
        <n v="325627"/>
        <n v="325680"/>
        <n v="325695"/>
        <n v="325714"/>
        <n v="325745"/>
        <n v="325817"/>
        <n v="325877"/>
        <n v="325880"/>
        <n v="325960"/>
        <n v="325997"/>
        <n v="326178"/>
        <n v="326203"/>
        <n v="326204"/>
        <n v="326634"/>
        <n v="326718"/>
        <n v="326738"/>
        <n v="326853"/>
        <n v="326908"/>
        <n v="327055"/>
        <n v="327384"/>
        <n v="327551"/>
        <n v="327931"/>
        <n v="327995"/>
        <n v="328003"/>
        <n v="328115"/>
        <n v="328169"/>
        <n v="328305"/>
        <n v="328493"/>
        <n v="328555"/>
        <n v="329042"/>
      </sharedItems>
    </cacheField>
    <cacheField name="Facility_Name" numFmtId="0">
      <sharedItems/>
    </cacheField>
    <cacheField name="Encounter_Year" numFmtId="0">
      <sharedItems containsSemiMixedTypes="0" containsString="0" containsNumber="1" containsInteger="1" minValue="2015" maxValue="2015"/>
    </cacheField>
    <cacheField name="Payer_Key" numFmtId="0">
      <sharedItems containsSemiMixedTypes="0" containsString="0" containsNumber="1" containsInteger="1" minValue="2" maxValue="9"/>
    </cacheField>
    <cacheField name="Payment_Typology_1" numFmtId="0">
      <sharedItems/>
    </cacheField>
    <cacheField name="Payment_Typology_Group" numFmtId="0">
      <sharedItems count="5">
        <s v="Commercial"/>
        <s v="Medicaid"/>
        <s v="Medicare"/>
        <s v="Other"/>
        <s v="Self-Pay"/>
      </sharedItems>
    </cacheField>
    <cacheField name="Payment_Typology_Group_Std" numFmtId="0">
      <sharedItems/>
    </cacheField>
    <cacheField name="Total_Charges" numFmtId="0">
      <sharedItems containsSemiMixedTypes="0" containsString="0" containsNumber="1" minValue="1737.72" maxValue="2237945.7999999998"/>
    </cacheField>
    <cacheField name="Total_Costs" numFmtId="0">
      <sharedItems containsSemiMixedTypes="0" containsString="0" containsNumber="1" minValue="1447.47" maxValue="783455.05"/>
    </cacheField>
    <cacheField name="Negative_Margi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56">
  <r>
    <x v="0"/>
    <s v="Peconic Bay Medical Center"/>
    <n v="2015"/>
    <n v="9"/>
    <s v="Blue Cross/Blue Shield"/>
    <x v="0"/>
    <s v="Commercial"/>
    <n v="59213.08"/>
    <n v="41783.58"/>
    <n v="0"/>
  </r>
  <r>
    <x v="1"/>
    <s v="Peconic Bay Medical Center"/>
    <n v="2015"/>
    <n v="9"/>
    <s v="Blue Cross/Blue Shield"/>
    <x v="0"/>
    <s v="Commercial"/>
    <n v="72440.5"/>
    <n v="55117.99"/>
    <n v="0"/>
  </r>
  <r>
    <x v="2"/>
    <s v="Peconic Bay Medical Center"/>
    <n v="2015"/>
    <n v="6"/>
    <s v="Private Health Insurance"/>
    <x v="0"/>
    <s v="Commercial"/>
    <n v="57201.39"/>
    <n v="37236.629999999997"/>
    <n v="0"/>
  </r>
  <r>
    <x v="3"/>
    <s v="Peconic Bay Medical Center"/>
    <n v="2015"/>
    <n v="9"/>
    <s v="Blue Cross/Blue Shield"/>
    <x v="0"/>
    <s v="Commercial"/>
    <n v="74794.3"/>
    <n v="57374.47"/>
    <n v="0"/>
  </r>
  <r>
    <x v="4"/>
    <s v="Peconic Bay Medical Center"/>
    <n v="2015"/>
    <n v="9"/>
    <s v="Blue Cross/Blue Shield"/>
    <x v="0"/>
    <s v="Commercial"/>
    <n v="72353.320000000007"/>
    <n v="55146.28"/>
    <n v="0"/>
  </r>
  <r>
    <x v="5"/>
    <s v="Peconic Bay Medical Center"/>
    <n v="2015"/>
    <n v="9"/>
    <s v="Blue Cross/Blue Shield"/>
    <x v="0"/>
    <s v="Commercial"/>
    <n v="66013.7"/>
    <n v="53193.24"/>
    <n v="0"/>
  </r>
  <r>
    <x v="6"/>
    <s v="Peconic Bay Medical Center"/>
    <n v="2015"/>
    <n v="9"/>
    <s v="Blue Cross/Blue Shield"/>
    <x v="0"/>
    <s v="Commercial"/>
    <n v="95423.57"/>
    <n v="78402.490000000005"/>
    <n v="0"/>
  </r>
  <r>
    <x v="7"/>
    <s v="Peconic Bay Medical Center"/>
    <n v="2015"/>
    <n v="6"/>
    <s v="Private Health Insurance"/>
    <x v="0"/>
    <s v="Commercial"/>
    <n v="97216.98"/>
    <n v="79732.75"/>
    <n v="0"/>
  </r>
  <r>
    <x v="8"/>
    <s v="Peconic Bay Medical Center"/>
    <n v="2015"/>
    <n v="9"/>
    <s v="Blue Cross/Blue Shield"/>
    <x v="0"/>
    <s v="Commercial"/>
    <n v="65454"/>
    <n v="48405.68"/>
    <n v="0"/>
  </r>
  <r>
    <x v="9"/>
    <s v="Peconic Bay Medical Center"/>
    <n v="2015"/>
    <n v="9"/>
    <s v="Blue Cross/Blue Shield"/>
    <x v="0"/>
    <s v="Commercial"/>
    <n v="87116.9"/>
    <n v="60030.91"/>
    <n v="0"/>
  </r>
  <r>
    <x v="10"/>
    <s v="Peconic Bay Medical Center"/>
    <n v="2015"/>
    <n v="6"/>
    <s v="Private Health Insurance"/>
    <x v="0"/>
    <s v="Commercial"/>
    <n v="74685.119999999995"/>
    <n v="57371.39"/>
    <n v="0"/>
  </r>
  <r>
    <x v="11"/>
    <s v="Peconic Bay Medical Center"/>
    <n v="2015"/>
    <n v="6"/>
    <s v="Private Health Insurance"/>
    <x v="0"/>
    <s v="Commercial"/>
    <n v="49320.84"/>
    <n v="31159.59"/>
    <n v="0"/>
  </r>
  <r>
    <x v="12"/>
    <s v="Peconic Bay Medical Center"/>
    <n v="2015"/>
    <n v="6"/>
    <s v="Private Health Insurance"/>
    <x v="0"/>
    <s v="Commercial"/>
    <n v="20373.96"/>
    <n v="6641.45"/>
    <n v="0"/>
  </r>
  <r>
    <x v="13"/>
    <s v="Peconic Bay Medical Center"/>
    <n v="2015"/>
    <n v="6"/>
    <s v="Private Health Insurance"/>
    <x v="0"/>
    <s v="Commercial"/>
    <n v="23806.09"/>
    <n v="8286.68"/>
    <n v="0"/>
  </r>
  <r>
    <x v="14"/>
    <s v="Peconic Bay Medical Center"/>
    <n v="2015"/>
    <n v="6"/>
    <s v="Private Health Insurance"/>
    <x v="0"/>
    <s v="Commercial"/>
    <n v="62387.54"/>
    <n v="45277.98"/>
    <n v="0"/>
  </r>
  <r>
    <x v="15"/>
    <s v="Peconic Bay Medical Center"/>
    <n v="2015"/>
    <n v="6"/>
    <s v="Private Health Insurance"/>
    <x v="0"/>
    <s v="Commercial"/>
    <n v="222517.12"/>
    <n v="205458.83"/>
    <n v="0"/>
  </r>
  <r>
    <x v="16"/>
    <s v="Peconic Bay Medical Center"/>
    <n v="2015"/>
    <n v="6"/>
    <s v="Private Health Insurance"/>
    <x v="0"/>
    <s v="Commercial"/>
    <n v="5143.75"/>
    <n v="6274.6"/>
    <n v="1"/>
  </r>
  <r>
    <x v="17"/>
    <s v="Peconic Bay Medical Center"/>
    <n v="2015"/>
    <n v="9"/>
    <s v="Blue Cross/Blue Shield"/>
    <x v="0"/>
    <s v="Commercial"/>
    <n v="73559.44"/>
    <n v="56970.46"/>
    <n v="0"/>
  </r>
  <r>
    <x v="18"/>
    <s v="Peconic Bay Medical Center"/>
    <n v="2015"/>
    <n v="9"/>
    <s v="Blue Cross/Blue Shield"/>
    <x v="0"/>
    <s v="Commercial"/>
    <n v="60110.28"/>
    <n v="42268.74"/>
    <n v="0"/>
  </r>
  <r>
    <x v="19"/>
    <s v="Peconic Bay Medical Center"/>
    <n v="2015"/>
    <n v="6"/>
    <s v="Private Health Insurance"/>
    <x v="0"/>
    <s v="Commercial"/>
    <n v="68740.14"/>
    <n v="56344.94"/>
    <n v="0"/>
  </r>
  <r>
    <x v="20"/>
    <s v="Peconic Bay Medical Center"/>
    <n v="2015"/>
    <n v="6"/>
    <s v="Private Health Insurance"/>
    <x v="0"/>
    <s v="Commercial"/>
    <n v="78644"/>
    <n v="59394.66"/>
    <n v="0"/>
  </r>
  <r>
    <x v="21"/>
    <s v="Peconic Bay Medical Center"/>
    <n v="2015"/>
    <n v="6"/>
    <s v="Private Health Insurance"/>
    <x v="0"/>
    <s v="Commercial"/>
    <n v="9002.82"/>
    <n v="8557.5300000000007"/>
    <n v="0"/>
  </r>
  <r>
    <x v="22"/>
    <s v="Peconic Bay Medical Center"/>
    <n v="2015"/>
    <n v="9"/>
    <s v="Blue Cross/Blue Shield"/>
    <x v="0"/>
    <s v="Commercial"/>
    <n v="66777.039999999994"/>
    <n v="48723.45"/>
    <n v="0"/>
  </r>
  <r>
    <x v="23"/>
    <s v="Peconic Bay Medical Center"/>
    <n v="2015"/>
    <n v="9"/>
    <s v="Blue Cross/Blue Shield"/>
    <x v="0"/>
    <s v="Commercial"/>
    <n v="75015.899999999994"/>
    <n v="56081.73"/>
    <n v="0"/>
  </r>
  <r>
    <x v="24"/>
    <s v="Peconic Bay Medical Center"/>
    <n v="2015"/>
    <n v="6"/>
    <s v="Private Health Insurance"/>
    <x v="0"/>
    <s v="Commercial"/>
    <n v="35865.089999999997"/>
    <n v="24458.31"/>
    <n v="0"/>
  </r>
  <r>
    <x v="25"/>
    <s v="Peconic Bay Medical Center"/>
    <n v="2015"/>
    <n v="6"/>
    <s v="Private Health Insurance"/>
    <x v="0"/>
    <s v="Commercial"/>
    <n v="34062.61"/>
    <n v="24364.93"/>
    <n v="0"/>
  </r>
  <r>
    <x v="26"/>
    <s v="Peconic Bay Medical Center"/>
    <n v="2015"/>
    <n v="6"/>
    <s v="Private Health Insurance"/>
    <x v="0"/>
    <s v="Commercial"/>
    <n v="29657.38"/>
    <n v="9051.49"/>
    <n v="0"/>
  </r>
  <r>
    <x v="27"/>
    <s v="Peconic Bay Medical Center"/>
    <n v="2015"/>
    <n v="9"/>
    <s v="Blue Cross/Blue Shield"/>
    <x v="0"/>
    <s v="Commercial"/>
    <n v="5236.55"/>
    <n v="6297.58"/>
    <n v="1"/>
  </r>
  <r>
    <x v="28"/>
    <s v="Peconic Bay Medical Center"/>
    <n v="2015"/>
    <n v="9"/>
    <s v="Blue Cross/Blue Shield"/>
    <x v="0"/>
    <s v="Commercial"/>
    <n v="36398.46"/>
    <n v="23746.53"/>
    <n v="0"/>
  </r>
  <r>
    <x v="29"/>
    <s v="Peconic Bay Medical Center"/>
    <n v="2015"/>
    <n v="9"/>
    <s v="Blue Cross/Blue Shield"/>
    <x v="0"/>
    <s v="Commercial"/>
    <n v="72885.78"/>
    <n v="50943.199999999997"/>
    <n v="0"/>
  </r>
  <r>
    <x v="30"/>
    <s v="Peconic Bay Medical Center"/>
    <n v="2015"/>
    <n v="6"/>
    <s v="Private Health Insurance"/>
    <x v="0"/>
    <s v="Commercial"/>
    <n v="7281.05"/>
    <n v="6876.92"/>
    <n v="0"/>
  </r>
  <r>
    <x v="31"/>
    <s v="Peconic Bay Medical Center"/>
    <n v="2015"/>
    <n v="6"/>
    <s v="Private Health Insurance"/>
    <x v="0"/>
    <s v="Commercial"/>
    <n v="39279.15"/>
    <n v="24543.77"/>
    <n v="0"/>
  </r>
  <r>
    <x v="32"/>
    <s v="Peconic Bay Medical Center"/>
    <n v="2015"/>
    <n v="9"/>
    <s v="Blue Cross/Blue Shield"/>
    <x v="0"/>
    <s v="Commercial"/>
    <n v="3266.92"/>
    <n v="3310.84"/>
    <n v="1"/>
  </r>
  <r>
    <x v="33"/>
    <s v="Peconic Bay Medical Center"/>
    <n v="2015"/>
    <n v="9"/>
    <s v="Blue Cross/Blue Shield"/>
    <x v="0"/>
    <s v="Commercial"/>
    <n v="74578.44"/>
    <n v="58247.65"/>
    <n v="0"/>
  </r>
  <r>
    <x v="34"/>
    <s v="Peconic Bay Medical Center"/>
    <n v="2015"/>
    <n v="6"/>
    <s v="Private Health Insurance"/>
    <x v="0"/>
    <s v="Commercial"/>
    <n v="69636.72"/>
    <n v="55563.66"/>
    <n v="0"/>
  </r>
  <r>
    <x v="35"/>
    <s v="Peconic Bay Medical Center"/>
    <n v="2015"/>
    <n v="6"/>
    <s v="Private Health Insurance"/>
    <x v="0"/>
    <s v="Commercial"/>
    <n v="5151.51"/>
    <n v="6276.46"/>
    <n v="1"/>
  </r>
  <r>
    <x v="36"/>
    <s v="Peconic Bay Medical Center"/>
    <n v="2015"/>
    <n v="9"/>
    <s v="Blue Cross/Blue Shield"/>
    <x v="0"/>
    <s v="Commercial"/>
    <n v="59286.92"/>
    <n v="42164.3"/>
    <n v="0"/>
  </r>
  <r>
    <x v="37"/>
    <s v="Peconic Bay Medical Center"/>
    <n v="2015"/>
    <n v="6"/>
    <s v="Private Health Insurance"/>
    <x v="0"/>
    <s v="Commercial"/>
    <n v="35551.39"/>
    <n v="23597.19"/>
    <n v="0"/>
  </r>
  <r>
    <x v="38"/>
    <s v="Peconic Bay Medical Center"/>
    <n v="2015"/>
    <n v="9"/>
    <s v="Blue Cross/Blue Shield"/>
    <x v="0"/>
    <s v="Commercial"/>
    <n v="50558.1"/>
    <n v="33375.480000000003"/>
    <n v="0"/>
  </r>
  <r>
    <x v="39"/>
    <s v="Peconic Bay Medical Center"/>
    <n v="2015"/>
    <n v="6"/>
    <s v="Private Health Insurance"/>
    <x v="0"/>
    <s v="Commercial"/>
    <n v="24056.54"/>
    <n v="10908.7"/>
    <n v="0"/>
  </r>
  <r>
    <x v="40"/>
    <s v="Peconic Bay Medical Center"/>
    <n v="2015"/>
    <n v="9"/>
    <s v="Blue Cross/Blue Shield"/>
    <x v="0"/>
    <s v="Commercial"/>
    <n v="69493.64"/>
    <n v="55628.61"/>
    <n v="0"/>
  </r>
  <r>
    <x v="41"/>
    <s v="Peconic Bay Medical Center"/>
    <n v="2015"/>
    <n v="9"/>
    <s v="Blue Cross/Blue Shield"/>
    <x v="0"/>
    <s v="Commercial"/>
    <n v="62488"/>
    <n v="47483.15"/>
    <n v="0"/>
  </r>
  <r>
    <x v="42"/>
    <s v="Peconic Bay Medical Center"/>
    <n v="2015"/>
    <n v="6"/>
    <s v="Private Health Insurance"/>
    <x v="0"/>
    <s v="Commercial"/>
    <n v="65103.92"/>
    <n v="46289.2"/>
    <n v="0"/>
  </r>
  <r>
    <x v="43"/>
    <s v="Peconic Bay Medical Center"/>
    <n v="2015"/>
    <n v="6"/>
    <s v="Private Health Insurance"/>
    <x v="0"/>
    <s v="Commercial"/>
    <n v="182913.77"/>
    <n v="159494.37"/>
    <n v="0"/>
  </r>
  <r>
    <x v="44"/>
    <s v="Peconic Bay Medical Center"/>
    <n v="2015"/>
    <n v="6"/>
    <s v="Private Health Insurance"/>
    <x v="0"/>
    <s v="Commercial"/>
    <n v="66864.740000000005"/>
    <n v="48962.86"/>
    <n v="0"/>
  </r>
  <r>
    <x v="45"/>
    <s v="Peconic Bay Medical Center"/>
    <n v="2015"/>
    <n v="9"/>
    <s v="Blue Cross/Blue Shield"/>
    <x v="0"/>
    <s v="Commercial"/>
    <n v="68067"/>
    <n v="49222.37"/>
    <n v="0"/>
  </r>
  <r>
    <x v="46"/>
    <s v="Peconic Bay Medical Center"/>
    <n v="2015"/>
    <n v="6"/>
    <s v="Private Health Insurance"/>
    <x v="0"/>
    <s v="Commercial"/>
    <n v="70770.48"/>
    <n v="52985.42"/>
    <n v="0"/>
  </r>
  <r>
    <x v="47"/>
    <s v="Peconic Bay Medical Center"/>
    <n v="2015"/>
    <n v="6"/>
    <s v="Private Health Insurance"/>
    <x v="0"/>
    <s v="Commercial"/>
    <n v="35810.46"/>
    <n v="21590.58"/>
    <n v="0"/>
  </r>
  <r>
    <x v="48"/>
    <s v="Peconic Bay Medical Center"/>
    <n v="2015"/>
    <n v="6"/>
    <s v="Private Health Insurance"/>
    <x v="0"/>
    <s v="Commercial"/>
    <n v="57106.68"/>
    <n v="43892.959999999999"/>
    <n v="0"/>
  </r>
  <r>
    <x v="49"/>
    <s v="Peconic Bay Medical Center"/>
    <n v="2015"/>
    <n v="9"/>
    <s v="Blue Cross/Blue Shield"/>
    <x v="0"/>
    <s v="Commercial"/>
    <n v="62015.360000000001"/>
    <n v="42503.63"/>
    <n v="0"/>
  </r>
  <r>
    <x v="50"/>
    <s v="Peconic Bay Medical Center"/>
    <n v="2015"/>
    <n v="9"/>
    <s v="Blue Cross/Blue Shield"/>
    <x v="0"/>
    <s v="Commercial"/>
    <n v="66085.61"/>
    <n v="48465.95"/>
    <n v="0"/>
  </r>
  <r>
    <x v="51"/>
    <s v="Peconic Bay Medical Center"/>
    <n v="2015"/>
    <n v="6"/>
    <s v="Private Health Insurance"/>
    <x v="0"/>
    <s v="Commercial"/>
    <n v="70957.64"/>
    <n v="50502.01"/>
    <n v="0"/>
  </r>
  <r>
    <x v="52"/>
    <s v="Peconic Bay Medical Center"/>
    <n v="2015"/>
    <n v="6"/>
    <s v="Private Health Insurance"/>
    <x v="0"/>
    <s v="Commercial"/>
    <n v="31436.74"/>
    <n v="13283.36"/>
    <n v="0"/>
  </r>
  <r>
    <x v="53"/>
    <s v="Peconic Bay Medical Center"/>
    <n v="2015"/>
    <n v="6"/>
    <s v="Private Health Insurance"/>
    <x v="0"/>
    <s v="Commercial"/>
    <n v="5143.75"/>
    <n v="6274.6"/>
    <n v="1"/>
  </r>
  <r>
    <x v="54"/>
    <s v="Peconic Bay Medical Center"/>
    <n v="2015"/>
    <n v="6"/>
    <s v="Private Health Insurance"/>
    <x v="0"/>
    <s v="Commercial"/>
    <n v="37731.230000000003"/>
    <n v="25025.59"/>
    <n v="0"/>
  </r>
  <r>
    <x v="55"/>
    <s v="Peconic Bay Medical Center"/>
    <n v="2015"/>
    <n v="9"/>
    <s v="Blue Cross/Blue Shield"/>
    <x v="0"/>
    <s v="Commercial"/>
    <n v="74662.100000000006"/>
    <n v="55878.23"/>
    <n v="0"/>
  </r>
  <r>
    <x v="56"/>
    <s v="Peconic Bay Medical Center"/>
    <n v="2015"/>
    <n v="9"/>
    <s v="Blue Cross/Blue Shield"/>
    <x v="0"/>
    <s v="Commercial"/>
    <n v="67640.259999999995"/>
    <n v="53569.75"/>
    <n v="0"/>
  </r>
  <r>
    <x v="57"/>
    <s v="Peconic Bay Medical Center"/>
    <n v="2015"/>
    <n v="6"/>
    <s v="Private Health Insurance"/>
    <x v="0"/>
    <s v="Commercial"/>
    <n v="71449.36"/>
    <n v="50656.19"/>
    <n v="0"/>
  </r>
  <r>
    <x v="58"/>
    <s v="Peconic Bay Medical Center"/>
    <n v="2015"/>
    <n v="9"/>
    <s v="Blue Cross/Blue Shield"/>
    <x v="0"/>
    <s v="Commercial"/>
    <n v="64955.839999999997"/>
    <n v="46184.24"/>
    <n v="0"/>
  </r>
  <r>
    <x v="59"/>
    <s v="Peconic Bay Medical Center"/>
    <n v="2015"/>
    <n v="9"/>
    <s v="Blue Cross/Blue Shield"/>
    <x v="0"/>
    <s v="Commercial"/>
    <n v="41633.11"/>
    <n v="30223.3"/>
    <n v="0"/>
  </r>
  <r>
    <x v="60"/>
    <s v="Peconic Bay Medical Center"/>
    <n v="2015"/>
    <n v="9"/>
    <s v="Blue Cross/Blue Shield"/>
    <x v="0"/>
    <s v="Commercial"/>
    <n v="38898.559999999998"/>
    <n v="27830.22"/>
    <n v="0"/>
  </r>
  <r>
    <x v="61"/>
    <s v="Peconic Bay Medical Center"/>
    <n v="2015"/>
    <n v="9"/>
    <s v="Blue Cross/Blue Shield"/>
    <x v="0"/>
    <s v="Commercial"/>
    <n v="73401.48"/>
    <n v="55521.14"/>
    <n v="0"/>
  </r>
  <r>
    <x v="62"/>
    <s v="Peconic Bay Medical Center"/>
    <n v="2015"/>
    <n v="6"/>
    <s v="Private Health Insurance"/>
    <x v="0"/>
    <s v="Commercial"/>
    <n v="66984.7"/>
    <n v="49044.81"/>
    <n v="0"/>
  </r>
  <r>
    <x v="63"/>
    <s v="Peconic Bay Medical Center"/>
    <n v="2015"/>
    <n v="9"/>
    <s v="Blue Cross/Blue Shield"/>
    <x v="0"/>
    <s v="Commercial"/>
    <n v="23529.38"/>
    <n v="8257.56"/>
    <n v="0"/>
  </r>
  <r>
    <x v="64"/>
    <s v="Peconic Bay Medical Center"/>
    <n v="2015"/>
    <n v="9"/>
    <s v="Blue Cross/Blue Shield"/>
    <x v="0"/>
    <s v="Commercial"/>
    <n v="140989.38"/>
    <n v="111312.17"/>
    <n v="0"/>
  </r>
  <r>
    <x v="65"/>
    <s v="Peconic Bay Medical Center"/>
    <n v="2015"/>
    <n v="9"/>
    <s v="Blue Cross/Blue Shield"/>
    <x v="0"/>
    <s v="Commercial"/>
    <n v="37950.78"/>
    <n v="25024.77"/>
    <n v="0"/>
  </r>
  <r>
    <x v="66"/>
    <s v="Peconic Bay Medical Center"/>
    <n v="2015"/>
    <n v="6"/>
    <s v="Private Health Insurance"/>
    <x v="0"/>
    <s v="Commercial"/>
    <n v="25113.98"/>
    <n v="8394.08"/>
    <n v="0"/>
  </r>
  <r>
    <x v="67"/>
    <s v="Peconic Bay Medical Center"/>
    <n v="2015"/>
    <n v="9"/>
    <s v="Blue Cross/Blue Shield"/>
    <x v="0"/>
    <s v="Commercial"/>
    <n v="68072.12"/>
    <n v="46518.89"/>
    <n v="0"/>
  </r>
  <r>
    <x v="68"/>
    <s v="Peconic Bay Medical Center"/>
    <n v="2015"/>
    <n v="9"/>
    <s v="Blue Cross/Blue Shield"/>
    <x v="0"/>
    <s v="Commercial"/>
    <n v="75263.100000000006"/>
    <n v="56410.559999999998"/>
    <n v="0"/>
  </r>
  <r>
    <x v="69"/>
    <s v="Peconic Bay Medical Center"/>
    <n v="2015"/>
    <n v="9"/>
    <s v="Blue Cross/Blue Shield"/>
    <x v="0"/>
    <s v="Commercial"/>
    <n v="57586.239999999998"/>
    <n v="40261.769999999997"/>
    <n v="0"/>
  </r>
  <r>
    <x v="70"/>
    <s v="Peconic Bay Medical Center"/>
    <n v="2015"/>
    <n v="9"/>
    <s v="Blue Cross/Blue Shield"/>
    <x v="0"/>
    <s v="Commercial"/>
    <n v="23267.360000000001"/>
    <n v="8152.6"/>
    <n v="0"/>
  </r>
  <r>
    <x v="71"/>
    <s v="Peconic Bay Medical Center"/>
    <n v="2015"/>
    <n v="9"/>
    <s v="Blue Cross/Blue Shield"/>
    <x v="0"/>
    <s v="Commercial"/>
    <n v="5125.1499999999996"/>
    <n v="6270.13"/>
    <n v="1"/>
  </r>
  <r>
    <x v="72"/>
    <s v="Peconic Bay Medical Center"/>
    <n v="2015"/>
    <n v="6"/>
    <s v="Private Health Insurance"/>
    <x v="0"/>
    <s v="Commercial"/>
    <n v="29702.799999999999"/>
    <n v="13700.33"/>
    <n v="0"/>
  </r>
  <r>
    <x v="73"/>
    <s v="Peconic Bay Medical Center"/>
    <n v="2015"/>
    <n v="9"/>
    <s v="Blue Cross/Blue Shield"/>
    <x v="0"/>
    <s v="Commercial"/>
    <n v="59288.44"/>
    <n v="44938.87"/>
    <n v="0"/>
  </r>
  <r>
    <x v="74"/>
    <s v="Peconic Bay Medical Center"/>
    <n v="2015"/>
    <n v="9"/>
    <s v="Blue Cross/Blue Shield"/>
    <x v="0"/>
    <s v="Commercial"/>
    <n v="5125.1499999999996"/>
    <n v="6270.13"/>
    <n v="1"/>
  </r>
  <r>
    <x v="75"/>
    <s v="Peconic Bay Medical Center"/>
    <n v="2015"/>
    <n v="9"/>
    <s v="Blue Cross/Blue Shield"/>
    <x v="0"/>
    <s v="Commercial"/>
    <n v="67400.66"/>
    <n v="53575.68"/>
    <n v="0"/>
  </r>
  <r>
    <x v="76"/>
    <s v="Peconic Bay Medical Center"/>
    <n v="2015"/>
    <n v="6"/>
    <s v="Private Health Insurance"/>
    <x v="0"/>
    <s v="Commercial"/>
    <n v="54226.52"/>
    <n v="41065.53"/>
    <n v="0"/>
  </r>
  <r>
    <x v="77"/>
    <s v="Peconic Bay Medical Center"/>
    <n v="2015"/>
    <n v="6"/>
    <s v="Private Health Insurance"/>
    <x v="0"/>
    <s v="Commercial"/>
    <n v="205526.91"/>
    <n v="186006.99"/>
    <n v="0"/>
  </r>
  <r>
    <x v="78"/>
    <s v="Peconic Bay Medical Center"/>
    <n v="2015"/>
    <n v="9"/>
    <s v="Blue Cross/Blue Shield"/>
    <x v="0"/>
    <s v="Commercial"/>
    <n v="65954.86"/>
    <n v="48796.13"/>
    <n v="0"/>
  </r>
  <r>
    <x v="79"/>
    <s v="Peconic Bay Medical Center"/>
    <n v="2015"/>
    <n v="6"/>
    <s v="Private Health Insurance"/>
    <x v="0"/>
    <s v="Commercial"/>
    <n v="72098.94"/>
    <n v="54878.14"/>
    <n v="0"/>
  </r>
  <r>
    <x v="80"/>
    <s v="Peconic Bay Medical Center"/>
    <n v="2015"/>
    <n v="9"/>
    <s v="Blue Cross/Blue Shield"/>
    <x v="0"/>
    <s v="Commercial"/>
    <n v="37550.31"/>
    <n v="25116.87"/>
    <n v="0"/>
  </r>
  <r>
    <x v="81"/>
    <s v="Peconic Bay Medical Center"/>
    <n v="2015"/>
    <n v="6"/>
    <s v="Private Health Insurance"/>
    <x v="0"/>
    <s v="Commercial"/>
    <n v="63686.96"/>
    <n v="45923.35"/>
    <n v="0"/>
  </r>
  <r>
    <x v="82"/>
    <s v="Peconic Bay Medical Center"/>
    <n v="2015"/>
    <n v="9"/>
    <s v="Blue Cross/Blue Shield"/>
    <x v="0"/>
    <s v="Commercial"/>
    <n v="65386.52"/>
    <n v="46679.31"/>
    <n v="0"/>
  </r>
  <r>
    <x v="83"/>
    <s v="Peconic Bay Medical Center"/>
    <n v="2015"/>
    <n v="6"/>
    <s v="Private Health Insurance"/>
    <x v="0"/>
    <s v="Commercial"/>
    <n v="102943.56"/>
    <n v="84219.58"/>
    <n v="0"/>
  </r>
  <r>
    <x v="84"/>
    <s v="Peconic Bay Medical Center"/>
    <n v="2015"/>
    <n v="6"/>
    <s v="Private Health Insurance"/>
    <x v="0"/>
    <s v="Commercial"/>
    <n v="36683.050000000003"/>
    <n v="24773.5"/>
    <n v="0"/>
  </r>
  <r>
    <x v="85"/>
    <s v="Peconic Bay Medical Center"/>
    <n v="2015"/>
    <n v="9"/>
    <s v="Blue Cross/Blue Shield"/>
    <x v="0"/>
    <s v="Commercial"/>
    <n v="68428.62"/>
    <n v="53822.57"/>
    <n v="0"/>
  </r>
  <r>
    <x v="86"/>
    <s v="Peconic Bay Medical Center"/>
    <n v="2015"/>
    <n v="6"/>
    <s v="Private Health Insurance"/>
    <x v="0"/>
    <s v="Commercial"/>
    <n v="2838.4"/>
    <n v="3205.61"/>
    <n v="1"/>
  </r>
  <r>
    <x v="87"/>
    <s v="Peconic Bay Medical Center"/>
    <n v="2015"/>
    <n v="6"/>
    <s v="Private Health Insurance"/>
    <x v="0"/>
    <s v="Commercial"/>
    <n v="78887.399999999994"/>
    <n v="57345.03"/>
    <n v="0"/>
  </r>
  <r>
    <x v="88"/>
    <s v="Peconic Bay Medical Center"/>
    <n v="2015"/>
    <n v="6"/>
    <s v="Private Health Insurance"/>
    <x v="0"/>
    <s v="Commercial"/>
    <n v="56136.08"/>
    <n v="42465.56"/>
    <n v="0"/>
  </r>
  <r>
    <x v="89"/>
    <s v="Peconic Bay Medical Center"/>
    <n v="2015"/>
    <n v="9"/>
    <s v="Blue Cross/Blue Shield"/>
    <x v="0"/>
    <s v="Commercial"/>
    <n v="73574.100000000006"/>
    <n v="50517.29"/>
    <n v="0"/>
  </r>
  <r>
    <x v="90"/>
    <s v="Peconic Bay Medical Center"/>
    <n v="2015"/>
    <n v="9"/>
    <s v="Blue Cross/Blue Shield"/>
    <x v="0"/>
    <s v="Commercial"/>
    <n v="74283.88"/>
    <n v="55708.71"/>
    <n v="0"/>
  </r>
  <r>
    <x v="91"/>
    <s v="Peconic Bay Medical Center"/>
    <n v="2015"/>
    <n v="9"/>
    <s v="Blue Cross/Blue Shield"/>
    <x v="0"/>
    <s v="Commercial"/>
    <n v="57602.080000000002"/>
    <n v="43977"/>
    <n v="0"/>
  </r>
  <r>
    <x v="92"/>
    <s v="Peconic Bay Medical Center"/>
    <n v="2015"/>
    <n v="9"/>
    <s v="Blue Cross/Blue Shield"/>
    <x v="0"/>
    <s v="Commercial"/>
    <n v="58494.44"/>
    <n v="44582.36"/>
    <n v="0"/>
  </r>
  <r>
    <x v="93"/>
    <s v="Peconic Bay Medical Center"/>
    <n v="2015"/>
    <n v="6"/>
    <s v="Private Health Insurance"/>
    <x v="0"/>
    <s v="Commercial"/>
    <n v="67351.16"/>
    <n v="53667.26"/>
    <n v="0"/>
  </r>
  <r>
    <x v="94"/>
    <s v="Peconic Bay Medical Center"/>
    <n v="2015"/>
    <n v="6"/>
    <s v="Private Health Insurance"/>
    <x v="0"/>
    <s v="Commercial"/>
    <n v="71664.62"/>
    <n v="54191.16"/>
    <n v="0"/>
  </r>
  <r>
    <x v="95"/>
    <s v="Peconic Bay Medical Center"/>
    <n v="2015"/>
    <n v="9"/>
    <s v="Blue Cross/Blue Shield"/>
    <x v="0"/>
    <s v="Commercial"/>
    <n v="37195.39"/>
    <n v="27385.45"/>
    <n v="0"/>
  </r>
  <r>
    <x v="96"/>
    <s v="Peconic Bay Medical Center"/>
    <n v="2015"/>
    <n v="6"/>
    <s v="Private Health Insurance"/>
    <x v="0"/>
    <s v="Commercial"/>
    <n v="37509.050000000003"/>
    <n v="27579.19"/>
    <n v="0"/>
  </r>
  <r>
    <x v="97"/>
    <s v="Peconic Bay Medical Center"/>
    <n v="2015"/>
    <n v="9"/>
    <s v="Blue Cross/Blue Shield"/>
    <x v="0"/>
    <s v="Commercial"/>
    <n v="37438.49"/>
    <n v="24152.1"/>
    <n v="0"/>
  </r>
  <r>
    <x v="98"/>
    <s v="Peconic Bay Medical Center"/>
    <n v="2015"/>
    <n v="6"/>
    <s v="Private Health Insurance"/>
    <x v="0"/>
    <s v="Commercial"/>
    <n v="43646.13"/>
    <n v="27890.23"/>
    <n v="0"/>
  </r>
  <r>
    <x v="99"/>
    <s v="Peconic Bay Medical Center"/>
    <n v="2015"/>
    <n v="9"/>
    <s v="Blue Cross/Blue Shield"/>
    <x v="0"/>
    <s v="Commercial"/>
    <n v="36982.79"/>
    <n v="24194.91"/>
    <n v="0"/>
  </r>
  <r>
    <x v="100"/>
    <s v="Peconic Bay Medical Center"/>
    <n v="2015"/>
    <n v="9"/>
    <s v="Blue Cross/Blue Shield"/>
    <x v="0"/>
    <s v="Commercial"/>
    <n v="76602.600000000006"/>
    <n v="58974.9"/>
    <n v="0"/>
  </r>
  <r>
    <x v="101"/>
    <s v="Peconic Bay Medical Center"/>
    <n v="2015"/>
    <n v="6"/>
    <s v="Private Health Insurance"/>
    <x v="0"/>
    <s v="Commercial"/>
    <n v="75937.14"/>
    <n v="56496.66"/>
    <n v="0"/>
  </r>
  <r>
    <x v="102"/>
    <s v="Peconic Bay Medical Center"/>
    <n v="2015"/>
    <n v="6"/>
    <s v="Private Health Insurance"/>
    <x v="0"/>
    <s v="Commercial"/>
    <n v="127198.75"/>
    <n v="121334.96"/>
    <n v="0"/>
  </r>
  <r>
    <x v="103"/>
    <s v="Peconic Bay Medical Center"/>
    <n v="2015"/>
    <n v="6"/>
    <s v="Private Health Insurance"/>
    <x v="0"/>
    <s v="Commercial"/>
    <n v="69253.8"/>
    <n v="55930.559999999998"/>
    <n v="0"/>
  </r>
  <r>
    <x v="104"/>
    <s v="Peconic Bay Medical Center"/>
    <n v="2015"/>
    <n v="6"/>
    <s v="Private Health Insurance"/>
    <x v="0"/>
    <s v="Commercial"/>
    <n v="32974.47"/>
    <n v="21373.360000000001"/>
    <n v="0"/>
  </r>
  <r>
    <x v="105"/>
    <s v="Peconic Bay Medical Center"/>
    <n v="2015"/>
    <n v="9"/>
    <s v="Blue Cross/Blue Shield"/>
    <x v="0"/>
    <s v="Commercial"/>
    <n v="68849.98"/>
    <n v="55505.9"/>
    <n v="0"/>
  </r>
  <r>
    <x v="106"/>
    <s v="Peconic Bay Medical Center"/>
    <n v="2015"/>
    <n v="6"/>
    <s v="Private Health Insurance"/>
    <x v="0"/>
    <s v="Commercial"/>
    <n v="68998.52"/>
    <n v="52104.06"/>
    <n v="0"/>
  </r>
  <r>
    <x v="107"/>
    <s v="Peconic Bay Medical Center"/>
    <n v="2015"/>
    <n v="6"/>
    <s v="Private Health Insurance"/>
    <x v="0"/>
    <s v="Commercial"/>
    <n v="66573.320000000007"/>
    <n v="48910.13"/>
    <n v="0"/>
  </r>
  <r>
    <x v="108"/>
    <s v="Peconic Bay Medical Center"/>
    <n v="2015"/>
    <n v="9"/>
    <s v="Blue Cross/Blue Shield"/>
    <x v="0"/>
    <s v="Commercial"/>
    <n v="61845.3"/>
    <n v="51736.61"/>
    <n v="0"/>
  </r>
  <r>
    <x v="109"/>
    <s v="Peconic Bay Medical Center"/>
    <n v="2015"/>
    <n v="9"/>
    <s v="Blue Cross/Blue Shield"/>
    <x v="0"/>
    <s v="Commercial"/>
    <n v="69772.600000000006"/>
    <n v="49693.89"/>
    <n v="0"/>
  </r>
  <r>
    <x v="110"/>
    <s v="Peconic Bay Medical Center"/>
    <n v="2015"/>
    <n v="6"/>
    <s v="Private Health Insurance"/>
    <x v="0"/>
    <s v="Commercial"/>
    <n v="117795.16"/>
    <n v="109522.05"/>
    <n v="0"/>
  </r>
  <r>
    <x v="111"/>
    <s v="Peconic Bay Medical Center"/>
    <n v="2015"/>
    <n v="6"/>
    <s v="Private Health Insurance"/>
    <x v="0"/>
    <s v="Commercial"/>
    <n v="73260.320000000007"/>
    <n v="55907.96"/>
    <n v="0"/>
  </r>
  <r>
    <x v="112"/>
    <s v="Peconic Bay Medical Center"/>
    <n v="2015"/>
    <n v="6"/>
    <s v="Private Health Insurance"/>
    <x v="0"/>
    <s v="Commercial"/>
    <n v="5445.62"/>
    <n v="6349.58"/>
    <n v="1"/>
  </r>
  <r>
    <x v="113"/>
    <s v="Peconic Bay Medical Center"/>
    <n v="2015"/>
    <n v="9"/>
    <s v="Blue Cross/Blue Shield"/>
    <x v="0"/>
    <s v="Commercial"/>
    <n v="57477.440000000002"/>
    <n v="46365.15"/>
    <n v="0"/>
  </r>
  <r>
    <x v="114"/>
    <s v="Peconic Bay Medical Center"/>
    <n v="2015"/>
    <n v="6"/>
    <s v="Private Health Insurance"/>
    <x v="0"/>
    <s v="Commercial"/>
    <n v="71794.58"/>
    <n v="55667.88"/>
    <n v="0"/>
  </r>
  <r>
    <x v="115"/>
    <s v="Peconic Bay Medical Center"/>
    <n v="2015"/>
    <n v="6"/>
    <s v="Private Health Insurance"/>
    <x v="0"/>
    <s v="Commercial"/>
    <n v="73312.42"/>
    <n v="55500.34"/>
    <n v="0"/>
  </r>
  <r>
    <x v="116"/>
    <s v="Peconic Bay Medical Center"/>
    <n v="2015"/>
    <n v="6"/>
    <s v="Private Health Insurance"/>
    <x v="0"/>
    <s v="Commercial"/>
    <n v="127361.52"/>
    <n v="48690.3"/>
    <n v="0"/>
  </r>
  <r>
    <x v="117"/>
    <s v="Peconic Bay Medical Center"/>
    <n v="2015"/>
    <n v="6"/>
    <s v="Private Health Insurance"/>
    <x v="0"/>
    <s v="Commercial"/>
    <n v="72419.679999999993"/>
    <n v="53247.1"/>
    <n v="0"/>
  </r>
  <r>
    <x v="118"/>
    <s v="Peconic Bay Medical Center"/>
    <n v="2015"/>
    <n v="9"/>
    <s v="Blue Cross/Blue Shield"/>
    <x v="0"/>
    <s v="Commercial"/>
    <n v="68031.72"/>
    <n v="47328.32"/>
    <n v="0"/>
  </r>
  <r>
    <x v="119"/>
    <s v="Peconic Bay Medical Center"/>
    <n v="2015"/>
    <n v="6"/>
    <s v="Private Health Insurance"/>
    <x v="0"/>
    <s v="Commercial"/>
    <n v="8177.42"/>
    <n v="9525.33"/>
    <n v="1"/>
  </r>
  <r>
    <x v="120"/>
    <s v="Peconic Bay Medical Center"/>
    <n v="2015"/>
    <n v="6"/>
    <s v="Private Health Insurance"/>
    <x v="0"/>
    <s v="Commercial"/>
    <n v="8552.2199999999993"/>
    <n v="8445.91"/>
    <n v="0"/>
  </r>
  <r>
    <x v="121"/>
    <s v="Peconic Bay Medical Center"/>
    <n v="2015"/>
    <n v="6"/>
    <s v="Private Health Insurance"/>
    <x v="0"/>
    <s v="Commercial"/>
    <n v="51895.65"/>
    <n v="36598.870000000003"/>
    <n v="0"/>
  </r>
  <r>
    <x v="122"/>
    <s v="Peconic Bay Medical Center"/>
    <n v="2015"/>
    <n v="9"/>
    <s v="Blue Cross/Blue Shield"/>
    <x v="0"/>
    <s v="Commercial"/>
    <n v="4744.38"/>
    <n v="4926.29"/>
    <n v="1"/>
  </r>
  <r>
    <x v="123"/>
    <s v="Peconic Bay Medical Center"/>
    <n v="2015"/>
    <n v="9"/>
    <s v="Blue Cross/Blue Shield"/>
    <x v="0"/>
    <s v="Commercial"/>
    <n v="37947.65"/>
    <n v="23273.439999999999"/>
    <n v="0"/>
  </r>
  <r>
    <x v="124"/>
    <s v="Peconic Bay Medical Center"/>
    <n v="2015"/>
    <n v="9"/>
    <s v="Blue Cross/Blue Shield"/>
    <x v="0"/>
    <s v="Commercial"/>
    <n v="67398.64"/>
    <n v="53652.65"/>
    <n v="0"/>
  </r>
  <r>
    <x v="125"/>
    <s v="Peconic Bay Medical Center"/>
    <n v="2015"/>
    <n v="6"/>
    <s v="Private Health Insurance"/>
    <x v="0"/>
    <s v="Commercial"/>
    <n v="35146.85"/>
    <n v="19907.37"/>
    <n v="0"/>
  </r>
  <r>
    <x v="126"/>
    <s v="Peconic Bay Medical Center"/>
    <n v="2015"/>
    <n v="6"/>
    <s v="Private Health Insurance"/>
    <x v="0"/>
    <s v="Commercial"/>
    <n v="71908.66"/>
    <n v="55196.99"/>
    <n v="0"/>
  </r>
  <r>
    <x v="127"/>
    <s v="Peconic Bay Medical Center"/>
    <n v="2015"/>
    <n v="9"/>
    <s v="Blue Cross/Blue Shield"/>
    <x v="0"/>
    <s v="Commercial"/>
    <n v="36242.89"/>
    <n v="20836.13"/>
    <n v="0"/>
  </r>
  <r>
    <x v="128"/>
    <s v="Peconic Bay Medical Center"/>
    <n v="2015"/>
    <n v="6"/>
    <s v="Private Health Insurance"/>
    <x v="0"/>
    <s v="Commercial"/>
    <n v="63638.26"/>
    <n v="46729.96"/>
    <n v="0"/>
  </r>
  <r>
    <x v="129"/>
    <s v="Peconic Bay Medical Center"/>
    <n v="2015"/>
    <n v="6"/>
    <s v="Private Health Insurance"/>
    <x v="0"/>
    <s v="Commercial"/>
    <n v="58222.33"/>
    <n v="28233.7"/>
    <n v="0"/>
  </r>
  <r>
    <x v="130"/>
    <s v="Peconic Bay Medical Center"/>
    <n v="2015"/>
    <n v="9"/>
    <s v="Blue Cross/Blue Shield"/>
    <x v="0"/>
    <s v="Commercial"/>
    <n v="30449.5"/>
    <n v="10608.5"/>
    <n v="0"/>
  </r>
  <r>
    <x v="131"/>
    <s v="Peconic Bay Medical Center"/>
    <n v="2015"/>
    <n v="9"/>
    <s v="Blue Cross/Blue Shield"/>
    <x v="0"/>
    <s v="Commercial"/>
    <n v="67986.880000000005"/>
    <n v="49252.82"/>
    <n v="0"/>
  </r>
  <r>
    <x v="132"/>
    <s v="Peconic Bay Medical Center"/>
    <n v="2015"/>
    <n v="6"/>
    <s v="Private Health Insurance"/>
    <x v="0"/>
    <s v="Commercial"/>
    <n v="72982.759999999995"/>
    <n v="58423.71"/>
    <n v="0"/>
  </r>
  <r>
    <x v="133"/>
    <s v="Peconic Bay Medical Center"/>
    <n v="2015"/>
    <n v="6"/>
    <s v="Private Health Insurance"/>
    <x v="0"/>
    <s v="Commercial"/>
    <n v="8045.86"/>
    <n v="8244.31"/>
    <n v="1"/>
  </r>
  <r>
    <x v="134"/>
    <s v="Peconic Bay Medical Center"/>
    <n v="2015"/>
    <n v="9"/>
    <s v="Blue Cross/Blue Shield"/>
    <x v="0"/>
    <s v="Commercial"/>
    <n v="78148.100000000006"/>
    <n v="59169.93"/>
    <n v="0"/>
  </r>
  <r>
    <x v="135"/>
    <s v="Peconic Bay Medical Center"/>
    <n v="2015"/>
    <n v="9"/>
    <s v="Blue Cross/Blue Shield"/>
    <x v="0"/>
    <s v="Commercial"/>
    <n v="5687.24"/>
    <n v="5160.7"/>
    <n v="0"/>
  </r>
  <r>
    <x v="136"/>
    <s v="Peconic Bay Medical Center"/>
    <n v="2015"/>
    <n v="9"/>
    <s v="Blue Cross/Blue Shield"/>
    <x v="0"/>
    <s v="Commercial"/>
    <n v="56080.72"/>
    <n v="42630.8"/>
    <n v="0"/>
  </r>
  <r>
    <x v="137"/>
    <s v="Peconic Bay Medical Center"/>
    <n v="2015"/>
    <n v="9"/>
    <s v="Blue Cross/Blue Shield"/>
    <x v="0"/>
    <s v="Commercial"/>
    <n v="72462.8"/>
    <n v="50828.47"/>
    <n v="0"/>
  </r>
  <r>
    <x v="138"/>
    <s v="Peconic Bay Medical Center"/>
    <n v="2015"/>
    <n v="9"/>
    <s v="Blue Cross/Blue Shield"/>
    <x v="0"/>
    <s v="Commercial"/>
    <n v="72455.02"/>
    <n v="53417.58"/>
    <n v="0"/>
  </r>
  <r>
    <x v="139"/>
    <s v="Peconic Bay Medical Center"/>
    <n v="2015"/>
    <n v="9"/>
    <s v="Blue Cross/Blue Shield"/>
    <x v="0"/>
    <s v="Commercial"/>
    <n v="5185.68"/>
    <n v="6285.13"/>
    <n v="1"/>
  </r>
  <r>
    <x v="140"/>
    <s v="Peconic Bay Medical Center"/>
    <n v="2015"/>
    <n v="6"/>
    <s v="Private Health Insurance"/>
    <x v="0"/>
    <s v="Commercial"/>
    <n v="30162.48"/>
    <n v="15889.65"/>
    <n v="0"/>
  </r>
  <r>
    <x v="141"/>
    <s v="Peconic Bay Medical Center"/>
    <n v="2015"/>
    <n v="9"/>
    <s v="Blue Cross/Blue Shield"/>
    <x v="0"/>
    <s v="Commercial"/>
    <n v="60009.94"/>
    <n v="41616.839999999997"/>
    <n v="0"/>
  </r>
  <r>
    <x v="142"/>
    <s v="Peconic Bay Medical Center"/>
    <n v="2015"/>
    <n v="6"/>
    <s v="Private Health Insurance"/>
    <x v="0"/>
    <s v="Commercial"/>
    <n v="29441.74"/>
    <n v="13697.26"/>
    <n v="0"/>
  </r>
  <r>
    <x v="143"/>
    <s v="Peconic Bay Medical Center"/>
    <n v="2015"/>
    <n v="9"/>
    <s v="Blue Cross/Blue Shield"/>
    <x v="0"/>
    <s v="Commercial"/>
    <n v="63755.34"/>
    <n v="46235.8"/>
    <n v="0"/>
  </r>
  <r>
    <x v="144"/>
    <s v="Peconic Bay Medical Center"/>
    <n v="2015"/>
    <n v="6"/>
    <s v="Private Health Insurance"/>
    <x v="0"/>
    <s v="Commercial"/>
    <n v="89589.14"/>
    <n v="53652.95"/>
    <n v="0"/>
  </r>
  <r>
    <x v="145"/>
    <s v="Peconic Bay Medical Center"/>
    <n v="2015"/>
    <n v="6"/>
    <s v="Private Health Insurance"/>
    <x v="0"/>
    <s v="Commercial"/>
    <n v="65699.14"/>
    <n v="55208.22"/>
    <n v="0"/>
  </r>
  <r>
    <x v="146"/>
    <s v="Peconic Bay Medical Center"/>
    <n v="2015"/>
    <n v="9"/>
    <s v="Blue Cross/Blue Shield"/>
    <x v="0"/>
    <s v="Commercial"/>
    <n v="29038.52"/>
    <n v="12262.86"/>
    <n v="0"/>
  </r>
  <r>
    <x v="147"/>
    <s v="Peconic Bay Medical Center"/>
    <n v="2015"/>
    <n v="9"/>
    <s v="Blue Cross/Blue Shield"/>
    <x v="0"/>
    <s v="Commercial"/>
    <n v="74053.960000000006"/>
    <n v="55691.68"/>
    <n v="0"/>
  </r>
  <r>
    <x v="148"/>
    <s v="Peconic Bay Medical Center"/>
    <n v="2015"/>
    <n v="9"/>
    <s v="Blue Cross/Blue Shield"/>
    <x v="0"/>
    <s v="Commercial"/>
    <n v="46063.45"/>
    <n v="30434.61"/>
    <n v="0"/>
  </r>
  <r>
    <x v="149"/>
    <s v="Peconic Bay Medical Center"/>
    <n v="2015"/>
    <n v="9"/>
    <s v="Blue Cross/Blue Shield"/>
    <x v="0"/>
    <s v="Commercial"/>
    <n v="4045.6"/>
    <n v="4754.17"/>
    <n v="1"/>
  </r>
  <r>
    <x v="150"/>
    <s v="Peconic Bay Medical Center"/>
    <n v="2015"/>
    <n v="6"/>
    <s v="Private Health Insurance"/>
    <x v="0"/>
    <s v="Commercial"/>
    <n v="32426.639999999999"/>
    <n v="9964.75"/>
    <n v="0"/>
  </r>
  <r>
    <x v="151"/>
    <s v="Peconic Bay Medical Center"/>
    <n v="2015"/>
    <n v="6"/>
    <s v="Private Health Insurance"/>
    <x v="0"/>
    <s v="Commercial"/>
    <n v="73691.92"/>
    <n v="54609.94"/>
    <n v="0"/>
  </r>
  <r>
    <x v="152"/>
    <s v="Peconic Bay Medical Center"/>
    <n v="2015"/>
    <n v="6"/>
    <s v="Private Health Insurance"/>
    <x v="0"/>
    <s v="Commercial"/>
    <n v="40694.04"/>
    <n v="30752.62"/>
    <n v="0"/>
  </r>
  <r>
    <x v="153"/>
    <s v="Peconic Bay Medical Center"/>
    <n v="2015"/>
    <n v="9"/>
    <s v="Blue Cross/Blue Shield"/>
    <x v="0"/>
    <s v="Commercial"/>
    <n v="37525.410000000003"/>
    <n v="25076.28"/>
    <n v="0"/>
  </r>
  <r>
    <x v="154"/>
    <s v="Peconic Bay Medical Center"/>
    <n v="2015"/>
    <n v="6"/>
    <s v="Private Health Insurance"/>
    <x v="0"/>
    <s v="Commercial"/>
    <n v="90295.6"/>
    <n v="66746.83"/>
    <n v="0"/>
  </r>
  <r>
    <x v="155"/>
    <s v="Peconic Bay Medical Center"/>
    <n v="2015"/>
    <n v="6"/>
    <s v="Private Health Insurance"/>
    <x v="0"/>
    <s v="Commercial"/>
    <n v="66415.14"/>
    <n v="47767.53"/>
    <n v="0"/>
  </r>
  <r>
    <x v="156"/>
    <s v="Peconic Bay Medical Center"/>
    <n v="2015"/>
    <n v="6"/>
    <s v="Private Health Insurance"/>
    <x v="0"/>
    <s v="Commercial"/>
    <n v="16545.36"/>
    <n v="2667.27"/>
    <n v="0"/>
  </r>
  <r>
    <x v="157"/>
    <s v="Peconic Bay Medical Center"/>
    <n v="2015"/>
    <n v="9"/>
    <s v="Blue Cross/Blue Shield"/>
    <x v="0"/>
    <s v="Commercial"/>
    <n v="75192.38"/>
    <n v="57520.480000000003"/>
    <n v="0"/>
  </r>
  <r>
    <x v="158"/>
    <s v="Peconic Bay Medical Center"/>
    <n v="2015"/>
    <n v="9"/>
    <s v="Blue Cross/Blue Shield"/>
    <x v="0"/>
    <s v="Commercial"/>
    <n v="37314.33"/>
    <n v="28209.35"/>
    <n v="0"/>
  </r>
  <r>
    <x v="159"/>
    <s v="Peconic Bay Medical Center"/>
    <n v="2015"/>
    <n v="6"/>
    <s v="Private Health Insurance"/>
    <x v="0"/>
    <s v="Commercial"/>
    <n v="2952.56"/>
    <n v="3233.02"/>
    <n v="1"/>
  </r>
  <r>
    <x v="160"/>
    <s v="Peconic Bay Medical Center"/>
    <n v="2015"/>
    <n v="6"/>
    <s v="Private Health Insurance"/>
    <x v="0"/>
    <s v="Commercial"/>
    <n v="86770.29"/>
    <n v="54138.06"/>
    <n v="0"/>
  </r>
  <r>
    <x v="161"/>
    <s v="Peconic Bay Medical Center"/>
    <n v="2015"/>
    <n v="9"/>
    <s v="Blue Cross/Blue Shield"/>
    <x v="0"/>
    <s v="Commercial"/>
    <n v="62415.98"/>
    <n v="45436.77"/>
    <n v="0"/>
  </r>
  <r>
    <x v="162"/>
    <s v="Peconic Bay Medical Center"/>
    <n v="2015"/>
    <n v="9"/>
    <s v="Blue Cross/Blue Shield"/>
    <x v="0"/>
    <s v="Commercial"/>
    <n v="254315.45"/>
    <n v="233753.46"/>
    <n v="0"/>
  </r>
  <r>
    <x v="163"/>
    <s v="Peconic Bay Medical Center"/>
    <n v="2015"/>
    <n v="9"/>
    <s v="Blue Cross/Blue Shield"/>
    <x v="0"/>
    <s v="Commercial"/>
    <n v="198496.92"/>
    <n v="185976.67"/>
    <n v="0"/>
  </r>
  <r>
    <x v="164"/>
    <s v="Peconic Bay Medical Center"/>
    <n v="2015"/>
    <n v="9"/>
    <s v="Blue Cross/Blue Shield"/>
    <x v="0"/>
    <s v="Commercial"/>
    <n v="66420.12"/>
    <n v="52223.83"/>
    <n v="0"/>
  </r>
  <r>
    <x v="165"/>
    <s v="Peconic Bay Medical Center"/>
    <n v="2015"/>
    <n v="9"/>
    <s v="Blue Cross/Blue Shield"/>
    <x v="0"/>
    <s v="Commercial"/>
    <n v="23838.959999999999"/>
    <n v="6927.14"/>
    <n v="0"/>
  </r>
  <r>
    <x v="166"/>
    <s v="Peconic Bay Medical Center"/>
    <n v="2015"/>
    <n v="9"/>
    <s v="Blue Cross/Blue Shield"/>
    <x v="0"/>
    <s v="Commercial"/>
    <n v="76516"/>
    <n v="54360.01"/>
    <n v="0"/>
  </r>
  <r>
    <x v="167"/>
    <s v="Peconic Bay Medical Center"/>
    <n v="2015"/>
    <n v="6"/>
    <s v="Private Health Insurance"/>
    <x v="0"/>
    <s v="Commercial"/>
    <n v="34522.949999999997"/>
    <n v="23516.87"/>
    <n v="0"/>
  </r>
  <r>
    <x v="168"/>
    <s v="Peconic Bay Medical Center"/>
    <n v="2015"/>
    <n v="9"/>
    <s v="Blue Cross/Blue Shield"/>
    <x v="0"/>
    <s v="Commercial"/>
    <n v="23622.62"/>
    <n v="8363.77"/>
    <n v="0"/>
  </r>
  <r>
    <x v="169"/>
    <s v="Peconic Bay Medical Center"/>
    <n v="2015"/>
    <n v="9"/>
    <s v="Blue Cross/Blue Shield"/>
    <x v="0"/>
    <s v="Commercial"/>
    <n v="23968.720000000001"/>
    <n v="8363.2099999999991"/>
    <n v="0"/>
  </r>
  <r>
    <x v="170"/>
    <s v="Peconic Bay Medical Center"/>
    <n v="2015"/>
    <n v="9"/>
    <s v="Blue Cross/Blue Shield"/>
    <x v="0"/>
    <s v="Commercial"/>
    <n v="74957.38"/>
    <n v="55885.08"/>
    <n v="0"/>
  </r>
  <r>
    <x v="171"/>
    <s v="Peconic Bay Medical Center"/>
    <n v="2015"/>
    <n v="9"/>
    <s v="Blue Cross/Blue Shield"/>
    <x v="0"/>
    <s v="Commercial"/>
    <n v="68875.179999999993"/>
    <n v="53862.63"/>
    <n v="0"/>
  </r>
  <r>
    <x v="172"/>
    <s v="Peconic Bay Medical Center"/>
    <n v="2015"/>
    <n v="9"/>
    <s v="Blue Cross/Blue Shield"/>
    <x v="0"/>
    <s v="Commercial"/>
    <n v="26097.22"/>
    <n v="10390.67"/>
    <n v="0"/>
  </r>
  <r>
    <x v="173"/>
    <s v="Peconic Bay Medical Center"/>
    <n v="2015"/>
    <n v="9"/>
    <s v="Blue Cross/Blue Shield"/>
    <x v="0"/>
    <s v="Commercial"/>
    <n v="74214.44"/>
    <n v="55692.03"/>
    <n v="0"/>
  </r>
  <r>
    <x v="174"/>
    <s v="Peconic Bay Medical Center"/>
    <n v="2015"/>
    <n v="6"/>
    <s v="Private Health Insurance"/>
    <x v="0"/>
    <s v="Commercial"/>
    <n v="72211.42"/>
    <n v="53815.92"/>
    <n v="0"/>
  </r>
  <r>
    <x v="175"/>
    <s v="Peconic Bay Medical Center"/>
    <n v="2015"/>
    <n v="9"/>
    <s v="Blue Cross/Blue Shield"/>
    <x v="0"/>
    <s v="Commercial"/>
    <n v="74448.240000000005"/>
    <n v="55697.65"/>
    <n v="0"/>
  </r>
  <r>
    <x v="176"/>
    <s v="Peconic Bay Medical Center"/>
    <n v="2015"/>
    <n v="6"/>
    <s v="Private Health Insurance"/>
    <x v="0"/>
    <s v="Commercial"/>
    <n v="39088.720000000001"/>
    <n v="12501.75"/>
    <n v="0"/>
  </r>
  <r>
    <x v="177"/>
    <s v="Peconic Bay Medical Center"/>
    <n v="2015"/>
    <n v="9"/>
    <s v="Blue Cross/Blue Shield"/>
    <x v="0"/>
    <s v="Commercial"/>
    <n v="77358"/>
    <n v="59168.85"/>
    <n v="0"/>
  </r>
  <r>
    <x v="178"/>
    <s v="Peconic Bay Medical Center"/>
    <n v="2015"/>
    <n v="9"/>
    <s v="Blue Cross/Blue Shield"/>
    <x v="0"/>
    <s v="Commercial"/>
    <n v="70773.94"/>
    <n v="52155.11"/>
    <n v="0"/>
  </r>
  <r>
    <x v="179"/>
    <s v="Peconic Bay Medical Center"/>
    <n v="2015"/>
    <n v="9"/>
    <s v="Blue Cross/Blue Shield"/>
    <x v="0"/>
    <s v="Commercial"/>
    <n v="67631.98"/>
    <n v="54017.18"/>
    <n v="0"/>
  </r>
  <r>
    <x v="180"/>
    <s v="Peconic Bay Medical Center"/>
    <n v="2015"/>
    <n v="9"/>
    <s v="Blue Cross/Blue Shield"/>
    <x v="0"/>
    <s v="Commercial"/>
    <n v="50770.879999999997"/>
    <n v="14993.83"/>
    <n v="0"/>
  </r>
  <r>
    <x v="181"/>
    <s v="Peconic Bay Medical Center"/>
    <n v="2015"/>
    <n v="6"/>
    <s v="Private Health Insurance"/>
    <x v="0"/>
    <s v="Commercial"/>
    <n v="40799.339999999997"/>
    <n v="22803.49"/>
    <n v="0"/>
  </r>
  <r>
    <x v="182"/>
    <s v="Peconic Bay Medical Center"/>
    <n v="2015"/>
    <n v="9"/>
    <s v="Blue Cross/Blue Shield"/>
    <x v="0"/>
    <s v="Commercial"/>
    <n v="7451.18"/>
    <n v="6923.58"/>
    <n v="0"/>
  </r>
  <r>
    <x v="183"/>
    <s v="Peconic Bay Medical Center"/>
    <n v="2015"/>
    <n v="6"/>
    <s v="Private Health Insurance"/>
    <x v="0"/>
    <s v="Commercial"/>
    <n v="83699.3"/>
    <n v="60430.14"/>
    <n v="0"/>
  </r>
  <r>
    <x v="184"/>
    <s v="Peconic Bay Medical Center"/>
    <n v="2015"/>
    <n v="6"/>
    <s v="Private Health Insurance"/>
    <x v="0"/>
    <s v="Commercial"/>
    <n v="27193.98"/>
    <n v="8807.17"/>
    <n v="0"/>
  </r>
  <r>
    <x v="185"/>
    <s v="Peconic Bay Medical Center"/>
    <n v="2015"/>
    <n v="9"/>
    <s v="Blue Cross/Blue Shield"/>
    <x v="0"/>
    <s v="Commercial"/>
    <n v="67176.75"/>
    <n v="47949.52"/>
    <n v="0"/>
  </r>
  <r>
    <x v="186"/>
    <s v="Peconic Bay Medical Center"/>
    <n v="2015"/>
    <n v="6"/>
    <s v="Private Health Insurance"/>
    <x v="0"/>
    <s v="Commercial"/>
    <n v="23819.68"/>
    <n v="8327.41"/>
    <n v="0"/>
  </r>
  <r>
    <x v="187"/>
    <s v="Peconic Bay Medical Center"/>
    <n v="2015"/>
    <n v="6"/>
    <s v="Private Health Insurance"/>
    <x v="0"/>
    <s v="Commercial"/>
    <n v="67087.3"/>
    <n v="53497.98"/>
    <n v="0"/>
  </r>
  <r>
    <x v="188"/>
    <s v="Peconic Bay Medical Center"/>
    <n v="2015"/>
    <n v="6"/>
    <s v="Private Health Insurance"/>
    <x v="0"/>
    <s v="Commercial"/>
    <n v="58888.34"/>
    <n v="39852.1"/>
    <n v="0"/>
  </r>
  <r>
    <x v="189"/>
    <s v="Peconic Bay Medical Center"/>
    <n v="2015"/>
    <n v="9"/>
    <s v="Blue Cross/Blue Shield"/>
    <x v="0"/>
    <s v="Commercial"/>
    <n v="61588.68"/>
    <n v="44234.559999999998"/>
    <n v="0"/>
  </r>
  <r>
    <x v="190"/>
    <s v="Peconic Bay Medical Center"/>
    <n v="2015"/>
    <n v="6"/>
    <s v="Private Health Insurance"/>
    <x v="0"/>
    <s v="Commercial"/>
    <n v="50662.8"/>
    <n v="15633.34"/>
    <n v="0"/>
  </r>
  <r>
    <x v="191"/>
    <s v="Peconic Bay Medical Center"/>
    <n v="2015"/>
    <n v="6"/>
    <s v="Private Health Insurance"/>
    <x v="0"/>
    <s v="Commercial"/>
    <n v="7443.42"/>
    <n v="6921.72"/>
    <n v="0"/>
  </r>
  <r>
    <x v="192"/>
    <s v="Peconic Bay Medical Center"/>
    <n v="2015"/>
    <n v="9"/>
    <s v="Blue Cross/Blue Shield"/>
    <x v="0"/>
    <s v="Commercial"/>
    <n v="50040.51"/>
    <n v="33755.49"/>
    <n v="0"/>
  </r>
  <r>
    <x v="193"/>
    <s v="Peconic Bay Medical Center"/>
    <n v="2015"/>
    <n v="9"/>
    <s v="Blue Cross/Blue Shield"/>
    <x v="0"/>
    <s v="Commercial"/>
    <n v="18168.740000000002"/>
    <n v="11624.99"/>
    <n v="0"/>
  </r>
  <r>
    <x v="194"/>
    <s v="Peconic Bay Medical Center"/>
    <n v="2015"/>
    <n v="6"/>
    <s v="Private Health Insurance"/>
    <x v="0"/>
    <s v="Commercial"/>
    <n v="24107.040000000001"/>
    <n v="4634.08"/>
    <n v="0"/>
  </r>
  <r>
    <x v="195"/>
    <s v="Peconic Bay Medical Center"/>
    <n v="2015"/>
    <n v="6"/>
    <s v="Private Health Insurance"/>
    <x v="0"/>
    <s v="Commercial"/>
    <n v="65314.5"/>
    <n v="46917.63"/>
    <n v="0"/>
  </r>
  <r>
    <x v="196"/>
    <s v="Peconic Bay Medical Center"/>
    <n v="2015"/>
    <n v="9"/>
    <s v="Blue Cross/Blue Shield"/>
    <x v="0"/>
    <s v="Commercial"/>
    <n v="38666.46"/>
    <n v="12472.08"/>
    <n v="0"/>
  </r>
  <r>
    <x v="197"/>
    <s v="Peconic Bay Medical Center"/>
    <n v="2015"/>
    <n v="9"/>
    <s v="Blue Cross/Blue Shield"/>
    <x v="0"/>
    <s v="Commercial"/>
    <n v="73638.62"/>
    <n v="55578.69"/>
    <n v="0"/>
  </r>
  <r>
    <x v="198"/>
    <s v="Peconic Bay Medical Center"/>
    <n v="2015"/>
    <n v="6"/>
    <s v="Private Health Insurance"/>
    <x v="0"/>
    <s v="Commercial"/>
    <n v="73339.94"/>
    <n v="55506.95"/>
    <n v="0"/>
  </r>
  <r>
    <x v="199"/>
    <s v="Peconic Bay Medical Center"/>
    <n v="2015"/>
    <n v="9"/>
    <s v="Blue Cross/Blue Shield"/>
    <x v="0"/>
    <s v="Commercial"/>
    <n v="16813.16"/>
    <n v="4712.97"/>
    <n v="0"/>
  </r>
  <r>
    <x v="200"/>
    <s v="Peconic Bay Medical Center"/>
    <n v="2015"/>
    <n v="6"/>
    <s v="Private Health Insurance"/>
    <x v="0"/>
    <s v="Commercial"/>
    <n v="62653.5"/>
    <n v="47580.45"/>
    <n v="0"/>
  </r>
  <r>
    <x v="201"/>
    <s v="Peconic Bay Medical Center"/>
    <n v="2015"/>
    <n v="6"/>
    <s v="Private Health Insurance"/>
    <x v="0"/>
    <s v="Commercial"/>
    <n v="23586.94"/>
    <n v="8271.39"/>
    <n v="0"/>
  </r>
  <r>
    <x v="202"/>
    <s v="Peconic Bay Medical Center"/>
    <n v="2015"/>
    <n v="9"/>
    <s v="Blue Cross/Blue Shield"/>
    <x v="0"/>
    <s v="Commercial"/>
    <n v="71915.92"/>
    <n v="57212.639999999999"/>
    <n v="0"/>
  </r>
  <r>
    <x v="203"/>
    <s v="Peconic Bay Medical Center"/>
    <n v="2015"/>
    <n v="6"/>
    <s v="Private Health Insurance"/>
    <x v="0"/>
    <s v="Commercial"/>
    <n v="63668.14"/>
    <n v="45923.17"/>
    <n v="0"/>
  </r>
  <r>
    <x v="204"/>
    <s v="Peconic Bay Medical Center"/>
    <n v="2015"/>
    <n v="9"/>
    <s v="Blue Cross/Blue Shield"/>
    <x v="0"/>
    <s v="Commercial"/>
    <n v="38831.24"/>
    <n v="15999.85"/>
    <n v="0"/>
  </r>
  <r>
    <x v="205"/>
    <s v="Peconic Bay Medical Center"/>
    <n v="2015"/>
    <n v="6"/>
    <s v="Private Health Insurance"/>
    <x v="0"/>
    <s v="Commercial"/>
    <n v="80284.78"/>
    <n v="59665.42"/>
    <n v="0"/>
  </r>
  <r>
    <x v="206"/>
    <s v="Peconic Bay Medical Center"/>
    <n v="2015"/>
    <n v="9"/>
    <s v="Blue Cross/Blue Shield"/>
    <x v="0"/>
    <s v="Commercial"/>
    <n v="65753.48"/>
    <n v="48716.15"/>
    <n v="0"/>
  </r>
  <r>
    <x v="207"/>
    <s v="Peconic Bay Medical Center"/>
    <n v="2015"/>
    <n v="6"/>
    <s v="Private Health Insurance"/>
    <x v="0"/>
    <s v="Commercial"/>
    <n v="44246.6"/>
    <n v="22593.39"/>
    <n v="0"/>
  </r>
  <r>
    <x v="208"/>
    <s v="Peconic Bay Medical Center"/>
    <n v="2015"/>
    <n v="6"/>
    <s v="Private Health Insurance"/>
    <x v="0"/>
    <s v="Commercial"/>
    <n v="32480.080000000002"/>
    <n v="9505.6200000000008"/>
    <n v="0"/>
  </r>
  <r>
    <x v="209"/>
    <s v="Peconic Bay Medical Center"/>
    <n v="2015"/>
    <n v="6"/>
    <s v="Private Health Insurance"/>
    <x v="0"/>
    <s v="Commercial"/>
    <n v="60062.14"/>
    <n v="45707.64"/>
    <n v="0"/>
  </r>
  <r>
    <x v="210"/>
    <s v="Peconic Bay Medical Center"/>
    <n v="2015"/>
    <n v="9"/>
    <s v="Blue Cross/Blue Shield"/>
    <x v="0"/>
    <s v="Commercial"/>
    <n v="55691.34"/>
    <n v="33520.32"/>
    <n v="0"/>
  </r>
  <r>
    <x v="211"/>
    <s v="Peconic Bay Medical Center"/>
    <n v="2015"/>
    <n v="9"/>
    <s v="Blue Cross/Blue Shield"/>
    <x v="0"/>
    <s v="Commercial"/>
    <n v="34730.75"/>
    <n v="20255.990000000002"/>
    <n v="0"/>
  </r>
  <r>
    <x v="212"/>
    <s v="Peconic Bay Medical Center"/>
    <n v="2015"/>
    <n v="6"/>
    <s v="Private Health Insurance"/>
    <x v="0"/>
    <s v="Commercial"/>
    <n v="12716.54"/>
    <n v="3787.57"/>
    <n v="0"/>
  </r>
  <r>
    <x v="213"/>
    <s v="Peconic Bay Medical Center"/>
    <n v="2015"/>
    <n v="9"/>
    <s v="Blue Cross/Blue Shield"/>
    <x v="0"/>
    <s v="Commercial"/>
    <n v="75384.679999999993"/>
    <n v="56388.67"/>
    <n v="0"/>
  </r>
  <r>
    <x v="214"/>
    <s v="Peconic Bay Medical Center"/>
    <n v="2015"/>
    <n v="9"/>
    <s v="Blue Cross/Blue Shield"/>
    <x v="0"/>
    <s v="Commercial"/>
    <n v="62581.24"/>
    <n v="26575.54"/>
    <n v="0"/>
  </r>
  <r>
    <x v="215"/>
    <s v="Peconic Bay Medical Center"/>
    <n v="2015"/>
    <n v="6"/>
    <s v="Private Health Insurance"/>
    <x v="0"/>
    <s v="Commercial"/>
    <n v="64987.14"/>
    <n v="46766.54"/>
    <n v="0"/>
  </r>
  <r>
    <x v="216"/>
    <s v="Peconic Bay Medical Center"/>
    <n v="2015"/>
    <n v="9"/>
    <s v="Blue Cross/Blue Shield"/>
    <x v="0"/>
    <s v="Commercial"/>
    <n v="47062"/>
    <n v="14041.12"/>
    <n v="0"/>
  </r>
  <r>
    <x v="217"/>
    <s v="Peconic Bay Medical Center"/>
    <n v="2015"/>
    <n v="6"/>
    <s v="Private Health Insurance"/>
    <x v="0"/>
    <s v="Commercial"/>
    <n v="7548.62"/>
    <n v="6951.37"/>
    <n v="0"/>
  </r>
  <r>
    <x v="218"/>
    <s v="Peconic Bay Medical Center"/>
    <n v="2015"/>
    <n v="6"/>
    <s v="Private Health Insurance"/>
    <x v="0"/>
    <s v="Commercial"/>
    <n v="38263.31"/>
    <n v="24857.85"/>
    <n v="0"/>
  </r>
  <r>
    <x v="219"/>
    <s v="Peconic Bay Medical Center"/>
    <n v="2015"/>
    <n v="9"/>
    <s v="Blue Cross/Blue Shield"/>
    <x v="0"/>
    <s v="Commercial"/>
    <n v="26773.34"/>
    <n v="14673.56"/>
    <n v="0"/>
  </r>
  <r>
    <x v="220"/>
    <s v="Peconic Bay Medical Center"/>
    <n v="2015"/>
    <n v="6"/>
    <s v="Private Health Insurance"/>
    <x v="0"/>
    <s v="Commercial"/>
    <n v="35410.910000000003"/>
    <n v="20271.46"/>
    <n v="0"/>
  </r>
  <r>
    <x v="221"/>
    <s v="Peconic Bay Medical Center"/>
    <n v="2015"/>
    <n v="6"/>
    <s v="Private Health Insurance"/>
    <x v="0"/>
    <s v="Commercial"/>
    <n v="25939.38"/>
    <n v="11312.2"/>
    <n v="0"/>
  </r>
  <r>
    <x v="222"/>
    <s v="Peconic Bay Medical Center"/>
    <n v="2015"/>
    <n v="6"/>
    <s v="Private Health Insurance"/>
    <x v="0"/>
    <s v="Commercial"/>
    <n v="74839.48"/>
    <n v="57291.87"/>
    <n v="0"/>
  </r>
  <r>
    <x v="223"/>
    <s v="Peconic Bay Medical Center"/>
    <n v="2015"/>
    <n v="6"/>
    <s v="Private Health Insurance"/>
    <x v="0"/>
    <s v="Commercial"/>
    <n v="38230.589999999997"/>
    <n v="28982.26"/>
    <n v="0"/>
  </r>
  <r>
    <x v="224"/>
    <s v="Peconic Bay Medical Center"/>
    <n v="2015"/>
    <n v="6"/>
    <s v="Private Health Insurance"/>
    <x v="0"/>
    <s v="Commercial"/>
    <n v="14403.66"/>
    <n v="3229.86"/>
    <n v="0"/>
  </r>
  <r>
    <x v="225"/>
    <s v="Peconic Bay Medical Center"/>
    <n v="2015"/>
    <n v="9"/>
    <s v="Blue Cross/Blue Shield"/>
    <x v="0"/>
    <s v="Commercial"/>
    <n v="4269.6400000000003"/>
    <n v="2372.64"/>
    <n v="0"/>
  </r>
  <r>
    <x v="226"/>
    <s v="Peconic Bay Medical Center"/>
    <n v="2015"/>
    <n v="6"/>
    <s v="Private Health Insurance"/>
    <x v="0"/>
    <s v="Commercial"/>
    <n v="88627.520000000004"/>
    <n v="63249"/>
    <n v="0"/>
  </r>
  <r>
    <x v="227"/>
    <s v="Peconic Bay Medical Center"/>
    <n v="2015"/>
    <n v="9"/>
    <s v="Blue Cross/Blue Shield"/>
    <x v="0"/>
    <s v="Commercial"/>
    <n v="20063.759999999998"/>
    <n v="5066.78"/>
    <n v="0"/>
  </r>
  <r>
    <x v="228"/>
    <s v="Peconic Bay Medical Center"/>
    <n v="2015"/>
    <n v="9"/>
    <s v="Blue Cross/Blue Shield"/>
    <x v="0"/>
    <s v="Commercial"/>
    <n v="83897.9"/>
    <n v="62727.4"/>
    <n v="0"/>
  </r>
  <r>
    <x v="229"/>
    <s v="Peconic Bay Medical Center"/>
    <n v="2015"/>
    <n v="6"/>
    <s v="Private Health Insurance"/>
    <x v="0"/>
    <s v="Commercial"/>
    <n v="27902.720000000001"/>
    <n v="6736.57"/>
    <n v="0"/>
  </r>
  <r>
    <x v="230"/>
    <s v="Peconic Bay Medical Center"/>
    <n v="2015"/>
    <n v="9"/>
    <s v="Blue Cross/Blue Shield"/>
    <x v="0"/>
    <s v="Commercial"/>
    <n v="80574.600000000006"/>
    <n v="62363.93"/>
    <n v="0"/>
  </r>
  <r>
    <x v="231"/>
    <s v="Peconic Bay Medical Center"/>
    <n v="2015"/>
    <n v="9"/>
    <s v="Blue Cross/Blue Shield"/>
    <x v="0"/>
    <s v="Commercial"/>
    <n v="80146.44"/>
    <n v="61808.95"/>
    <n v="0"/>
  </r>
  <r>
    <x v="232"/>
    <s v="Peconic Bay Medical Center"/>
    <n v="2015"/>
    <n v="6"/>
    <s v="Private Health Insurance"/>
    <x v="0"/>
    <s v="Commercial"/>
    <n v="20112.72"/>
    <n v="7711.12"/>
    <n v="0"/>
  </r>
  <r>
    <x v="233"/>
    <s v="Peconic Bay Medical Center"/>
    <n v="2015"/>
    <n v="9"/>
    <s v="Blue Cross/Blue Shield"/>
    <x v="0"/>
    <s v="Commercial"/>
    <n v="20832.400000000001"/>
    <n v="7048.38"/>
    <n v="0"/>
  </r>
  <r>
    <x v="234"/>
    <s v="Peconic Bay Medical Center"/>
    <n v="2015"/>
    <n v="6"/>
    <s v="Private Health Insurance"/>
    <x v="0"/>
    <s v="Commercial"/>
    <n v="7435.66"/>
    <n v="6919.86"/>
    <n v="0"/>
  </r>
  <r>
    <x v="235"/>
    <s v="Peconic Bay Medical Center"/>
    <n v="2015"/>
    <n v="6"/>
    <s v="Private Health Insurance"/>
    <x v="0"/>
    <s v="Commercial"/>
    <n v="18025.12"/>
    <n v="7554.37"/>
    <n v="0"/>
  </r>
  <r>
    <x v="236"/>
    <s v="Peconic Bay Medical Center"/>
    <n v="2015"/>
    <n v="6"/>
    <s v="Private Health Insurance"/>
    <x v="0"/>
    <s v="Commercial"/>
    <n v="12042.02"/>
    <n v="2305.61"/>
    <n v="0"/>
  </r>
  <r>
    <x v="237"/>
    <s v="Peconic Bay Medical Center"/>
    <n v="2015"/>
    <n v="9"/>
    <s v="Blue Cross/Blue Shield"/>
    <x v="0"/>
    <s v="Commercial"/>
    <n v="129060.44"/>
    <n v="108410.61"/>
    <n v="0"/>
  </r>
  <r>
    <x v="238"/>
    <s v="Peconic Bay Medical Center"/>
    <n v="2015"/>
    <n v="9"/>
    <s v="Blue Cross/Blue Shield"/>
    <x v="0"/>
    <s v="Commercial"/>
    <n v="72011.759999999995"/>
    <n v="55014.03"/>
    <n v="0"/>
  </r>
  <r>
    <x v="239"/>
    <s v="Peconic Bay Medical Center"/>
    <n v="2015"/>
    <n v="9"/>
    <s v="Blue Cross/Blue Shield"/>
    <x v="0"/>
    <s v="Commercial"/>
    <n v="204838.39999999999"/>
    <n v="191394.83"/>
    <n v="0"/>
  </r>
  <r>
    <x v="240"/>
    <s v="Peconic Bay Medical Center"/>
    <n v="2015"/>
    <n v="6"/>
    <s v="Private Health Insurance"/>
    <x v="0"/>
    <s v="Commercial"/>
    <n v="56869.120000000003"/>
    <n v="17832.57"/>
    <n v="0"/>
  </r>
  <r>
    <x v="241"/>
    <s v="Peconic Bay Medical Center"/>
    <n v="2015"/>
    <n v="6"/>
    <s v="Private Health Insurance"/>
    <x v="0"/>
    <s v="Commercial"/>
    <n v="28265.62"/>
    <n v="6370.4"/>
    <n v="0"/>
  </r>
  <r>
    <x v="242"/>
    <s v="Peconic Bay Medical Center"/>
    <n v="2015"/>
    <n v="6"/>
    <s v="Private Health Insurance"/>
    <x v="0"/>
    <s v="Commercial"/>
    <n v="68696.7"/>
    <n v="49337.42"/>
    <n v="0"/>
  </r>
  <r>
    <x v="243"/>
    <s v="Peconic Bay Medical Center"/>
    <n v="2015"/>
    <n v="6"/>
    <s v="Private Health Insurance"/>
    <x v="0"/>
    <s v="Commercial"/>
    <n v="14433.18"/>
    <n v="4083.31"/>
    <n v="0"/>
  </r>
  <r>
    <x v="244"/>
    <s v="Peconic Bay Medical Center"/>
    <n v="2015"/>
    <n v="6"/>
    <s v="Private Health Insurance"/>
    <x v="0"/>
    <s v="Commercial"/>
    <n v="64429.86"/>
    <n v="46175.65"/>
    <n v="0"/>
  </r>
  <r>
    <x v="245"/>
    <s v="Peconic Bay Medical Center"/>
    <n v="2015"/>
    <n v="6"/>
    <s v="Private Health Insurance"/>
    <x v="0"/>
    <s v="Commercial"/>
    <n v="62938.1"/>
    <n v="42857.3"/>
    <n v="0"/>
  </r>
  <r>
    <x v="246"/>
    <s v="Peconic Bay Medical Center"/>
    <n v="2015"/>
    <n v="9"/>
    <s v="Blue Cross/Blue Shield"/>
    <x v="0"/>
    <s v="Commercial"/>
    <n v="62800.84"/>
    <n v="43869.38"/>
    <n v="0"/>
  </r>
  <r>
    <x v="247"/>
    <s v="Peconic Bay Medical Center"/>
    <n v="2015"/>
    <n v="9"/>
    <s v="Blue Cross/Blue Shield"/>
    <x v="0"/>
    <s v="Commercial"/>
    <n v="66778.820000000007"/>
    <n v="48846.64"/>
    <n v="0"/>
  </r>
  <r>
    <x v="248"/>
    <s v="Peconic Bay Medical Center"/>
    <n v="2015"/>
    <n v="9"/>
    <s v="Blue Cross/Blue Shield"/>
    <x v="0"/>
    <s v="Commercial"/>
    <n v="68220.179999999993"/>
    <n v="49361.35"/>
    <n v="0"/>
  </r>
  <r>
    <x v="249"/>
    <s v="Peconic Bay Medical Center"/>
    <n v="2015"/>
    <n v="9"/>
    <s v="Blue Cross/Blue Shield"/>
    <x v="0"/>
    <s v="Commercial"/>
    <n v="61232.82"/>
    <n v="43569.7"/>
    <n v="0"/>
  </r>
  <r>
    <x v="250"/>
    <s v="Peconic Bay Medical Center"/>
    <n v="2015"/>
    <n v="9"/>
    <s v="Blue Cross/Blue Shield"/>
    <x v="0"/>
    <s v="Commercial"/>
    <n v="19405.560000000001"/>
    <n v="5560.63"/>
    <n v="0"/>
  </r>
  <r>
    <x v="251"/>
    <s v="Peconic Bay Medical Center"/>
    <n v="2015"/>
    <n v="6"/>
    <s v="Private Health Insurance"/>
    <x v="0"/>
    <s v="Commercial"/>
    <n v="63616.800000000003"/>
    <n v="46212.59"/>
    <n v="0"/>
  </r>
  <r>
    <x v="252"/>
    <s v="Peconic Bay Medical Center"/>
    <n v="2015"/>
    <n v="6"/>
    <s v="Private Health Insurance"/>
    <x v="0"/>
    <s v="Commercial"/>
    <n v="58783.78"/>
    <n v="46956.04"/>
    <n v="0"/>
  </r>
  <r>
    <x v="253"/>
    <s v="Peconic Bay Medical Center"/>
    <n v="2015"/>
    <n v="9"/>
    <s v="Blue Cross/Blue Shield"/>
    <x v="0"/>
    <s v="Commercial"/>
    <n v="23591.52"/>
    <n v="8282"/>
    <n v="0"/>
  </r>
  <r>
    <x v="254"/>
    <s v="Peconic Bay Medical Center"/>
    <n v="2015"/>
    <n v="9"/>
    <s v="Blue Cross/Blue Shield"/>
    <x v="0"/>
    <s v="Commercial"/>
    <n v="204323.34"/>
    <n v="182529.69"/>
    <n v="0"/>
  </r>
  <r>
    <x v="255"/>
    <s v="Peconic Bay Medical Center"/>
    <n v="2015"/>
    <n v="9"/>
    <s v="Blue Cross/Blue Shield"/>
    <x v="0"/>
    <s v="Commercial"/>
    <n v="114636.35"/>
    <n v="94436.99"/>
    <n v="0"/>
  </r>
  <r>
    <x v="256"/>
    <s v="Peconic Bay Medical Center"/>
    <n v="2015"/>
    <n v="9"/>
    <s v="Blue Cross/Blue Shield"/>
    <x v="0"/>
    <s v="Commercial"/>
    <n v="53546.68"/>
    <n v="12895.58"/>
    <n v="0"/>
  </r>
  <r>
    <x v="257"/>
    <s v="Peconic Bay Medical Center"/>
    <n v="2015"/>
    <n v="6"/>
    <s v="Private Health Insurance"/>
    <x v="0"/>
    <s v="Commercial"/>
    <n v="75616.44"/>
    <n v="58491.55"/>
    <n v="0"/>
  </r>
  <r>
    <x v="258"/>
    <s v="Peconic Bay Medical Center"/>
    <n v="2015"/>
    <n v="9"/>
    <s v="Blue Cross/Blue Shield"/>
    <x v="0"/>
    <s v="Commercial"/>
    <n v="118677.26"/>
    <n v="96155.74"/>
    <n v="0"/>
  </r>
  <r>
    <x v="259"/>
    <s v="Peconic Bay Medical Center"/>
    <n v="2015"/>
    <n v="6"/>
    <s v="Private Health Insurance"/>
    <x v="0"/>
    <s v="Commercial"/>
    <n v="80131.64"/>
    <n v="59340.65"/>
    <n v="0"/>
  </r>
  <r>
    <x v="260"/>
    <s v="Peconic Bay Medical Center"/>
    <n v="2015"/>
    <n v="9"/>
    <s v="Blue Cross/Blue Shield"/>
    <x v="0"/>
    <s v="Commercial"/>
    <n v="70797.41"/>
    <n v="51712.59"/>
    <n v="0"/>
  </r>
  <r>
    <x v="261"/>
    <s v="Peconic Bay Medical Center"/>
    <n v="2015"/>
    <n v="9"/>
    <s v="Blue Cross/Blue Shield"/>
    <x v="0"/>
    <s v="Commercial"/>
    <n v="64891.5"/>
    <n v="45917.16"/>
    <n v="0"/>
  </r>
  <r>
    <x v="262"/>
    <s v="Peconic Bay Medical Center"/>
    <n v="2015"/>
    <n v="6"/>
    <s v="Private Health Insurance"/>
    <x v="0"/>
    <s v="Commercial"/>
    <n v="62931.94"/>
    <n v="45797.31"/>
    <n v="0"/>
  </r>
  <r>
    <x v="263"/>
    <s v="Peconic Bay Medical Center"/>
    <n v="2015"/>
    <n v="9"/>
    <s v="Blue Cross/Blue Shield"/>
    <x v="0"/>
    <s v="Commercial"/>
    <n v="7451.18"/>
    <n v="6923.58"/>
    <n v="0"/>
  </r>
  <r>
    <x v="264"/>
    <s v="Peconic Bay Medical Center"/>
    <n v="2015"/>
    <n v="9"/>
    <s v="Blue Cross/Blue Shield"/>
    <x v="0"/>
    <s v="Commercial"/>
    <n v="69776.5"/>
    <n v="52259.75"/>
    <n v="0"/>
  </r>
  <r>
    <x v="265"/>
    <s v="Peconic Bay Medical Center"/>
    <n v="2015"/>
    <n v="9"/>
    <s v="Blue Cross/Blue Shield"/>
    <x v="0"/>
    <s v="Commercial"/>
    <n v="5295.48"/>
    <n v="6312.33"/>
    <n v="1"/>
  </r>
  <r>
    <x v="266"/>
    <s v="Peconic Bay Medical Center"/>
    <n v="2015"/>
    <n v="9"/>
    <s v="Blue Cross/Blue Shield"/>
    <x v="0"/>
    <s v="Commercial"/>
    <n v="69608.02"/>
    <n v="52197.46"/>
    <n v="0"/>
  </r>
  <r>
    <x v="267"/>
    <s v="Peconic Bay Medical Center"/>
    <n v="2015"/>
    <n v="9"/>
    <s v="Blue Cross/Blue Shield"/>
    <x v="0"/>
    <s v="Commercial"/>
    <n v="90970.06"/>
    <n v="28908.560000000001"/>
    <n v="0"/>
  </r>
  <r>
    <x v="268"/>
    <s v="Peconic Bay Medical Center"/>
    <n v="2015"/>
    <n v="9"/>
    <s v="Blue Cross/Blue Shield"/>
    <x v="0"/>
    <s v="Commercial"/>
    <n v="64479.54"/>
    <n v="46644.63"/>
    <n v="0"/>
  </r>
  <r>
    <x v="269"/>
    <s v="Peconic Bay Medical Center"/>
    <n v="2015"/>
    <n v="9"/>
    <s v="Blue Cross/Blue Shield"/>
    <x v="0"/>
    <s v="Commercial"/>
    <n v="65658.66"/>
    <n v="48449.04"/>
    <n v="0"/>
  </r>
  <r>
    <x v="270"/>
    <s v="Peconic Bay Medical Center"/>
    <n v="2015"/>
    <n v="6"/>
    <s v="Private Health Insurance"/>
    <x v="0"/>
    <s v="Commercial"/>
    <n v="39049.64"/>
    <n v="12457.42"/>
    <n v="0"/>
  </r>
  <r>
    <x v="271"/>
    <s v="Peconic Bay Medical Center"/>
    <n v="2015"/>
    <n v="6"/>
    <s v="Private Health Insurance"/>
    <x v="0"/>
    <s v="Commercial"/>
    <n v="71792.460000000006"/>
    <n v="55245.02"/>
    <n v="0"/>
  </r>
  <r>
    <x v="272"/>
    <s v="Peconic Bay Medical Center"/>
    <n v="2015"/>
    <n v="9"/>
    <s v="Blue Cross/Blue Shield"/>
    <x v="0"/>
    <s v="Commercial"/>
    <n v="100220.42"/>
    <n v="81523.990000000005"/>
    <n v="0"/>
  </r>
  <r>
    <x v="273"/>
    <s v="Peconic Bay Medical Center"/>
    <n v="2015"/>
    <n v="6"/>
    <s v="Private Health Insurance"/>
    <x v="0"/>
    <s v="Commercial"/>
    <n v="57130.18"/>
    <n v="42849.16"/>
    <n v="0"/>
  </r>
  <r>
    <x v="274"/>
    <s v="Peconic Bay Medical Center"/>
    <n v="2015"/>
    <n v="6"/>
    <s v="Private Health Insurance"/>
    <x v="0"/>
    <s v="Commercial"/>
    <n v="46515.69"/>
    <n v="28518.95"/>
    <n v="0"/>
  </r>
  <r>
    <x v="275"/>
    <s v="Peconic Bay Medical Center"/>
    <n v="2015"/>
    <n v="9"/>
    <s v="Blue Cross/Blue Shield"/>
    <x v="0"/>
    <s v="Commercial"/>
    <n v="63931.48"/>
    <n v="46115.97"/>
    <n v="0"/>
  </r>
  <r>
    <x v="276"/>
    <s v="Peconic Bay Medical Center"/>
    <n v="2015"/>
    <n v="9"/>
    <s v="Blue Cross/Blue Shield"/>
    <x v="0"/>
    <s v="Commercial"/>
    <n v="95638.7"/>
    <n v="76473.56"/>
    <n v="0"/>
  </r>
  <r>
    <x v="277"/>
    <s v="Peconic Bay Medical Center"/>
    <n v="2015"/>
    <n v="9"/>
    <s v="Blue Cross/Blue Shield"/>
    <x v="0"/>
    <s v="Commercial"/>
    <n v="68403.94"/>
    <n v="51908.68"/>
    <n v="0"/>
  </r>
  <r>
    <x v="278"/>
    <s v="Peconic Bay Medical Center"/>
    <n v="2015"/>
    <n v="6"/>
    <s v="Private Health Insurance"/>
    <x v="0"/>
    <s v="Commercial"/>
    <n v="72560.58"/>
    <n v="56818.21"/>
    <n v="0"/>
  </r>
  <r>
    <x v="279"/>
    <s v="Peconic Bay Medical Center"/>
    <n v="2015"/>
    <n v="6"/>
    <s v="Private Health Insurance"/>
    <x v="0"/>
    <s v="Commercial"/>
    <n v="9259.48"/>
    <n v="2569.62"/>
    <n v="0"/>
  </r>
  <r>
    <x v="280"/>
    <s v="Peconic Bay Medical Center"/>
    <n v="2015"/>
    <n v="9"/>
    <s v="Blue Cross/Blue Shield"/>
    <x v="0"/>
    <s v="Commercial"/>
    <n v="69610.44"/>
    <n v="52225.04"/>
    <n v="0"/>
  </r>
  <r>
    <x v="281"/>
    <s v="Peconic Bay Medical Center"/>
    <n v="2015"/>
    <n v="6"/>
    <s v="Private Health Insurance"/>
    <x v="0"/>
    <s v="Commercial"/>
    <n v="31468.28"/>
    <n v="8670.26"/>
    <n v="0"/>
  </r>
  <r>
    <x v="282"/>
    <s v="Peconic Bay Medical Center"/>
    <n v="2015"/>
    <n v="9"/>
    <s v="Blue Cross/Blue Shield"/>
    <x v="0"/>
    <s v="Commercial"/>
    <n v="174974.06"/>
    <n v="118113.66"/>
    <n v="0"/>
  </r>
  <r>
    <x v="283"/>
    <s v="Peconic Bay Medical Center"/>
    <n v="2015"/>
    <n v="6"/>
    <s v="Private Health Insurance"/>
    <x v="0"/>
    <s v="Commercial"/>
    <n v="23757.68"/>
    <n v="8312.52"/>
    <n v="0"/>
  </r>
  <r>
    <x v="284"/>
    <s v="Peconic Bay Medical Center"/>
    <n v="2015"/>
    <n v="9"/>
    <s v="Blue Cross/Blue Shield"/>
    <x v="0"/>
    <s v="Commercial"/>
    <n v="62536.5"/>
    <n v="42651.33"/>
    <n v="0"/>
  </r>
  <r>
    <x v="285"/>
    <s v="Peconic Bay Medical Center"/>
    <n v="2015"/>
    <n v="9"/>
    <s v="Blue Cross/Blue Shield"/>
    <x v="0"/>
    <s v="Commercial"/>
    <n v="66911.12"/>
    <n v="48912.18"/>
    <n v="0"/>
  </r>
  <r>
    <x v="286"/>
    <s v="Peconic Bay Medical Center"/>
    <n v="2015"/>
    <n v="6"/>
    <s v="Private Health Insurance"/>
    <x v="0"/>
    <s v="Commercial"/>
    <n v="24117.88"/>
    <n v="8399.0300000000007"/>
    <n v="0"/>
  </r>
  <r>
    <x v="287"/>
    <s v="Peconic Bay Medical Center"/>
    <n v="2015"/>
    <n v="9"/>
    <s v="Blue Cross/Blue Shield"/>
    <x v="0"/>
    <s v="Commercial"/>
    <n v="104891.59"/>
    <n v="82890.649999999994"/>
    <n v="0"/>
  </r>
  <r>
    <x v="288"/>
    <s v="Peconic Bay Medical Center"/>
    <n v="2015"/>
    <n v="6"/>
    <s v="Private Health Insurance"/>
    <x v="0"/>
    <s v="Commercial"/>
    <n v="60531.58"/>
    <n v="42166.69"/>
    <n v="0"/>
  </r>
  <r>
    <x v="289"/>
    <s v="Peconic Bay Medical Center"/>
    <n v="2015"/>
    <n v="9"/>
    <s v="Blue Cross/Blue Shield"/>
    <x v="0"/>
    <s v="Commercial"/>
    <n v="23901.56"/>
    <n v="8347.08"/>
    <n v="0"/>
  </r>
  <r>
    <x v="290"/>
    <s v="Peconic Bay Medical Center"/>
    <n v="2015"/>
    <n v="9"/>
    <s v="Blue Cross/Blue Shield"/>
    <x v="0"/>
    <s v="Commercial"/>
    <n v="7435.66"/>
    <n v="6919.86"/>
    <n v="0"/>
  </r>
  <r>
    <x v="291"/>
    <s v="Peconic Bay Medical Center"/>
    <n v="2015"/>
    <n v="6"/>
    <s v="Private Health Insurance"/>
    <x v="0"/>
    <s v="Commercial"/>
    <n v="79454.78"/>
    <n v="56967.8"/>
    <n v="0"/>
  </r>
  <r>
    <x v="292"/>
    <s v="Peconic Bay Medical Center"/>
    <n v="2015"/>
    <n v="6"/>
    <s v="Private Health Insurance"/>
    <x v="0"/>
    <s v="Commercial"/>
    <n v="68150.679999999993"/>
    <n v="58013.32"/>
    <n v="0"/>
  </r>
  <r>
    <x v="293"/>
    <s v="Peconic Bay Medical Center"/>
    <n v="2015"/>
    <n v="6"/>
    <s v="Private Health Insurance"/>
    <x v="0"/>
    <s v="Commercial"/>
    <n v="5170.16"/>
    <n v="6281.4"/>
    <n v="1"/>
  </r>
  <r>
    <x v="294"/>
    <s v="Peconic Bay Medical Center"/>
    <n v="2015"/>
    <n v="6"/>
    <s v="Private Health Insurance"/>
    <x v="0"/>
    <s v="Commercial"/>
    <n v="66157.259999999995"/>
    <n v="48696.68"/>
    <n v="0"/>
  </r>
  <r>
    <x v="295"/>
    <s v="Peconic Bay Medical Center"/>
    <n v="2015"/>
    <n v="6"/>
    <s v="Private Health Insurance"/>
    <x v="0"/>
    <s v="Commercial"/>
    <n v="30803.62"/>
    <n v="10237.1"/>
    <n v="0"/>
  </r>
  <r>
    <x v="296"/>
    <s v="Peconic Bay Medical Center"/>
    <n v="2015"/>
    <n v="9"/>
    <s v="Blue Cross/Blue Shield"/>
    <x v="0"/>
    <s v="Commercial"/>
    <n v="100070"/>
    <n v="81283.820000000007"/>
    <n v="0"/>
  </r>
  <r>
    <x v="297"/>
    <s v="Peconic Bay Medical Center"/>
    <n v="2015"/>
    <n v="6"/>
    <s v="Private Health Insurance"/>
    <x v="0"/>
    <s v="Commercial"/>
    <n v="76380.259999999995"/>
    <n v="58673.38"/>
    <n v="0"/>
  </r>
  <r>
    <x v="298"/>
    <s v="Peconic Bay Medical Center"/>
    <n v="2015"/>
    <n v="6"/>
    <s v="Private Health Insurance"/>
    <x v="0"/>
    <s v="Commercial"/>
    <n v="135974.22"/>
    <n v="122670.66"/>
    <n v="0"/>
  </r>
  <r>
    <x v="299"/>
    <s v="Peconic Bay Medical Center"/>
    <n v="2015"/>
    <n v="6"/>
    <s v="Private Health Insurance"/>
    <x v="0"/>
    <s v="Commercial"/>
    <n v="5216.32"/>
    <n v="6292.78"/>
    <n v="1"/>
  </r>
  <r>
    <x v="300"/>
    <s v="Peconic Bay Medical Center"/>
    <n v="2015"/>
    <n v="9"/>
    <s v="Blue Cross/Blue Shield"/>
    <x v="0"/>
    <s v="Commercial"/>
    <n v="85202.12"/>
    <n v="62649.06"/>
    <n v="0"/>
  </r>
  <r>
    <x v="301"/>
    <s v="Peconic Bay Medical Center"/>
    <n v="2015"/>
    <n v="6"/>
    <s v="Private Health Insurance"/>
    <x v="0"/>
    <s v="Commercial"/>
    <n v="7443.42"/>
    <n v="6921.72"/>
    <n v="0"/>
  </r>
  <r>
    <x v="302"/>
    <s v="Peconic Bay Medical Center"/>
    <n v="2015"/>
    <n v="9"/>
    <s v="Blue Cross/Blue Shield"/>
    <x v="0"/>
    <s v="Commercial"/>
    <n v="7443.42"/>
    <n v="6921.72"/>
    <n v="0"/>
  </r>
  <r>
    <x v="303"/>
    <s v="Peconic Bay Medical Center"/>
    <n v="2015"/>
    <n v="9"/>
    <s v="Blue Cross/Blue Shield"/>
    <x v="0"/>
    <s v="Commercial"/>
    <n v="75062.58"/>
    <n v="57623.8"/>
    <n v="0"/>
  </r>
  <r>
    <x v="304"/>
    <s v="Peconic Bay Medical Center"/>
    <n v="2015"/>
    <n v="6"/>
    <s v="Private Health Insurance"/>
    <x v="0"/>
    <s v="Commercial"/>
    <n v="60233.5"/>
    <n v="45095.8"/>
    <n v="0"/>
  </r>
  <r>
    <x v="305"/>
    <s v="Peconic Bay Medical Center"/>
    <n v="2015"/>
    <n v="9"/>
    <s v="Blue Cross/Blue Shield"/>
    <x v="0"/>
    <s v="Commercial"/>
    <n v="37403.129999999997"/>
    <n v="26935.67"/>
    <n v="0"/>
  </r>
  <r>
    <x v="306"/>
    <s v="Peconic Bay Medical Center"/>
    <n v="2015"/>
    <n v="6"/>
    <s v="Private Health Insurance"/>
    <x v="0"/>
    <s v="Commercial"/>
    <n v="19597.8"/>
    <n v="5579.99"/>
    <n v="0"/>
  </r>
  <r>
    <x v="307"/>
    <s v="Peconic Bay Medical Center"/>
    <n v="2015"/>
    <n v="6"/>
    <s v="Private Health Insurance"/>
    <x v="0"/>
    <s v="Commercial"/>
    <n v="75007.12"/>
    <n v="55985.96"/>
    <n v="0"/>
  </r>
  <r>
    <x v="308"/>
    <s v="Peconic Bay Medical Center"/>
    <n v="2015"/>
    <n v="6"/>
    <s v="Private Health Insurance"/>
    <x v="0"/>
    <s v="Commercial"/>
    <n v="10652.96"/>
    <n v="2379.6799999999998"/>
    <n v="0"/>
  </r>
  <r>
    <x v="309"/>
    <s v="Peconic Bay Medical Center"/>
    <n v="2015"/>
    <n v="9"/>
    <s v="Blue Cross/Blue Shield"/>
    <x v="0"/>
    <s v="Commercial"/>
    <n v="19355.04"/>
    <n v="7966.58"/>
    <n v="0"/>
  </r>
  <r>
    <x v="310"/>
    <s v="Peconic Bay Medical Center"/>
    <n v="2015"/>
    <n v="9"/>
    <s v="Blue Cross/Blue Shield"/>
    <x v="0"/>
    <s v="Commercial"/>
    <n v="58306.82"/>
    <n v="45228.44"/>
    <n v="0"/>
  </r>
  <r>
    <x v="311"/>
    <s v="Peconic Bay Medical Center"/>
    <n v="2015"/>
    <n v="6"/>
    <s v="Private Health Insurance"/>
    <x v="0"/>
    <s v="Commercial"/>
    <n v="64152.74"/>
    <n v="45770.720000000001"/>
    <n v="0"/>
  </r>
  <r>
    <x v="312"/>
    <s v="Peconic Bay Medical Center"/>
    <n v="2015"/>
    <n v="9"/>
    <s v="Blue Cross/Blue Shield"/>
    <x v="0"/>
    <s v="Commercial"/>
    <n v="5177.92"/>
    <n v="6283.27"/>
    <n v="1"/>
  </r>
  <r>
    <x v="313"/>
    <s v="Peconic Bay Medical Center"/>
    <n v="2015"/>
    <n v="9"/>
    <s v="Blue Cross/Blue Shield"/>
    <x v="0"/>
    <s v="Commercial"/>
    <n v="37478.410000000003"/>
    <n v="24944.83"/>
    <n v="0"/>
  </r>
  <r>
    <x v="314"/>
    <s v="Peconic Bay Medical Center"/>
    <n v="2015"/>
    <n v="9"/>
    <s v="Blue Cross/Blue Shield"/>
    <x v="0"/>
    <s v="Commercial"/>
    <n v="74606.42"/>
    <n v="55941.15"/>
    <n v="0"/>
  </r>
  <r>
    <x v="315"/>
    <s v="Peconic Bay Medical Center"/>
    <n v="2015"/>
    <n v="6"/>
    <s v="Private Health Insurance"/>
    <x v="0"/>
    <s v="Commercial"/>
    <n v="66273.56"/>
    <n v="48596.68"/>
    <n v="0"/>
  </r>
  <r>
    <x v="316"/>
    <s v="Peconic Bay Medical Center"/>
    <n v="2015"/>
    <n v="6"/>
    <s v="Private Health Insurance"/>
    <x v="0"/>
    <s v="Commercial"/>
    <n v="22924.06"/>
    <n v="7492.03"/>
    <n v="0"/>
  </r>
  <r>
    <x v="317"/>
    <s v="Peconic Bay Medical Center"/>
    <n v="2015"/>
    <n v="6"/>
    <s v="Private Health Insurance"/>
    <x v="0"/>
    <s v="Commercial"/>
    <n v="51051.18"/>
    <n v="18635.45"/>
    <n v="0"/>
  </r>
  <r>
    <x v="318"/>
    <s v="Peconic Bay Medical Center"/>
    <n v="2015"/>
    <n v="9"/>
    <s v="Blue Cross/Blue Shield"/>
    <x v="0"/>
    <s v="Commercial"/>
    <n v="101582.6"/>
    <n v="81663.070000000007"/>
    <n v="0"/>
  </r>
  <r>
    <x v="319"/>
    <s v="Peconic Bay Medical Center"/>
    <n v="2015"/>
    <n v="6"/>
    <s v="Private Health Insurance"/>
    <x v="0"/>
    <s v="Commercial"/>
    <n v="33572.449999999997"/>
    <n v="19926.919999999998"/>
    <n v="0"/>
  </r>
  <r>
    <x v="320"/>
    <s v="Peconic Bay Medical Center"/>
    <n v="2015"/>
    <n v="9"/>
    <s v="Blue Cross/Blue Shield"/>
    <x v="0"/>
    <s v="Commercial"/>
    <n v="74503.28"/>
    <n v="55917.53"/>
    <n v="0"/>
  </r>
  <r>
    <x v="321"/>
    <s v="Peconic Bay Medical Center"/>
    <n v="2015"/>
    <n v="6"/>
    <s v="Private Health Insurance"/>
    <x v="0"/>
    <s v="Commercial"/>
    <n v="37378.300000000003"/>
    <n v="22755.040000000001"/>
    <n v="0"/>
  </r>
  <r>
    <x v="322"/>
    <s v="Peconic Bay Medical Center"/>
    <n v="2015"/>
    <n v="9"/>
    <s v="Blue Cross/Blue Shield"/>
    <x v="0"/>
    <s v="Commercial"/>
    <n v="58427.64"/>
    <n v="41190.51"/>
    <n v="0"/>
  </r>
  <r>
    <x v="323"/>
    <s v="Peconic Bay Medical Center"/>
    <n v="2015"/>
    <n v="6"/>
    <s v="Private Health Insurance"/>
    <x v="0"/>
    <s v="Commercial"/>
    <n v="5335.62"/>
    <n v="3900.54"/>
    <n v="0"/>
  </r>
  <r>
    <x v="324"/>
    <s v="Peconic Bay Medical Center"/>
    <n v="2015"/>
    <n v="9"/>
    <s v="Blue Cross/Blue Shield"/>
    <x v="0"/>
    <s v="Commercial"/>
    <n v="62854.52"/>
    <n v="46286.34"/>
    <n v="0"/>
  </r>
  <r>
    <x v="325"/>
    <s v="Peconic Bay Medical Center"/>
    <n v="2015"/>
    <n v="9"/>
    <s v="Blue Cross/Blue Shield"/>
    <x v="0"/>
    <s v="Commercial"/>
    <n v="64705.440000000002"/>
    <n v="43681.05"/>
    <n v="0"/>
  </r>
  <r>
    <x v="326"/>
    <s v="Peconic Bay Medical Center"/>
    <n v="2015"/>
    <n v="9"/>
    <s v="Blue Cross/Blue Shield"/>
    <x v="0"/>
    <s v="Commercial"/>
    <n v="64039.08"/>
    <n v="47626.53"/>
    <n v="0"/>
  </r>
  <r>
    <x v="327"/>
    <s v="Peconic Bay Medical Center"/>
    <n v="2015"/>
    <n v="9"/>
    <s v="Blue Cross/Blue Shield"/>
    <x v="0"/>
    <s v="Commercial"/>
    <n v="26834.799999999999"/>
    <n v="8571.64"/>
    <n v="0"/>
  </r>
  <r>
    <x v="328"/>
    <s v="Peconic Bay Medical Center"/>
    <n v="2015"/>
    <n v="6"/>
    <s v="Private Health Insurance"/>
    <x v="0"/>
    <s v="Commercial"/>
    <n v="47816.52"/>
    <n v="16986.96"/>
    <n v="0"/>
  </r>
  <r>
    <x v="329"/>
    <s v="Peconic Bay Medical Center"/>
    <n v="2015"/>
    <n v="9"/>
    <s v="Blue Cross/Blue Shield"/>
    <x v="0"/>
    <s v="Commercial"/>
    <n v="67588.34"/>
    <n v="49082.51"/>
    <n v="0"/>
  </r>
  <r>
    <x v="330"/>
    <s v="Peconic Bay Medical Center"/>
    <n v="2015"/>
    <n v="6"/>
    <s v="Private Health Insurance"/>
    <x v="0"/>
    <s v="Commercial"/>
    <n v="18795.16"/>
    <n v="5276.25"/>
    <n v="0"/>
  </r>
  <r>
    <x v="331"/>
    <s v="Peconic Bay Medical Center"/>
    <n v="2015"/>
    <n v="6"/>
    <s v="Private Health Insurance"/>
    <x v="0"/>
    <s v="Commercial"/>
    <n v="66809.36"/>
    <n v="48707.07"/>
    <n v="0"/>
  </r>
  <r>
    <x v="332"/>
    <s v="Peconic Bay Medical Center"/>
    <n v="2015"/>
    <n v="9"/>
    <s v="Blue Cross/Blue Shield"/>
    <x v="0"/>
    <s v="Commercial"/>
    <n v="65319.96"/>
    <n v="48367.49"/>
    <n v="0"/>
  </r>
  <r>
    <x v="333"/>
    <s v="Peconic Bay Medical Center"/>
    <n v="2015"/>
    <n v="9"/>
    <s v="Blue Cross/Blue Shield"/>
    <x v="0"/>
    <s v="Commercial"/>
    <n v="23728.86"/>
    <n v="8305.4699999999993"/>
    <n v="0"/>
  </r>
  <r>
    <x v="334"/>
    <s v="Peconic Bay Medical Center"/>
    <n v="2015"/>
    <n v="6"/>
    <s v="Private Health Insurance"/>
    <x v="0"/>
    <s v="Commercial"/>
    <n v="37774.730000000003"/>
    <n v="28546.41"/>
    <n v="0"/>
  </r>
  <r>
    <x v="335"/>
    <s v="Peconic Bay Medical Center"/>
    <n v="2015"/>
    <n v="9"/>
    <s v="Blue Cross/Blue Shield"/>
    <x v="0"/>
    <s v="Commercial"/>
    <n v="73956.960000000006"/>
    <n v="55578.15"/>
    <n v="0"/>
  </r>
  <r>
    <x v="336"/>
    <s v="Peconic Bay Medical Center"/>
    <n v="2015"/>
    <n v="9"/>
    <s v="Blue Cross/Blue Shield"/>
    <x v="0"/>
    <s v="Commercial"/>
    <n v="71583.740000000005"/>
    <n v="45841.55"/>
    <n v="0"/>
  </r>
  <r>
    <x v="337"/>
    <s v="Peconic Bay Medical Center"/>
    <n v="2015"/>
    <n v="9"/>
    <s v="Blue Cross/Blue Shield"/>
    <x v="0"/>
    <s v="Commercial"/>
    <n v="49018.52"/>
    <n v="27722.44"/>
    <n v="0"/>
  </r>
  <r>
    <x v="338"/>
    <s v="Peconic Bay Medical Center"/>
    <n v="2015"/>
    <n v="9"/>
    <s v="Blue Cross/Blue Shield"/>
    <x v="0"/>
    <s v="Commercial"/>
    <n v="66762.8"/>
    <n v="44139.78"/>
    <n v="0"/>
  </r>
  <r>
    <x v="339"/>
    <s v="Peconic Bay Medical Center"/>
    <n v="2015"/>
    <n v="6"/>
    <s v="Private Health Insurance"/>
    <x v="0"/>
    <s v="Commercial"/>
    <n v="62006.28"/>
    <n v="43584.27"/>
    <n v="0"/>
  </r>
  <r>
    <x v="340"/>
    <s v="Peconic Bay Medical Center"/>
    <n v="2015"/>
    <n v="9"/>
    <s v="Blue Cross/Blue Shield"/>
    <x v="0"/>
    <s v="Commercial"/>
    <n v="76706.05"/>
    <n v="60390.23"/>
    <n v="0"/>
  </r>
  <r>
    <x v="341"/>
    <s v="Peconic Bay Medical Center"/>
    <n v="2015"/>
    <n v="9"/>
    <s v="Blue Cross/Blue Shield"/>
    <x v="0"/>
    <s v="Commercial"/>
    <n v="67162.58"/>
    <n v="52706.01"/>
    <n v="0"/>
  </r>
  <r>
    <x v="342"/>
    <s v="Peconic Bay Medical Center"/>
    <n v="2015"/>
    <n v="9"/>
    <s v="Blue Cross/Blue Shield"/>
    <x v="0"/>
    <s v="Commercial"/>
    <n v="18751.400000000001"/>
    <n v="4938.97"/>
    <n v="0"/>
  </r>
  <r>
    <x v="343"/>
    <s v="Peconic Bay Medical Center"/>
    <n v="2015"/>
    <n v="9"/>
    <s v="Blue Cross/Blue Shield"/>
    <x v="0"/>
    <s v="Commercial"/>
    <n v="24968.34"/>
    <n v="6730.84"/>
    <n v="0"/>
  </r>
  <r>
    <x v="344"/>
    <s v="Peconic Bay Medical Center"/>
    <n v="2015"/>
    <n v="6"/>
    <s v="Private Health Insurance"/>
    <x v="0"/>
    <s v="Commercial"/>
    <n v="145941.20000000001"/>
    <n v="93636.91"/>
    <n v="0"/>
  </r>
  <r>
    <x v="345"/>
    <s v="Peconic Bay Medical Center"/>
    <n v="2015"/>
    <n v="6"/>
    <s v="Private Health Insurance"/>
    <x v="0"/>
    <s v="Commercial"/>
    <n v="76097.8"/>
    <n v="57643.49"/>
    <n v="0"/>
  </r>
  <r>
    <x v="346"/>
    <s v="Peconic Bay Medical Center"/>
    <n v="2015"/>
    <n v="6"/>
    <s v="Private Health Insurance"/>
    <x v="0"/>
    <s v="Commercial"/>
    <n v="66067.48"/>
    <n v="48630.86"/>
    <n v="0"/>
  </r>
  <r>
    <x v="347"/>
    <s v="Peconic Bay Medical Center"/>
    <n v="2015"/>
    <n v="6"/>
    <s v="Private Health Insurance"/>
    <x v="0"/>
    <s v="Commercial"/>
    <n v="76091.14"/>
    <n v="58357.02"/>
    <n v="0"/>
  </r>
  <r>
    <x v="348"/>
    <s v="Peconic Bay Medical Center"/>
    <n v="2015"/>
    <n v="9"/>
    <s v="Blue Cross/Blue Shield"/>
    <x v="0"/>
    <s v="Commercial"/>
    <n v="21827.62"/>
    <n v="3142.8"/>
    <n v="0"/>
  </r>
  <r>
    <x v="349"/>
    <s v="Peconic Bay Medical Center"/>
    <n v="2015"/>
    <n v="9"/>
    <s v="Blue Cross/Blue Shield"/>
    <x v="0"/>
    <s v="Commercial"/>
    <n v="65665.259999999995"/>
    <n v="40209.019999999997"/>
    <n v="0"/>
  </r>
  <r>
    <x v="350"/>
    <s v="Peconic Bay Medical Center"/>
    <n v="2015"/>
    <n v="9"/>
    <s v="Blue Cross/Blue Shield"/>
    <x v="0"/>
    <s v="Commercial"/>
    <n v="68377.52"/>
    <n v="51858.06"/>
    <n v="0"/>
  </r>
  <r>
    <x v="351"/>
    <s v="Peconic Bay Medical Center"/>
    <n v="2015"/>
    <n v="6"/>
    <s v="Private Health Insurance"/>
    <x v="0"/>
    <s v="Commercial"/>
    <n v="14854.3"/>
    <n v="3691.52"/>
    <n v="0"/>
  </r>
  <r>
    <x v="352"/>
    <s v="Peconic Bay Medical Center"/>
    <n v="2015"/>
    <n v="6"/>
    <s v="Private Health Insurance"/>
    <x v="0"/>
    <s v="Commercial"/>
    <n v="85821.4"/>
    <n v="60933.21"/>
    <n v="0"/>
  </r>
  <r>
    <x v="353"/>
    <s v="Peconic Bay Medical Center"/>
    <n v="2015"/>
    <n v="9"/>
    <s v="Blue Cross/Blue Shield"/>
    <x v="0"/>
    <s v="Commercial"/>
    <n v="60812.08"/>
    <n v="42589.02"/>
    <n v="0"/>
  </r>
  <r>
    <x v="354"/>
    <s v="Peconic Bay Medical Center"/>
    <n v="2015"/>
    <n v="9"/>
    <s v="Blue Cross/Blue Shield"/>
    <x v="0"/>
    <s v="Commercial"/>
    <n v="68450.58"/>
    <n v="51906.89"/>
    <n v="0"/>
  </r>
  <r>
    <x v="355"/>
    <s v="Peconic Bay Medical Center"/>
    <n v="2015"/>
    <n v="9"/>
    <s v="Blue Cross/Blue Shield"/>
    <x v="0"/>
    <s v="Commercial"/>
    <n v="6733.62"/>
    <n v="1939.69"/>
    <n v="0"/>
  </r>
  <r>
    <x v="356"/>
    <s v="Peconic Bay Medical Center"/>
    <n v="2015"/>
    <n v="6"/>
    <s v="Private Health Insurance"/>
    <x v="0"/>
    <s v="Commercial"/>
    <n v="75588.800000000003"/>
    <n v="58973.21"/>
    <n v="0"/>
  </r>
  <r>
    <x v="357"/>
    <s v="Peconic Bay Medical Center"/>
    <n v="2015"/>
    <n v="6"/>
    <s v="Private Health Insurance"/>
    <x v="0"/>
    <s v="Commercial"/>
    <n v="49492.34"/>
    <n v="12384.53"/>
    <n v="0"/>
  </r>
  <r>
    <x v="358"/>
    <s v="Peconic Bay Medical Center"/>
    <n v="2015"/>
    <n v="9"/>
    <s v="Blue Cross/Blue Shield"/>
    <x v="0"/>
    <s v="Commercial"/>
    <n v="21220.6"/>
    <n v="7137.31"/>
    <n v="0"/>
  </r>
  <r>
    <x v="359"/>
    <s v="Peconic Bay Medical Center"/>
    <n v="2015"/>
    <n v="6"/>
    <s v="Private Health Insurance"/>
    <x v="0"/>
    <s v="Commercial"/>
    <n v="72664.86"/>
    <n v="55379.25"/>
    <n v="0"/>
  </r>
  <r>
    <x v="360"/>
    <s v="Peconic Bay Medical Center"/>
    <n v="2015"/>
    <n v="9"/>
    <s v="Blue Cross/Blue Shield"/>
    <x v="0"/>
    <s v="Commercial"/>
    <n v="66304.66"/>
    <n v="48854.28"/>
    <n v="0"/>
  </r>
  <r>
    <x v="361"/>
    <s v="Peconic Bay Medical Center"/>
    <n v="2015"/>
    <n v="6"/>
    <s v="Private Health Insurance"/>
    <x v="0"/>
    <s v="Commercial"/>
    <n v="64121.38"/>
    <n v="45479.85"/>
    <n v="0"/>
  </r>
  <r>
    <x v="362"/>
    <s v="Peconic Bay Medical Center"/>
    <n v="2015"/>
    <n v="6"/>
    <s v="Private Health Insurance"/>
    <x v="0"/>
    <s v="Commercial"/>
    <n v="72451.48"/>
    <n v="50596.77"/>
    <n v="0"/>
  </r>
  <r>
    <x v="363"/>
    <s v="Peconic Bay Medical Center"/>
    <n v="2015"/>
    <n v="9"/>
    <s v="Blue Cross/Blue Shield"/>
    <x v="0"/>
    <s v="Commercial"/>
    <n v="38045.410000000003"/>
    <n v="19076.57"/>
    <n v="0"/>
  </r>
  <r>
    <x v="364"/>
    <s v="Peconic Bay Medical Center"/>
    <n v="2015"/>
    <n v="6"/>
    <s v="Private Health Insurance"/>
    <x v="0"/>
    <s v="Commercial"/>
    <n v="63456.54"/>
    <n v="43151.16"/>
    <n v="0"/>
  </r>
  <r>
    <x v="365"/>
    <s v="Peconic Bay Medical Center"/>
    <n v="2015"/>
    <n v="6"/>
    <s v="Private Health Insurance"/>
    <x v="0"/>
    <s v="Commercial"/>
    <n v="36845.230000000003"/>
    <n v="17300.830000000002"/>
    <n v="0"/>
  </r>
  <r>
    <x v="366"/>
    <s v="Peconic Bay Medical Center"/>
    <n v="2015"/>
    <n v="6"/>
    <s v="Private Health Insurance"/>
    <x v="0"/>
    <s v="Commercial"/>
    <n v="5170.16"/>
    <n v="6281.4"/>
    <n v="1"/>
  </r>
  <r>
    <x v="367"/>
    <s v="Peconic Bay Medical Center"/>
    <n v="2015"/>
    <n v="9"/>
    <s v="Blue Cross/Blue Shield"/>
    <x v="0"/>
    <s v="Commercial"/>
    <n v="74195.16"/>
    <n v="55723.68"/>
    <n v="0"/>
  </r>
  <r>
    <x v="368"/>
    <s v="Peconic Bay Medical Center"/>
    <n v="2015"/>
    <n v="9"/>
    <s v="Blue Cross/Blue Shield"/>
    <x v="0"/>
    <s v="Commercial"/>
    <n v="63663.23"/>
    <n v="29281.42"/>
    <n v="0"/>
  </r>
  <r>
    <x v="369"/>
    <s v="Peconic Bay Medical Center"/>
    <n v="2015"/>
    <n v="6"/>
    <s v="Private Health Insurance"/>
    <x v="0"/>
    <s v="Commercial"/>
    <n v="66821.740000000005"/>
    <n v="48987.73"/>
    <n v="0"/>
  </r>
  <r>
    <x v="370"/>
    <s v="Peconic Bay Medical Center"/>
    <n v="2015"/>
    <n v="6"/>
    <s v="Private Health Insurance"/>
    <x v="0"/>
    <s v="Commercial"/>
    <n v="5072.72"/>
    <n v="6253.62"/>
    <n v="1"/>
  </r>
  <r>
    <x v="371"/>
    <s v="Peconic Bay Medical Center"/>
    <n v="2015"/>
    <n v="9"/>
    <s v="Blue Cross/Blue Shield"/>
    <x v="0"/>
    <s v="Commercial"/>
    <n v="77426.399999999994"/>
    <n v="55713.23"/>
    <n v="0"/>
  </r>
  <r>
    <x v="372"/>
    <s v="Peconic Bay Medical Center"/>
    <n v="2015"/>
    <n v="9"/>
    <s v="Blue Cross/Blue Shield"/>
    <x v="0"/>
    <s v="Commercial"/>
    <n v="62946.22"/>
    <n v="46238.11"/>
    <n v="0"/>
  </r>
  <r>
    <x v="373"/>
    <s v="Peconic Bay Medical Center"/>
    <n v="2015"/>
    <n v="6"/>
    <s v="Private Health Insurance"/>
    <x v="0"/>
    <s v="Commercial"/>
    <n v="70452.88"/>
    <n v="55775.75"/>
    <n v="0"/>
  </r>
  <r>
    <x v="374"/>
    <s v="Peconic Bay Medical Center"/>
    <n v="2015"/>
    <n v="6"/>
    <s v="Private Health Insurance"/>
    <x v="0"/>
    <s v="Commercial"/>
    <n v="66395.44"/>
    <n v="47260.59"/>
    <n v="0"/>
  </r>
  <r>
    <x v="375"/>
    <s v="Peconic Bay Medical Center"/>
    <n v="2015"/>
    <n v="6"/>
    <s v="Private Health Insurance"/>
    <x v="0"/>
    <s v="Commercial"/>
    <n v="73560.100000000006"/>
    <n v="55521.96"/>
    <n v="0"/>
  </r>
  <r>
    <x v="376"/>
    <s v="Peconic Bay Medical Center"/>
    <n v="2015"/>
    <n v="6"/>
    <s v="Private Health Insurance"/>
    <x v="0"/>
    <s v="Commercial"/>
    <n v="17557.939999999999"/>
    <n v="4150.38"/>
    <n v="0"/>
  </r>
  <r>
    <x v="377"/>
    <s v="Peconic Bay Medical Center"/>
    <n v="2015"/>
    <n v="6"/>
    <s v="Private Health Insurance"/>
    <x v="0"/>
    <s v="Commercial"/>
    <n v="78498.14"/>
    <n v="61768.68"/>
    <n v="0"/>
  </r>
  <r>
    <x v="378"/>
    <s v="Peconic Bay Medical Center"/>
    <n v="2015"/>
    <n v="6"/>
    <s v="Private Health Insurance"/>
    <x v="0"/>
    <s v="Commercial"/>
    <n v="34713.74"/>
    <n v="9864.11"/>
    <n v="0"/>
  </r>
  <r>
    <x v="379"/>
    <s v="Peconic Bay Medical Center"/>
    <n v="2015"/>
    <n v="6"/>
    <s v="Private Health Insurance"/>
    <x v="0"/>
    <s v="Commercial"/>
    <n v="64949.94"/>
    <n v="46542.89"/>
    <n v="0"/>
  </r>
  <r>
    <x v="380"/>
    <s v="Peconic Bay Medical Center"/>
    <n v="2015"/>
    <n v="9"/>
    <s v="Blue Cross/Blue Shield"/>
    <x v="0"/>
    <s v="Commercial"/>
    <n v="60869.5"/>
    <n v="47087.81"/>
    <n v="0"/>
  </r>
  <r>
    <x v="381"/>
    <s v="Peconic Bay Medical Center"/>
    <n v="2015"/>
    <n v="6"/>
    <s v="Private Health Insurance"/>
    <x v="0"/>
    <s v="Commercial"/>
    <n v="5177.92"/>
    <n v="6283.27"/>
    <n v="1"/>
  </r>
  <r>
    <x v="382"/>
    <s v="Peconic Bay Medical Center"/>
    <n v="2015"/>
    <n v="9"/>
    <s v="Blue Cross/Blue Shield"/>
    <x v="0"/>
    <s v="Commercial"/>
    <n v="76473.02"/>
    <n v="58679.21"/>
    <n v="0"/>
  </r>
  <r>
    <x v="383"/>
    <s v="Peconic Bay Medical Center"/>
    <n v="2015"/>
    <n v="6"/>
    <s v="Private Health Insurance"/>
    <x v="0"/>
    <s v="Commercial"/>
    <n v="38192.83"/>
    <n v="26247.53"/>
    <n v="0"/>
  </r>
  <r>
    <x v="384"/>
    <s v="Peconic Bay Medical Center"/>
    <n v="2015"/>
    <n v="6"/>
    <s v="Private Health Insurance"/>
    <x v="0"/>
    <s v="Commercial"/>
    <n v="151646.46"/>
    <n v="104315.23"/>
    <n v="0"/>
  </r>
  <r>
    <x v="385"/>
    <s v="Peconic Bay Medical Center"/>
    <n v="2015"/>
    <n v="9"/>
    <s v="Blue Cross/Blue Shield"/>
    <x v="0"/>
    <s v="Commercial"/>
    <n v="74419.62"/>
    <n v="56153.42"/>
    <n v="0"/>
  </r>
  <r>
    <x v="386"/>
    <s v="Peconic Bay Medical Center"/>
    <n v="2015"/>
    <n v="9"/>
    <s v="Blue Cross/Blue Shield"/>
    <x v="0"/>
    <s v="Commercial"/>
    <n v="68607.460000000006"/>
    <n v="49373.97"/>
    <n v="0"/>
  </r>
  <r>
    <x v="387"/>
    <s v="Peconic Bay Medical Center"/>
    <n v="2015"/>
    <n v="6"/>
    <s v="Private Health Insurance"/>
    <x v="0"/>
    <s v="Commercial"/>
    <n v="38076.21"/>
    <n v="28534.92"/>
    <n v="0"/>
  </r>
  <r>
    <x v="388"/>
    <s v="Peconic Bay Medical Center"/>
    <n v="2015"/>
    <n v="9"/>
    <s v="Blue Cross/Blue Shield"/>
    <x v="0"/>
    <s v="Commercial"/>
    <n v="43703.54"/>
    <n v="25315.84"/>
    <n v="0"/>
  </r>
  <r>
    <x v="389"/>
    <s v="Peconic Bay Medical Center"/>
    <n v="2015"/>
    <n v="9"/>
    <s v="Blue Cross/Blue Shield"/>
    <x v="0"/>
    <s v="Commercial"/>
    <n v="77821.789999999994"/>
    <n v="59602.03"/>
    <n v="0"/>
  </r>
  <r>
    <x v="390"/>
    <s v="Peconic Bay Medical Center"/>
    <n v="2015"/>
    <n v="9"/>
    <s v="Blue Cross/Blue Shield"/>
    <x v="0"/>
    <s v="Commercial"/>
    <n v="227732.92"/>
    <n v="212637.72"/>
    <n v="0"/>
  </r>
  <r>
    <x v="391"/>
    <s v="Peconic Bay Medical Center"/>
    <n v="2015"/>
    <n v="9"/>
    <s v="Blue Cross/Blue Shield"/>
    <x v="0"/>
    <s v="Commercial"/>
    <n v="23461.24"/>
    <n v="8199.16"/>
    <n v="0"/>
  </r>
  <r>
    <x v="392"/>
    <s v="Peconic Bay Medical Center"/>
    <n v="2015"/>
    <n v="6"/>
    <s v="Private Health Insurance"/>
    <x v="0"/>
    <s v="Commercial"/>
    <n v="23576.1"/>
    <n v="8236.06"/>
    <n v="0"/>
  </r>
  <r>
    <x v="393"/>
    <s v="Peconic Bay Medical Center"/>
    <n v="2015"/>
    <n v="6"/>
    <s v="Private Health Insurance"/>
    <x v="0"/>
    <s v="Commercial"/>
    <n v="61208.14"/>
    <n v="46872.36"/>
    <n v="0"/>
  </r>
  <r>
    <x v="394"/>
    <s v="Peconic Bay Medical Center"/>
    <n v="2015"/>
    <n v="9"/>
    <s v="Blue Cross/Blue Shield"/>
    <x v="0"/>
    <s v="Commercial"/>
    <n v="67208.44"/>
    <n v="49119.63"/>
    <n v="0"/>
  </r>
  <r>
    <x v="395"/>
    <s v="Peconic Bay Medical Center"/>
    <n v="2015"/>
    <n v="6"/>
    <s v="Private Health Insurance"/>
    <x v="0"/>
    <s v="Commercial"/>
    <n v="109759.62"/>
    <n v="89919.64"/>
    <n v="0"/>
  </r>
  <r>
    <x v="396"/>
    <s v="Peconic Bay Medical Center"/>
    <n v="2015"/>
    <n v="6"/>
    <s v="Private Health Insurance"/>
    <x v="0"/>
    <s v="Commercial"/>
    <n v="20942.96"/>
    <n v="5846.32"/>
    <n v="0"/>
  </r>
  <r>
    <x v="397"/>
    <s v="Peconic Bay Medical Center"/>
    <n v="2015"/>
    <n v="9"/>
    <s v="Blue Cross/Blue Shield"/>
    <x v="0"/>
    <s v="Commercial"/>
    <n v="88352.84"/>
    <n v="74509.08"/>
    <n v="0"/>
  </r>
  <r>
    <x v="398"/>
    <s v="Peconic Bay Medical Center"/>
    <n v="2015"/>
    <n v="6"/>
    <s v="Private Health Insurance"/>
    <x v="0"/>
    <s v="Commercial"/>
    <n v="105206.38"/>
    <n v="87886.45"/>
    <n v="0"/>
  </r>
  <r>
    <x v="399"/>
    <s v="Peconic Bay Medical Center"/>
    <n v="2015"/>
    <n v="9"/>
    <s v="Blue Cross/Blue Shield"/>
    <x v="0"/>
    <s v="Commercial"/>
    <n v="64911.4"/>
    <n v="45444.23"/>
    <n v="0"/>
  </r>
  <r>
    <x v="400"/>
    <s v="Peconic Bay Medical Center"/>
    <n v="2015"/>
    <n v="9"/>
    <s v="Blue Cross/Blue Shield"/>
    <x v="0"/>
    <s v="Commercial"/>
    <n v="34822.99"/>
    <n v="20676.37"/>
    <n v="0"/>
  </r>
  <r>
    <x v="401"/>
    <s v="Peconic Bay Medical Center"/>
    <n v="2015"/>
    <n v="6"/>
    <s v="Private Health Insurance"/>
    <x v="0"/>
    <s v="Commercial"/>
    <n v="53866.6"/>
    <n v="20204.939999999999"/>
    <n v="0"/>
  </r>
  <r>
    <x v="402"/>
    <s v="Peconic Bay Medical Center"/>
    <n v="2015"/>
    <n v="6"/>
    <s v="Private Health Insurance"/>
    <x v="0"/>
    <s v="Commercial"/>
    <n v="24968.02"/>
    <n v="4561.33"/>
    <n v="0"/>
  </r>
  <r>
    <x v="403"/>
    <s v="Peconic Bay Medical Center"/>
    <n v="2015"/>
    <n v="6"/>
    <s v="Private Health Insurance"/>
    <x v="0"/>
    <s v="Commercial"/>
    <n v="7443.42"/>
    <n v="6921.72"/>
    <n v="0"/>
  </r>
  <r>
    <x v="404"/>
    <s v="Peconic Bay Medical Center"/>
    <n v="2015"/>
    <n v="6"/>
    <s v="Private Health Insurance"/>
    <x v="0"/>
    <s v="Commercial"/>
    <n v="70205.48"/>
    <n v="50184.6"/>
    <n v="0"/>
  </r>
  <r>
    <x v="405"/>
    <s v="Peconic Bay Medical Center"/>
    <n v="2015"/>
    <n v="6"/>
    <s v="Private Health Insurance"/>
    <x v="0"/>
    <s v="Commercial"/>
    <n v="44897.73"/>
    <n v="36076.639999999999"/>
    <n v="0"/>
  </r>
  <r>
    <x v="406"/>
    <s v="Peconic Bay Medical Center"/>
    <n v="2015"/>
    <n v="6"/>
    <s v="Private Health Insurance"/>
    <x v="0"/>
    <s v="Commercial"/>
    <n v="46955.33"/>
    <n v="35114"/>
    <n v="0"/>
  </r>
  <r>
    <x v="407"/>
    <s v="Peconic Bay Medical Center"/>
    <n v="2015"/>
    <n v="6"/>
    <s v="Private Health Insurance"/>
    <x v="0"/>
    <s v="Commercial"/>
    <n v="7443.42"/>
    <n v="6921.72"/>
    <n v="0"/>
  </r>
  <r>
    <x v="408"/>
    <s v="Peconic Bay Medical Center"/>
    <n v="2015"/>
    <n v="9"/>
    <s v="Blue Cross/Blue Shield"/>
    <x v="0"/>
    <s v="Commercial"/>
    <n v="68976.52"/>
    <n v="51874.13"/>
    <n v="0"/>
  </r>
  <r>
    <x v="409"/>
    <s v="Peconic Bay Medical Center"/>
    <n v="2015"/>
    <n v="9"/>
    <s v="Blue Cross/Blue Shield"/>
    <x v="0"/>
    <s v="Commercial"/>
    <n v="136125.51999999999"/>
    <n v="90800.02"/>
    <n v="0"/>
  </r>
  <r>
    <x v="410"/>
    <s v="Peconic Bay Medical Center"/>
    <n v="2015"/>
    <n v="6"/>
    <s v="Private Health Insurance"/>
    <x v="0"/>
    <s v="Commercial"/>
    <n v="78074.98"/>
    <n v="56034.38"/>
    <n v="0"/>
  </r>
  <r>
    <x v="411"/>
    <s v="Peconic Bay Medical Center"/>
    <n v="2015"/>
    <n v="9"/>
    <s v="Blue Cross/Blue Shield"/>
    <x v="0"/>
    <s v="Commercial"/>
    <n v="7443.42"/>
    <n v="6921.72"/>
    <n v="0"/>
  </r>
  <r>
    <x v="412"/>
    <s v="Peconic Bay Medical Center"/>
    <n v="2015"/>
    <n v="9"/>
    <s v="Blue Cross/Blue Shield"/>
    <x v="0"/>
    <s v="Commercial"/>
    <n v="4923.42"/>
    <n v="6220.02"/>
    <n v="1"/>
  </r>
  <r>
    <x v="413"/>
    <s v="Peconic Bay Medical Center"/>
    <n v="2015"/>
    <n v="6"/>
    <s v="Private Health Insurance"/>
    <x v="0"/>
    <s v="Commercial"/>
    <n v="37633.69"/>
    <n v="25791.200000000001"/>
    <n v="0"/>
  </r>
  <r>
    <x v="414"/>
    <s v="Peconic Bay Medical Center"/>
    <n v="2015"/>
    <n v="6"/>
    <s v="Private Health Insurance"/>
    <x v="0"/>
    <s v="Commercial"/>
    <n v="20898.78"/>
    <n v="12059.31"/>
    <n v="0"/>
  </r>
  <r>
    <x v="415"/>
    <s v="Peconic Bay Medical Center"/>
    <n v="2015"/>
    <n v="6"/>
    <s v="Private Health Insurance"/>
    <x v="0"/>
    <s v="Commercial"/>
    <n v="85364.91"/>
    <n v="64634.68"/>
    <n v="0"/>
  </r>
  <r>
    <x v="416"/>
    <s v="Peconic Bay Medical Center"/>
    <n v="2015"/>
    <n v="9"/>
    <s v="Blue Cross/Blue Shield"/>
    <x v="0"/>
    <s v="Commercial"/>
    <n v="116803.98"/>
    <n v="46277.95"/>
    <n v="0"/>
  </r>
  <r>
    <x v="417"/>
    <s v="Peconic Bay Medical Center"/>
    <n v="2015"/>
    <n v="6"/>
    <s v="Private Health Insurance"/>
    <x v="0"/>
    <s v="Commercial"/>
    <n v="73602.320000000007"/>
    <n v="55665.58"/>
    <n v="0"/>
  </r>
  <r>
    <x v="418"/>
    <s v="Peconic Bay Medical Center"/>
    <n v="2015"/>
    <n v="6"/>
    <s v="Private Health Insurance"/>
    <x v="0"/>
    <s v="Commercial"/>
    <n v="68145.42"/>
    <n v="53983.51"/>
    <n v="0"/>
  </r>
  <r>
    <x v="419"/>
    <s v="Peconic Bay Medical Center"/>
    <n v="2015"/>
    <n v="6"/>
    <s v="Private Health Insurance"/>
    <x v="0"/>
    <s v="Commercial"/>
    <n v="35277.81"/>
    <n v="24480.97"/>
    <n v="0"/>
  </r>
  <r>
    <x v="420"/>
    <s v="Peconic Bay Medical Center"/>
    <n v="2015"/>
    <n v="6"/>
    <s v="Private Health Insurance"/>
    <x v="0"/>
    <s v="Commercial"/>
    <n v="75298.86"/>
    <n v="26410.15"/>
    <n v="0"/>
  </r>
  <r>
    <x v="421"/>
    <s v="Peconic Bay Medical Center"/>
    <n v="2015"/>
    <n v="9"/>
    <s v="Blue Cross/Blue Shield"/>
    <x v="0"/>
    <s v="Commercial"/>
    <n v="70191.14"/>
    <n v="52359.31"/>
    <n v="0"/>
  </r>
  <r>
    <x v="422"/>
    <s v="Peconic Bay Medical Center"/>
    <n v="2015"/>
    <n v="9"/>
    <s v="Blue Cross/Blue Shield"/>
    <x v="0"/>
    <s v="Commercial"/>
    <n v="14337.14"/>
    <n v="4258.4799999999996"/>
    <n v="0"/>
  </r>
  <r>
    <x v="423"/>
    <s v="Peconic Bay Medical Center"/>
    <n v="2015"/>
    <n v="9"/>
    <s v="Blue Cross/Blue Shield"/>
    <x v="0"/>
    <s v="Commercial"/>
    <n v="24207.599999999999"/>
    <n v="12060.82"/>
    <n v="0"/>
  </r>
  <r>
    <x v="424"/>
    <s v="Peconic Bay Medical Center"/>
    <n v="2015"/>
    <n v="6"/>
    <s v="Private Health Insurance"/>
    <x v="0"/>
    <s v="Commercial"/>
    <n v="67977.539999999994"/>
    <n v="53714.23"/>
    <n v="0"/>
  </r>
  <r>
    <x v="425"/>
    <s v="Peconic Bay Medical Center"/>
    <n v="2015"/>
    <n v="6"/>
    <s v="Private Health Insurance"/>
    <x v="0"/>
    <s v="Commercial"/>
    <n v="37290.01"/>
    <n v="25822.13"/>
    <n v="0"/>
  </r>
  <r>
    <x v="426"/>
    <s v="Peconic Bay Medical Center"/>
    <n v="2015"/>
    <n v="9"/>
    <s v="Blue Cross/Blue Shield"/>
    <x v="0"/>
    <s v="Commercial"/>
    <n v="12895.06"/>
    <n v="2620.2399999999998"/>
    <n v="0"/>
  </r>
  <r>
    <x v="427"/>
    <s v="Peconic Bay Medical Center"/>
    <n v="2015"/>
    <n v="6"/>
    <s v="Private Health Insurance"/>
    <x v="0"/>
    <s v="Commercial"/>
    <n v="47115.59"/>
    <n v="36865.519999999997"/>
    <n v="0"/>
  </r>
  <r>
    <x v="428"/>
    <s v="Peconic Bay Medical Center"/>
    <n v="2015"/>
    <n v="6"/>
    <s v="Private Health Insurance"/>
    <x v="0"/>
    <s v="Commercial"/>
    <n v="15917.92"/>
    <n v="4175.99"/>
    <n v="0"/>
  </r>
  <r>
    <x v="429"/>
    <s v="Peconic Bay Medical Center"/>
    <n v="2015"/>
    <n v="6"/>
    <s v="Private Health Insurance"/>
    <x v="0"/>
    <s v="Commercial"/>
    <n v="4912.58"/>
    <n v="6217.42"/>
    <n v="1"/>
  </r>
  <r>
    <x v="430"/>
    <s v="Peconic Bay Medical Center"/>
    <n v="2015"/>
    <n v="9"/>
    <s v="Blue Cross/Blue Shield"/>
    <x v="0"/>
    <s v="Commercial"/>
    <n v="59809.14"/>
    <n v="44323.14"/>
    <n v="0"/>
  </r>
  <r>
    <x v="431"/>
    <s v="Peconic Bay Medical Center"/>
    <n v="2015"/>
    <n v="9"/>
    <s v="Blue Cross/Blue Shield"/>
    <x v="0"/>
    <s v="Commercial"/>
    <n v="72180.460000000006"/>
    <n v="55127.63"/>
    <n v="0"/>
  </r>
  <r>
    <x v="432"/>
    <s v="Peconic Bay Medical Center"/>
    <n v="2015"/>
    <n v="9"/>
    <s v="Blue Cross/Blue Shield"/>
    <x v="0"/>
    <s v="Commercial"/>
    <n v="76150.720000000001"/>
    <n v="54296.29"/>
    <n v="0"/>
  </r>
  <r>
    <x v="433"/>
    <s v="Peconic Bay Medical Center"/>
    <n v="2015"/>
    <n v="9"/>
    <s v="Blue Cross/Blue Shield"/>
    <x v="0"/>
    <s v="Commercial"/>
    <n v="18360.72"/>
    <n v="7343.73"/>
    <n v="0"/>
  </r>
  <r>
    <x v="434"/>
    <s v="Peconic Bay Medical Center"/>
    <n v="2015"/>
    <n v="6"/>
    <s v="Private Health Insurance"/>
    <x v="0"/>
    <s v="Commercial"/>
    <n v="17253.88"/>
    <n v="6650.45"/>
    <n v="0"/>
  </r>
  <r>
    <x v="435"/>
    <s v="Peconic Bay Medical Center"/>
    <n v="2015"/>
    <n v="9"/>
    <s v="Blue Cross/Blue Shield"/>
    <x v="0"/>
    <s v="Commercial"/>
    <n v="33005.93"/>
    <n v="19575.439999999999"/>
    <n v="0"/>
  </r>
  <r>
    <x v="436"/>
    <s v="Peconic Bay Medical Center"/>
    <n v="2015"/>
    <n v="6"/>
    <s v="Private Health Insurance"/>
    <x v="0"/>
    <s v="Commercial"/>
    <n v="30261.200000000001"/>
    <n v="15058.05"/>
    <n v="0"/>
  </r>
  <r>
    <x v="437"/>
    <s v="Peconic Bay Medical Center"/>
    <n v="2015"/>
    <n v="9"/>
    <s v="Blue Cross/Blue Shield"/>
    <x v="0"/>
    <s v="Commercial"/>
    <n v="17130.48"/>
    <n v="5358.06"/>
    <n v="0"/>
  </r>
  <r>
    <x v="438"/>
    <s v="Peconic Bay Medical Center"/>
    <n v="2015"/>
    <n v="6"/>
    <s v="Private Health Insurance"/>
    <x v="0"/>
    <s v="Commercial"/>
    <n v="29275.9"/>
    <n v="12626.2"/>
    <n v="0"/>
  </r>
  <r>
    <x v="439"/>
    <s v="Peconic Bay Medical Center"/>
    <n v="2015"/>
    <n v="9"/>
    <s v="Blue Cross/Blue Shield"/>
    <x v="0"/>
    <s v="Commercial"/>
    <n v="70916.740000000005"/>
    <n v="50347.96"/>
    <n v="0"/>
  </r>
  <r>
    <x v="440"/>
    <s v="Peconic Bay Medical Center"/>
    <n v="2015"/>
    <n v="9"/>
    <s v="Blue Cross/Blue Shield"/>
    <x v="0"/>
    <s v="Commercial"/>
    <n v="69724.83"/>
    <n v="48171.28"/>
    <n v="0"/>
  </r>
  <r>
    <x v="441"/>
    <s v="Peconic Bay Medical Center"/>
    <n v="2015"/>
    <n v="6"/>
    <s v="Private Health Insurance"/>
    <x v="0"/>
    <s v="Commercial"/>
    <n v="68588.92"/>
    <n v="44583.96"/>
    <n v="0"/>
  </r>
  <r>
    <x v="442"/>
    <s v="Peconic Bay Medical Center"/>
    <n v="2015"/>
    <n v="9"/>
    <s v="Blue Cross/Blue Shield"/>
    <x v="0"/>
    <s v="Commercial"/>
    <n v="24702.14"/>
    <n v="8546.17"/>
    <n v="0"/>
  </r>
  <r>
    <x v="443"/>
    <s v="Peconic Bay Medical Center"/>
    <n v="2015"/>
    <n v="6"/>
    <s v="Private Health Insurance"/>
    <x v="0"/>
    <s v="Commercial"/>
    <n v="31425.62"/>
    <n v="12876.6"/>
    <n v="0"/>
  </r>
  <r>
    <x v="444"/>
    <s v="Peconic Bay Medical Center"/>
    <n v="2015"/>
    <n v="6"/>
    <s v="Private Health Insurance"/>
    <x v="0"/>
    <s v="Commercial"/>
    <n v="23773.119999999999"/>
    <n v="7044.54"/>
    <n v="0"/>
  </r>
  <r>
    <x v="445"/>
    <s v="Peconic Bay Medical Center"/>
    <n v="2015"/>
    <n v="6"/>
    <s v="Private Health Insurance"/>
    <x v="0"/>
    <s v="Commercial"/>
    <n v="61404.36"/>
    <n v="44412.99"/>
    <n v="0"/>
  </r>
  <r>
    <x v="446"/>
    <s v="Peconic Bay Medical Center"/>
    <n v="2015"/>
    <n v="6"/>
    <s v="Private Health Insurance"/>
    <x v="0"/>
    <s v="Commercial"/>
    <n v="60866.26"/>
    <n v="42288.57"/>
    <n v="0"/>
  </r>
  <r>
    <x v="447"/>
    <s v="Peconic Bay Medical Center"/>
    <n v="2015"/>
    <n v="9"/>
    <s v="Blue Cross/Blue Shield"/>
    <x v="0"/>
    <s v="Commercial"/>
    <n v="77806.92"/>
    <n v="58281.23"/>
    <n v="0"/>
  </r>
  <r>
    <x v="448"/>
    <s v="Peconic Bay Medical Center"/>
    <n v="2015"/>
    <n v="9"/>
    <s v="Blue Cross/Blue Shield"/>
    <x v="0"/>
    <s v="Commercial"/>
    <n v="129924.42"/>
    <n v="109869.66"/>
    <n v="0"/>
  </r>
  <r>
    <x v="449"/>
    <s v="Peconic Bay Medical Center"/>
    <n v="2015"/>
    <n v="9"/>
    <s v="Blue Cross/Blue Shield"/>
    <x v="0"/>
    <s v="Commercial"/>
    <n v="45803.14"/>
    <n v="21245.89"/>
    <n v="0"/>
  </r>
  <r>
    <x v="450"/>
    <s v="Peconic Bay Medical Center"/>
    <n v="2015"/>
    <n v="9"/>
    <s v="Blue Cross/Blue Shield"/>
    <x v="0"/>
    <s v="Commercial"/>
    <n v="31382.57"/>
    <n v="12795.76"/>
    <n v="0"/>
  </r>
  <r>
    <x v="451"/>
    <s v="Peconic Bay Medical Center"/>
    <n v="2015"/>
    <n v="6"/>
    <s v="Private Health Insurance"/>
    <x v="0"/>
    <s v="Commercial"/>
    <n v="73346.460000000006"/>
    <n v="55737.47"/>
    <n v="0"/>
  </r>
  <r>
    <x v="452"/>
    <s v="Peconic Bay Medical Center"/>
    <n v="2015"/>
    <n v="6"/>
    <s v="Private Health Insurance"/>
    <x v="0"/>
    <s v="Commercial"/>
    <n v="68355.14"/>
    <n v="49647.91"/>
    <n v="0"/>
  </r>
  <r>
    <x v="453"/>
    <s v="Peconic Bay Medical Center"/>
    <n v="2015"/>
    <n v="9"/>
    <s v="Blue Cross/Blue Shield"/>
    <x v="0"/>
    <s v="Commercial"/>
    <n v="62157.78"/>
    <n v="19332.849999999999"/>
    <n v="0"/>
  </r>
  <r>
    <x v="454"/>
    <s v="Peconic Bay Medical Center"/>
    <n v="2015"/>
    <n v="9"/>
    <s v="Blue Cross/Blue Shield"/>
    <x v="0"/>
    <s v="Commercial"/>
    <n v="27988.52"/>
    <n v="7478.35"/>
    <n v="0"/>
  </r>
  <r>
    <x v="455"/>
    <s v="Peconic Bay Medical Center"/>
    <n v="2015"/>
    <n v="6"/>
    <s v="Private Health Insurance"/>
    <x v="0"/>
    <s v="Commercial"/>
    <n v="14234.74"/>
    <n v="4106.26"/>
    <n v="0"/>
  </r>
  <r>
    <x v="456"/>
    <s v="Peconic Bay Medical Center"/>
    <n v="2015"/>
    <n v="6"/>
    <s v="Private Health Insurance"/>
    <x v="0"/>
    <s v="Commercial"/>
    <n v="73042.58"/>
    <n v="55404.04"/>
    <n v="0"/>
  </r>
  <r>
    <x v="457"/>
    <s v="Peconic Bay Medical Center"/>
    <n v="2015"/>
    <n v="9"/>
    <s v="Blue Cross/Blue Shield"/>
    <x v="0"/>
    <s v="Commercial"/>
    <n v="50394.48"/>
    <n v="21986.5"/>
    <n v="0"/>
  </r>
  <r>
    <x v="458"/>
    <s v="Peconic Bay Medical Center"/>
    <n v="2015"/>
    <n v="9"/>
    <s v="Blue Cross/Blue Shield"/>
    <x v="0"/>
    <s v="Commercial"/>
    <n v="7481.82"/>
    <n v="6931.23"/>
    <n v="0"/>
  </r>
  <r>
    <x v="459"/>
    <s v="Peconic Bay Medical Center"/>
    <n v="2015"/>
    <n v="6"/>
    <s v="Private Health Insurance"/>
    <x v="0"/>
    <s v="Commercial"/>
    <n v="61857.32"/>
    <n v="44338.36"/>
    <n v="0"/>
  </r>
  <r>
    <x v="460"/>
    <s v="Peconic Bay Medical Center"/>
    <n v="2015"/>
    <n v="9"/>
    <s v="Blue Cross/Blue Shield"/>
    <x v="0"/>
    <s v="Commercial"/>
    <n v="70052.399999999994"/>
    <n v="52316.63"/>
    <n v="0"/>
  </r>
  <r>
    <x v="461"/>
    <s v="Peconic Bay Medical Center"/>
    <n v="2015"/>
    <n v="9"/>
    <s v="Blue Cross/Blue Shield"/>
    <x v="0"/>
    <s v="Commercial"/>
    <n v="14262.78"/>
    <n v="3696.12"/>
    <n v="0"/>
  </r>
  <r>
    <x v="462"/>
    <s v="Peconic Bay Medical Center"/>
    <n v="2015"/>
    <n v="9"/>
    <s v="Blue Cross/Blue Shield"/>
    <x v="0"/>
    <s v="Commercial"/>
    <n v="59577.120000000003"/>
    <n v="42189.29"/>
    <n v="0"/>
  </r>
  <r>
    <x v="463"/>
    <s v="Peconic Bay Medical Center"/>
    <n v="2015"/>
    <n v="9"/>
    <s v="Blue Cross/Blue Shield"/>
    <x v="0"/>
    <s v="Commercial"/>
    <n v="48857.62"/>
    <n v="22799.39"/>
    <n v="0"/>
  </r>
  <r>
    <x v="464"/>
    <s v="Peconic Bay Medical Center"/>
    <n v="2015"/>
    <n v="6"/>
    <s v="Private Health Insurance"/>
    <x v="0"/>
    <s v="Commercial"/>
    <n v="74145.539999999994"/>
    <n v="50344.95"/>
    <n v="0"/>
  </r>
  <r>
    <x v="465"/>
    <s v="Peconic Bay Medical Center"/>
    <n v="2015"/>
    <n v="6"/>
    <s v="Private Health Insurance"/>
    <x v="0"/>
    <s v="Commercial"/>
    <n v="46685.06"/>
    <n v="20517.46"/>
    <n v="0"/>
  </r>
  <r>
    <x v="466"/>
    <s v="Peconic Bay Medical Center"/>
    <n v="2015"/>
    <n v="6"/>
    <s v="Private Health Insurance"/>
    <x v="0"/>
    <s v="Commercial"/>
    <n v="61917.46"/>
    <n v="18783"/>
    <n v="0"/>
  </r>
  <r>
    <x v="467"/>
    <s v="Peconic Bay Medical Center"/>
    <n v="2015"/>
    <n v="9"/>
    <s v="Blue Cross/Blue Shield"/>
    <x v="0"/>
    <s v="Commercial"/>
    <n v="74159.960000000006"/>
    <n v="56091.96"/>
    <n v="0"/>
  </r>
  <r>
    <x v="468"/>
    <s v="Peconic Bay Medical Center"/>
    <n v="2015"/>
    <n v="6"/>
    <s v="Private Health Insurance"/>
    <x v="0"/>
    <s v="Commercial"/>
    <n v="117838.14"/>
    <n v="89589.81"/>
    <n v="0"/>
  </r>
  <r>
    <x v="469"/>
    <s v="Peconic Bay Medical Center"/>
    <n v="2015"/>
    <n v="6"/>
    <s v="Private Health Insurance"/>
    <x v="0"/>
    <s v="Commercial"/>
    <n v="67538.5"/>
    <n v="46001.919999999998"/>
    <n v="0"/>
  </r>
  <r>
    <x v="470"/>
    <s v="Peconic Bay Medical Center"/>
    <n v="2015"/>
    <n v="9"/>
    <s v="Blue Cross/Blue Shield"/>
    <x v="0"/>
    <s v="Commercial"/>
    <n v="76724.92"/>
    <n v="59008.85"/>
    <n v="0"/>
  </r>
  <r>
    <x v="471"/>
    <s v="Peconic Bay Medical Center"/>
    <n v="2015"/>
    <n v="6"/>
    <s v="Private Health Insurance"/>
    <x v="0"/>
    <s v="Commercial"/>
    <n v="64768.9"/>
    <n v="45918.71"/>
    <n v="0"/>
  </r>
  <r>
    <x v="472"/>
    <s v="Peconic Bay Medical Center"/>
    <n v="2015"/>
    <n v="6"/>
    <s v="Private Health Insurance"/>
    <x v="0"/>
    <s v="Commercial"/>
    <n v="47171.5"/>
    <n v="14301.46"/>
    <n v="0"/>
  </r>
  <r>
    <x v="473"/>
    <s v="Peconic Bay Medical Center"/>
    <n v="2015"/>
    <n v="9"/>
    <s v="Blue Cross/Blue Shield"/>
    <x v="0"/>
    <s v="Commercial"/>
    <n v="10281.56"/>
    <n v="2940.39"/>
    <n v="0"/>
  </r>
  <r>
    <x v="474"/>
    <s v="Peconic Bay Medical Center"/>
    <n v="2015"/>
    <n v="6"/>
    <s v="Private Health Insurance"/>
    <x v="0"/>
    <s v="Commercial"/>
    <n v="75436.06"/>
    <n v="58107.42"/>
    <n v="0"/>
  </r>
  <r>
    <x v="475"/>
    <s v="Peconic Bay Medical Center"/>
    <n v="2015"/>
    <n v="6"/>
    <s v="Private Health Insurance"/>
    <x v="0"/>
    <s v="Commercial"/>
    <n v="56513.64"/>
    <n v="16986.77"/>
    <n v="0"/>
  </r>
  <r>
    <x v="476"/>
    <s v="Peconic Bay Medical Center"/>
    <n v="2015"/>
    <n v="6"/>
    <s v="Private Health Insurance"/>
    <x v="0"/>
    <s v="Commercial"/>
    <n v="6895.8"/>
    <n v="7955.22"/>
    <n v="1"/>
  </r>
  <r>
    <x v="477"/>
    <s v="Peconic Bay Medical Center"/>
    <n v="2015"/>
    <n v="9"/>
    <s v="Blue Cross/Blue Shield"/>
    <x v="0"/>
    <s v="Commercial"/>
    <n v="54972.5"/>
    <n v="23095"/>
    <n v="0"/>
  </r>
  <r>
    <x v="478"/>
    <s v="Peconic Bay Medical Center"/>
    <n v="2015"/>
    <n v="9"/>
    <s v="Blue Cross/Blue Shield"/>
    <x v="0"/>
    <s v="Commercial"/>
    <n v="67232.679999999993"/>
    <n v="49086.3"/>
    <n v="0"/>
  </r>
  <r>
    <x v="479"/>
    <s v="Peconic Bay Medical Center"/>
    <n v="2015"/>
    <n v="9"/>
    <s v="Blue Cross/Blue Shield"/>
    <x v="0"/>
    <s v="Commercial"/>
    <n v="127202.8"/>
    <n v="39285.85"/>
    <n v="0"/>
  </r>
  <r>
    <x v="480"/>
    <s v="Peconic Bay Medical Center"/>
    <n v="2015"/>
    <n v="6"/>
    <s v="Private Health Insurance"/>
    <x v="0"/>
    <s v="Commercial"/>
    <n v="64555.64"/>
    <n v="46703.31"/>
    <n v="0"/>
  </r>
  <r>
    <x v="481"/>
    <s v="Peconic Bay Medical Center"/>
    <n v="2015"/>
    <n v="6"/>
    <s v="Private Health Insurance"/>
    <x v="0"/>
    <s v="Commercial"/>
    <n v="28698.93"/>
    <n v="18739.330000000002"/>
    <n v="0"/>
  </r>
  <r>
    <x v="482"/>
    <s v="Peconic Bay Medical Center"/>
    <n v="2015"/>
    <n v="6"/>
    <s v="Private Health Insurance"/>
    <x v="0"/>
    <s v="Commercial"/>
    <n v="31742.32"/>
    <n v="15011.22"/>
    <n v="0"/>
  </r>
  <r>
    <x v="483"/>
    <s v="Peconic Bay Medical Center"/>
    <n v="2015"/>
    <n v="9"/>
    <s v="Blue Cross/Blue Shield"/>
    <x v="0"/>
    <s v="Commercial"/>
    <n v="104337.76"/>
    <n v="95947.34"/>
    <n v="0"/>
  </r>
  <r>
    <x v="484"/>
    <s v="Peconic Bay Medical Center"/>
    <n v="2015"/>
    <n v="6"/>
    <s v="Private Health Insurance"/>
    <x v="0"/>
    <s v="Commercial"/>
    <n v="65047.76"/>
    <n v="55084.54"/>
    <n v="0"/>
  </r>
  <r>
    <x v="485"/>
    <s v="Peconic Bay Medical Center"/>
    <n v="2015"/>
    <n v="6"/>
    <s v="Private Health Insurance"/>
    <x v="0"/>
    <s v="Commercial"/>
    <n v="26540.2"/>
    <n v="8182.39"/>
    <n v="0"/>
  </r>
  <r>
    <x v="486"/>
    <s v="Peconic Bay Medical Center"/>
    <n v="2015"/>
    <n v="6"/>
    <s v="Private Health Insurance"/>
    <x v="0"/>
    <s v="Commercial"/>
    <n v="57974.38"/>
    <n v="44386.8"/>
    <n v="0"/>
  </r>
  <r>
    <x v="487"/>
    <s v="Peconic Bay Medical Center"/>
    <n v="2015"/>
    <n v="9"/>
    <s v="Blue Cross/Blue Shield"/>
    <x v="0"/>
    <s v="Commercial"/>
    <n v="27183.78"/>
    <n v="7339.98"/>
    <n v="0"/>
  </r>
  <r>
    <x v="488"/>
    <s v="Peconic Bay Medical Center"/>
    <n v="2015"/>
    <n v="6"/>
    <s v="Private Health Insurance"/>
    <x v="0"/>
    <s v="Commercial"/>
    <n v="60386.58"/>
    <n v="51329.17"/>
    <n v="0"/>
  </r>
  <r>
    <x v="489"/>
    <s v="Peconic Bay Medical Center"/>
    <n v="2015"/>
    <n v="6"/>
    <s v="Private Health Insurance"/>
    <x v="0"/>
    <s v="Commercial"/>
    <n v="77862.399999999994"/>
    <n v="59277.47"/>
    <n v="0"/>
  </r>
  <r>
    <x v="490"/>
    <s v="Peconic Bay Medical Center"/>
    <n v="2015"/>
    <n v="6"/>
    <s v="Private Health Insurance"/>
    <x v="0"/>
    <s v="Commercial"/>
    <n v="13165.96"/>
    <n v="3572.99"/>
    <n v="0"/>
  </r>
  <r>
    <x v="491"/>
    <s v="Peconic Bay Medical Center"/>
    <n v="2015"/>
    <n v="9"/>
    <s v="Blue Cross/Blue Shield"/>
    <x v="0"/>
    <s v="Commercial"/>
    <n v="34814.57"/>
    <n v="20177.14"/>
    <n v="0"/>
  </r>
  <r>
    <x v="492"/>
    <s v="Peconic Bay Medical Center"/>
    <n v="2015"/>
    <n v="6"/>
    <s v="Private Health Insurance"/>
    <x v="0"/>
    <s v="Commercial"/>
    <n v="39816.480000000003"/>
    <n v="27428.240000000002"/>
    <n v="0"/>
  </r>
  <r>
    <x v="493"/>
    <s v="Peconic Bay Medical Center"/>
    <n v="2015"/>
    <n v="9"/>
    <s v="Blue Cross/Blue Shield"/>
    <x v="0"/>
    <s v="Commercial"/>
    <n v="76390.960000000006"/>
    <n v="58924.07"/>
    <n v="0"/>
  </r>
  <r>
    <x v="494"/>
    <s v="Peconic Bay Medical Center"/>
    <n v="2015"/>
    <n v="6"/>
    <s v="Private Health Insurance"/>
    <x v="0"/>
    <s v="Commercial"/>
    <n v="27274.04"/>
    <n v="10146.799999999999"/>
    <n v="0"/>
  </r>
  <r>
    <x v="495"/>
    <s v="Peconic Bay Medical Center"/>
    <n v="2015"/>
    <n v="9"/>
    <s v="Blue Cross/Blue Shield"/>
    <x v="0"/>
    <s v="Commercial"/>
    <n v="65297.94"/>
    <n v="48634.71"/>
    <n v="0"/>
  </r>
  <r>
    <x v="496"/>
    <s v="Peconic Bay Medical Center"/>
    <n v="2015"/>
    <n v="9"/>
    <s v="Blue Cross/Blue Shield"/>
    <x v="0"/>
    <s v="Commercial"/>
    <n v="71029.62"/>
    <n v="53622.64"/>
    <n v="0"/>
  </r>
  <r>
    <x v="497"/>
    <s v="Peconic Bay Medical Center"/>
    <n v="2015"/>
    <n v="9"/>
    <s v="Blue Cross/Blue Shield"/>
    <x v="0"/>
    <s v="Commercial"/>
    <n v="24998.66"/>
    <n v="7455.52"/>
    <n v="0"/>
  </r>
  <r>
    <x v="498"/>
    <s v="Peconic Bay Medical Center"/>
    <n v="2015"/>
    <n v="6"/>
    <s v="Private Health Insurance"/>
    <x v="0"/>
    <s v="Commercial"/>
    <n v="12743.98"/>
    <n v="6527.72"/>
    <n v="0"/>
  </r>
  <r>
    <x v="499"/>
    <s v="Peconic Bay Medical Center"/>
    <n v="2015"/>
    <n v="9"/>
    <s v="Blue Cross/Blue Shield"/>
    <x v="0"/>
    <s v="Commercial"/>
    <n v="16672.5"/>
    <n v="2547.91"/>
    <n v="0"/>
  </r>
  <r>
    <x v="500"/>
    <s v="Peconic Bay Medical Center"/>
    <n v="2015"/>
    <n v="9"/>
    <s v="Blue Cross/Blue Shield"/>
    <x v="0"/>
    <s v="Commercial"/>
    <n v="93950.399999999994"/>
    <n v="54552.44"/>
    <n v="0"/>
  </r>
  <r>
    <x v="501"/>
    <s v="Peconic Bay Medical Center"/>
    <n v="2015"/>
    <n v="6"/>
    <s v="Private Health Insurance"/>
    <x v="0"/>
    <s v="Commercial"/>
    <n v="39040.980000000003"/>
    <n v="13538.59"/>
    <n v="0"/>
  </r>
  <r>
    <x v="502"/>
    <s v="Peconic Bay Medical Center"/>
    <n v="2015"/>
    <n v="6"/>
    <s v="Private Health Insurance"/>
    <x v="0"/>
    <s v="Commercial"/>
    <n v="52339.54"/>
    <n v="21244.43"/>
    <n v="0"/>
  </r>
  <r>
    <x v="503"/>
    <s v="Peconic Bay Medical Center"/>
    <n v="2015"/>
    <n v="6"/>
    <s v="Private Health Insurance"/>
    <x v="0"/>
    <s v="Commercial"/>
    <n v="12300.92"/>
    <n v="2599.58"/>
    <n v="0"/>
  </r>
  <r>
    <x v="504"/>
    <s v="Peconic Bay Medical Center"/>
    <n v="2015"/>
    <n v="9"/>
    <s v="Blue Cross/Blue Shield"/>
    <x v="0"/>
    <s v="Commercial"/>
    <n v="13051.84"/>
    <n v="2887.67"/>
    <n v="0"/>
  </r>
  <r>
    <x v="505"/>
    <s v="Peconic Bay Medical Center"/>
    <n v="2015"/>
    <n v="9"/>
    <s v="Blue Cross/Blue Shield"/>
    <x v="0"/>
    <s v="Commercial"/>
    <n v="79630.880000000005"/>
    <n v="62865.74"/>
    <n v="0"/>
  </r>
  <r>
    <x v="506"/>
    <s v="Peconic Bay Medical Center"/>
    <n v="2015"/>
    <n v="6"/>
    <s v="Private Health Insurance"/>
    <x v="0"/>
    <s v="Commercial"/>
    <n v="66064.539999999994"/>
    <n v="53313.53"/>
    <n v="0"/>
  </r>
  <r>
    <x v="507"/>
    <s v="Peconic Bay Medical Center"/>
    <n v="2015"/>
    <n v="6"/>
    <s v="Private Health Insurance"/>
    <x v="0"/>
    <s v="Commercial"/>
    <n v="62157.56"/>
    <n v="48290.15"/>
    <n v="0"/>
  </r>
  <r>
    <x v="508"/>
    <s v="Peconic Bay Medical Center"/>
    <n v="2015"/>
    <n v="9"/>
    <s v="Blue Cross/Blue Shield"/>
    <x v="0"/>
    <s v="Commercial"/>
    <n v="285716.78000000003"/>
    <n v="177126.55"/>
    <n v="0"/>
  </r>
  <r>
    <x v="509"/>
    <s v="Peconic Bay Medical Center"/>
    <n v="2015"/>
    <n v="6"/>
    <s v="Private Health Insurance"/>
    <x v="0"/>
    <s v="Commercial"/>
    <n v="184850.18"/>
    <n v="84605.23"/>
    <n v="0"/>
  </r>
  <r>
    <x v="510"/>
    <s v="Peconic Bay Medical Center"/>
    <n v="2015"/>
    <n v="6"/>
    <s v="Private Health Insurance"/>
    <x v="0"/>
    <s v="Commercial"/>
    <n v="62117.64"/>
    <n v="42641.45"/>
    <n v="0"/>
  </r>
  <r>
    <x v="511"/>
    <s v="Peconic Bay Medical Center"/>
    <n v="2015"/>
    <n v="6"/>
    <s v="Private Health Insurance"/>
    <x v="0"/>
    <s v="Commercial"/>
    <n v="131721.74"/>
    <n v="62147.13"/>
    <n v="0"/>
  </r>
  <r>
    <x v="512"/>
    <s v="Peconic Bay Medical Center"/>
    <n v="2015"/>
    <n v="9"/>
    <s v="Blue Cross/Blue Shield"/>
    <x v="0"/>
    <s v="Commercial"/>
    <n v="42470.82"/>
    <n v="13018.09"/>
    <n v="0"/>
  </r>
  <r>
    <x v="513"/>
    <s v="Peconic Bay Medical Center"/>
    <n v="2015"/>
    <n v="6"/>
    <s v="Private Health Insurance"/>
    <x v="0"/>
    <s v="Commercial"/>
    <n v="15813.88"/>
    <n v="4656.6000000000004"/>
    <n v="0"/>
  </r>
  <r>
    <x v="514"/>
    <s v="Peconic Bay Medical Center"/>
    <n v="2015"/>
    <n v="6"/>
    <s v="Private Health Insurance"/>
    <x v="0"/>
    <s v="Commercial"/>
    <n v="2740"/>
    <n v="3181.23"/>
    <n v="1"/>
  </r>
  <r>
    <x v="515"/>
    <s v="Peconic Bay Medical Center"/>
    <n v="2015"/>
    <n v="6"/>
    <s v="Private Health Insurance"/>
    <x v="0"/>
    <s v="Commercial"/>
    <n v="20932.66"/>
    <n v="8953.57"/>
    <n v="0"/>
  </r>
  <r>
    <x v="516"/>
    <s v="Peconic Bay Medical Center"/>
    <n v="2015"/>
    <n v="6"/>
    <s v="Private Health Insurance"/>
    <x v="0"/>
    <s v="Commercial"/>
    <n v="123387.4"/>
    <n v="69737.61"/>
    <n v="0"/>
  </r>
  <r>
    <x v="517"/>
    <s v="Peconic Bay Medical Center"/>
    <n v="2015"/>
    <n v="6"/>
    <s v="Private Health Insurance"/>
    <x v="0"/>
    <s v="Commercial"/>
    <n v="16315.32"/>
    <n v="4717.88"/>
    <n v="0"/>
  </r>
  <r>
    <x v="518"/>
    <s v="Peconic Bay Medical Center"/>
    <n v="2015"/>
    <n v="6"/>
    <s v="Private Health Insurance"/>
    <x v="0"/>
    <s v="Commercial"/>
    <n v="76590.98"/>
    <n v="58720.95"/>
    <n v="0"/>
  </r>
  <r>
    <x v="519"/>
    <s v="Peconic Bay Medical Center"/>
    <n v="2015"/>
    <n v="6"/>
    <s v="Private Health Insurance"/>
    <x v="0"/>
    <s v="Commercial"/>
    <n v="172873.64"/>
    <n v="154971.07999999999"/>
    <n v="0"/>
  </r>
  <r>
    <x v="520"/>
    <s v="Peconic Bay Medical Center"/>
    <n v="2015"/>
    <n v="6"/>
    <s v="Private Health Insurance"/>
    <x v="0"/>
    <s v="Commercial"/>
    <n v="49406.59"/>
    <n v="21227.119999999999"/>
    <n v="0"/>
  </r>
  <r>
    <x v="521"/>
    <s v="Peconic Bay Medical Center"/>
    <n v="2015"/>
    <n v="9"/>
    <s v="Blue Cross/Blue Shield"/>
    <x v="0"/>
    <s v="Commercial"/>
    <n v="26704.880000000001"/>
    <n v="6340.07"/>
    <n v="0"/>
  </r>
  <r>
    <x v="522"/>
    <s v="Peconic Bay Medical Center"/>
    <n v="2015"/>
    <n v="6"/>
    <s v="Private Health Insurance"/>
    <x v="0"/>
    <s v="Commercial"/>
    <n v="10074.84"/>
    <n v="2824.66"/>
    <n v="0"/>
  </r>
  <r>
    <x v="523"/>
    <s v="Peconic Bay Medical Center"/>
    <n v="2015"/>
    <n v="6"/>
    <s v="Private Health Insurance"/>
    <x v="0"/>
    <s v="Commercial"/>
    <n v="73709.759999999995"/>
    <n v="20003.849999999999"/>
    <n v="0"/>
  </r>
  <r>
    <x v="524"/>
    <s v="Peconic Bay Medical Center"/>
    <n v="2015"/>
    <n v="6"/>
    <s v="Private Health Insurance"/>
    <x v="0"/>
    <s v="Commercial"/>
    <n v="20963.82"/>
    <n v="5754.81"/>
    <n v="0"/>
  </r>
  <r>
    <x v="525"/>
    <s v="Peconic Bay Medical Center"/>
    <n v="2015"/>
    <n v="6"/>
    <s v="Private Health Insurance"/>
    <x v="0"/>
    <s v="Commercial"/>
    <n v="74620.08"/>
    <n v="52178.81"/>
    <n v="0"/>
  </r>
  <r>
    <x v="526"/>
    <s v="Peconic Bay Medical Center"/>
    <n v="2015"/>
    <n v="6"/>
    <s v="Private Health Insurance"/>
    <x v="0"/>
    <s v="Commercial"/>
    <n v="18780.919999999998"/>
    <n v="4996.2"/>
    <n v="0"/>
  </r>
  <r>
    <x v="527"/>
    <s v="Peconic Bay Medical Center"/>
    <n v="2015"/>
    <n v="6"/>
    <s v="Private Health Insurance"/>
    <x v="0"/>
    <s v="Commercial"/>
    <n v="26301.1"/>
    <n v="15775.23"/>
    <n v="0"/>
  </r>
  <r>
    <x v="528"/>
    <s v="Peconic Bay Medical Center"/>
    <n v="2015"/>
    <n v="9"/>
    <s v="Blue Cross/Blue Shield"/>
    <x v="0"/>
    <s v="Commercial"/>
    <n v="11915.32"/>
    <n v="3527.44"/>
    <n v="0"/>
  </r>
  <r>
    <x v="529"/>
    <s v="Peconic Bay Medical Center"/>
    <n v="2015"/>
    <n v="6"/>
    <s v="Private Health Insurance"/>
    <x v="0"/>
    <s v="Commercial"/>
    <n v="28276.639999999999"/>
    <n v="14140.23"/>
    <n v="0"/>
  </r>
  <r>
    <x v="530"/>
    <s v="Peconic Bay Medical Center"/>
    <n v="2015"/>
    <n v="6"/>
    <s v="Private Health Insurance"/>
    <x v="0"/>
    <s v="Commercial"/>
    <n v="17585.259999999998"/>
    <n v="5557.32"/>
    <n v="0"/>
  </r>
  <r>
    <x v="531"/>
    <s v="Peconic Bay Medical Center"/>
    <n v="2015"/>
    <n v="9"/>
    <s v="Blue Cross/Blue Shield"/>
    <x v="0"/>
    <s v="Commercial"/>
    <n v="66475.539999999994"/>
    <n v="48919.61"/>
    <n v="0"/>
  </r>
  <r>
    <x v="532"/>
    <s v="Peconic Bay Medical Center"/>
    <n v="2015"/>
    <n v="9"/>
    <s v="Blue Cross/Blue Shield"/>
    <x v="0"/>
    <s v="Commercial"/>
    <n v="112646.44"/>
    <n v="43120.97"/>
    <n v="0"/>
  </r>
  <r>
    <x v="533"/>
    <s v="Peconic Bay Medical Center"/>
    <n v="2015"/>
    <n v="9"/>
    <s v="Blue Cross/Blue Shield"/>
    <x v="0"/>
    <s v="Commercial"/>
    <n v="18907.3"/>
    <n v="4777.25"/>
    <n v="0"/>
  </r>
  <r>
    <x v="534"/>
    <s v="Peconic Bay Medical Center"/>
    <n v="2015"/>
    <n v="6"/>
    <s v="Private Health Insurance"/>
    <x v="0"/>
    <s v="Commercial"/>
    <n v="13156"/>
    <n v="3824.49"/>
    <n v="0"/>
  </r>
  <r>
    <x v="535"/>
    <s v="Peconic Bay Medical Center"/>
    <n v="2015"/>
    <n v="9"/>
    <s v="Blue Cross/Blue Shield"/>
    <x v="0"/>
    <s v="Commercial"/>
    <n v="61663.26"/>
    <n v="45136.66"/>
    <n v="0"/>
  </r>
  <r>
    <x v="536"/>
    <s v="Peconic Bay Medical Center"/>
    <n v="2015"/>
    <n v="6"/>
    <s v="Private Health Insurance"/>
    <x v="0"/>
    <s v="Commercial"/>
    <n v="27937.3"/>
    <n v="7912"/>
    <n v="0"/>
  </r>
  <r>
    <x v="537"/>
    <s v="Peconic Bay Medical Center"/>
    <n v="2015"/>
    <n v="9"/>
    <s v="Blue Cross/Blue Shield"/>
    <x v="0"/>
    <s v="Commercial"/>
    <n v="23574.639999999999"/>
    <n v="10428.98"/>
    <n v="0"/>
  </r>
  <r>
    <x v="538"/>
    <s v="Peconic Bay Medical Center"/>
    <n v="2015"/>
    <n v="6"/>
    <s v="Private Health Insurance"/>
    <x v="0"/>
    <s v="Commercial"/>
    <n v="11790.5"/>
    <n v="2605.5100000000002"/>
    <n v="0"/>
  </r>
  <r>
    <x v="539"/>
    <s v="Peconic Bay Medical Center"/>
    <n v="2015"/>
    <n v="6"/>
    <s v="Private Health Insurance"/>
    <x v="0"/>
    <s v="Commercial"/>
    <n v="19880.5"/>
    <n v="9427.7800000000007"/>
    <n v="0"/>
  </r>
  <r>
    <x v="540"/>
    <s v="Peconic Bay Medical Center"/>
    <n v="2015"/>
    <n v="9"/>
    <s v="Blue Cross/Blue Shield"/>
    <x v="0"/>
    <s v="Commercial"/>
    <n v="17222.32"/>
    <n v="5070.03"/>
    <n v="0"/>
  </r>
  <r>
    <x v="541"/>
    <s v="Peconic Bay Medical Center"/>
    <n v="2015"/>
    <n v="9"/>
    <s v="Blue Cross/Blue Shield"/>
    <x v="0"/>
    <s v="Commercial"/>
    <n v="34514.080000000002"/>
    <n v="12680.74"/>
    <n v="0"/>
  </r>
  <r>
    <x v="542"/>
    <s v="Peconic Bay Medical Center"/>
    <n v="2015"/>
    <n v="6"/>
    <s v="Private Health Insurance"/>
    <x v="0"/>
    <s v="Commercial"/>
    <n v="39166.160000000003"/>
    <n v="12818.48"/>
    <n v="0"/>
  </r>
  <r>
    <x v="543"/>
    <s v="Peconic Bay Medical Center"/>
    <n v="2015"/>
    <n v="9"/>
    <s v="Blue Cross/Blue Shield"/>
    <x v="0"/>
    <s v="Commercial"/>
    <n v="36277.980000000003"/>
    <n v="11623.11"/>
    <n v="0"/>
  </r>
  <r>
    <x v="544"/>
    <s v="Peconic Bay Medical Center"/>
    <n v="2015"/>
    <n v="9"/>
    <s v="Blue Cross/Blue Shield"/>
    <x v="0"/>
    <s v="Commercial"/>
    <n v="10409.5"/>
    <n v="2333.31"/>
    <n v="0"/>
  </r>
  <r>
    <x v="545"/>
    <s v="Peconic Bay Medical Center"/>
    <n v="2015"/>
    <n v="9"/>
    <s v="Blue Cross/Blue Shield"/>
    <x v="0"/>
    <s v="Commercial"/>
    <n v="72766.759999999995"/>
    <n v="55432.06"/>
    <n v="0"/>
  </r>
  <r>
    <x v="546"/>
    <s v="Peconic Bay Medical Center"/>
    <n v="2015"/>
    <n v="9"/>
    <s v="Blue Cross/Blue Shield"/>
    <x v="0"/>
    <s v="Commercial"/>
    <n v="10511.92"/>
    <n v="3080.08"/>
    <n v="0"/>
  </r>
  <r>
    <x v="547"/>
    <s v="Peconic Bay Medical Center"/>
    <n v="2015"/>
    <n v="6"/>
    <s v="Private Health Insurance"/>
    <x v="0"/>
    <s v="Commercial"/>
    <n v="57314.04"/>
    <n v="39791.42"/>
    <n v="0"/>
  </r>
  <r>
    <x v="548"/>
    <s v="Peconic Bay Medical Center"/>
    <n v="2015"/>
    <n v="9"/>
    <s v="Blue Cross/Blue Shield"/>
    <x v="0"/>
    <s v="Commercial"/>
    <n v="58288.160000000003"/>
    <n v="44434.93"/>
    <n v="0"/>
  </r>
  <r>
    <x v="549"/>
    <s v="Peconic Bay Medical Center"/>
    <n v="2015"/>
    <n v="9"/>
    <s v="Blue Cross/Blue Shield"/>
    <x v="0"/>
    <s v="Commercial"/>
    <n v="25587.14"/>
    <n v="12889.85"/>
    <n v="0"/>
  </r>
  <r>
    <x v="550"/>
    <s v="Peconic Bay Medical Center"/>
    <n v="2015"/>
    <n v="6"/>
    <s v="Private Health Insurance"/>
    <x v="0"/>
    <s v="Commercial"/>
    <n v="64378.559999999998"/>
    <n v="38935.61"/>
    <n v="0"/>
  </r>
  <r>
    <x v="551"/>
    <s v="Peconic Bay Medical Center"/>
    <n v="2015"/>
    <n v="9"/>
    <s v="Blue Cross/Blue Shield"/>
    <x v="0"/>
    <s v="Commercial"/>
    <n v="10846.76"/>
    <n v="2944.57"/>
    <n v="0"/>
  </r>
  <r>
    <x v="552"/>
    <s v="Peconic Bay Medical Center"/>
    <n v="2015"/>
    <n v="6"/>
    <s v="Private Health Insurance"/>
    <x v="0"/>
    <s v="Commercial"/>
    <n v="19318.02"/>
    <n v="5810.97"/>
    <n v="0"/>
  </r>
  <r>
    <x v="553"/>
    <s v="Peconic Bay Medical Center"/>
    <n v="2015"/>
    <n v="6"/>
    <s v="Private Health Insurance"/>
    <x v="0"/>
    <s v="Commercial"/>
    <n v="73268.75"/>
    <n v="31006.69"/>
    <n v="0"/>
  </r>
  <r>
    <x v="554"/>
    <s v="Peconic Bay Medical Center"/>
    <n v="2015"/>
    <n v="6"/>
    <s v="Private Health Insurance"/>
    <x v="0"/>
    <s v="Commercial"/>
    <n v="23346.080000000002"/>
    <n v="5280.5"/>
    <n v="0"/>
  </r>
  <r>
    <x v="555"/>
    <s v="Peconic Bay Medical Center"/>
    <n v="2015"/>
    <n v="9"/>
    <s v="Blue Cross/Blue Shield"/>
    <x v="0"/>
    <s v="Commercial"/>
    <n v="18656.28"/>
    <n v="5142.08"/>
    <n v="0"/>
  </r>
  <r>
    <x v="556"/>
    <s v="Peconic Bay Medical Center"/>
    <n v="2015"/>
    <n v="6"/>
    <s v="Private Health Insurance"/>
    <x v="0"/>
    <s v="Commercial"/>
    <n v="159189.06"/>
    <n v="91112.97"/>
    <n v="0"/>
  </r>
  <r>
    <x v="557"/>
    <s v="Peconic Bay Medical Center"/>
    <n v="2015"/>
    <n v="9"/>
    <s v="Blue Cross/Blue Shield"/>
    <x v="0"/>
    <s v="Commercial"/>
    <n v="9871.7000000000007"/>
    <n v="2444.7199999999998"/>
    <n v="0"/>
  </r>
  <r>
    <x v="558"/>
    <s v="Peconic Bay Medical Center"/>
    <n v="2015"/>
    <n v="9"/>
    <s v="Blue Cross/Blue Shield"/>
    <x v="0"/>
    <s v="Commercial"/>
    <n v="5143.75"/>
    <n v="6274.6"/>
    <n v="1"/>
  </r>
  <r>
    <x v="559"/>
    <s v="Peconic Bay Medical Center"/>
    <n v="2015"/>
    <n v="9"/>
    <s v="Blue Cross/Blue Shield"/>
    <x v="0"/>
    <s v="Commercial"/>
    <n v="14476.36"/>
    <n v="4138.43"/>
    <n v="0"/>
  </r>
  <r>
    <x v="560"/>
    <s v="Peconic Bay Medical Center"/>
    <n v="2015"/>
    <n v="6"/>
    <s v="Private Health Insurance"/>
    <x v="0"/>
    <s v="Commercial"/>
    <n v="21375.78"/>
    <n v="12628.7"/>
    <n v="0"/>
  </r>
  <r>
    <x v="561"/>
    <s v="Peconic Bay Medical Center"/>
    <n v="2015"/>
    <n v="9"/>
    <s v="Blue Cross/Blue Shield"/>
    <x v="0"/>
    <s v="Commercial"/>
    <n v="69095.960000000006"/>
    <n v="54290.68"/>
    <n v="0"/>
  </r>
  <r>
    <x v="562"/>
    <s v="Peconic Bay Medical Center"/>
    <n v="2015"/>
    <n v="6"/>
    <s v="Private Health Insurance"/>
    <x v="0"/>
    <s v="Commercial"/>
    <n v="59850.22"/>
    <n v="45541.21"/>
    <n v="0"/>
  </r>
  <r>
    <x v="563"/>
    <s v="Peconic Bay Medical Center"/>
    <n v="2015"/>
    <n v="6"/>
    <s v="Private Health Insurance"/>
    <x v="0"/>
    <s v="Commercial"/>
    <n v="59266.82"/>
    <n v="18811.86"/>
    <n v="0"/>
  </r>
  <r>
    <x v="564"/>
    <s v="Peconic Bay Medical Center"/>
    <n v="2015"/>
    <n v="6"/>
    <s v="Private Health Insurance"/>
    <x v="0"/>
    <s v="Commercial"/>
    <n v="37503.9"/>
    <n v="23644.880000000001"/>
    <n v="0"/>
  </r>
  <r>
    <x v="565"/>
    <s v="Peconic Bay Medical Center"/>
    <n v="2015"/>
    <n v="6"/>
    <s v="Private Health Insurance"/>
    <x v="0"/>
    <s v="Commercial"/>
    <n v="36019.64"/>
    <n v="11973.92"/>
    <n v="0"/>
  </r>
  <r>
    <x v="566"/>
    <s v="Peconic Bay Medical Center"/>
    <n v="2015"/>
    <n v="6"/>
    <s v="Private Health Insurance"/>
    <x v="0"/>
    <s v="Commercial"/>
    <n v="155903.38"/>
    <n v="133138.34"/>
    <n v="0"/>
  </r>
  <r>
    <x v="567"/>
    <s v="Peconic Bay Medical Center"/>
    <n v="2015"/>
    <n v="6"/>
    <s v="Private Health Insurance"/>
    <x v="0"/>
    <s v="Commercial"/>
    <n v="14754.86"/>
    <n v="2772.57"/>
    <n v="0"/>
  </r>
  <r>
    <x v="568"/>
    <s v="Peconic Bay Medical Center"/>
    <n v="2015"/>
    <n v="6"/>
    <s v="Private Health Insurance"/>
    <x v="0"/>
    <s v="Commercial"/>
    <n v="8567.86"/>
    <n v="2286.5"/>
    <n v="0"/>
  </r>
  <r>
    <x v="569"/>
    <s v="Peconic Bay Medical Center"/>
    <n v="2015"/>
    <n v="9"/>
    <s v="Blue Cross/Blue Shield"/>
    <x v="0"/>
    <s v="Commercial"/>
    <n v="16493.8"/>
    <n v="3917.67"/>
    <n v="0"/>
  </r>
  <r>
    <x v="570"/>
    <s v="Peconic Bay Medical Center"/>
    <n v="2015"/>
    <n v="6"/>
    <s v="Private Health Insurance"/>
    <x v="0"/>
    <s v="Commercial"/>
    <n v="16983.54"/>
    <n v="4467.28"/>
    <n v="0"/>
  </r>
  <r>
    <x v="571"/>
    <s v="Peconic Bay Medical Center"/>
    <n v="2015"/>
    <n v="9"/>
    <s v="Blue Cross/Blue Shield"/>
    <x v="0"/>
    <s v="Commercial"/>
    <n v="23604.48"/>
    <n v="9353.31"/>
    <n v="0"/>
  </r>
  <r>
    <x v="572"/>
    <s v="Peconic Bay Medical Center"/>
    <n v="2015"/>
    <n v="6"/>
    <s v="Private Health Insurance"/>
    <x v="0"/>
    <s v="Commercial"/>
    <n v="29797.040000000001"/>
    <n v="8809.32"/>
    <n v="0"/>
  </r>
  <r>
    <x v="573"/>
    <s v="Peconic Bay Medical Center"/>
    <n v="2015"/>
    <n v="9"/>
    <s v="Blue Cross/Blue Shield"/>
    <x v="0"/>
    <s v="Commercial"/>
    <n v="23156.12"/>
    <n v="8125.76"/>
    <n v="0"/>
  </r>
  <r>
    <x v="574"/>
    <s v="Peconic Bay Medical Center"/>
    <n v="2015"/>
    <n v="9"/>
    <s v="Blue Cross/Blue Shield"/>
    <x v="0"/>
    <s v="Commercial"/>
    <n v="15050.92"/>
    <n v="4293.3999999999996"/>
    <n v="0"/>
  </r>
  <r>
    <x v="575"/>
    <s v="Peconic Bay Medical Center"/>
    <n v="2015"/>
    <n v="9"/>
    <s v="Blue Cross/Blue Shield"/>
    <x v="0"/>
    <s v="Commercial"/>
    <n v="5445.42"/>
    <n v="1802.42"/>
    <n v="0"/>
  </r>
  <r>
    <x v="576"/>
    <s v="Peconic Bay Medical Center"/>
    <n v="2015"/>
    <n v="9"/>
    <s v="Blue Cross/Blue Shield"/>
    <x v="0"/>
    <s v="Commercial"/>
    <n v="38661.9"/>
    <n v="11540.14"/>
    <n v="0"/>
  </r>
  <r>
    <x v="577"/>
    <s v="Peconic Bay Medical Center"/>
    <n v="2015"/>
    <n v="9"/>
    <s v="Blue Cross/Blue Shield"/>
    <x v="0"/>
    <s v="Commercial"/>
    <n v="60547.14"/>
    <n v="15014.46"/>
    <n v="0"/>
  </r>
  <r>
    <x v="578"/>
    <s v="Peconic Bay Medical Center"/>
    <n v="2015"/>
    <n v="9"/>
    <s v="Blue Cross/Blue Shield"/>
    <x v="0"/>
    <s v="Commercial"/>
    <n v="56684.36"/>
    <n v="30483.34"/>
    <n v="0"/>
  </r>
  <r>
    <x v="579"/>
    <s v="Peconic Bay Medical Center"/>
    <n v="2015"/>
    <n v="9"/>
    <s v="Blue Cross/Blue Shield"/>
    <x v="0"/>
    <s v="Commercial"/>
    <n v="78087.12"/>
    <n v="61747.59"/>
    <n v="0"/>
  </r>
  <r>
    <x v="580"/>
    <s v="Peconic Bay Medical Center"/>
    <n v="2015"/>
    <n v="9"/>
    <s v="Blue Cross/Blue Shield"/>
    <x v="0"/>
    <s v="Commercial"/>
    <n v="19025.900000000001"/>
    <n v="4714.88"/>
    <n v="0"/>
  </r>
  <r>
    <x v="581"/>
    <s v="Peconic Bay Medical Center"/>
    <n v="2015"/>
    <n v="9"/>
    <s v="Blue Cross/Blue Shield"/>
    <x v="0"/>
    <s v="Commercial"/>
    <n v="58967.66"/>
    <n v="45389.59"/>
    <n v="0"/>
  </r>
  <r>
    <x v="582"/>
    <s v="Peconic Bay Medical Center"/>
    <n v="2015"/>
    <n v="9"/>
    <s v="Blue Cross/Blue Shield"/>
    <x v="0"/>
    <s v="Commercial"/>
    <n v="81534.759999999995"/>
    <n v="59398.559999999998"/>
    <n v="0"/>
  </r>
  <r>
    <x v="583"/>
    <s v="Peconic Bay Medical Center"/>
    <n v="2015"/>
    <n v="9"/>
    <s v="Blue Cross/Blue Shield"/>
    <x v="0"/>
    <s v="Commercial"/>
    <n v="19677.54"/>
    <n v="11547.46"/>
    <n v="0"/>
  </r>
  <r>
    <x v="584"/>
    <s v="Peconic Bay Medical Center"/>
    <n v="2015"/>
    <n v="9"/>
    <s v="Blue Cross/Blue Shield"/>
    <x v="0"/>
    <s v="Commercial"/>
    <n v="20205.62"/>
    <n v="5354.76"/>
    <n v="0"/>
  </r>
  <r>
    <x v="585"/>
    <s v="Peconic Bay Medical Center"/>
    <n v="2015"/>
    <n v="6"/>
    <s v="Private Health Insurance"/>
    <x v="0"/>
    <s v="Commercial"/>
    <n v="12952.56"/>
    <n v="3832.38"/>
    <n v="0"/>
  </r>
  <r>
    <x v="586"/>
    <s v="Peconic Bay Medical Center"/>
    <n v="2015"/>
    <n v="6"/>
    <s v="Private Health Insurance"/>
    <x v="0"/>
    <s v="Commercial"/>
    <n v="39574.93"/>
    <n v="27191.02"/>
    <n v="0"/>
  </r>
  <r>
    <x v="587"/>
    <s v="Peconic Bay Medical Center"/>
    <n v="2015"/>
    <n v="9"/>
    <s v="Blue Cross/Blue Shield"/>
    <x v="0"/>
    <s v="Commercial"/>
    <n v="26321.78"/>
    <n v="6721.26"/>
    <n v="0"/>
  </r>
  <r>
    <x v="588"/>
    <s v="Peconic Bay Medical Center"/>
    <n v="2015"/>
    <n v="6"/>
    <s v="Private Health Insurance"/>
    <x v="0"/>
    <s v="Commercial"/>
    <n v="15197.12"/>
    <n v="5004.87"/>
    <n v="0"/>
  </r>
  <r>
    <x v="589"/>
    <s v="Peconic Bay Medical Center"/>
    <n v="2015"/>
    <n v="9"/>
    <s v="Blue Cross/Blue Shield"/>
    <x v="0"/>
    <s v="Commercial"/>
    <n v="5135.99"/>
    <n v="6272.73"/>
    <n v="1"/>
  </r>
  <r>
    <x v="590"/>
    <s v="Peconic Bay Medical Center"/>
    <n v="2015"/>
    <n v="9"/>
    <s v="Blue Cross/Blue Shield"/>
    <x v="0"/>
    <s v="Commercial"/>
    <n v="34681.839999999997"/>
    <n v="7068.81"/>
    <n v="0"/>
  </r>
  <r>
    <x v="591"/>
    <s v="Peconic Bay Medical Center"/>
    <n v="2015"/>
    <n v="6"/>
    <s v="Private Health Insurance"/>
    <x v="0"/>
    <s v="Commercial"/>
    <n v="67080.66"/>
    <n v="25808.21"/>
    <n v="0"/>
  </r>
  <r>
    <x v="592"/>
    <s v="Peconic Bay Medical Center"/>
    <n v="2015"/>
    <n v="9"/>
    <s v="Blue Cross/Blue Shield"/>
    <x v="0"/>
    <s v="Commercial"/>
    <n v="77141.960000000006"/>
    <n v="59147.71"/>
    <n v="0"/>
  </r>
  <r>
    <x v="593"/>
    <s v="Peconic Bay Medical Center"/>
    <n v="2015"/>
    <n v="6"/>
    <s v="Private Health Insurance"/>
    <x v="0"/>
    <s v="Commercial"/>
    <n v="9940.2000000000007"/>
    <n v="2211.2399999999998"/>
    <n v="0"/>
  </r>
  <r>
    <x v="594"/>
    <s v="Peconic Bay Medical Center"/>
    <n v="2015"/>
    <n v="6"/>
    <s v="Private Health Insurance"/>
    <x v="0"/>
    <s v="Commercial"/>
    <n v="17026.5"/>
    <n v="4223.25"/>
    <n v="0"/>
  </r>
  <r>
    <x v="595"/>
    <s v="Peconic Bay Medical Center"/>
    <n v="2015"/>
    <n v="6"/>
    <s v="Private Health Insurance"/>
    <x v="0"/>
    <s v="Commercial"/>
    <n v="12570.82"/>
    <n v="4013.76"/>
    <n v="0"/>
  </r>
  <r>
    <x v="596"/>
    <s v="Peconic Bay Medical Center"/>
    <n v="2015"/>
    <n v="6"/>
    <s v="Private Health Insurance"/>
    <x v="0"/>
    <s v="Commercial"/>
    <n v="67282.02"/>
    <n v="49114.53"/>
    <n v="0"/>
  </r>
  <r>
    <x v="597"/>
    <s v="Peconic Bay Medical Center"/>
    <n v="2015"/>
    <n v="9"/>
    <s v="Blue Cross/Blue Shield"/>
    <x v="0"/>
    <s v="Commercial"/>
    <n v="34585.160000000003"/>
    <n v="11711.17"/>
    <n v="0"/>
  </r>
  <r>
    <x v="598"/>
    <s v="Peconic Bay Medical Center"/>
    <n v="2015"/>
    <n v="6"/>
    <s v="Private Health Insurance"/>
    <x v="0"/>
    <s v="Commercial"/>
    <n v="74062.460000000006"/>
    <n v="55579.95"/>
    <n v="0"/>
  </r>
  <r>
    <x v="599"/>
    <s v="Peconic Bay Medical Center"/>
    <n v="2015"/>
    <n v="9"/>
    <s v="Blue Cross/Blue Shield"/>
    <x v="0"/>
    <s v="Commercial"/>
    <n v="10764.64"/>
    <n v="2495.64"/>
    <n v="0"/>
  </r>
  <r>
    <x v="600"/>
    <s v="Peconic Bay Medical Center"/>
    <n v="2015"/>
    <n v="6"/>
    <s v="Private Health Insurance"/>
    <x v="0"/>
    <s v="Commercial"/>
    <n v="27933.94"/>
    <n v="8649.06"/>
    <n v="0"/>
  </r>
  <r>
    <x v="601"/>
    <s v="Peconic Bay Medical Center"/>
    <n v="2015"/>
    <n v="9"/>
    <s v="Blue Cross/Blue Shield"/>
    <x v="0"/>
    <s v="Commercial"/>
    <n v="60684.4"/>
    <n v="43914.97"/>
    <n v="0"/>
  </r>
  <r>
    <x v="602"/>
    <s v="Peconic Bay Medical Center"/>
    <n v="2015"/>
    <n v="9"/>
    <s v="Blue Cross/Blue Shield"/>
    <x v="0"/>
    <s v="Commercial"/>
    <n v="20627.96"/>
    <n v="6154.49"/>
    <n v="0"/>
  </r>
  <r>
    <x v="603"/>
    <s v="Peconic Bay Medical Center"/>
    <n v="2015"/>
    <n v="9"/>
    <s v="Blue Cross/Blue Shield"/>
    <x v="0"/>
    <s v="Commercial"/>
    <n v="16223.84"/>
    <n v="4575.45"/>
    <n v="0"/>
  </r>
  <r>
    <x v="604"/>
    <s v="Peconic Bay Medical Center"/>
    <n v="2015"/>
    <n v="6"/>
    <s v="Private Health Insurance"/>
    <x v="0"/>
    <s v="Commercial"/>
    <n v="61338.2"/>
    <n v="18315.87"/>
    <n v="0"/>
  </r>
  <r>
    <x v="605"/>
    <s v="Peconic Bay Medical Center"/>
    <n v="2015"/>
    <n v="9"/>
    <s v="Blue Cross/Blue Shield"/>
    <x v="0"/>
    <s v="Commercial"/>
    <n v="28801.82"/>
    <n v="11611.57"/>
    <n v="0"/>
  </r>
  <r>
    <x v="606"/>
    <s v="Peconic Bay Medical Center"/>
    <n v="2015"/>
    <n v="9"/>
    <s v="Blue Cross/Blue Shield"/>
    <x v="0"/>
    <s v="Commercial"/>
    <n v="28797.84"/>
    <n v="20044.45"/>
    <n v="0"/>
  </r>
  <r>
    <x v="607"/>
    <s v="Peconic Bay Medical Center"/>
    <n v="2015"/>
    <n v="9"/>
    <s v="Blue Cross/Blue Shield"/>
    <x v="0"/>
    <s v="Commercial"/>
    <n v="22960.36"/>
    <n v="9422.75"/>
    <n v="0"/>
  </r>
  <r>
    <x v="608"/>
    <s v="Peconic Bay Medical Center"/>
    <n v="2015"/>
    <n v="6"/>
    <s v="Private Health Insurance"/>
    <x v="0"/>
    <s v="Commercial"/>
    <n v="12905.6"/>
    <n v="3009.82"/>
    <n v="0"/>
  </r>
  <r>
    <x v="609"/>
    <s v="Peconic Bay Medical Center"/>
    <n v="2015"/>
    <n v="6"/>
    <s v="Private Health Insurance"/>
    <x v="0"/>
    <s v="Commercial"/>
    <n v="43149.74"/>
    <n v="14016.96"/>
    <n v="0"/>
  </r>
  <r>
    <x v="610"/>
    <s v="Peconic Bay Medical Center"/>
    <n v="2015"/>
    <n v="9"/>
    <s v="Blue Cross/Blue Shield"/>
    <x v="0"/>
    <s v="Commercial"/>
    <n v="22779.14"/>
    <n v="5872.43"/>
    <n v="0"/>
  </r>
  <r>
    <x v="611"/>
    <s v="Peconic Bay Medical Center"/>
    <n v="2015"/>
    <n v="9"/>
    <s v="Blue Cross/Blue Shield"/>
    <x v="0"/>
    <s v="Commercial"/>
    <n v="19891.72"/>
    <n v="6615.38"/>
    <n v="0"/>
  </r>
  <r>
    <x v="612"/>
    <s v="Peconic Bay Medical Center"/>
    <n v="2015"/>
    <n v="9"/>
    <s v="Blue Cross/Blue Shield"/>
    <x v="0"/>
    <s v="Commercial"/>
    <n v="20517.46"/>
    <n v="5177.29"/>
    <n v="0"/>
  </r>
  <r>
    <x v="613"/>
    <s v="Peconic Bay Medical Center"/>
    <n v="2015"/>
    <n v="6"/>
    <s v="Private Health Insurance"/>
    <x v="0"/>
    <s v="Commercial"/>
    <n v="65736.22"/>
    <n v="47460.45"/>
    <n v="0"/>
  </r>
  <r>
    <x v="614"/>
    <s v="Peconic Bay Medical Center"/>
    <n v="2015"/>
    <n v="6"/>
    <s v="Private Health Insurance"/>
    <x v="0"/>
    <s v="Commercial"/>
    <n v="10796.5"/>
    <n v="3152.21"/>
    <n v="0"/>
  </r>
  <r>
    <x v="615"/>
    <s v="Peconic Bay Medical Center"/>
    <n v="2015"/>
    <n v="6"/>
    <s v="Private Health Insurance"/>
    <x v="0"/>
    <s v="Commercial"/>
    <n v="5063.45"/>
    <n v="3828.54"/>
    <n v="0"/>
  </r>
  <r>
    <x v="616"/>
    <s v="Peconic Bay Medical Center"/>
    <n v="2015"/>
    <n v="6"/>
    <s v="Private Health Insurance"/>
    <x v="0"/>
    <s v="Commercial"/>
    <n v="54508.9"/>
    <n v="16916.36"/>
    <n v="0"/>
  </r>
  <r>
    <x v="617"/>
    <s v="Peconic Bay Medical Center"/>
    <n v="2015"/>
    <n v="9"/>
    <s v="Blue Cross/Blue Shield"/>
    <x v="0"/>
    <s v="Commercial"/>
    <n v="60891.08"/>
    <n v="42220.72"/>
    <n v="0"/>
  </r>
  <r>
    <x v="618"/>
    <s v="Peconic Bay Medical Center"/>
    <n v="2015"/>
    <n v="9"/>
    <s v="Blue Cross/Blue Shield"/>
    <x v="0"/>
    <s v="Commercial"/>
    <n v="9623.9599999999991"/>
    <n v="2638.77"/>
    <n v="0"/>
  </r>
  <r>
    <x v="619"/>
    <s v="Peconic Bay Medical Center"/>
    <n v="2015"/>
    <n v="9"/>
    <s v="Blue Cross/Blue Shield"/>
    <x v="0"/>
    <s v="Commercial"/>
    <n v="78451.539999999994"/>
    <n v="61782.71"/>
    <n v="0"/>
  </r>
  <r>
    <x v="620"/>
    <s v="Peconic Bay Medical Center"/>
    <n v="2015"/>
    <n v="6"/>
    <s v="Private Health Insurance"/>
    <x v="0"/>
    <s v="Commercial"/>
    <n v="53428.5"/>
    <n v="42980.84"/>
    <n v="0"/>
  </r>
  <r>
    <x v="621"/>
    <s v="Peconic Bay Medical Center"/>
    <n v="2015"/>
    <n v="6"/>
    <s v="Private Health Insurance"/>
    <x v="0"/>
    <s v="Commercial"/>
    <n v="19849.04"/>
    <n v="5915.47"/>
    <n v="0"/>
  </r>
  <r>
    <x v="622"/>
    <s v="Peconic Bay Medical Center"/>
    <n v="2015"/>
    <n v="9"/>
    <s v="Blue Cross/Blue Shield"/>
    <x v="0"/>
    <s v="Commercial"/>
    <n v="57943.4"/>
    <n v="44602.97"/>
    <n v="0"/>
  </r>
  <r>
    <x v="623"/>
    <s v="Peconic Bay Medical Center"/>
    <n v="2015"/>
    <n v="9"/>
    <s v="Blue Cross/Blue Shield"/>
    <x v="0"/>
    <s v="Commercial"/>
    <n v="71396.899999999994"/>
    <n v="54971.69"/>
    <n v="0"/>
  </r>
  <r>
    <x v="624"/>
    <s v="Peconic Bay Medical Center"/>
    <n v="2015"/>
    <n v="6"/>
    <s v="Private Health Insurance"/>
    <x v="0"/>
    <s v="Commercial"/>
    <n v="25137.86"/>
    <n v="6674.07"/>
    <n v="0"/>
  </r>
  <r>
    <x v="625"/>
    <s v="Peconic Bay Medical Center"/>
    <n v="2015"/>
    <n v="6"/>
    <s v="Private Health Insurance"/>
    <x v="0"/>
    <s v="Commercial"/>
    <n v="16254.66"/>
    <n v="4916.91"/>
    <n v="0"/>
  </r>
  <r>
    <x v="626"/>
    <s v="Peconic Bay Medical Center"/>
    <n v="2015"/>
    <n v="9"/>
    <s v="Blue Cross/Blue Shield"/>
    <x v="0"/>
    <s v="Commercial"/>
    <n v="22096.02"/>
    <n v="6536.9"/>
    <n v="0"/>
  </r>
  <r>
    <x v="627"/>
    <s v="Peconic Bay Medical Center"/>
    <n v="2015"/>
    <n v="9"/>
    <s v="Blue Cross/Blue Shield"/>
    <x v="0"/>
    <s v="Commercial"/>
    <n v="24193.64"/>
    <n v="8526.2099999999991"/>
    <n v="0"/>
  </r>
  <r>
    <x v="628"/>
    <s v="Peconic Bay Medical Center"/>
    <n v="2015"/>
    <n v="9"/>
    <s v="Blue Cross/Blue Shield"/>
    <x v="0"/>
    <s v="Commercial"/>
    <n v="60586.66"/>
    <n v="45719.05"/>
    <n v="0"/>
  </r>
  <r>
    <x v="629"/>
    <s v="Peconic Bay Medical Center"/>
    <n v="2015"/>
    <n v="9"/>
    <s v="Blue Cross/Blue Shield"/>
    <x v="0"/>
    <s v="Commercial"/>
    <n v="56867.48"/>
    <n v="32669.200000000001"/>
    <n v="0"/>
  </r>
  <r>
    <x v="630"/>
    <s v="Peconic Bay Medical Center"/>
    <n v="2015"/>
    <n v="6"/>
    <s v="Private Health Insurance"/>
    <x v="0"/>
    <s v="Commercial"/>
    <n v="24073"/>
    <n v="4748.68"/>
    <n v="0"/>
  </r>
  <r>
    <x v="631"/>
    <s v="Peconic Bay Medical Center"/>
    <n v="2015"/>
    <n v="6"/>
    <s v="Private Health Insurance"/>
    <x v="0"/>
    <s v="Commercial"/>
    <n v="10724.78"/>
    <n v="2652.22"/>
    <n v="0"/>
  </r>
  <r>
    <x v="632"/>
    <s v="Peconic Bay Medical Center"/>
    <n v="2015"/>
    <n v="9"/>
    <s v="Blue Cross/Blue Shield"/>
    <x v="0"/>
    <s v="Commercial"/>
    <n v="63080.78"/>
    <n v="45484.39"/>
    <n v="0"/>
  </r>
  <r>
    <x v="633"/>
    <s v="Peconic Bay Medical Center"/>
    <n v="2015"/>
    <n v="6"/>
    <s v="Private Health Insurance"/>
    <x v="0"/>
    <s v="Commercial"/>
    <n v="115079.03999999999"/>
    <n v="90955.81"/>
    <n v="0"/>
  </r>
  <r>
    <x v="634"/>
    <s v="Peconic Bay Medical Center"/>
    <n v="2015"/>
    <n v="9"/>
    <s v="Blue Cross/Blue Shield"/>
    <x v="0"/>
    <s v="Commercial"/>
    <n v="21769.66"/>
    <n v="5927.98"/>
    <n v="0"/>
  </r>
  <r>
    <x v="635"/>
    <s v="Peconic Bay Medical Center"/>
    <n v="2015"/>
    <n v="9"/>
    <s v="Blue Cross/Blue Shield"/>
    <x v="0"/>
    <s v="Commercial"/>
    <n v="20990.9"/>
    <n v="8657.14"/>
    <n v="0"/>
  </r>
  <r>
    <x v="636"/>
    <s v="Peconic Bay Medical Center"/>
    <n v="2015"/>
    <n v="9"/>
    <s v="Blue Cross/Blue Shield"/>
    <x v="0"/>
    <s v="Commercial"/>
    <n v="47164.7"/>
    <n v="12811.35"/>
    <n v="0"/>
  </r>
  <r>
    <x v="637"/>
    <s v="Peconic Bay Medical Center"/>
    <n v="2015"/>
    <n v="6"/>
    <s v="Private Health Insurance"/>
    <x v="0"/>
    <s v="Commercial"/>
    <n v="63335.82"/>
    <n v="44960.82"/>
    <n v="0"/>
  </r>
  <r>
    <x v="638"/>
    <s v="Peconic Bay Medical Center"/>
    <n v="2015"/>
    <n v="6"/>
    <s v="Private Health Insurance"/>
    <x v="0"/>
    <s v="Commercial"/>
    <n v="12800.66"/>
    <n v="3282.64"/>
    <n v="0"/>
  </r>
  <r>
    <x v="639"/>
    <s v="Peconic Bay Medical Center"/>
    <n v="2015"/>
    <n v="9"/>
    <s v="Blue Cross/Blue Shield"/>
    <x v="0"/>
    <s v="Commercial"/>
    <n v="71984.820000000007"/>
    <n v="51912.77"/>
    <n v="0"/>
  </r>
  <r>
    <x v="640"/>
    <s v="Peconic Bay Medical Center"/>
    <n v="2015"/>
    <n v="9"/>
    <s v="Blue Cross/Blue Shield"/>
    <x v="0"/>
    <s v="Commercial"/>
    <n v="12049.36"/>
    <n v="3150.41"/>
    <n v="0"/>
  </r>
  <r>
    <x v="641"/>
    <s v="Peconic Bay Medical Center"/>
    <n v="2015"/>
    <n v="6"/>
    <s v="Private Health Insurance"/>
    <x v="0"/>
    <s v="Commercial"/>
    <n v="61017.52"/>
    <n v="45823.79"/>
    <n v="0"/>
  </r>
  <r>
    <x v="642"/>
    <s v="Peconic Bay Medical Center"/>
    <n v="2015"/>
    <n v="9"/>
    <s v="Blue Cross/Blue Shield"/>
    <x v="0"/>
    <s v="Commercial"/>
    <n v="49192.3"/>
    <n v="18516.68"/>
    <n v="0"/>
  </r>
  <r>
    <x v="643"/>
    <s v="Peconic Bay Medical Center"/>
    <n v="2015"/>
    <n v="6"/>
    <s v="Private Health Insurance"/>
    <x v="0"/>
    <s v="Commercial"/>
    <n v="76974.02"/>
    <n v="61401.95"/>
    <n v="0"/>
  </r>
  <r>
    <x v="644"/>
    <s v="Peconic Bay Medical Center"/>
    <n v="2015"/>
    <n v="9"/>
    <s v="Blue Cross/Blue Shield"/>
    <x v="0"/>
    <s v="Commercial"/>
    <n v="21424.28"/>
    <n v="8449.6"/>
    <n v="0"/>
  </r>
  <r>
    <x v="645"/>
    <s v="Peconic Bay Medical Center"/>
    <n v="2015"/>
    <n v="9"/>
    <s v="Blue Cross/Blue Shield"/>
    <x v="0"/>
    <s v="Commercial"/>
    <n v="8514.2999999999993"/>
    <n v="2340.63"/>
    <n v="0"/>
  </r>
  <r>
    <x v="646"/>
    <s v="Peconic Bay Medical Center"/>
    <n v="2015"/>
    <n v="9"/>
    <s v="Blue Cross/Blue Shield"/>
    <x v="0"/>
    <s v="Commercial"/>
    <n v="17665.72"/>
    <n v="3339.42"/>
    <n v="0"/>
  </r>
  <r>
    <x v="647"/>
    <s v="Peconic Bay Medical Center"/>
    <n v="2015"/>
    <n v="9"/>
    <s v="Blue Cross/Blue Shield"/>
    <x v="0"/>
    <s v="Commercial"/>
    <n v="64971.76"/>
    <n v="48474.67"/>
    <n v="0"/>
  </r>
  <r>
    <x v="648"/>
    <s v="Peconic Bay Medical Center"/>
    <n v="2015"/>
    <n v="9"/>
    <s v="Blue Cross/Blue Shield"/>
    <x v="0"/>
    <s v="Commercial"/>
    <n v="31650.48"/>
    <n v="12525.81"/>
    <n v="0"/>
  </r>
  <r>
    <x v="649"/>
    <s v="Peconic Bay Medical Center"/>
    <n v="2015"/>
    <n v="6"/>
    <s v="Private Health Insurance"/>
    <x v="0"/>
    <s v="Commercial"/>
    <n v="25220.1"/>
    <n v="4894.75"/>
    <n v="0"/>
  </r>
  <r>
    <x v="650"/>
    <s v="Peconic Bay Medical Center"/>
    <n v="2015"/>
    <n v="6"/>
    <s v="Private Health Insurance"/>
    <x v="0"/>
    <s v="Commercial"/>
    <n v="69095.179999999993"/>
    <n v="50642.5"/>
    <n v="0"/>
  </r>
  <r>
    <x v="651"/>
    <s v="Peconic Bay Medical Center"/>
    <n v="2015"/>
    <n v="9"/>
    <s v="Blue Cross/Blue Shield"/>
    <x v="0"/>
    <s v="Commercial"/>
    <n v="65725.7"/>
    <n v="48630.71"/>
    <n v="0"/>
  </r>
  <r>
    <x v="652"/>
    <s v="Peconic Bay Medical Center"/>
    <n v="2015"/>
    <n v="6"/>
    <s v="Private Health Insurance"/>
    <x v="0"/>
    <s v="Commercial"/>
    <n v="54011.3"/>
    <n v="39297.03"/>
    <n v="0"/>
  </r>
  <r>
    <x v="653"/>
    <s v="Peconic Bay Medical Center"/>
    <n v="2015"/>
    <n v="6"/>
    <s v="Private Health Insurance"/>
    <x v="0"/>
    <s v="Commercial"/>
    <n v="41423.1"/>
    <n v="11455.02"/>
    <n v="0"/>
  </r>
  <r>
    <x v="654"/>
    <s v="Peconic Bay Medical Center"/>
    <n v="2015"/>
    <n v="6"/>
    <s v="Private Health Insurance"/>
    <x v="0"/>
    <s v="Commercial"/>
    <n v="71446.94"/>
    <n v="54213.17"/>
    <n v="0"/>
  </r>
  <r>
    <x v="655"/>
    <s v="Peconic Bay Medical Center"/>
    <n v="2015"/>
    <n v="9"/>
    <s v="Blue Cross/Blue Shield"/>
    <x v="0"/>
    <s v="Commercial"/>
    <n v="12469.14"/>
    <n v="2779.01"/>
    <n v="0"/>
  </r>
  <r>
    <x v="656"/>
    <s v="Peconic Bay Medical Center"/>
    <n v="2015"/>
    <n v="9"/>
    <s v="Blue Cross/Blue Shield"/>
    <x v="0"/>
    <s v="Commercial"/>
    <n v="21141.38"/>
    <n v="6226.37"/>
    <n v="0"/>
  </r>
  <r>
    <x v="657"/>
    <s v="Peconic Bay Medical Center"/>
    <n v="2015"/>
    <n v="9"/>
    <s v="Blue Cross/Blue Shield"/>
    <x v="0"/>
    <s v="Commercial"/>
    <n v="38716.21"/>
    <n v="26101.8"/>
    <n v="0"/>
  </r>
  <r>
    <x v="658"/>
    <s v="Peconic Bay Medical Center"/>
    <n v="2015"/>
    <n v="6"/>
    <s v="Private Health Insurance"/>
    <x v="0"/>
    <s v="Commercial"/>
    <n v="85682.4"/>
    <n v="52568.89"/>
    <n v="0"/>
  </r>
  <r>
    <x v="659"/>
    <s v="Peconic Bay Medical Center"/>
    <n v="2015"/>
    <n v="6"/>
    <s v="Private Health Insurance"/>
    <x v="0"/>
    <s v="Commercial"/>
    <n v="21997.7"/>
    <n v="5147.8900000000003"/>
    <n v="0"/>
  </r>
  <r>
    <x v="660"/>
    <s v="Peconic Bay Medical Center"/>
    <n v="2015"/>
    <n v="6"/>
    <s v="Private Health Insurance"/>
    <x v="0"/>
    <s v="Commercial"/>
    <n v="85460.42"/>
    <n v="65491.73"/>
    <n v="0"/>
  </r>
  <r>
    <x v="661"/>
    <s v="Peconic Bay Medical Center"/>
    <n v="2015"/>
    <n v="9"/>
    <s v="Blue Cross/Blue Shield"/>
    <x v="0"/>
    <s v="Commercial"/>
    <n v="19736.919999999998"/>
    <n v="3719.17"/>
    <n v="0"/>
  </r>
  <r>
    <x v="662"/>
    <s v="Peconic Bay Medical Center"/>
    <n v="2015"/>
    <n v="9"/>
    <s v="Blue Cross/Blue Shield"/>
    <x v="0"/>
    <s v="Commercial"/>
    <n v="32703.1"/>
    <n v="8393.39"/>
    <n v="0"/>
  </r>
  <r>
    <x v="663"/>
    <s v="Peconic Bay Medical Center"/>
    <n v="2015"/>
    <n v="6"/>
    <s v="Private Health Insurance"/>
    <x v="0"/>
    <s v="Commercial"/>
    <n v="66545.56"/>
    <n v="52362.27"/>
    <n v="0"/>
  </r>
  <r>
    <x v="664"/>
    <s v="Peconic Bay Medical Center"/>
    <n v="2015"/>
    <n v="9"/>
    <s v="Blue Cross/Blue Shield"/>
    <x v="0"/>
    <s v="Commercial"/>
    <n v="15429.72"/>
    <n v="3978.13"/>
    <n v="0"/>
  </r>
  <r>
    <x v="665"/>
    <s v="Peconic Bay Medical Center"/>
    <n v="2015"/>
    <n v="6"/>
    <s v="Private Health Insurance"/>
    <x v="0"/>
    <s v="Commercial"/>
    <n v="24108.12"/>
    <n v="7555.41"/>
    <n v="0"/>
  </r>
  <r>
    <x v="666"/>
    <s v="Peconic Bay Medical Center"/>
    <n v="2015"/>
    <n v="6"/>
    <s v="Private Health Insurance"/>
    <x v="0"/>
    <s v="Commercial"/>
    <n v="16128.16"/>
    <n v="4294.49"/>
    <n v="0"/>
  </r>
  <r>
    <x v="667"/>
    <s v="Peconic Bay Medical Center"/>
    <n v="2015"/>
    <n v="9"/>
    <s v="Blue Cross/Blue Shield"/>
    <x v="0"/>
    <s v="Commercial"/>
    <n v="35136.720000000001"/>
    <n v="19998.59"/>
    <n v="0"/>
  </r>
  <r>
    <x v="668"/>
    <s v="Peconic Bay Medical Center"/>
    <n v="2015"/>
    <n v="6"/>
    <s v="Private Health Insurance"/>
    <x v="0"/>
    <s v="Commercial"/>
    <n v="65211.29"/>
    <n v="49410.09"/>
    <n v="0"/>
  </r>
  <r>
    <x v="669"/>
    <s v="Peconic Bay Medical Center"/>
    <n v="2015"/>
    <n v="9"/>
    <s v="Blue Cross/Blue Shield"/>
    <x v="0"/>
    <s v="Commercial"/>
    <n v="34926.92"/>
    <n v="11982.9"/>
    <n v="0"/>
  </r>
  <r>
    <x v="670"/>
    <s v="Peconic Bay Medical Center"/>
    <n v="2015"/>
    <n v="6"/>
    <s v="Private Health Insurance"/>
    <x v="0"/>
    <s v="Commercial"/>
    <n v="20100.060000000001"/>
    <n v="5534.89"/>
    <n v="0"/>
  </r>
  <r>
    <x v="671"/>
    <s v="Peconic Bay Medical Center"/>
    <n v="2015"/>
    <n v="6"/>
    <s v="Private Health Insurance"/>
    <x v="0"/>
    <s v="Commercial"/>
    <n v="10704"/>
    <n v="2959.39"/>
    <n v="0"/>
  </r>
  <r>
    <x v="672"/>
    <s v="Peconic Bay Medical Center"/>
    <n v="2015"/>
    <n v="6"/>
    <s v="Private Health Insurance"/>
    <x v="0"/>
    <s v="Commercial"/>
    <n v="20662.68"/>
    <n v="6712.75"/>
    <n v="0"/>
  </r>
  <r>
    <x v="673"/>
    <s v="Peconic Bay Medical Center"/>
    <n v="2015"/>
    <n v="6"/>
    <s v="Private Health Insurance"/>
    <x v="0"/>
    <s v="Commercial"/>
    <n v="13446.12"/>
    <n v="2447.08"/>
    <n v="0"/>
  </r>
  <r>
    <x v="674"/>
    <s v="Peconic Bay Medical Center"/>
    <n v="2015"/>
    <n v="6"/>
    <s v="Private Health Insurance"/>
    <x v="0"/>
    <s v="Commercial"/>
    <n v="62849.2"/>
    <n v="42424.76"/>
    <n v="0"/>
  </r>
  <r>
    <x v="675"/>
    <s v="Peconic Bay Medical Center"/>
    <n v="2015"/>
    <n v="6"/>
    <s v="Private Health Insurance"/>
    <x v="0"/>
    <s v="Commercial"/>
    <n v="32660.1"/>
    <n v="6735.37"/>
    <n v="0"/>
  </r>
  <r>
    <x v="676"/>
    <s v="Peconic Bay Medical Center"/>
    <n v="2015"/>
    <n v="9"/>
    <s v="Blue Cross/Blue Shield"/>
    <x v="0"/>
    <s v="Commercial"/>
    <n v="21350.9"/>
    <n v="8558.0400000000009"/>
    <n v="0"/>
  </r>
  <r>
    <x v="677"/>
    <s v="Peconic Bay Medical Center"/>
    <n v="2015"/>
    <n v="9"/>
    <s v="Blue Cross/Blue Shield"/>
    <x v="0"/>
    <s v="Commercial"/>
    <n v="79877.78"/>
    <n v="56499.94"/>
    <n v="0"/>
  </r>
  <r>
    <x v="678"/>
    <s v="Peconic Bay Medical Center"/>
    <n v="2015"/>
    <n v="6"/>
    <s v="Private Health Insurance"/>
    <x v="0"/>
    <s v="Commercial"/>
    <n v="11703.24"/>
    <n v="3120.27"/>
    <n v="0"/>
  </r>
  <r>
    <x v="679"/>
    <s v="Peconic Bay Medical Center"/>
    <n v="2015"/>
    <n v="6"/>
    <s v="Private Health Insurance"/>
    <x v="0"/>
    <s v="Commercial"/>
    <n v="22654.58"/>
    <n v="6281.62"/>
    <n v="0"/>
  </r>
  <r>
    <x v="680"/>
    <s v="Peconic Bay Medical Center"/>
    <n v="2015"/>
    <n v="9"/>
    <s v="Blue Cross/Blue Shield"/>
    <x v="0"/>
    <s v="Commercial"/>
    <n v="28733.16"/>
    <n v="7111.05"/>
    <n v="0"/>
  </r>
  <r>
    <x v="681"/>
    <s v="Peconic Bay Medical Center"/>
    <n v="2015"/>
    <n v="6"/>
    <s v="Private Health Insurance"/>
    <x v="0"/>
    <s v="Commercial"/>
    <n v="24596.44"/>
    <n v="4266.1099999999997"/>
    <n v="0"/>
  </r>
  <r>
    <x v="682"/>
    <s v="Peconic Bay Medical Center"/>
    <n v="2015"/>
    <n v="9"/>
    <s v="Blue Cross/Blue Shield"/>
    <x v="0"/>
    <s v="Commercial"/>
    <n v="9777.06"/>
    <n v="2613.81"/>
    <n v="0"/>
  </r>
  <r>
    <x v="683"/>
    <s v="Peconic Bay Medical Center"/>
    <n v="2015"/>
    <n v="6"/>
    <s v="Private Health Insurance"/>
    <x v="0"/>
    <s v="Commercial"/>
    <n v="113488.76"/>
    <n v="93340.27"/>
    <n v="0"/>
  </r>
  <r>
    <x v="684"/>
    <s v="Peconic Bay Medical Center"/>
    <n v="2015"/>
    <n v="9"/>
    <s v="Blue Cross/Blue Shield"/>
    <x v="0"/>
    <s v="Commercial"/>
    <n v="14888"/>
    <n v="4379.47"/>
    <n v="0"/>
  </r>
  <r>
    <x v="685"/>
    <s v="Peconic Bay Medical Center"/>
    <n v="2015"/>
    <n v="9"/>
    <s v="Blue Cross/Blue Shield"/>
    <x v="0"/>
    <s v="Commercial"/>
    <n v="20472.68"/>
    <n v="6651.07"/>
    <n v="0"/>
  </r>
  <r>
    <x v="686"/>
    <s v="Peconic Bay Medical Center"/>
    <n v="2015"/>
    <n v="9"/>
    <s v="Blue Cross/Blue Shield"/>
    <x v="0"/>
    <s v="Commercial"/>
    <n v="12426.62"/>
    <n v="2738.14"/>
    <n v="0"/>
  </r>
  <r>
    <x v="687"/>
    <s v="Peconic Bay Medical Center"/>
    <n v="2015"/>
    <n v="6"/>
    <s v="Private Health Insurance"/>
    <x v="0"/>
    <s v="Commercial"/>
    <n v="18371.72"/>
    <n v="4656.05"/>
    <n v="0"/>
  </r>
  <r>
    <x v="688"/>
    <s v="Peconic Bay Medical Center"/>
    <n v="2015"/>
    <n v="6"/>
    <s v="Private Health Insurance"/>
    <x v="0"/>
    <s v="Commercial"/>
    <n v="74635.62"/>
    <n v="55818.14"/>
    <n v="0"/>
  </r>
  <r>
    <x v="689"/>
    <s v="Peconic Bay Medical Center"/>
    <n v="2015"/>
    <n v="9"/>
    <s v="Blue Cross/Blue Shield"/>
    <x v="0"/>
    <s v="Commercial"/>
    <n v="41961.3"/>
    <n v="8542.98"/>
    <n v="0"/>
  </r>
  <r>
    <x v="690"/>
    <s v="Peconic Bay Medical Center"/>
    <n v="2015"/>
    <n v="6"/>
    <s v="Private Health Insurance"/>
    <x v="0"/>
    <s v="Commercial"/>
    <n v="31940.6"/>
    <n v="7560.98"/>
    <n v="0"/>
  </r>
  <r>
    <x v="691"/>
    <s v="Peconic Bay Medical Center"/>
    <n v="2015"/>
    <n v="9"/>
    <s v="Blue Cross/Blue Shield"/>
    <x v="0"/>
    <s v="Commercial"/>
    <n v="15781.82"/>
    <n v="4606.42"/>
    <n v="0"/>
  </r>
  <r>
    <x v="692"/>
    <s v="Peconic Bay Medical Center"/>
    <n v="2015"/>
    <n v="9"/>
    <s v="Blue Cross/Blue Shield"/>
    <x v="0"/>
    <s v="Commercial"/>
    <n v="29654.34"/>
    <n v="12618.22"/>
    <n v="0"/>
  </r>
  <r>
    <x v="693"/>
    <s v="Peconic Bay Medical Center"/>
    <n v="2015"/>
    <n v="9"/>
    <s v="Blue Cross/Blue Shield"/>
    <x v="0"/>
    <s v="Commercial"/>
    <n v="80343.740000000005"/>
    <n v="42506.83"/>
    <n v="0"/>
  </r>
  <r>
    <x v="694"/>
    <s v="Peconic Bay Medical Center"/>
    <n v="2015"/>
    <n v="9"/>
    <s v="Blue Cross/Blue Shield"/>
    <x v="0"/>
    <s v="Commercial"/>
    <n v="30043.56"/>
    <n v="12783.04"/>
    <n v="0"/>
  </r>
  <r>
    <x v="695"/>
    <s v="Peconic Bay Medical Center"/>
    <n v="2015"/>
    <n v="9"/>
    <s v="Blue Cross/Blue Shield"/>
    <x v="0"/>
    <s v="Commercial"/>
    <n v="63174.98"/>
    <n v="46364.02"/>
    <n v="0"/>
  </r>
  <r>
    <x v="696"/>
    <s v="Peconic Bay Medical Center"/>
    <n v="2015"/>
    <n v="9"/>
    <s v="Blue Cross/Blue Shield"/>
    <x v="0"/>
    <s v="Commercial"/>
    <n v="26300.720000000001"/>
    <n v="7839.23"/>
    <n v="0"/>
  </r>
  <r>
    <x v="697"/>
    <s v="Peconic Bay Medical Center"/>
    <n v="2015"/>
    <n v="6"/>
    <s v="Private Health Insurance"/>
    <x v="0"/>
    <s v="Commercial"/>
    <n v="27963.74"/>
    <n v="7876.71"/>
    <n v="0"/>
  </r>
  <r>
    <x v="698"/>
    <s v="Peconic Bay Medical Center"/>
    <n v="2015"/>
    <n v="9"/>
    <s v="Blue Cross/Blue Shield"/>
    <x v="0"/>
    <s v="Commercial"/>
    <n v="116064.6"/>
    <n v="100909.78"/>
    <n v="0"/>
  </r>
  <r>
    <x v="699"/>
    <s v="Peconic Bay Medical Center"/>
    <n v="2015"/>
    <n v="9"/>
    <s v="Blue Cross/Blue Shield"/>
    <x v="0"/>
    <s v="Commercial"/>
    <n v="9949.16"/>
    <n v="2749.49"/>
    <n v="0"/>
  </r>
  <r>
    <x v="700"/>
    <s v="Peconic Bay Medical Center"/>
    <n v="2015"/>
    <n v="6"/>
    <s v="Private Health Insurance"/>
    <x v="0"/>
    <s v="Commercial"/>
    <n v="28880"/>
    <n v="12630.16"/>
    <n v="0"/>
  </r>
  <r>
    <x v="701"/>
    <s v="Peconic Bay Medical Center"/>
    <n v="2015"/>
    <n v="6"/>
    <s v="Private Health Insurance"/>
    <x v="0"/>
    <s v="Commercial"/>
    <n v="16029.58"/>
    <n v="5052.3999999999996"/>
    <n v="0"/>
  </r>
  <r>
    <x v="702"/>
    <s v="Peconic Bay Medical Center"/>
    <n v="2015"/>
    <n v="6"/>
    <s v="Private Health Insurance"/>
    <x v="0"/>
    <s v="Commercial"/>
    <n v="11985.34"/>
    <n v="3764.42"/>
    <n v="0"/>
  </r>
  <r>
    <x v="703"/>
    <s v="Peconic Bay Medical Center"/>
    <n v="2015"/>
    <n v="6"/>
    <s v="Private Health Insurance"/>
    <x v="0"/>
    <s v="Commercial"/>
    <n v="34660.589999999997"/>
    <n v="19307.740000000002"/>
    <n v="0"/>
  </r>
  <r>
    <x v="704"/>
    <s v="Peconic Bay Medical Center"/>
    <n v="2015"/>
    <n v="6"/>
    <s v="Private Health Insurance"/>
    <x v="0"/>
    <s v="Commercial"/>
    <n v="20909.86"/>
    <n v="5991.81"/>
    <n v="0"/>
  </r>
  <r>
    <x v="705"/>
    <s v="Peconic Bay Medical Center"/>
    <n v="2015"/>
    <n v="9"/>
    <s v="Blue Cross/Blue Shield"/>
    <x v="0"/>
    <s v="Commercial"/>
    <n v="68015.66"/>
    <n v="53729.65"/>
    <n v="0"/>
  </r>
  <r>
    <x v="706"/>
    <s v="Peconic Bay Medical Center"/>
    <n v="2015"/>
    <n v="6"/>
    <s v="Private Health Insurance"/>
    <x v="0"/>
    <s v="Commercial"/>
    <n v="61259.62"/>
    <n v="20780.22"/>
    <n v="0"/>
  </r>
  <r>
    <x v="707"/>
    <s v="Peconic Bay Medical Center"/>
    <n v="2015"/>
    <n v="6"/>
    <s v="Private Health Insurance"/>
    <x v="0"/>
    <s v="Commercial"/>
    <n v="11834.4"/>
    <n v="3223.01"/>
    <n v="0"/>
  </r>
  <r>
    <x v="708"/>
    <s v="Peconic Bay Medical Center"/>
    <n v="2015"/>
    <n v="6"/>
    <s v="Private Health Insurance"/>
    <x v="0"/>
    <s v="Commercial"/>
    <n v="16132.16"/>
    <n v="4458.46"/>
    <n v="0"/>
  </r>
  <r>
    <x v="709"/>
    <s v="Peconic Bay Medical Center"/>
    <n v="2015"/>
    <n v="6"/>
    <s v="Private Health Insurance"/>
    <x v="0"/>
    <s v="Commercial"/>
    <n v="59332.6"/>
    <n v="21600.79"/>
    <n v="0"/>
  </r>
  <r>
    <x v="710"/>
    <s v="Peconic Bay Medical Center"/>
    <n v="2015"/>
    <n v="9"/>
    <s v="Blue Cross/Blue Shield"/>
    <x v="0"/>
    <s v="Commercial"/>
    <n v="18195.02"/>
    <n v="6255.01"/>
    <n v="0"/>
  </r>
  <r>
    <x v="711"/>
    <s v="Peconic Bay Medical Center"/>
    <n v="2015"/>
    <n v="6"/>
    <s v="Private Health Insurance"/>
    <x v="0"/>
    <s v="Commercial"/>
    <n v="65840.78"/>
    <n v="52275.14"/>
    <n v="0"/>
  </r>
  <r>
    <x v="712"/>
    <s v="Peconic Bay Medical Center"/>
    <n v="2015"/>
    <n v="9"/>
    <s v="Blue Cross/Blue Shield"/>
    <x v="0"/>
    <s v="Commercial"/>
    <n v="86622.720000000001"/>
    <n v="61325.4"/>
    <n v="0"/>
  </r>
  <r>
    <x v="713"/>
    <s v="Peconic Bay Medical Center"/>
    <n v="2015"/>
    <n v="6"/>
    <s v="Private Health Insurance"/>
    <x v="0"/>
    <s v="Commercial"/>
    <n v="24449.439999999999"/>
    <n v="7802.71"/>
    <n v="0"/>
  </r>
  <r>
    <x v="714"/>
    <s v="Peconic Bay Medical Center"/>
    <n v="2015"/>
    <n v="6"/>
    <s v="Private Health Insurance"/>
    <x v="0"/>
    <s v="Commercial"/>
    <n v="39737.18"/>
    <n v="10414.94"/>
    <n v="0"/>
  </r>
  <r>
    <x v="715"/>
    <s v="Peconic Bay Medical Center"/>
    <n v="2015"/>
    <n v="6"/>
    <s v="Private Health Insurance"/>
    <x v="0"/>
    <s v="Commercial"/>
    <n v="179022.36"/>
    <n v="71947.91"/>
    <n v="0"/>
  </r>
  <r>
    <x v="716"/>
    <s v="Peconic Bay Medical Center"/>
    <n v="2015"/>
    <n v="6"/>
    <s v="Private Health Insurance"/>
    <x v="0"/>
    <s v="Commercial"/>
    <n v="59316.82"/>
    <n v="41962.05"/>
    <n v="0"/>
  </r>
  <r>
    <x v="717"/>
    <s v="Peconic Bay Medical Center"/>
    <n v="2015"/>
    <n v="6"/>
    <s v="Private Health Insurance"/>
    <x v="0"/>
    <s v="Commercial"/>
    <n v="25635.06"/>
    <n v="8441.58"/>
    <n v="0"/>
  </r>
  <r>
    <x v="718"/>
    <s v="Peconic Bay Medical Center"/>
    <n v="2015"/>
    <n v="9"/>
    <s v="Blue Cross/Blue Shield"/>
    <x v="0"/>
    <s v="Commercial"/>
    <n v="42131.22"/>
    <n v="10138.040000000001"/>
    <n v="0"/>
  </r>
  <r>
    <x v="719"/>
    <s v="Peconic Bay Medical Center"/>
    <n v="2015"/>
    <n v="9"/>
    <s v="Blue Cross/Blue Shield"/>
    <x v="0"/>
    <s v="Commercial"/>
    <n v="67187.48"/>
    <n v="52309.69"/>
    <n v="0"/>
  </r>
  <r>
    <x v="720"/>
    <s v="Peconic Bay Medical Center"/>
    <n v="2015"/>
    <n v="6"/>
    <s v="Private Health Insurance"/>
    <x v="0"/>
    <s v="Commercial"/>
    <n v="78733.22"/>
    <n v="24802.04"/>
    <n v="0"/>
  </r>
  <r>
    <x v="721"/>
    <s v="Peconic Bay Medical Center"/>
    <n v="2015"/>
    <n v="9"/>
    <s v="Blue Cross/Blue Shield"/>
    <x v="0"/>
    <s v="Commercial"/>
    <n v="26833.64"/>
    <n v="7410.05"/>
    <n v="0"/>
  </r>
  <r>
    <x v="722"/>
    <s v="Peconic Bay Medical Center"/>
    <n v="2015"/>
    <n v="9"/>
    <s v="Blue Cross/Blue Shield"/>
    <x v="0"/>
    <s v="Commercial"/>
    <n v="11058.98"/>
    <n v="2732.9"/>
    <n v="0"/>
  </r>
  <r>
    <x v="723"/>
    <s v="Peconic Bay Medical Center"/>
    <n v="2015"/>
    <n v="9"/>
    <s v="Blue Cross/Blue Shield"/>
    <x v="0"/>
    <s v="Commercial"/>
    <n v="45882.02"/>
    <n v="27319.37"/>
    <n v="0"/>
  </r>
  <r>
    <x v="724"/>
    <s v="Peconic Bay Medical Center"/>
    <n v="2015"/>
    <n v="6"/>
    <s v="Private Health Insurance"/>
    <x v="0"/>
    <s v="Commercial"/>
    <n v="56102.64"/>
    <n v="36252.080000000002"/>
    <n v="0"/>
  </r>
  <r>
    <x v="725"/>
    <s v="Peconic Bay Medical Center"/>
    <n v="2015"/>
    <n v="6"/>
    <s v="Private Health Insurance"/>
    <x v="0"/>
    <s v="Commercial"/>
    <n v="105594.8"/>
    <n v="85098.94"/>
    <n v="0"/>
  </r>
  <r>
    <x v="726"/>
    <s v="Peconic Bay Medical Center"/>
    <n v="2015"/>
    <n v="9"/>
    <s v="Blue Cross/Blue Shield"/>
    <x v="0"/>
    <s v="Commercial"/>
    <n v="12814.02"/>
    <n v="3766.4"/>
    <n v="0"/>
  </r>
  <r>
    <x v="727"/>
    <s v="Peconic Bay Medical Center"/>
    <n v="2015"/>
    <n v="6"/>
    <s v="Private Health Insurance"/>
    <x v="0"/>
    <s v="Commercial"/>
    <n v="13017.24"/>
    <n v="3394.64"/>
    <n v="0"/>
  </r>
  <r>
    <x v="728"/>
    <s v="Peconic Bay Medical Center"/>
    <n v="2015"/>
    <n v="6"/>
    <s v="Private Health Insurance"/>
    <x v="0"/>
    <s v="Commercial"/>
    <n v="61226.48"/>
    <n v="14778.02"/>
    <n v="0"/>
  </r>
  <r>
    <x v="729"/>
    <s v="Peconic Bay Medical Center"/>
    <n v="2015"/>
    <n v="9"/>
    <s v="Blue Cross/Blue Shield"/>
    <x v="0"/>
    <s v="Commercial"/>
    <n v="28923.7"/>
    <n v="13975.36"/>
    <n v="0"/>
  </r>
  <r>
    <x v="730"/>
    <s v="Peconic Bay Medical Center"/>
    <n v="2015"/>
    <n v="9"/>
    <s v="Blue Cross/Blue Shield"/>
    <x v="0"/>
    <s v="Commercial"/>
    <n v="36146.400000000001"/>
    <n v="8559.3799999999992"/>
    <n v="0"/>
  </r>
  <r>
    <x v="731"/>
    <s v="Peconic Bay Medical Center"/>
    <n v="2015"/>
    <n v="6"/>
    <s v="Private Health Insurance"/>
    <x v="0"/>
    <s v="Commercial"/>
    <n v="12735.56"/>
    <n v="3277.08"/>
    <n v="0"/>
  </r>
  <r>
    <x v="732"/>
    <s v="Peconic Bay Medical Center"/>
    <n v="2015"/>
    <n v="6"/>
    <s v="Private Health Insurance"/>
    <x v="0"/>
    <s v="Commercial"/>
    <n v="3970.72"/>
    <n v="4734.7"/>
    <n v="1"/>
  </r>
  <r>
    <x v="733"/>
    <s v="Peconic Bay Medical Center"/>
    <n v="2015"/>
    <n v="6"/>
    <s v="Private Health Insurance"/>
    <x v="0"/>
    <s v="Commercial"/>
    <n v="87605.68"/>
    <n v="56373.31"/>
    <n v="0"/>
  </r>
  <r>
    <x v="734"/>
    <s v="Peconic Bay Medical Center"/>
    <n v="2015"/>
    <n v="9"/>
    <s v="Blue Cross/Blue Shield"/>
    <x v="0"/>
    <s v="Commercial"/>
    <n v="67933.16"/>
    <n v="52824.13"/>
    <n v="0"/>
  </r>
  <r>
    <x v="735"/>
    <s v="Peconic Bay Medical Center"/>
    <n v="2015"/>
    <n v="6"/>
    <s v="Private Health Insurance"/>
    <x v="0"/>
    <s v="Commercial"/>
    <n v="36704.74"/>
    <n v="20132.32"/>
    <n v="0"/>
  </r>
  <r>
    <x v="736"/>
    <s v="Peconic Bay Medical Center"/>
    <n v="2015"/>
    <n v="6"/>
    <s v="Private Health Insurance"/>
    <x v="0"/>
    <s v="Commercial"/>
    <n v="13982.44"/>
    <n v="4020.04"/>
    <n v="0"/>
  </r>
  <r>
    <x v="737"/>
    <s v="Peconic Bay Medical Center"/>
    <n v="2015"/>
    <n v="9"/>
    <s v="Blue Cross/Blue Shield"/>
    <x v="0"/>
    <s v="Commercial"/>
    <n v="29296.94"/>
    <n v="5797.61"/>
    <n v="0"/>
  </r>
  <r>
    <x v="738"/>
    <s v="Peconic Bay Medical Center"/>
    <n v="2015"/>
    <n v="6"/>
    <s v="Private Health Insurance"/>
    <x v="0"/>
    <s v="Commercial"/>
    <n v="31020.22"/>
    <n v="9188.3700000000008"/>
    <n v="0"/>
  </r>
  <r>
    <x v="739"/>
    <s v="Peconic Bay Medical Center"/>
    <n v="2015"/>
    <n v="6"/>
    <s v="Private Health Insurance"/>
    <x v="0"/>
    <s v="Commercial"/>
    <n v="24797.68"/>
    <n v="6847.07"/>
    <n v="0"/>
  </r>
  <r>
    <x v="740"/>
    <s v="Peconic Bay Medical Center"/>
    <n v="2015"/>
    <n v="6"/>
    <s v="Private Health Insurance"/>
    <x v="0"/>
    <s v="Commercial"/>
    <n v="22153.72"/>
    <n v="4743.6000000000004"/>
    <n v="0"/>
  </r>
  <r>
    <x v="741"/>
    <s v="Peconic Bay Medical Center"/>
    <n v="2015"/>
    <n v="9"/>
    <s v="Blue Cross/Blue Shield"/>
    <x v="0"/>
    <s v="Commercial"/>
    <n v="64942.54"/>
    <n v="48286.69"/>
    <n v="0"/>
  </r>
  <r>
    <x v="742"/>
    <s v="Peconic Bay Medical Center"/>
    <n v="2015"/>
    <n v="9"/>
    <s v="Blue Cross/Blue Shield"/>
    <x v="0"/>
    <s v="Commercial"/>
    <n v="34099.199999999997"/>
    <n v="13301.03"/>
    <n v="0"/>
  </r>
  <r>
    <x v="743"/>
    <s v="Peconic Bay Medical Center"/>
    <n v="2015"/>
    <n v="9"/>
    <s v="Blue Cross/Blue Shield"/>
    <x v="0"/>
    <s v="Commercial"/>
    <n v="37049.300000000003"/>
    <n v="10323.629999999999"/>
    <n v="0"/>
  </r>
  <r>
    <x v="744"/>
    <s v="Peconic Bay Medical Center"/>
    <n v="2015"/>
    <n v="9"/>
    <s v="Blue Cross/Blue Shield"/>
    <x v="0"/>
    <s v="Commercial"/>
    <n v="43644"/>
    <n v="13350.48"/>
    <n v="0"/>
  </r>
  <r>
    <x v="745"/>
    <s v="Peconic Bay Medical Center"/>
    <n v="2015"/>
    <n v="9"/>
    <s v="Blue Cross/Blue Shield"/>
    <x v="0"/>
    <s v="Commercial"/>
    <n v="9507.94"/>
    <n v="2605.42"/>
    <n v="0"/>
  </r>
  <r>
    <x v="746"/>
    <s v="Peconic Bay Medical Center"/>
    <n v="2015"/>
    <n v="9"/>
    <s v="Blue Cross/Blue Shield"/>
    <x v="0"/>
    <s v="Commercial"/>
    <n v="23737.24"/>
    <n v="5799.31"/>
    <n v="0"/>
  </r>
  <r>
    <x v="747"/>
    <s v="Peconic Bay Medical Center"/>
    <n v="2015"/>
    <n v="6"/>
    <s v="Private Health Insurance"/>
    <x v="0"/>
    <s v="Commercial"/>
    <n v="47242.86"/>
    <n v="12153.63"/>
    <n v="0"/>
  </r>
  <r>
    <x v="748"/>
    <s v="Peconic Bay Medical Center"/>
    <n v="2015"/>
    <n v="9"/>
    <s v="Blue Cross/Blue Shield"/>
    <x v="0"/>
    <s v="Commercial"/>
    <n v="16824.68"/>
    <n v="2943.77"/>
    <n v="0"/>
  </r>
  <r>
    <x v="749"/>
    <s v="Peconic Bay Medical Center"/>
    <n v="2015"/>
    <n v="9"/>
    <s v="Blue Cross/Blue Shield"/>
    <x v="0"/>
    <s v="Commercial"/>
    <n v="20787.52"/>
    <n v="4831.34"/>
    <n v="0"/>
  </r>
  <r>
    <x v="750"/>
    <s v="Peconic Bay Medical Center"/>
    <n v="2015"/>
    <n v="9"/>
    <s v="Blue Cross/Blue Shield"/>
    <x v="0"/>
    <s v="Commercial"/>
    <n v="22888.28"/>
    <n v="8594.0400000000009"/>
    <n v="0"/>
  </r>
  <r>
    <x v="751"/>
    <s v="Peconic Bay Medical Center"/>
    <n v="2015"/>
    <n v="9"/>
    <s v="Blue Cross/Blue Shield"/>
    <x v="0"/>
    <s v="Commercial"/>
    <n v="33371.08"/>
    <n v="6863.82"/>
    <n v="0"/>
  </r>
  <r>
    <x v="752"/>
    <s v="Peconic Bay Medical Center"/>
    <n v="2015"/>
    <n v="6"/>
    <s v="Private Health Insurance"/>
    <x v="0"/>
    <s v="Commercial"/>
    <n v="11744.96"/>
    <n v="3331.58"/>
    <n v="0"/>
  </r>
  <r>
    <x v="753"/>
    <s v="Peconic Bay Medical Center"/>
    <n v="2015"/>
    <n v="6"/>
    <s v="Private Health Insurance"/>
    <x v="0"/>
    <s v="Commercial"/>
    <n v="30211.84"/>
    <n v="8421.26"/>
    <n v="0"/>
  </r>
  <r>
    <x v="754"/>
    <s v="Peconic Bay Medical Center"/>
    <n v="2015"/>
    <n v="9"/>
    <s v="Blue Cross/Blue Shield"/>
    <x v="0"/>
    <s v="Commercial"/>
    <n v="62417.279999999999"/>
    <n v="52412.01"/>
    <n v="0"/>
  </r>
  <r>
    <x v="755"/>
    <s v="Peconic Bay Medical Center"/>
    <n v="2015"/>
    <n v="9"/>
    <s v="Blue Cross/Blue Shield"/>
    <x v="0"/>
    <s v="Commercial"/>
    <n v="80237.490000000005"/>
    <n v="70060.56"/>
    <n v="0"/>
  </r>
  <r>
    <x v="756"/>
    <s v="Peconic Bay Medical Center"/>
    <n v="2015"/>
    <n v="6"/>
    <s v="Private Health Insurance"/>
    <x v="0"/>
    <s v="Commercial"/>
    <n v="20760.38"/>
    <n v="2621.61"/>
    <n v="0"/>
  </r>
  <r>
    <x v="757"/>
    <s v="Peconic Bay Medical Center"/>
    <n v="2015"/>
    <n v="6"/>
    <s v="Private Health Insurance"/>
    <x v="0"/>
    <s v="Commercial"/>
    <n v="29411.919999999998"/>
    <n v="10434.299999999999"/>
    <n v="0"/>
  </r>
  <r>
    <x v="758"/>
    <s v="Peconic Bay Medical Center"/>
    <n v="2015"/>
    <n v="9"/>
    <s v="Blue Cross/Blue Shield"/>
    <x v="0"/>
    <s v="Commercial"/>
    <n v="37546.879999999997"/>
    <n v="17557.580000000002"/>
    <n v="0"/>
  </r>
  <r>
    <x v="759"/>
    <s v="Peconic Bay Medical Center"/>
    <n v="2015"/>
    <n v="9"/>
    <s v="Blue Cross/Blue Shield"/>
    <x v="0"/>
    <s v="Commercial"/>
    <n v="105084"/>
    <n v="79416.33"/>
    <n v="0"/>
  </r>
  <r>
    <x v="760"/>
    <s v="Peconic Bay Medical Center"/>
    <n v="2015"/>
    <n v="6"/>
    <s v="Private Health Insurance"/>
    <x v="0"/>
    <s v="Commercial"/>
    <n v="9208.5"/>
    <n v="2370.0500000000002"/>
    <n v="0"/>
  </r>
  <r>
    <x v="761"/>
    <s v="Peconic Bay Medical Center"/>
    <n v="2015"/>
    <n v="9"/>
    <s v="Blue Cross/Blue Shield"/>
    <x v="0"/>
    <s v="Commercial"/>
    <n v="5872.84"/>
    <n v="1746.59"/>
    <n v="0"/>
  </r>
  <r>
    <x v="762"/>
    <s v="Peconic Bay Medical Center"/>
    <n v="2015"/>
    <n v="6"/>
    <s v="Private Health Insurance"/>
    <x v="0"/>
    <s v="Commercial"/>
    <n v="5256.5"/>
    <n v="6310.49"/>
    <n v="1"/>
  </r>
  <r>
    <x v="763"/>
    <s v="Peconic Bay Medical Center"/>
    <n v="2015"/>
    <n v="6"/>
    <s v="Private Health Insurance"/>
    <x v="0"/>
    <s v="Commercial"/>
    <n v="13569.7"/>
    <n v="3928.24"/>
    <n v="0"/>
  </r>
  <r>
    <x v="764"/>
    <s v="Peconic Bay Medical Center"/>
    <n v="2015"/>
    <n v="9"/>
    <s v="Blue Cross/Blue Shield"/>
    <x v="0"/>
    <s v="Commercial"/>
    <n v="66287.199999999997"/>
    <n v="31431.37"/>
    <n v="0"/>
  </r>
  <r>
    <x v="765"/>
    <s v="Peconic Bay Medical Center"/>
    <n v="2015"/>
    <n v="6"/>
    <s v="Private Health Insurance"/>
    <x v="0"/>
    <s v="Commercial"/>
    <n v="8173.34"/>
    <n v="2251.52"/>
    <n v="0"/>
  </r>
  <r>
    <x v="766"/>
    <s v="Peconic Bay Medical Center"/>
    <n v="2015"/>
    <n v="6"/>
    <s v="Private Health Insurance"/>
    <x v="0"/>
    <s v="Commercial"/>
    <n v="59420.6"/>
    <n v="22231.38"/>
    <n v="0"/>
  </r>
  <r>
    <x v="767"/>
    <s v="Peconic Bay Medical Center"/>
    <n v="2015"/>
    <n v="6"/>
    <s v="Private Health Insurance"/>
    <x v="0"/>
    <s v="Commercial"/>
    <n v="38196.06"/>
    <n v="12018.96"/>
    <n v="0"/>
  </r>
  <r>
    <x v="768"/>
    <s v="Peconic Bay Medical Center"/>
    <n v="2015"/>
    <n v="9"/>
    <s v="Blue Cross/Blue Shield"/>
    <x v="0"/>
    <s v="Commercial"/>
    <n v="66926.880000000005"/>
    <n v="49023.62"/>
    <n v="0"/>
  </r>
  <r>
    <x v="769"/>
    <s v="Peconic Bay Medical Center"/>
    <n v="2015"/>
    <n v="6"/>
    <s v="Private Health Insurance"/>
    <x v="0"/>
    <s v="Commercial"/>
    <n v="22001.94"/>
    <n v="6513.11"/>
    <n v="0"/>
  </r>
  <r>
    <x v="770"/>
    <s v="Peconic Bay Medical Center"/>
    <n v="2015"/>
    <n v="9"/>
    <s v="Blue Cross/Blue Shield"/>
    <x v="0"/>
    <s v="Commercial"/>
    <n v="59646.36"/>
    <n v="44445.84"/>
    <n v="0"/>
  </r>
  <r>
    <x v="771"/>
    <s v="Peconic Bay Medical Center"/>
    <n v="2015"/>
    <n v="9"/>
    <s v="Blue Cross/Blue Shield"/>
    <x v="0"/>
    <s v="Commercial"/>
    <n v="21319.56"/>
    <n v="5591.78"/>
    <n v="0"/>
  </r>
  <r>
    <x v="772"/>
    <s v="Peconic Bay Medical Center"/>
    <n v="2015"/>
    <n v="6"/>
    <s v="Private Health Insurance"/>
    <x v="0"/>
    <s v="Commercial"/>
    <n v="16954.560000000001"/>
    <n v="4781.41"/>
    <n v="0"/>
  </r>
  <r>
    <x v="773"/>
    <s v="Peconic Bay Medical Center"/>
    <n v="2015"/>
    <n v="9"/>
    <s v="Blue Cross/Blue Shield"/>
    <x v="0"/>
    <s v="Commercial"/>
    <n v="20117.78"/>
    <n v="7522.48"/>
    <n v="0"/>
  </r>
  <r>
    <x v="774"/>
    <s v="Peconic Bay Medical Center"/>
    <n v="2015"/>
    <n v="6"/>
    <s v="Private Health Insurance"/>
    <x v="0"/>
    <s v="Commercial"/>
    <n v="13408.26"/>
    <n v="4241.34"/>
    <n v="0"/>
  </r>
  <r>
    <x v="775"/>
    <s v="Peconic Bay Medical Center"/>
    <n v="2015"/>
    <n v="6"/>
    <s v="Private Health Insurance"/>
    <x v="0"/>
    <s v="Commercial"/>
    <n v="37606.239999999998"/>
    <n v="7595.31"/>
    <n v="0"/>
  </r>
  <r>
    <x v="776"/>
    <s v="Peconic Bay Medical Center"/>
    <n v="2015"/>
    <n v="6"/>
    <s v="Private Health Insurance"/>
    <x v="0"/>
    <s v="Commercial"/>
    <n v="11189.72"/>
    <n v="2915.08"/>
    <n v="0"/>
  </r>
  <r>
    <x v="777"/>
    <s v="Peconic Bay Medical Center"/>
    <n v="2015"/>
    <n v="9"/>
    <s v="Blue Cross/Blue Shield"/>
    <x v="0"/>
    <s v="Commercial"/>
    <n v="41557.42"/>
    <n v="15402.43"/>
    <n v="0"/>
  </r>
  <r>
    <x v="778"/>
    <s v="Peconic Bay Medical Center"/>
    <n v="2015"/>
    <n v="6"/>
    <s v="Private Health Insurance"/>
    <x v="0"/>
    <s v="Commercial"/>
    <n v="38496.559999999998"/>
    <n v="12593.26"/>
    <n v="0"/>
  </r>
  <r>
    <x v="779"/>
    <s v="Peconic Bay Medical Center"/>
    <n v="2015"/>
    <n v="9"/>
    <s v="Blue Cross/Blue Shield"/>
    <x v="0"/>
    <s v="Commercial"/>
    <n v="4334"/>
    <n v="1534.32"/>
    <n v="0"/>
  </r>
  <r>
    <x v="780"/>
    <s v="Peconic Bay Medical Center"/>
    <n v="2015"/>
    <n v="9"/>
    <s v="Blue Cross/Blue Shield"/>
    <x v="0"/>
    <s v="Commercial"/>
    <n v="33022.76"/>
    <n v="9554.0499999999993"/>
    <n v="0"/>
  </r>
  <r>
    <x v="781"/>
    <s v="Peconic Bay Medical Center"/>
    <n v="2015"/>
    <n v="6"/>
    <s v="Private Health Insurance"/>
    <x v="0"/>
    <s v="Commercial"/>
    <n v="32555.74"/>
    <n v="9043.9"/>
    <n v="0"/>
  </r>
  <r>
    <x v="782"/>
    <s v="Peconic Bay Medical Center"/>
    <n v="2015"/>
    <n v="9"/>
    <s v="Blue Cross/Blue Shield"/>
    <x v="0"/>
    <s v="Commercial"/>
    <n v="23755.16"/>
    <n v="7163.54"/>
    <n v="0"/>
  </r>
  <r>
    <x v="783"/>
    <s v="Peconic Bay Medical Center"/>
    <n v="2015"/>
    <n v="6"/>
    <s v="Private Health Insurance"/>
    <x v="0"/>
    <s v="Commercial"/>
    <n v="38305.279999999999"/>
    <n v="11311.11"/>
    <n v="0"/>
  </r>
  <r>
    <x v="784"/>
    <s v="Peconic Bay Medical Center"/>
    <n v="2015"/>
    <n v="6"/>
    <s v="Private Health Insurance"/>
    <x v="0"/>
    <s v="Commercial"/>
    <n v="12309.06"/>
    <n v="3349.49"/>
    <n v="0"/>
  </r>
  <r>
    <x v="785"/>
    <s v="Peconic Bay Medical Center"/>
    <n v="2015"/>
    <n v="9"/>
    <s v="Blue Cross/Blue Shield"/>
    <x v="0"/>
    <s v="Commercial"/>
    <n v="24841.1"/>
    <n v="4679.07"/>
    <n v="0"/>
  </r>
  <r>
    <x v="786"/>
    <s v="Peconic Bay Medical Center"/>
    <n v="2015"/>
    <n v="6"/>
    <s v="Private Health Insurance"/>
    <x v="0"/>
    <s v="Commercial"/>
    <n v="25629.46"/>
    <n v="7370.12"/>
    <n v="0"/>
  </r>
  <r>
    <x v="787"/>
    <s v="Peconic Bay Medical Center"/>
    <n v="2015"/>
    <n v="9"/>
    <s v="Blue Cross/Blue Shield"/>
    <x v="0"/>
    <s v="Commercial"/>
    <n v="13978.96"/>
    <n v="7038.94"/>
    <n v="0"/>
  </r>
  <r>
    <x v="788"/>
    <s v="Peconic Bay Medical Center"/>
    <n v="2015"/>
    <n v="6"/>
    <s v="Private Health Insurance"/>
    <x v="0"/>
    <s v="Commercial"/>
    <n v="40683.5"/>
    <n v="11236.56"/>
    <n v="0"/>
  </r>
  <r>
    <x v="789"/>
    <s v="Peconic Bay Medical Center"/>
    <n v="2015"/>
    <n v="6"/>
    <s v="Private Health Insurance"/>
    <x v="0"/>
    <s v="Commercial"/>
    <n v="13730.4"/>
    <n v="4023.3"/>
    <n v="0"/>
  </r>
  <r>
    <x v="790"/>
    <s v="Peconic Bay Medical Center"/>
    <n v="2015"/>
    <n v="9"/>
    <s v="Blue Cross/Blue Shield"/>
    <x v="0"/>
    <s v="Commercial"/>
    <n v="15535.82"/>
    <n v="3948.15"/>
    <n v="0"/>
  </r>
  <r>
    <x v="791"/>
    <s v="Peconic Bay Medical Center"/>
    <n v="2015"/>
    <n v="6"/>
    <s v="Private Health Insurance"/>
    <x v="0"/>
    <s v="Commercial"/>
    <n v="22383.72"/>
    <n v="6135.15"/>
    <n v="0"/>
  </r>
  <r>
    <x v="792"/>
    <s v="Peconic Bay Medical Center"/>
    <n v="2015"/>
    <n v="6"/>
    <s v="Private Health Insurance"/>
    <x v="0"/>
    <s v="Commercial"/>
    <n v="87262.26"/>
    <n v="32757.34"/>
    <n v="0"/>
  </r>
  <r>
    <x v="793"/>
    <s v="Peconic Bay Medical Center"/>
    <n v="2015"/>
    <n v="6"/>
    <s v="Private Health Insurance"/>
    <x v="0"/>
    <s v="Commercial"/>
    <n v="19539.52"/>
    <n v="4854.88"/>
    <n v="0"/>
  </r>
  <r>
    <x v="794"/>
    <s v="Peconic Bay Medical Center"/>
    <n v="2015"/>
    <n v="9"/>
    <s v="Blue Cross/Blue Shield"/>
    <x v="0"/>
    <s v="Commercial"/>
    <n v="52758.15"/>
    <n v="19203.72"/>
    <n v="0"/>
  </r>
  <r>
    <x v="795"/>
    <s v="Peconic Bay Medical Center"/>
    <n v="2015"/>
    <n v="6"/>
    <s v="Private Health Insurance"/>
    <x v="0"/>
    <s v="Commercial"/>
    <n v="14092.82"/>
    <n v="5845.99"/>
    <n v="0"/>
  </r>
  <r>
    <x v="796"/>
    <s v="Peconic Bay Medical Center"/>
    <n v="2015"/>
    <n v="6"/>
    <s v="Private Health Insurance"/>
    <x v="0"/>
    <s v="Commercial"/>
    <n v="14940.02"/>
    <n v="4463.6099999999997"/>
    <n v="0"/>
  </r>
  <r>
    <x v="797"/>
    <s v="Peconic Bay Medical Center"/>
    <n v="2015"/>
    <n v="9"/>
    <s v="Blue Cross/Blue Shield"/>
    <x v="0"/>
    <s v="Commercial"/>
    <n v="17110.7"/>
    <n v="5001.95"/>
    <n v="0"/>
  </r>
  <r>
    <x v="798"/>
    <s v="Peconic Bay Medical Center"/>
    <n v="2015"/>
    <n v="6"/>
    <s v="Private Health Insurance"/>
    <x v="0"/>
    <s v="Commercial"/>
    <n v="35671.43"/>
    <n v="20992.68"/>
    <n v="0"/>
  </r>
  <r>
    <x v="799"/>
    <s v="Peconic Bay Medical Center"/>
    <n v="2015"/>
    <n v="6"/>
    <s v="Private Health Insurance"/>
    <x v="0"/>
    <s v="Commercial"/>
    <n v="8184.98"/>
    <n v="2254.7600000000002"/>
    <n v="0"/>
  </r>
  <r>
    <x v="800"/>
    <s v="Peconic Bay Medical Center"/>
    <n v="2015"/>
    <n v="6"/>
    <s v="Private Health Insurance"/>
    <x v="0"/>
    <s v="Commercial"/>
    <n v="12223.84"/>
    <n v="3093.19"/>
    <n v="0"/>
  </r>
  <r>
    <x v="801"/>
    <s v="Peconic Bay Medical Center"/>
    <n v="2015"/>
    <n v="9"/>
    <s v="Blue Cross/Blue Shield"/>
    <x v="0"/>
    <s v="Commercial"/>
    <n v="43367.1"/>
    <n v="31405.38"/>
    <n v="0"/>
  </r>
  <r>
    <x v="802"/>
    <s v="Peconic Bay Medical Center"/>
    <n v="2015"/>
    <n v="6"/>
    <s v="Private Health Insurance"/>
    <x v="0"/>
    <s v="Commercial"/>
    <n v="25095.48"/>
    <n v="9179.86"/>
    <n v="0"/>
  </r>
  <r>
    <x v="803"/>
    <s v="Peconic Bay Medical Center"/>
    <n v="2015"/>
    <n v="6"/>
    <s v="Private Health Insurance"/>
    <x v="0"/>
    <s v="Commercial"/>
    <n v="48735.72"/>
    <n v="12918.36"/>
    <n v="0"/>
  </r>
  <r>
    <x v="804"/>
    <s v="Peconic Bay Medical Center"/>
    <n v="2015"/>
    <n v="9"/>
    <s v="Blue Cross/Blue Shield"/>
    <x v="0"/>
    <s v="Commercial"/>
    <n v="35948.080000000002"/>
    <n v="16546.62"/>
    <n v="0"/>
  </r>
  <r>
    <x v="805"/>
    <s v="Peconic Bay Medical Center"/>
    <n v="2015"/>
    <n v="6"/>
    <s v="Private Health Insurance"/>
    <x v="0"/>
    <s v="Commercial"/>
    <n v="35915.1"/>
    <n v="9889.26"/>
    <n v="0"/>
  </r>
  <r>
    <x v="806"/>
    <s v="Peconic Bay Medical Center"/>
    <n v="2015"/>
    <n v="9"/>
    <s v="Blue Cross/Blue Shield"/>
    <x v="0"/>
    <s v="Commercial"/>
    <n v="32972.86"/>
    <n v="14911.94"/>
    <n v="0"/>
  </r>
  <r>
    <x v="807"/>
    <s v="Peconic Bay Medical Center"/>
    <n v="2015"/>
    <n v="9"/>
    <s v="Blue Cross/Blue Shield"/>
    <x v="0"/>
    <s v="Commercial"/>
    <n v="13586.14"/>
    <n v="2930.14"/>
    <n v="0"/>
  </r>
  <r>
    <x v="808"/>
    <s v="Peconic Bay Medical Center"/>
    <n v="2015"/>
    <n v="9"/>
    <s v="Blue Cross/Blue Shield"/>
    <x v="0"/>
    <s v="Commercial"/>
    <n v="10535.64"/>
    <n v="2346.4499999999998"/>
    <n v="0"/>
  </r>
  <r>
    <x v="809"/>
    <s v="Peconic Bay Medical Center"/>
    <n v="2015"/>
    <n v="6"/>
    <s v="Private Health Insurance"/>
    <x v="0"/>
    <s v="Commercial"/>
    <n v="33923.31"/>
    <n v="19180.97"/>
    <n v="0"/>
  </r>
  <r>
    <x v="810"/>
    <s v="Peconic Bay Medical Center"/>
    <n v="2015"/>
    <n v="6"/>
    <s v="Private Health Insurance"/>
    <x v="0"/>
    <s v="Commercial"/>
    <n v="14583.62"/>
    <n v="2572.14"/>
    <n v="0"/>
  </r>
  <r>
    <x v="811"/>
    <s v="Peconic Bay Medical Center"/>
    <n v="2015"/>
    <n v="6"/>
    <s v="Private Health Insurance"/>
    <x v="0"/>
    <s v="Commercial"/>
    <n v="15676.5"/>
    <n v="4141.3999999999996"/>
    <n v="0"/>
  </r>
  <r>
    <x v="812"/>
    <s v="Peconic Bay Medical Center"/>
    <n v="2015"/>
    <n v="6"/>
    <s v="Private Health Insurance"/>
    <x v="0"/>
    <s v="Commercial"/>
    <n v="32549.25"/>
    <n v="18724.810000000001"/>
    <n v="0"/>
  </r>
  <r>
    <x v="813"/>
    <s v="Peconic Bay Medical Center"/>
    <n v="2015"/>
    <n v="6"/>
    <s v="Private Health Insurance"/>
    <x v="0"/>
    <s v="Commercial"/>
    <n v="27892.86"/>
    <n v="7872.1"/>
    <n v="0"/>
  </r>
  <r>
    <x v="814"/>
    <s v="Peconic Bay Medical Center"/>
    <n v="2015"/>
    <n v="9"/>
    <s v="Blue Cross/Blue Shield"/>
    <x v="0"/>
    <s v="Commercial"/>
    <n v="24842.32"/>
    <n v="11250.64"/>
    <n v="0"/>
  </r>
  <r>
    <x v="815"/>
    <s v="Peconic Bay Medical Center"/>
    <n v="2015"/>
    <n v="9"/>
    <s v="Blue Cross/Blue Shield"/>
    <x v="0"/>
    <s v="Commercial"/>
    <n v="40466.879999999997"/>
    <n v="11439.72"/>
    <n v="0"/>
  </r>
  <r>
    <x v="816"/>
    <s v="Peconic Bay Medical Center"/>
    <n v="2015"/>
    <n v="9"/>
    <s v="Blue Cross/Blue Shield"/>
    <x v="0"/>
    <s v="Commercial"/>
    <n v="15135.08"/>
    <n v="11108.34"/>
    <n v="0"/>
  </r>
  <r>
    <x v="817"/>
    <s v="Peconic Bay Medical Center"/>
    <n v="2015"/>
    <n v="6"/>
    <s v="Private Health Insurance"/>
    <x v="0"/>
    <s v="Commercial"/>
    <n v="44292.34"/>
    <n v="11901.25"/>
    <n v="0"/>
  </r>
  <r>
    <x v="818"/>
    <s v="Peconic Bay Medical Center"/>
    <n v="2015"/>
    <n v="6"/>
    <s v="Private Health Insurance"/>
    <x v="0"/>
    <s v="Commercial"/>
    <n v="36077.32"/>
    <n v="21223.72"/>
    <n v="0"/>
  </r>
  <r>
    <x v="819"/>
    <s v="Peconic Bay Medical Center"/>
    <n v="2015"/>
    <n v="6"/>
    <s v="Private Health Insurance"/>
    <x v="0"/>
    <s v="Commercial"/>
    <n v="12182.5"/>
    <n v="3631.57"/>
    <n v="0"/>
  </r>
  <r>
    <x v="820"/>
    <s v="Peconic Bay Medical Center"/>
    <n v="2015"/>
    <n v="9"/>
    <s v="Blue Cross/Blue Shield"/>
    <x v="0"/>
    <s v="Commercial"/>
    <n v="13194.06"/>
    <n v="3994.88"/>
    <n v="0"/>
  </r>
  <r>
    <x v="821"/>
    <s v="Peconic Bay Medical Center"/>
    <n v="2015"/>
    <n v="9"/>
    <s v="Blue Cross/Blue Shield"/>
    <x v="0"/>
    <s v="Commercial"/>
    <n v="10173.780000000001"/>
    <n v="2249.96"/>
    <n v="0"/>
  </r>
  <r>
    <x v="822"/>
    <s v="Peconic Bay Medical Center"/>
    <n v="2015"/>
    <n v="9"/>
    <s v="Blue Cross/Blue Shield"/>
    <x v="0"/>
    <s v="Commercial"/>
    <n v="9254.94"/>
    <n v="2391.21"/>
    <n v="0"/>
  </r>
  <r>
    <x v="823"/>
    <s v="Peconic Bay Medical Center"/>
    <n v="2015"/>
    <n v="6"/>
    <s v="Private Health Insurance"/>
    <x v="0"/>
    <s v="Commercial"/>
    <n v="27075.24"/>
    <n v="7711.3"/>
    <n v="0"/>
  </r>
  <r>
    <x v="824"/>
    <s v="Peconic Bay Medical Center"/>
    <n v="2015"/>
    <n v="6"/>
    <s v="Private Health Insurance"/>
    <x v="0"/>
    <s v="Commercial"/>
    <n v="45215.72"/>
    <n v="19120.46"/>
    <n v="0"/>
  </r>
  <r>
    <x v="825"/>
    <s v="Peconic Bay Medical Center"/>
    <n v="2015"/>
    <n v="9"/>
    <s v="Blue Cross/Blue Shield"/>
    <x v="0"/>
    <s v="Commercial"/>
    <n v="27061.74"/>
    <n v="13357.69"/>
    <n v="0"/>
  </r>
  <r>
    <x v="826"/>
    <s v="Peconic Bay Medical Center"/>
    <n v="2015"/>
    <n v="9"/>
    <s v="Blue Cross/Blue Shield"/>
    <x v="0"/>
    <s v="Commercial"/>
    <n v="8710.32"/>
    <n v="2365.23"/>
    <n v="0"/>
  </r>
  <r>
    <x v="827"/>
    <s v="Peconic Bay Medical Center"/>
    <n v="2015"/>
    <n v="9"/>
    <s v="Blue Cross/Blue Shield"/>
    <x v="0"/>
    <s v="Commercial"/>
    <n v="10298.84"/>
    <n v="2838.45"/>
    <n v="0"/>
  </r>
  <r>
    <x v="828"/>
    <s v="Peconic Bay Medical Center"/>
    <n v="2015"/>
    <n v="9"/>
    <s v="Blue Cross/Blue Shield"/>
    <x v="0"/>
    <s v="Commercial"/>
    <n v="11494.44"/>
    <n v="2717.2"/>
    <n v="0"/>
  </r>
  <r>
    <x v="829"/>
    <s v="Peconic Bay Medical Center"/>
    <n v="2015"/>
    <n v="9"/>
    <s v="Blue Cross/Blue Shield"/>
    <x v="0"/>
    <s v="Commercial"/>
    <n v="27057.34"/>
    <n v="10691.45"/>
    <n v="0"/>
  </r>
  <r>
    <x v="830"/>
    <s v="Peconic Bay Medical Center"/>
    <n v="2015"/>
    <n v="9"/>
    <s v="Blue Cross/Blue Shield"/>
    <x v="0"/>
    <s v="Commercial"/>
    <n v="17450.28"/>
    <n v="5343.52"/>
    <n v="0"/>
  </r>
  <r>
    <x v="831"/>
    <s v="Peconic Bay Medical Center"/>
    <n v="2015"/>
    <n v="9"/>
    <s v="Blue Cross/Blue Shield"/>
    <x v="0"/>
    <s v="Commercial"/>
    <n v="10329.34"/>
    <n v="2350.21"/>
    <n v="0"/>
  </r>
  <r>
    <x v="832"/>
    <s v="Peconic Bay Medical Center"/>
    <n v="2015"/>
    <n v="6"/>
    <s v="Private Health Insurance"/>
    <x v="0"/>
    <s v="Commercial"/>
    <n v="28829.16"/>
    <n v="9010.2199999999993"/>
    <n v="0"/>
  </r>
  <r>
    <x v="833"/>
    <s v="Peconic Bay Medical Center"/>
    <n v="2015"/>
    <n v="9"/>
    <s v="Blue Cross/Blue Shield"/>
    <x v="0"/>
    <s v="Commercial"/>
    <n v="12300.88"/>
    <n v="2125.9299999999998"/>
    <n v="0"/>
  </r>
  <r>
    <x v="834"/>
    <s v="Peconic Bay Medical Center"/>
    <n v="2015"/>
    <n v="6"/>
    <s v="Private Health Insurance"/>
    <x v="0"/>
    <s v="Commercial"/>
    <n v="41858.93"/>
    <n v="24010.959999999999"/>
    <n v="0"/>
  </r>
  <r>
    <x v="835"/>
    <s v="Peconic Bay Medical Center"/>
    <n v="2015"/>
    <n v="6"/>
    <s v="Private Health Insurance"/>
    <x v="0"/>
    <s v="Commercial"/>
    <n v="80124.12"/>
    <n v="28362.51"/>
    <n v="0"/>
  </r>
  <r>
    <x v="836"/>
    <s v="Peconic Bay Medical Center"/>
    <n v="2015"/>
    <n v="6"/>
    <s v="Private Health Insurance"/>
    <x v="0"/>
    <s v="Commercial"/>
    <n v="132520.24"/>
    <n v="33076.83"/>
    <n v="0"/>
  </r>
  <r>
    <x v="837"/>
    <s v="Peconic Bay Medical Center"/>
    <n v="2015"/>
    <n v="9"/>
    <s v="Blue Cross/Blue Shield"/>
    <x v="0"/>
    <s v="Commercial"/>
    <n v="37290.239999999998"/>
    <n v="18135.07"/>
    <n v="0"/>
  </r>
  <r>
    <x v="838"/>
    <s v="Peconic Bay Medical Center"/>
    <n v="2015"/>
    <n v="9"/>
    <s v="Blue Cross/Blue Shield"/>
    <x v="0"/>
    <s v="Commercial"/>
    <n v="63952.88"/>
    <n v="47946.98"/>
    <n v="0"/>
  </r>
  <r>
    <x v="839"/>
    <s v="Peconic Bay Medical Center"/>
    <n v="2015"/>
    <n v="6"/>
    <s v="Private Health Insurance"/>
    <x v="0"/>
    <s v="Commercial"/>
    <n v="31235.8"/>
    <n v="8226.07"/>
    <n v="0"/>
  </r>
  <r>
    <x v="840"/>
    <s v="Peconic Bay Medical Center"/>
    <n v="2015"/>
    <n v="9"/>
    <s v="Blue Cross/Blue Shield"/>
    <x v="0"/>
    <s v="Commercial"/>
    <n v="36492.620000000003"/>
    <n v="11603.8"/>
    <n v="0"/>
  </r>
  <r>
    <x v="841"/>
    <s v="Peconic Bay Medical Center"/>
    <n v="2015"/>
    <n v="9"/>
    <s v="Blue Cross/Blue Shield"/>
    <x v="0"/>
    <s v="Commercial"/>
    <n v="24173.279999999999"/>
    <n v="6561.49"/>
    <n v="0"/>
  </r>
  <r>
    <x v="842"/>
    <s v="Peconic Bay Medical Center"/>
    <n v="2015"/>
    <n v="9"/>
    <s v="Blue Cross/Blue Shield"/>
    <x v="0"/>
    <s v="Commercial"/>
    <n v="28449.62"/>
    <n v="8610.0499999999993"/>
    <n v="0"/>
  </r>
  <r>
    <x v="843"/>
    <s v="Peconic Bay Medical Center"/>
    <n v="2015"/>
    <n v="9"/>
    <s v="Blue Cross/Blue Shield"/>
    <x v="0"/>
    <s v="Commercial"/>
    <n v="29186.68"/>
    <n v="12708.95"/>
    <n v="0"/>
  </r>
  <r>
    <x v="844"/>
    <s v="Peconic Bay Medical Center"/>
    <n v="2015"/>
    <n v="9"/>
    <s v="Blue Cross/Blue Shield"/>
    <x v="0"/>
    <s v="Commercial"/>
    <n v="16833.400000000001"/>
    <n v="4163.32"/>
    <n v="0"/>
  </r>
  <r>
    <x v="845"/>
    <s v="Peconic Bay Medical Center"/>
    <n v="2015"/>
    <n v="9"/>
    <s v="Blue Cross/Blue Shield"/>
    <x v="0"/>
    <s v="Commercial"/>
    <n v="9484.7999999999993"/>
    <n v="2491.09"/>
    <n v="0"/>
  </r>
  <r>
    <x v="846"/>
    <s v="Peconic Bay Medical Center"/>
    <n v="2015"/>
    <n v="9"/>
    <s v="Blue Cross/Blue Shield"/>
    <x v="0"/>
    <s v="Commercial"/>
    <n v="22383.040000000001"/>
    <n v="5626.07"/>
    <n v="0"/>
  </r>
  <r>
    <x v="847"/>
    <s v="Peconic Bay Medical Center"/>
    <n v="2015"/>
    <n v="9"/>
    <s v="Blue Cross/Blue Shield"/>
    <x v="0"/>
    <s v="Commercial"/>
    <n v="46026.16"/>
    <n v="14041.68"/>
    <n v="0"/>
  </r>
  <r>
    <x v="848"/>
    <s v="Peconic Bay Medical Center"/>
    <n v="2015"/>
    <n v="9"/>
    <s v="Blue Cross/Blue Shield"/>
    <x v="0"/>
    <s v="Commercial"/>
    <n v="20070"/>
    <n v="5966.25"/>
    <n v="0"/>
  </r>
  <r>
    <x v="849"/>
    <s v="Peconic Bay Medical Center"/>
    <n v="2015"/>
    <n v="6"/>
    <s v="Private Health Insurance"/>
    <x v="0"/>
    <s v="Commercial"/>
    <n v="27228.92"/>
    <n v="6672.35"/>
    <n v="0"/>
  </r>
  <r>
    <x v="850"/>
    <s v="Peconic Bay Medical Center"/>
    <n v="2015"/>
    <n v="6"/>
    <s v="Private Health Insurance"/>
    <x v="0"/>
    <s v="Commercial"/>
    <n v="62023.040000000001"/>
    <n v="19099.02"/>
    <n v="0"/>
  </r>
  <r>
    <x v="851"/>
    <s v="Peconic Bay Medical Center"/>
    <n v="2015"/>
    <n v="9"/>
    <s v="Blue Cross/Blue Shield"/>
    <x v="0"/>
    <s v="Commercial"/>
    <n v="8514.7199999999993"/>
    <n v="2359.6"/>
    <n v="0"/>
  </r>
  <r>
    <x v="852"/>
    <s v="Peconic Bay Medical Center"/>
    <n v="2015"/>
    <n v="9"/>
    <s v="Blue Cross/Blue Shield"/>
    <x v="0"/>
    <s v="Commercial"/>
    <n v="25574.880000000001"/>
    <n v="9945.67"/>
    <n v="0"/>
  </r>
  <r>
    <x v="853"/>
    <s v="Peconic Bay Medical Center"/>
    <n v="2015"/>
    <n v="9"/>
    <s v="Blue Cross/Blue Shield"/>
    <x v="0"/>
    <s v="Commercial"/>
    <n v="29155.1"/>
    <n v="7558.79"/>
    <n v="0"/>
  </r>
  <r>
    <x v="854"/>
    <s v="Peconic Bay Medical Center"/>
    <n v="2015"/>
    <n v="6"/>
    <s v="Private Health Insurance"/>
    <x v="0"/>
    <s v="Commercial"/>
    <n v="9024.52"/>
    <n v="2478.63"/>
    <n v="0"/>
  </r>
  <r>
    <x v="855"/>
    <s v="Peconic Bay Medical Center"/>
    <n v="2015"/>
    <n v="6"/>
    <s v="Private Health Insurance"/>
    <x v="0"/>
    <s v="Commercial"/>
    <n v="21296.36"/>
    <n v="6388.87"/>
    <n v="0"/>
  </r>
  <r>
    <x v="856"/>
    <s v="Peconic Bay Medical Center"/>
    <n v="2015"/>
    <n v="6"/>
    <s v="Private Health Insurance"/>
    <x v="0"/>
    <s v="Commercial"/>
    <n v="49495.6"/>
    <n v="14852.64"/>
    <n v="0"/>
  </r>
  <r>
    <x v="857"/>
    <s v="Peconic Bay Medical Center"/>
    <n v="2015"/>
    <n v="9"/>
    <s v="Blue Cross/Blue Shield"/>
    <x v="0"/>
    <s v="Commercial"/>
    <n v="8285.74"/>
    <n v="2389.94"/>
    <n v="0"/>
  </r>
  <r>
    <x v="858"/>
    <s v="Peconic Bay Medical Center"/>
    <n v="2015"/>
    <n v="9"/>
    <s v="Blue Cross/Blue Shield"/>
    <x v="0"/>
    <s v="Commercial"/>
    <n v="14232.12"/>
    <n v="4203.2700000000004"/>
    <n v="0"/>
  </r>
  <r>
    <x v="859"/>
    <s v="Peconic Bay Medical Center"/>
    <n v="2015"/>
    <n v="6"/>
    <s v="Private Health Insurance"/>
    <x v="0"/>
    <s v="Commercial"/>
    <n v="114547.12"/>
    <n v="51273.96"/>
    <n v="0"/>
  </r>
  <r>
    <x v="860"/>
    <s v="Peconic Bay Medical Center"/>
    <n v="2015"/>
    <n v="9"/>
    <s v="Blue Cross/Blue Shield"/>
    <x v="0"/>
    <s v="Commercial"/>
    <n v="17618.32"/>
    <n v="8307.65"/>
    <n v="0"/>
  </r>
  <r>
    <x v="861"/>
    <s v="Peconic Bay Medical Center"/>
    <n v="2015"/>
    <n v="6"/>
    <s v="Private Health Insurance"/>
    <x v="0"/>
    <s v="Commercial"/>
    <n v="29143.22"/>
    <n v="9194.76"/>
    <n v="0"/>
  </r>
  <r>
    <x v="862"/>
    <s v="Peconic Bay Medical Center"/>
    <n v="2015"/>
    <n v="9"/>
    <s v="Blue Cross/Blue Shield"/>
    <x v="0"/>
    <s v="Commercial"/>
    <n v="81803.66"/>
    <n v="33368.06"/>
    <n v="0"/>
  </r>
  <r>
    <x v="863"/>
    <s v="Peconic Bay Medical Center"/>
    <n v="2015"/>
    <n v="6"/>
    <s v="Private Health Insurance"/>
    <x v="0"/>
    <s v="Commercial"/>
    <n v="38780.42"/>
    <n v="8192.64"/>
    <n v="0"/>
  </r>
  <r>
    <x v="864"/>
    <s v="Peconic Bay Medical Center"/>
    <n v="2015"/>
    <n v="6"/>
    <s v="Private Health Insurance"/>
    <x v="0"/>
    <s v="Commercial"/>
    <n v="28982.74"/>
    <n v="10408.950000000001"/>
    <n v="0"/>
  </r>
  <r>
    <x v="865"/>
    <s v="Peconic Bay Medical Center"/>
    <n v="2015"/>
    <n v="9"/>
    <s v="Blue Cross/Blue Shield"/>
    <x v="0"/>
    <s v="Commercial"/>
    <n v="37771.24"/>
    <n v="9217.67"/>
    <n v="0"/>
  </r>
  <r>
    <x v="866"/>
    <s v="Peconic Bay Medical Center"/>
    <n v="2015"/>
    <n v="6"/>
    <s v="Private Health Insurance"/>
    <x v="0"/>
    <s v="Commercial"/>
    <n v="18760.54"/>
    <n v="5886.56"/>
    <n v="0"/>
  </r>
  <r>
    <x v="867"/>
    <s v="Peconic Bay Medical Center"/>
    <n v="2015"/>
    <n v="6"/>
    <s v="Private Health Insurance"/>
    <x v="0"/>
    <s v="Commercial"/>
    <n v="40476.22"/>
    <n v="11464.24"/>
    <n v="0"/>
  </r>
  <r>
    <x v="868"/>
    <s v="Peconic Bay Medical Center"/>
    <n v="2015"/>
    <n v="6"/>
    <s v="Private Health Insurance"/>
    <x v="0"/>
    <s v="Commercial"/>
    <n v="12305.02"/>
    <n v="2957.04"/>
    <n v="0"/>
  </r>
  <r>
    <x v="869"/>
    <s v="Peconic Bay Medical Center"/>
    <n v="2015"/>
    <n v="9"/>
    <s v="Blue Cross/Blue Shield"/>
    <x v="0"/>
    <s v="Commercial"/>
    <n v="19051.7"/>
    <n v="5774.95"/>
    <n v="0"/>
  </r>
  <r>
    <x v="870"/>
    <s v="Peconic Bay Medical Center"/>
    <n v="2015"/>
    <n v="6"/>
    <s v="Private Health Insurance"/>
    <x v="0"/>
    <s v="Commercial"/>
    <n v="23518"/>
    <n v="8146.41"/>
    <n v="0"/>
  </r>
  <r>
    <x v="871"/>
    <s v="Peconic Bay Medical Center"/>
    <n v="2015"/>
    <n v="9"/>
    <s v="Blue Cross/Blue Shield"/>
    <x v="0"/>
    <s v="Commercial"/>
    <n v="32655.74"/>
    <n v="8429.57"/>
    <n v="0"/>
  </r>
  <r>
    <x v="872"/>
    <s v="Peconic Bay Medical Center"/>
    <n v="2015"/>
    <n v="6"/>
    <s v="Private Health Insurance"/>
    <x v="0"/>
    <s v="Commercial"/>
    <n v="19341.98"/>
    <n v="3858.31"/>
    <n v="0"/>
  </r>
  <r>
    <x v="873"/>
    <s v="Peconic Bay Medical Center"/>
    <n v="2015"/>
    <n v="6"/>
    <s v="Private Health Insurance"/>
    <x v="0"/>
    <s v="Commercial"/>
    <n v="28667.46"/>
    <n v="8497.93"/>
    <n v="0"/>
  </r>
  <r>
    <x v="874"/>
    <s v="Peconic Bay Medical Center"/>
    <n v="2015"/>
    <n v="6"/>
    <s v="Private Health Insurance"/>
    <x v="0"/>
    <s v="Commercial"/>
    <n v="41198.78"/>
    <n v="13631.62"/>
    <n v="0"/>
  </r>
  <r>
    <x v="875"/>
    <s v="Peconic Bay Medical Center"/>
    <n v="2015"/>
    <n v="6"/>
    <s v="Private Health Insurance"/>
    <x v="0"/>
    <s v="Commercial"/>
    <n v="18142.740000000002"/>
    <n v="3025.35"/>
    <n v="0"/>
  </r>
  <r>
    <x v="876"/>
    <s v="Peconic Bay Medical Center"/>
    <n v="2015"/>
    <n v="9"/>
    <s v="Blue Cross/Blue Shield"/>
    <x v="0"/>
    <s v="Commercial"/>
    <n v="13710.18"/>
    <n v="3068.88"/>
    <n v="0"/>
  </r>
  <r>
    <x v="877"/>
    <s v="Peconic Bay Medical Center"/>
    <n v="2015"/>
    <n v="6"/>
    <s v="Private Health Insurance"/>
    <x v="0"/>
    <s v="Commercial"/>
    <n v="37133.980000000003"/>
    <n v="10583.45"/>
    <n v="0"/>
  </r>
  <r>
    <x v="878"/>
    <s v="Peconic Bay Medical Center"/>
    <n v="2015"/>
    <n v="6"/>
    <s v="Private Health Insurance"/>
    <x v="0"/>
    <s v="Commercial"/>
    <n v="211512.98"/>
    <n v="115627.21"/>
    <n v="0"/>
  </r>
  <r>
    <x v="879"/>
    <s v="Peconic Bay Medical Center"/>
    <n v="2015"/>
    <n v="6"/>
    <s v="Private Health Insurance"/>
    <x v="0"/>
    <s v="Commercial"/>
    <n v="21774.6"/>
    <n v="5727.27"/>
    <n v="0"/>
  </r>
  <r>
    <x v="880"/>
    <s v="Peconic Bay Medical Center"/>
    <n v="2015"/>
    <n v="9"/>
    <s v="Blue Cross/Blue Shield"/>
    <x v="0"/>
    <s v="Commercial"/>
    <n v="16446.740000000002"/>
    <n v="4323.22"/>
    <n v="0"/>
  </r>
  <r>
    <x v="881"/>
    <s v="Peconic Bay Medical Center"/>
    <n v="2015"/>
    <n v="9"/>
    <s v="Blue Cross/Blue Shield"/>
    <x v="0"/>
    <s v="Commercial"/>
    <n v="82315.58"/>
    <n v="60374.04"/>
    <n v="0"/>
  </r>
  <r>
    <x v="882"/>
    <s v="Peconic Bay Medical Center"/>
    <n v="2015"/>
    <n v="6"/>
    <s v="Private Health Insurance"/>
    <x v="0"/>
    <s v="Commercial"/>
    <n v="21518.86"/>
    <n v="8942.2199999999993"/>
    <n v="0"/>
  </r>
  <r>
    <x v="883"/>
    <s v="Peconic Bay Medical Center"/>
    <n v="2015"/>
    <n v="6"/>
    <s v="Private Health Insurance"/>
    <x v="0"/>
    <s v="Commercial"/>
    <n v="10989.08"/>
    <n v="2869.57"/>
    <n v="0"/>
  </r>
  <r>
    <x v="884"/>
    <s v="Peconic Bay Medical Center"/>
    <n v="2015"/>
    <n v="6"/>
    <s v="Private Health Insurance"/>
    <x v="0"/>
    <s v="Commercial"/>
    <n v="44573.38"/>
    <n v="10883.22"/>
    <n v="0"/>
  </r>
  <r>
    <x v="885"/>
    <s v="Peconic Bay Medical Center"/>
    <n v="2015"/>
    <n v="9"/>
    <s v="Blue Cross/Blue Shield"/>
    <x v="0"/>
    <s v="Commercial"/>
    <n v="9942.9599999999991"/>
    <n v="2262.9499999999998"/>
    <n v="0"/>
  </r>
  <r>
    <x v="886"/>
    <s v="Peconic Bay Medical Center"/>
    <n v="2015"/>
    <n v="6"/>
    <s v="Private Health Insurance"/>
    <x v="0"/>
    <s v="Commercial"/>
    <n v="27319.94"/>
    <n v="6969.07"/>
    <n v="0"/>
  </r>
  <r>
    <x v="887"/>
    <s v="Peconic Bay Medical Center"/>
    <n v="2015"/>
    <n v="6"/>
    <s v="Private Health Insurance"/>
    <x v="0"/>
    <s v="Commercial"/>
    <n v="26959.24"/>
    <n v="11232.12"/>
    <n v="0"/>
  </r>
  <r>
    <x v="888"/>
    <s v="Peconic Bay Medical Center"/>
    <n v="2015"/>
    <n v="9"/>
    <s v="Blue Cross/Blue Shield"/>
    <x v="0"/>
    <s v="Commercial"/>
    <n v="9649.94"/>
    <n v="2620.38"/>
    <n v="0"/>
  </r>
  <r>
    <x v="889"/>
    <s v="Peconic Bay Medical Center"/>
    <n v="2015"/>
    <n v="9"/>
    <s v="Blue Cross/Blue Shield"/>
    <x v="0"/>
    <s v="Commercial"/>
    <n v="12703.1"/>
    <n v="2773.25"/>
    <n v="0"/>
  </r>
  <r>
    <x v="890"/>
    <s v="Peconic Bay Medical Center"/>
    <n v="2015"/>
    <n v="9"/>
    <s v="Blue Cross/Blue Shield"/>
    <x v="0"/>
    <s v="Commercial"/>
    <n v="27996.9"/>
    <n v="8486.73"/>
    <n v="0"/>
  </r>
  <r>
    <x v="891"/>
    <s v="Peconic Bay Medical Center"/>
    <n v="2015"/>
    <n v="9"/>
    <s v="Blue Cross/Blue Shield"/>
    <x v="0"/>
    <s v="Commercial"/>
    <n v="39787.879999999997"/>
    <n v="12394.46"/>
    <n v="0"/>
  </r>
  <r>
    <x v="892"/>
    <s v="Peconic Bay Medical Center"/>
    <n v="2015"/>
    <n v="6"/>
    <s v="Private Health Insurance"/>
    <x v="0"/>
    <s v="Commercial"/>
    <n v="10913.34"/>
    <n v="2887.32"/>
    <n v="0"/>
  </r>
  <r>
    <x v="893"/>
    <s v="Peconic Bay Medical Center"/>
    <n v="2015"/>
    <n v="9"/>
    <s v="Blue Cross/Blue Shield"/>
    <x v="0"/>
    <s v="Commercial"/>
    <n v="43934.63"/>
    <n v="14642.09"/>
    <n v="0"/>
  </r>
  <r>
    <x v="894"/>
    <s v="Peconic Bay Medical Center"/>
    <n v="2015"/>
    <n v="6"/>
    <s v="Private Health Insurance"/>
    <x v="0"/>
    <s v="Commercial"/>
    <n v="22212.9"/>
    <n v="9464.74"/>
    <n v="0"/>
  </r>
  <r>
    <x v="895"/>
    <s v="Peconic Bay Medical Center"/>
    <n v="2015"/>
    <n v="9"/>
    <s v="Blue Cross/Blue Shield"/>
    <x v="0"/>
    <s v="Commercial"/>
    <n v="30841.02"/>
    <n v="11561.89"/>
    <n v="0"/>
  </r>
  <r>
    <x v="896"/>
    <s v="Peconic Bay Medical Center"/>
    <n v="2015"/>
    <n v="9"/>
    <s v="Blue Cross/Blue Shield"/>
    <x v="0"/>
    <s v="Commercial"/>
    <n v="22990.38"/>
    <n v="9599.11"/>
    <n v="0"/>
  </r>
  <r>
    <x v="897"/>
    <s v="Peconic Bay Medical Center"/>
    <n v="2015"/>
    <n v="6"/>
    <s v="Private Health Insurance"/>
    <x v="0"/>
    <s v="Commercial"/>
    <n v="8591.7800000000007"/>
    <n v="2415.96"/>
    <n v="0"/>
  </r>
  <r>
    <x v="898"/>
    <s v="Peconic Bay Medical Center"/>
    <n v="2015"/>
    <n v="6"/>
    <s v="Private Health Insurance"/>
    <x v="0"/>
    <s v="Commercial"/>
    <n v="19180.52"/>
    <n v="4787.55"/>
    <n v="0"/>
  </r>
  <r>
    <x v="899"/>
    <s v="Peconic Bay Medical Center"/>
    <n v="2015"/>
    <n v="9"/>
    <s v="Blue Cross/Blue Shield"/>
    <x v="0"/>
    <s v="Commercial"/>
    <n v="41350.68"/>
    <n v="19085.96"/>
    <n v="0"/>
  </r>
  <r>
    <x v="900"/>
    <s v="Peconic Bay Medical Center"/>
    <n v="2015"/>
    <n v="9"/>
    <s v="Blue Cross/Blue Shield"/>
    <x v="0"/>
    <s v="Commercial"/>
    <n v="8774.18"/>
    <n v="2317.6"/>
    <n v="0"/>
  </r>
  <r>
    <x v="901"/>
    <s v="Peconic Bay Medical Center"/>
    <n v="2015"/>
    <n v="6"/>
    <s v="Private Health Insurance"/>
    <x v="0"/>
    <s v="Commercial"/>
    <n v="23097.18"/>
    <n v="8846.34"/>
    <n v="0"/>
  </r>
  <r>
    <x v="902"/>
    <s v="Peconic Bay Medical Center"/>
    <n v="2015"/>
    <n v="9"/>
    <s v="Blue Cross/Blue Shield"/>
    <x v="0"/>
    <s v="Commercial"/>
    <n v="121406.1"/>
    <n v="63438.29"/>
    <n v="0"/>
  </r>
  <r>
    <x v="903"/>
    <s v="Peconic Bay Medical Center"/>
    <n v="2015"/>
    <n v="9"/>
    <s v="Blue Cross/Blue Shield"/>
    <x v="0"/>
    <s v="Commercial"/>
    <n v="24712.86"/>
    <n v="7707.34"/>
    <n v="0"/>
  </r>
  <r>
    <x v="904"/>
    <s v="Peconic Bay Medical Center"/>
    <n v="2015"/>
    <n v="9"/>
    <s v="Blue Cross/Blue Shield"/>
    <x v="0"/>
    <s v="Commercial"/>
    <n v="45527.6"/>
    <n v="22435.040000000001"/>
    <n v="0"/>
  </r>
  <r>
    <x v="905"/>
    <s v="Peconic Bay Medical Center"/>
    <n v="2015"/>
    <n v="9"/>
    <s v="Blue Cross/Blue Shield"/>
    <x v="0"/>
    <s v="Commercial"/>
    <n v="32631.7"/>
    <n v="10306.76"/>
    <n v="0"/>
  </r>
  <r>
    <x v="906"/>
    <s v="Peconic Bay Medical Center"/>
    <n v="2015"/>
    <n v="6"/>
    <s v="Private Health Insurance"/>
    <x v="0"/>
    <s v="Commercial"/>
    <n v="25299.74"/>
    <n v="10902.24"/>
    <n v="0"/>
  </r>
  <r>
    <x v="907"/>
    <s v="Peconic Bay Medical Center"/>
    <n v="2015"/>
    <n v="6"/>
    <s v="Private Health Insurance"/>
    <x v="0"/>
    <s v="Commercial"/>
    <n v="27939.78"/>
    <n v="10091.93"/>
    <n v="0"/>
  </r>
  <r>
    <x v="908"/>
    <s v="Peconic Bay Medical Center"/>
    <n v="2015"/>
    <n v="6"/>
    <s v="Private Health Insurance"/>
    <x v="0"/>
    <s v="Commercial"/>
    <n v="35850.379999999997"/>
    <n v="13088.54"/>
    <n v="0"/>
  </r>
  <r>
    <x v="909"/>
    <s v="Peconic Bay Medical Center"/>
    <n v="2015"/>
    <n v="6"/>
    <s v="Private Health Insurance"/>
    <x v="0"/>
    <s v="Commercial"/>
    <n v="16839.919999999998"/>
    <n v="3236.08"/>
    <n v="0"/>
  </r>
  <r>
    <x v="910"/>
    <s v="Peconic Bay Medical Center"/>
    <n v="2015"/>
    <n v="6"/>
    <s v="Private Health Insurance"/>
    <x v="0"/>
    <s v="Commercial"/>
    <n v="55798.8"/>
    <n v="30898.44"/>
    <n v="0"/>
  </r>
  <r>
    <x v="911"/>
    <s v="Peconic Bay Medical Center"/>
    <n v="2015"/>
    <n v="9"/>
    <s v="Blue Cross/Blue Shield"/>
    <x v="0"/>
    <s v="Commercial"/>
    <n v="15374.34"/>
    <n v="4578.28"/>
    <n v="0"/>
  </r>
  <r>
    <x v="912"/>
    <s v="Peconic Bay Medical Center"/>
    <n v="2015"/>
    <n v="6"/>
    <s v="Private Health Insurance"/>
    <x v="0"/>
    <s v="Commercial"/>
    <n v="26643.040000000001"/>
    <n v="13357.3"/>
    <n v="0"/>
  </r>
  <r>
    <x v="913"/>
    <s v="Peconic Bay Medical Center"/>
    <n v="2015"/>
    <n v="9"/>
    <s v="Blue Cross/Blue Shield"/>
    <x v="0"/>
    <s v="Commercial"/>
    <n v="22247.82"/>
    <n v="9741.73"/>
    <n v="0"/>
  </r>
  <r>
    <x v="914"/>
    <s v="Peconic Bay Medical Center"/>
    <n v="2015"/>
    <n v="6"/>
    <s v="Private Health Insurance"/>
    <x v="0"/>
    <s v="Commercial"/>
    <n v="29692.799999999999"/>
    <n v="8594.1"/>
    <n v="0"/>
  </r>
  <r>
    <x v="915"/>
    <s v="Peconic Bay Medical Center"/>
    <n v="2015"/>
    <n v="6"/>
    <s v="Private Health Insurance"/>
    <x v="0"/>
    <s v="Commercial"/>
    <n v="44486.84"/>
    <n v="13315.67"/>
    <n v="0"/>
  </r>
  <r>
    <x v="916"/>
    <s v="Peconic Bay Medical Center"/>
    <n v="2015"/>
    <n v="6"/>
    <s v="Private Health Insurance"/>
    <x v="0"/>
    <s v="Commercial"/>
    <n v="10485.94"/>
    <n v="2769.48"/>
    <n v="0"/>
  </r>
  <r>
    <x v="917"/>
    <s v="Peconic Bay Medical Center"/>
    <n v="2015"/>
    <n v="6"/>
    <s v="Private Health Insurance"/>
    <x v="0"/>
    <s v="Commercial"/>
    <n v="40848.959999999999"/>
    <n v="13562.8"/>
    <n v="0"/>
  </r>
  <r>
    <x v="918"/>
    <s v="Peconic Bay Medical Center"/>
    <n v="2015"/>
    <n v="9"/>
    <s v="Blue Cross/Blue Shield"/>
    <x v="0"/>
    <s v="Commercial"/>
    <n v="47429.36"/>
    <n v="15010.67"/>
    <n v="0"/>
  </r>
  <r>
    <x v="919"/>
    <s v="Peconic Bay Medical Center"/>
    <n v="2015"/>
    <n v="6"/>
    <s v="Private Health Insurance"/>
    <x v="0"/>
    <s v="Commercial"/>
    <n v="9477.9"/>
    <n v="2573.42"/>
    <n v="0"/>
  </r>
  <r>
    <x v="920"/>
    <s v="Peconic Bay Medical Center"/>
    <n v="2015"/>
    <n v="6"/>
    <s v="Private Health Insurance"/>
    <x v="0"/>
    <s v="Commercial"/>
    <n v="14533.88"/>
    <n v="4385.84"/>
    <n v="0"/>
  </r>
  <r>
    <x v="921"/>
    <s v="Peconic Bay Medical Center"/>
    <n v="2015"/>
    <n v="9"/>
    <s v="Blue Cross/Blue Shield"/>
    <x v="0"/>
    <s v="Commercial"/>
    <n v="18062.8"/>
    <n v="5690.45"/>
    <n v="0"/>
  </r>
  <r>
    <x v="922"/>
    <s v="Peconic Bay Medical Center"/>
    <n v="2015"/>
    <n v="9"/>
    <s v="Blue Cross/Blue Shield"/>
    <x v="0"/>
    <s v="Commercial"/>
    <n v="9738.68"/>
    <n v="2483.6"/>
    <n v="0"/>
  </r>
  <r>
    <x v="923"/>
    <s v="Peconic Bay Medical Center"/>
    <n v="2015"/>
    <n v="9"/>
    <s v="Blue Cross/Blue Shield"/>
    <x v="0"/>
    <s v="Commercial"/>
    <n v="22538.080000000002"/>
    <n v="6513.7"/>
    <n v="0"/>
  </r>
  <r>
    <x v="924"/>
    <s v="Peconic Bay Medical Center"/>
    <n v="2015"/>
    <n v="6"/>
    <s v="Private Health Insurance"/>
    <x v="0"/>
    <s v="Commercial"/>
    <n v="13220.9"/>
    <n v="3942.36"/>
    <n v="0"/>
  </r>
  <r>
    <x v="925"/>
    <s v="Peconic Bay Medical Center"/>
    <n v="2015"/>
    <n v="9"/>
    <s v="Blue Cross/Blue Shield"/>
    <x v="0"/>
    <s v="Commercial"/>
    <n v="13925.52"/>
    <n v="3364.38"/>
    <n v="0"/>
  </r>
  <r>
    <x v="926"/>
    <s v="Peconic Bay Medical Center"/>
    <n v="2015"/>
    <n v="6"/>
    <s v="Private Health Insurance"/>
    <x v="0"/>
    <s v="Commercial"/>
    <n v="15048.34"/>
    <n v="4487.7700000000004"/>
    <n v="0"/>
  </r>
  <r>
    <x v="927"/>
    <s v="Peconic Bay Medical Center"/>
    <n v="2015"/>
    <n v="6"/>
    <s v="Private Health Insurance"/>
    <x v="0"/>
    <s v="Commercial"/>
    <n v="18236.18"/>
    <n v="3424.01"/>
    <n v="0"/>
  </r>
  <r>
    <x v="928"/>
    <s v="Peconic Bay Medical Center"/>
    <n v="2015"/>
    <n v="9"/>
    <s v="Blue Cross/Blue Shield"/>
    <x v="0"/>
    <s v="Commercial"/>
    <n v="27572.080000000002"/>
    <n v="6737.16"/>
    <n v="0"/>
  </r>
  <r>
    <x v="929"/>
    <s v="Peconic Bay Medical Center"/>
    <n v="2015"/>
    <n v="6"/>
    <s v="Private Health Insurance"/>
    <x v="0"/>
    <s v="Commercial"/>
    <n v="11758.98"/>
    <n v="2622.98"/>
    <n v="0"/>
  </r>
  <r>
    <x v="930"/>
    <s v="Peconic Bay Medical Center"/>
    <n v="2015"/>
    <n v="9"/>
    <s v="Blue Cross/Blue Shield"/>
    <x v="0"/>
    <s v="Commercial"/>
    <n v="30333.06"/>
    <n v="7586.41"/>
    <n v="0"/>
  </r>
  <r>
    <x v="931"/>
    <s v="Peconic Bay Medical Center"/>
    <n v="2015"/>
    <n v="6"/>
    <s v="Private Health Insurance"/>
    <x v="0"/>
    <s v="Commercial"/>
    <n v="22177.06"/>
    <n v="7064.35"/>
    <n v="0"/>
  </r>
  <r>
    <x v="932"/>
    <s v="Peconic Bay Medical Center"/>
    <n v="2015"/>
    <n v="9"/>
    <s v="Blue Cross/Blue Shield"/>
    <x v="0"/>
    <s v="Commercial"/>
    <n v="26426.240000000002"/>
    <n v="4937.04"/>
    <n v="0"/>
  </r>
  <r>
    <x v="933"/>
    <s v="Peconic Bay Medical Center"/>
    <n v="2015"/>
    <n v="9"/>
    <s v="Blue Cross/Blue Shield"/>
    <x v="0"/>
    <s v="Commercial"/>
    <n v="29547.34"/>
    <n v="9210.6"/>
    <n v="0"/>
  </r>
  <r>
    <x v="934"/>
    <s v="Peconic Bay Medical Center"/>
    <n v="2015"/>
    <n v="9"/>
    <s v="Blue Cross/Blue Shield"/>
    <x v="0"/>
    <s v="Commercial"/>
    <n v="29289"/>
    <n v="17558.259999999998"/>
    <n v="0"/>
  </r>
  <r>
    <x v="935"/>
    <s v="Peconic Bay Medical Center"/>
    <n v="2015"/>
    <n v="6"/>
    <s v="Private Health Insurance"/>
    <x v="0"/>
    <s v="Commercial"/>
    <n v="34054.22"/>
    <n v="6152.36"/>
    <n v="0"/>
  </r>
  <r>
    <x v="936"/>
    <s v="Peconic Bay Medical Center"/>
    <n v="2015"/>
    <n v="6"/>
    <s v="Private Health Insurance"/>
    <x v="0"/>
    <s v="Commercial"/>
    <n v="123843.3"/>
    <n v="59553.54"/>
    <n v="0"/>
  </r>
  <r>
    <x v="937"/>
    <s v="Peconic Bay Medical Center"/>
    <n v="2015"/>
    <n v="9"/>
    <s v="Blue Cross/Blue Shield"/>
    <x v="0"/>
    <s v="Commercial"/>
    <n v="54262.85"/>
    <n v="23132.23"/>
    <n v="0"/>
  </r>
  <r>
    <x v="938"/>
    <s v="Peconic Bay Medical Center"/>
    <n v="2015"/>
    <n v="9"/>
    <s v="Blue Cross/Blue Shield"/>
    <x v="0"/>
    <s v="Commercial"/>
    <n v="37719.919999999998"/>
    <n v="9878.4699999999993"/>
    <n v="0"/>
  </r>
  <r>
    <x v="939"/>
    <s v="Peconic Bay Medical Center"/>
    <n v="2015"/>
    <n v="9"/>
    <s v="Blue Cross/Blue Shield"/>
    <x v="0"/>
    <s v="Commercial"/>
    <n v="32172.52"/>
    <n v="9567.35"/>
    <n v="0"/>
  </r>
  <r>
    <x v="940"/>
    <s v="Peconic Bay Medical Center"/>
    <n v="2015"/>
    <n v="9"/>
    <s v="Blue Cross/Blue Shield"/>
    <x v="0"/>
    <s v="Commercial"/>
    <n v="24831.78"/>
    <n v="7570.32"/>
    <n v="0"/>
  </r>
  <r>
    <x v="941"/>
    <s v="Peconic Bay Medical Center"/>
    <n v="2015"/>
    <n v="6"/>
    <s v="Private Health Insurance"/>
    <x v="0"/>
    <s v="Commercial"/>
    <n v="57112.26"/>
    <n v="17312.71"/>
    <n v="0"/>
  </r>
  <r>
    <x v="942"/>
    <s v="Peconic Bay Medical Center"/>
    <n v="2015"/>
    <n v="9"/>
    <s v="Blue Cross/Blue Shield"/>
    <x v="0"/>
    <s v="Commercial"/>
    <n v="60282.58"/>
    <n v="18149.37"/>
    <n v="0"/>
  </r>
  <r>
    <x v="943"/>
    <s v="Peconic Bay Medical Center"/>
    <n v="2015"/>
    <n v="9"/>
    <s v="Blue Cross/Blue Shield"/>
    <x v="0"/>
    <s v="Commercial"/>
    <n v="158430.78"/>
    <n v="62275.01"/>
    <n v="0"/>
  </r>
  <r>
    <x v="944"/>
    <s v="Peconic Bay Medical Center"/>
    <n v="2015"/>
    <n v="9"/>
    <s v="Blue Cross/Blue Shield"/>
    <x v="0"/>
    <s v="Commercial"/>
    <n v="26693.68"/>
    <n v="13978.23"/>
    <n v="0"/>
  </r>
  <r>
    <x v="945"/>
    <s v="Peconic Bay Medical Center"/>
    <n v="2015"/>
    <n v="6"/>
    <s v="Private Health Insurance"/>
    <x v="0"/>
    <s v="Commercial"/>
    <n v="31683.599999999999"/>
    <n v="8406.19"/>
    <n v="0"/>
  </r>
  <r>
    <x v="946"/>
    <s v="Peconic Bay Medical Center"/>
    <n v="2015"/>
    <n v="6"/>
    <s v="Private Health Insurance"/>
    <x v="0"/>
    <s v="Commercial"/>
    <n v="26428.74"/>
    <n v="9864.92"/>
    <n v="0"/>
  </r>
  <r>
    <x v="947"/>
    <s v="Peconic Bay Medical Center"/>
    <n v="2015"/>
    <n v="9"/>
    <s v="Blue Cross/Blue Shield"/>
    <x v="0"/>
    <s v="Commercial"/>
    <n v="29066.48"/>
    <n v="8215.92"/>
    <n v="0"/>
  </r>
  <r>
    <x v="948"/>
    <s v="Peconic Bay Medical Center"/>
    <n v="2015"/>
    <n v="6"/>
    <s v="Private Health Insurance"/>
    <x v="0"/>
    <s v="Commercial"/>
    <n v="20628.68"/>
    <n v="6292.28"/>
    <n v="0"/>
  </r>
  <r>
    <x v="949"/>
    <s v="Peconic Bay Medical Center"/>
    <n v="2015"/>
    <n v="6"/>
    <s v="Private Health Insurance"/>
    <x v="0"/>
    <s v="Commercial"/>
    <n v="12823.78"/>
    <n v="2767.1"/>
    <n v="0"/>
  </r>
  <r>
    <x v="950"/>
    <s v="Peconic Bay Medical Center"/>
    <n v="2015"/>
    <n v="9"/>
    <s v="Blue Cross/Blue Shield"/>
    <x v="0"/>
    <s v="Commercial"/>
    <n v="12393.72"/>
    <n v="3299.75"/>
    <n v="0"/>
  </r>
  <r>
    <x v="951"/>
    <s v="Peconic Bay Medical Center"/>
    <n v="2015"/>
    <n v="9"/>
    <s v="Blue Cross/Blue Shield"/>
    <x v="0"/>
    <s v="Commercial"/>
    <n v="28655.200000000001"/>
    <n v="13604.33"/>
    <n v="0"/>
  </r>
  <r>
    <x v="952"/>
    <s v="Peconic Bay Medical Center"/>
    <n v="2015"/>
    <n v="9"/>
    <s v="Blue Cross/Blue Shield"/>
    <x v="0"/>
    <s v="Commercial"/>
    <n v="47369.3"/>
    <n v="14661.72"/>
    <n v="0"/>
  </r>
  <r>
    <x v="953"/>
    <s v="Peconic Bay Medical Center"/>
    <n v="2015"/>
    <n v="9"/>
    <s v="Blue Cross/Blue Shield"/>
    <x v="0"/>
    <s v="Commercial"/>
    <n v="19765.2"/>
    <n v="4802.3599999999997"/>
    <n v="0"/>
  </r>
  <r>
    <x v="954"/>
    <s v="Peconic Bay Medical Center"/>
    <n v="2015"/>
    <n v="9"/>
    <s v="Blue Cross/Blue Shield"/>
    <x v="0"/>
    <s v="Commercial"/>
    <n v="76432.86"/>
    <n v="36822.370000000003"/>
    <n v="0"/>
  </r>
  <r>
    <x v="955"/>
    <s v="Peconic Bay Medical Center"/>
    <n v="2015"/>
    <n v="6"/>
    <s v="Private Health Insurance"/>
    <x v="0"/>
    <s v="Commercial"/>
    <n v="15556.74"/>
    <n v="4062"/>
    <n v="0"/>
  </r>
  <r>
    <x v="956"/>
    <s v="Peconic Bay Medical Center"/>
    <n v="2015"/>
    <n v="6"/>
    <s v="Private Health Insurance"/>
    <x v="0"/>
    <s v="Commercial"/>
    <n v="12683.04"/>
    <n v="3664.64"/>
    <n v="0"/>
  </r>
  <r>
    <x v="957"/>
    <s v="Peconic Bay Medical Center"/>
    <n v="2015"/>
    <n v="9"/>
    <s v="Blue Cross/Blue Shield"/>
    <x v="0"/>
    <s v="Commercial"/>
    <n v="35307.379999999997"/>
    <n v="10750.24"/>
    <n v="0"/>
  </r>
  <r>
    <x v="958"/>
    <s v="Peconic Bay Medical Center"/>
    <n v="2015"/>
    <n v="9"/>
    <s v="Blue Cross/Blue Shield"/>
    <x v="0"/>
    <s v="Commercial"/>
    <n v="11009.34"/>
    <n v="2743.5"/>
    <n v="0"/>
  </r>
  <r>
    <x v="959"/>
    <s v="Peconic Bay Medical Center"/>
    <n v="2015"/>
    <n v="9"/>
    <s v="Blue Cross/Blue Shield"/>
    <x v="0"/>
    <s v="Commercial"/>
    <n v="8344.6"/>
    <n v="2299.88"/>
    <n v="0"/>
  </r>
  <r>
    <x v="960"/>
    <s v="Peconic Bay Medical Center"/>
    <n v="2015"/>
    <n v="6"/>
    <s v="Private Health Insurance"/>
    <x v="0"/>
    <s v="Commercial"/>
    <n v="21414.560000000001"/>
    <n v="4016.53"/>
    <n v="0"/>
  </r>
  <r>
    <x v="961"/>
    <s v="Peconic Bay Medical Center"/>
    <n v="2015"/>
    <n v="9"/>
    <s v="Blue Cross/Blue Shield"/>
    <x v="0"/>
    <s v="Commercial"/>
    <n v="17128.099999999999"/>
    <n v="4389.87"/>
    <n v="0"/>
  </r>
  <r>
    <x v="962"/>
    <s v="Peconic Bay Medical Center"/>
    <n v="2015"/>
    <n v="6"/>
    <s v="Private Health Insurance"/>
    <x v="0"/>
    <s v="Commercial"/>
    <n v="12719.88"/>
    <n v="3203.21"/>
    <n v="0"/>
  </r>
  <r>
    <x v="963"/>
    <s v="Peconic Bay Medical Center"/>
    <n v="2015"/>
    <n v="9"/>
    <s v="Blue Cross/Blue Shield"/>
    <x v="0"/>
    <s v="Commercial"/>
    <n v="28915.32"/>
    <n v="10766.32"/>
    <n v="0"/>
  </r>
  <r>
    <x v="964"/>
    <s v="Peconic Bay Medical Center"/>
    <n v="2015"/>
    <n v="9"/>
    <s v="Blue Cross/Blue Shield"/>
    <x v="0"/>
    <s v="Commercial"/>
    <n v="28570.080000000002"/>
    <n v="7515.37"/>
    <n v="0"/>
  </r>
  <r>
    <x v="965"/>
    <s v="Peconic Bay Medical Center"/>
    <n v="2015"/>
    <n v="6"/>
    <s v="Private Health Insurance"/>
    <x v="0"/>
    <s v="Commercial"/>
    <n v="24242.42"/>
    <n v="7034.86"/>
    <n v="0"/>
  </r>
  <r>
    <x v="966"/>
    <s v="Peconic Bay Medical Center"/>
    <n v="2015"/>
    <n v="6"/>
    <s v="Private Health Insurance"/>
    <x v="0"/>
    <s v="Commercial"/>
    <n v="8802.48"/>
    <n v="2425.83"/>
    <n v="0"/>
  </r>
  <r>
    <x v="967"/>
    <s v="Peconic Bay Medical Center"/>
    <n v="2015"/>
    <n v="9"/>
    <s v="Blue Cross/Blue Shield"/>
    <x v="0"/>
    <s v="Commercial"/>
    <n v="27413.94"/>
    <n v="8980.2999999999993"/>
    <n v="0"/>
  </r>
  <r>
    <x v="968"/>
    <s v="Peconic Bay Medical Center"/>
    <n v="2015"/>
    <n v="6"/>
    <s v="Private Health Insurance"/>
    <x v="0"/>
    <s v="Commercial"/>
    <n v="16265.54"/>
    <n v="4569.2"/>
    <n v="0"/>
  </r>
  <r>
    <x v="969"/>
    <s v="Peconic Bay Medical Center"/>
    <n v="2015"/>
    <n v="6"/>
    <s v="Private Health Insurance"/>
    <x v="0"/>
    <s v="Commercial"/>
    <n v="21026.3"/>
    <n v="5175.17"/>
    <n v="0"/>
  </r>
  <r>
    <x v="970"/>
    <s v="Peconic Bay Medical Center"/>
    <n v="2015"/>
    <n v="6"/>
    <s v="Private Health Insurance"/>
    <x v="0"/>
    <s v="Commercial"/>
    <n v="28445.26"/>
    <n v="7390.82"/>
    <n v="0"/>
  </r>
  <r>
    <x v="971"/>
    <s v="Peconic Bay Medical Center"/>
    <n v="2015"/>
    <n v="9"/>
    <s v="Blue Cross/Blue Shield"/>
    <x v="0"/>
    <s v="Commercial"/>
    <n v="41292.82"/>
    <n v="13513.5"/>
    <n v="0"/>
  </r>
  <r>
    <x v="972"/>
    <s v="Peconic Bay Medical Center"/>
    <n v="2015"/>
    <n v="6"/>
    <s v="Private Health Insurance"/>
    <x v="0"/>
    <s v="Commercial"/>
    <n v="29385.8"/>
    <n v="10584"/>
    <n v="0"/>
  </r>
  <r>
    <x v="973"/>
    <s v="Peconic Bay Medical Center"/>
    <n v="2015"/>
    <n v="6"/>
    <s v="Private Health Insurance"/>
    <x v="0"/>
    <s v="Commercial"/>
    <n v="18719.72"/>
    <n v="4951.68"/>
    <n v="0"/>
  </r>
  <r>
    <x v="974"/>
    <s v="Peconic Bay Medical Center"/>
    <n v="2015"/>
    <n v="6"/>
    <s v="Private Health Insurance"/>
    <x v="0"/>
    <s v="Commercial"/>
    <n v="9067.7000000000007"/>
    <n v="2421.31"/>
    <n v="0"/>
  </r>
  <r>
    <x v="975"/>
    <s v="Peconic Bay Medical Center"/>
    <n v="2015"/>
    <n v="9"/>
    <s v="Blue Cross/Blue Shield"/>
    <x v="0"/>
    <s v="Commercial"/>
    <n v="24032.38"/>
    <n v="5186.79"/>
    <n v="0"/>
  </r>
  <r>
    <x v="976"/>
    <s v="Peconic Bay Medical Center"/>
    <n v="2015"/>
    <n v="6"/>
    <s v="Private Health Insurance"/>
    <x v="0"/>
    <s v="Commercial"/>
    <n v="27455.62"/>
    <n v="13631.27"/>
    <n v="0"/>
  </r>
  <r>
    <x v="977"/>
    <s v="Peconic Bay Medical Center"/>
    <n v="2015"/>
    <n v="6"/>
    <s v="Private Health Insurance"/>
    <x v="0"/>
    <s v="Commercial"/>
    <n v="22783.18"/>
    <n v="8068.46"/>
    <n v="0"/>
  </r>
  <r>
    <x v="978"/>
    <s v="Peconic Bay Medical Center"/>
    <n v="2015"/>
    <n v="9"/>
    <s v="Blue Cross/Blue Shield"/>
    <x v="0"/>
    <s v="Commercial"/>
    <n v="17384.919999999998"/>
    <n v="5079.3999999999996"/>
    <n v="0"/>
  </r>
  <r>
    <x v="979"/>
    <s v="Peconic Bay Medical Center"/>
    <n v="2015"/>
    <n v="6"/>
    <s v="Private Health Insurance"/>
    <x v="0"/>
    <s v="Commercial"/>
    <n v="18520.8"/>
    <n v="3699.16"/>
    <n v="0"/>
  </r>
  <r>
    <x v="980"/>
    <s v="Peconic Bay Medical Center"/>
    <n v="2015"/>
    <n v="6"/>
    <s v="Private Health Insurance"/>
    <x v="0"/>
    <s v="Commercial"/>
    <n v="28395.06"/>
    <n v="8090.44"/>
    <n v="0"/>
  </r>
  <r>
    <x v="981"/>
    <s v="Peconic Bay Medical Center"/>
    <n v="2015"/>
    <n v="9"/>
    <s v="Blue Cross/Blue Shield"/>
    <x v="0"/>
    <s v="Commercial"/>
    <n v="38567.839999999997"/>
    <n v="12696.99"/>
    <n v="0"/>
  </r>
  <r>
    <x v="982"/>
    <s v="Peconic Bay Medical Center"/>
    <n v="2015"/>
    <n v="6"/>
    <s v="Private Health Insurance"/>
    <x v="0"/>
    <s v="Commercial"/>
    <n v="17401.72"/>
    <n v="3332.86"/>
    <n v="0"/>
  </r>
  <r>
    <x v="983"/>
    <s v="Peconic Bay Medical Center"/>
    <n v="2015"/>
    <n v="6"/>
    <s v="Private Health Insurance"/>
    <x v="0"/>
    <s v="Commercial"/>
    <n v="34597.760000000002"/>
    <n v="16325.21"/>
    <n v="0"/>
  </r>
  <r>
    <x v="984"/>
    <s v="Peconic Bay Medical Center"/>
    <n v="2015"/>
    <n v="6"/>
    <s v="Private Health Insurance"/>
    <x v="0"/>
    <s v="Commercial"/>
    <n v="42222.04"/>
    <n v="24941.4"/>
    <n v="0"/>
  </r>
  <r>
    <x v="985"/>
    <s v="Peconic Bay Medical Center"/>
    <n v="2015"/>
    <n v="6"/>
    <s v="Private Health Insurance"/>
    <x v="0"/>
    <s v="Commercial"/>
    <n v="12474.78"/>
    <n v="3630.79"/>
    <n v="0"/>
  </r>
  <r>
    <x v="986"/>
    <s v="Peconic Bay Medical Center"/>
    <n v="2015"/>
    <n v="9"/>
    <s v="Blue Cross/Blue Shield"/>
    <x v="0"/>
    <s v="Commercial"/>
    <n v="12594.88"/>
    <n v="3039.32"/>
    <n v="0"/>
  </r>
  <r>
    <x v="987"/>
    <s v="Peconic Bay Medical Center"/>
    <n v="2015"/>
    <n v="6"/>
    <s v="Private Health Insurance"/>
    <x v="0"/>
    <s v="Commercial"/>
    <n v="23945.200000000001"/>
    <n v="6468.24"/>
    <n v="0"/>
  </r>
  <r>
    <x v="988"/>
    <s v="Peconic Bay Medical Center"/>
    <n v="2015"/>
    <n v="9"/>
    <s v="Blue Cross/Blue Shield"/>
    <x v="0"/>
    <s v="Commercial"/>
    <n v="19058.8"/>
    <n v="7188.56"/>
    <n v="0"/>
  </r>
  <r>
    <x v="989"/>
    <s v="Peconic Bay Medical Center"/>
    <n v="2015"/>
    <n v="6"/>
    <s v="Private Health Insurance"/>
    <x v="0"/>
    <s v="Commercial"/>
    <n v="10690.12"/>
    <n v="2462.6"/>
    <n v="0"/>
  </r>
  <r>
    <x v="990"/>
    <s v="Peconic Bay Medical Center"/>
    <n v="2015"/>
    <n v="9"/>
    <s v="Blue Cross/Blue Shield"/>
    <x v="0"/>
    <s v="Commercial"/>
    <n v="17628.86"/>
    <n v="4065.01"/>
    <n v="0"/>
  </r>
  <r>
    <x v="991"/>
    <s v="Peconic Bay Medical Center"/>
    <n v="2015"/>
    <n v="9"/>
    <s v="Blue Cross/Blue Shield"/>
    <x v="0"/>
    <s v="Commercial"/>
    <n v="27187.040000000001"/>
    <n v="6774.62"/>
    <n v="0"/>
  </r>
  <r>
    <x v="992"/>
    <s v="Peconic Bay Medical Center"/>
    <n v="2015"/>
    <n v="9"/>
    <s v="Blue Cross/Blue Shield"/>
    <x v="0"/>
    <s v="Commercial"/>
    <n v="15599.06"/>
    <n v="3700.49"/>
    <n v="0"/>
  </r>
  <r>
    <x v="993"/>
    <s v="Peconic Bay Medical Center"/>
    <n v="2015"/>
    <n v="6"/>
    <s v="Private Health Insurance"/>
    <x v="0"/>
    <s v="Commercial"/>
    <n v="11104.82"/>
    <n v="2645.68"/>
    <n v="0"/>
  </r>
  <r>
    <x v="994"/>
    <s v="Peconic Bay Medical Center"/>
    <n v="2015"/>
    <n v="9"/>
    <s v="Blue Cross/Blue Shield"/>
    <x v="0"/>
    <s v="Commercial"/>
    <n v="30969.24"/>
    <n v="8591.85"/>
    <n v="0"/>
  </r>
  <r>
    <x v="995"/>
    <s v="Peconic Bay Medical Center"/>
    <n v="2015"/>
    <n v="6"/>
    <s v="Private Health Insurance"/>
    <x v="0"/>
    <s v="Commercial"/>
    <n v="23536.5"/>
    <n v="7285.27"/>
    <n v="0"/>
  </r>
  <r>
    <x v="996"/>
    <s v="Peconic Bay Medical Center"/>
    <n v="2015"/>
    <n v="9"/>
    <s v="Blue Cross/Blue Shield"/>
    <x v="0"/>
    <s v="Commercial"/>
    <n v="33967.699999999997"/>
    <n v="9856.2099999999991"/>
    <n v="0"/>
  </r>
  <r>
    <x v="997"/>
    <s v="Peconic Bay Medical Center"/>
    <n v="2015"/>
    <n v="9"/>
    <s v="Blue Cross/Blue Shield"/>
    <x v="0"/>
    <s v="Commercial"/>
    <n v="143113.01999999999"/>
    <n v="36366.879999999997"/>
    <n v="0"/>
  </r>
  <r>
    <x v="998"/>
    <s v="Peconic Bay Medical Center"/>
    <n v="2015"/>
    <n v="6"/>
    <s v="Private Health Insurance"/>
    <x v="0"/>
    <s v="Commercial"/>
    <n v="24567.279999999999"/>
    <n v="6496.35"/>
    <n v="0"/>
  </r>
  <r>
    <x v="999"/>
    <s v="Peconic Bay Medical Center"/>
    <n v="2015"/>
    <n v="9"/>
    <s v="Blue Cross/Blue Shield"/>
    <x v="0"/>
    <s v="Commercial"/>
    <n v="55429.26"/>
    <n v="36489.360000000001"/>
    <n v="0"/>
  </r>
  <r>
    <x v="1000"/>
    <s v="Peconic Bay Medical Center"/>
    <n v="2015"/>
    <n v="6"/>
    <s v="Private Health Insurance"/>
    <x v="0"/>
    <s v="Commercial"/>
    <n v="26583.24"/>
    <n v="13817.13"/>
    <n v="0"/>
  </r>
  <r>
    <x v="1001"/>
    <s v="Peconic Bay Medical Center"/>
    <n v="2015"/>
    <n v="9"/>
    <s v="Blue Cross/Blue Shield"/>
    <x v="0"/>
    <s v="Commercial"/>
    <n v="27022.18"/>
    <n v="7769.47"/>
    <n v="0"/>
  </r>
  <r>
    <x v="1002"/>
    <s v="Peconic Bay Medical Center"/>
    <n v="2015"/>
    <n v="9"/>
    <s v="Blue Cross/Blue Shield"/>
    <x v="0"/>
    <s v="Commercial"/>
    <n v="21516.46"/>
    <n v="5696"/>
    <n v="0"/>
  </r>
  <r>
    <x v="1003"/>
    <s v="Peconic Bay Medical Center"/>
    <n v="2015"/>
    <n v="9"/>
    <s v="Blue Cross/Blue Shield"/>
    <x v="0"/>
    <s v="Commercial"/>
    <n v="15980.64"/>
    <n v="2476.52"/>
    <n v="0"/>
  </r>
  <r>
    <x v="1004"/>
    <s v="Peconic Bay Medical Center"/>
    <n v="2015"/>
    <n v="6"/>
    <s v="Private Health Insurance"/>
    <x v="0"/>
    <s v="Commercial"/>
    <n v="16809.3"/>
    <n v="4276.46"/>
    <n v="0"/>
  </r>
  <r>
    <x v="1005"/>
    <s v="Peconic Bay Medical Center"/>
    <n v="2015"/>
    <n v="9"/>
    <s v="Blue Cross/Blue Shield"/>
    <x v="0"/>
    <s v="Commercial"/>
    <n v="30293.14"/>
    <n v="8387.01"/>
    <n v="0"/>
  </r>
  <r>
    <x v="1006"/>
    <s v="Peconic Bay Medical Center"/>
    <n v="2015"/>
    <n v="9"/>
    <s v="Blue Cross/Blue Shield"/>
    <x v="0"/>
    <s v="Commercial"/>
    <n v="17190.72"/>
    <n v="4398.18"/>
    <n v="0"/>
  </r>
  <r>
    <x v="1007"/>
    <s v="Peconic Bay Medical Center"/>
    <n v="2015"/>
    <n v="9"/>
    <s v="Blue Cross/Blue Shield"/>
    <x v="0"/>
    <s v="Commercial"/>
    <n v="56490.22"/>
    <n v="11273.95"/>
    <n v="0"/>
  </r>
  <r>
    <x v="1008"/>
    <s v="Peconic Bay Medical Center"/>
    <n v="2015"/>
    <n v="6"/>
    <s v="Private Health Insurance"/>
    <x v="0"/>
    <s v="Commercial"/>
    <n v="20542.900000000001"/>
    <n v="6082.72"/>
    <n v="0"/>
  </r>
  <r>
    <x v="1009"/>
    <s v="Peconic Bay Medical Center"/>
    <n v="2015"/>
    <n v="9"/>
    <s v="Blue Cross/Blue Shield"/>
    <x v="0"/>
    <s v="Commercial"/>
    <n v="42089.599999999999"/>
    <n v="12977.27"/>
    <n v="0"/>
  </r>
  <r>
    <x v="1010"/>
    <s v="Peconic Bay Medical Center"/>
    <n v="2015"/>
    <n v="9"/>
    <s v="Blue Cross/Blue Shield"/>
    <x v="0"/>
    <s v="Commercial"/>
    <n v="11741.94"/>
    <n v="2772.71"/>
    <n v="0"/>
  </r>
  <r>
    <x v="1011"/>
    <s v="Peconic Bay Medical Center"/>
    <n v="2015"/>
    <n v="9"/>
    <s v="Blue Cross/Blue Shield"/>
    <x v="0"/>
    <s v="Commercial"/>
    <n v="17230.82"/>
    <n v="3791.06"/>
    <n v="0"/>
  </r>
  <r>
    <x v="1012"/>
    <s v="Peconic Bay Medical Center"/>
    <n v="2015"/>
    <n v="6"/>
    <s v="Private Health Insurance"/>
    <x v="0"/>
    <s v="Commercial"/>
    <n v="20682.54"/>
    <n v="6154.16"/>
    <n v="0"/>
  </r>
  <r>
    <x v="1013"/>
    <s v="Peconic Bay Medical Center"/>
    <n v="2015"/>
    <n v="9"/>
    <s v="Blue Cross/Blue Shield"/>
    <x v="0"/>
    <s v="Commercial"/>
    <n v="19331.32"/>
    <n v="5380.68"/>
    <n v="0"/>
  </r>
  <r>
    <x v="1014"/>
    <s v="Peconic Bay Medical Center"/>
    <n v="2015"/>
    <n v="6"/>
    <s v="Private Health Insurance"/>
    <x v="0"/>
    <s v="Commercial"/>
    <n v="14927.9"/>
    <n v="4378.88"/>
    <n v="0"/>
  </r>
  <r>
    <x v="1015"/>
    <s v="Peconic Bay Medical Center"/>
    <n v="2015"/>
    <n v="6"/>
    <s v="Private Health Insurance"/>
    <x v="0"/>
    <s v="Commercial"/>
    <n v="13592.3"/>
    <n v="4100.34"/>
    <n v="0"/>
  </r>
  <r>
    <x v="1016"/>
    <s v="Peconic Bay Medical Center"/>
    <n v="2015"/>
    <n v="9"/>
    <s v="Blue Cross/Blue Shield"/>
    <x v="0"/>
    <s v="Commercial"/>
    <n v="47796.6"/>
    <n v="11483.63"/>
    <n v="0"/>
  </r>
  <r>
    <x v="1017"/>
    <s v="Peconic Bay Medical Center"/>
    <n v="2015"/>
    <n v="9"/>
    <s v="Blue Cross/Blue Shield"/>
    <x v="0"/>
    <s v="Commercial"/>
    <n v="10072.26"/>
    <n v="2861.53"/>
    <n v="0"/>
  </r>
  <r>
    <x v="1018"/>
    <s v="Peconic Bay Medical Center"/>
    <n v="2015"/>
    <n v="6"/>
    <s v="Private Health Insurance"/>
    <x v="0"/>
    <s v="Commercial"/>
    <n v="13339.24"/>
    <n v="2834.05"/>
    <n v="0"/>
  </r>
  <r>
    <x v="1019"/>
    <s v="Peconic Bay Medical Center"/>
    <n v="2015"/>
    <n v="6"/>
    <s v="Private Health Insurance"/>
    <x v="0"/>
    <s v="Commercial"/>
    <n v="39377.58"/>
    <n v="12055.01"/>
    <n v="0"/>
  </r>
  <r>
    <x v="1020"/>
    <s v="Peconic Bay Medical Center"/>
    <n v="2015"/>
    <n v="9"/>
    <s v="Blue Cross/Blue Shield"/>
    <x v="0"/>
    <s v="Commercial"/>
    <n v="9852.3799999999992"/>
    <n v="2579.96"/>
    <n v="0"/>
  </r>
  <r>
    <x v="1021"/>
    <s v="Peconic Bay Medical Center"/>
    <n v="2015"/>
    <n v="9"/>
    <s v="Blue Cross/Blue Shield"/>
    <x v="0"/>
    <s v="Commercial"/>
    <n v="11995"/>
    <n v="3239.79"/>
    <n v="0"/>
  </r>
  <r>
    <x v="1022"/>
    <s v="Peconic Bay Medical Center"/>
    <n v="2015"/>
    <n v="6"/>
    <s v="Private Health Insurance"/>
    <x v="0"/>
    <s v="Commercial"/>
    <n v="21499.56"/>
    <n v="5374"/>
    <n v="0"/>
  </r>
  <r>
    <x v="1023"/>
    <s v="Peconic Bay Medical Center"/>
    <n v="2015"/>
    <n v="6"/>
    <s v="Private Health Insurance"/>
    <x v="0"/>
    <s v="Commercial"/>
    <n v="16492.759999999998"/>
    <n v="4977.28"/>
    <n v="0"/>
  </r>
  <r>
    <x v="1024"/>
    <s v="Peconic Bay Medical Center"/>
    <n v="2015"/>
    <n v="9"/>
    <s v="Blue Cross/Blue Shield"/>
    <x v="0"/>
    <s v="Commercial"/>
    <n v="67487.839999999997"/>
    <n v="19393.68"/>
    <n v="0"/>
  </r>
  <r>
    <x v="1025"/>
    <s v="Peconic Bay Medical Center"/>
    <n v="2015"/>
    <n v="6"/>
    <s v="Private Health Insurance"/>
    <x v="0"/>
    <s v="Commercial"/>
    <n v="26521.38"/>
    <n v="13893.99"/>
    <n v="0"/>
  </r>
  <r>
    <x v="1026"/>
    <s v="Peconic Bay Medical Center"/>
    <n v="2015"/>
    <n v="9"/>
    <s v="Blue Cross/Blue Shield"/>
    <x v="0"/>
    <s v="Commercial"/>
    <n v="62869.2"/>
    <n v="27029.96"/>
    <n v="0"/>
  </r>
  <r>
    <x v="1027"/>
    <s v="Peconic Bay Medical Center"/>
    <n v="2015"/>
    <n v="9"/>
    <s v="Blue Cross/Blue Shield"/>
    <x v="0"/>
    <s v="Commercial"/>
    <n v="31491.54"/>
    <n v="9440.52"/>
    <n v="0"/>
  </r>
  <r>
    <x v="1028"/>
    <s v="Peconic Bay Medical Center"/>
    <n v="2015"/>
    <n v="9"/>
    <s v="Blue Cross/Blue Shield"/>
    <x v="0"/>
    <s v="Commercial"/>
    <n v="36037.699999999997"/>
    <n v="17874.18"/>
    <n v="0"/>
  </r>
  <r>
    <x v="1029"/>
    <s v="Peconic Bay Medical Center"/>
    <n v="2015"/>
    <n v="6"/>
    <s v="Private Health Insurance"/>
    <x v="0"/>
    <s v="Commercial"/>
    <n v="16056.6"/>
    <n v="2888.37"/>
    <n v="0"/>
  </r>
  <r>
    <x v="1030"/>
    <s v="Peconic Bay Medical Center"/>
    <n v="2015"/>
    <n v="6"/>
    <s v="Private Health Insurance"/>
    <x v="0"/>
    <s v="Commercial"/>
    <n v="86944.46"/>
    <n v="33895.1"/>
    <n v="0"/>
  </r>
  <r>
    <x v="1031"/>
    <s v="Peconic Bay Medical Center"/>
    <n v="2015"/>
    <n v="9"/>
    <s v="Blue Cross/Blue Shield"/>
    <x v="0"/>
    <s v="Commercial"/>
    <n v="18282.16"/>
    <n v="5197.1499999999996"/>
    <n v="0"/>
  </r>
  <r>
    <x v="1032"/>
    <s v="Peconic Bay Medical Center"/>
    <n v="2015"/>
    <n v="6"/>
    <s v="Private Health Insurance"/>
    <x v="0"/>
    <s v="Commercial"/>
    <n v="12600.1"/>
    <n v="3581.29"/>
    <n v="0"/>
  </r>
  <r>
    <x v="1033"/>
    <s v="Peconic Bay Medical Center"/>
    <n v="2015"/>
    <n v="9"/>
    <s v="Blue Cross/Blue Shield"/>
    <x v="0"/>
    <s v="Commercial"/>
    <n v="28101.68"/>
    <n v="13857.82"/>
    <n v="0"/>
  </r>
  <r>
    <x v="1034"/>
    <s v="Peconic Bay Medical Center"/>
    <n v="2015"/>
    <n v="9"/>
    <s v="Blue Cross/Blue Shield"/>
    <x v="0"/>
    <s v="Commercial"/>
    <n v="28344.62"/>
    <n v="6592.02"/>
    <n v="0"/>
  </r>
  <r>
    <x v="1035"/>
    <s v="Peconic Bay Medical Center"/>
    <n v="2015"/>
    <n v="6"/>
    <s v="Private Health Insurance"/>
    <x v="0"/>
    <s v="Commercial"/>
    <n v="19251.060000000001"/>
    <n v="4017.25"/>
    <n v="0"/>
  </r>
  <r>
    <x v="1036"/>
    <s v="Peconic Bay Medical Center"/>
    <n v="2015"/>
    <n v="6"/>
    <s v="Private Health Insurance"/>
    <x v="0"/>
    <s v="Commercial"/>
    <n v="70867.520000000004"/>
    <n v="20783.689999999999"/>
    <n v="0"/>
  </r>
  <r>
    <x v="1037"/>
    <s v="Peconic Bay Medical Center"/>
    <n v="2015"/>
    <n v="6"/>
    <s v="Private Health Insurance"/>
    <x v="0"/>
    <s v="Commercial"/>
    <n v="167465.46"/>
    <n v="59129.58"/>
    <n v="0"/>
  </r>
  <r>
    <x v="1038"/>
    <s v="Peconic Bay Medical Center"/>
    <n v="2015"/>
    <n v="9"/>
    <s v="Blue Cross/Blue Shield"/>
    <x v="0"/>
    <s v="Commercial"/>
    <n v="38341.1"/>
    <n v="9507.14"/>
    <n v="0"/>
  </r>
  <r>
    <x v="1039"/>
    <s v="Peconic Bay Medical Center"/>
    <n v="2015"/>
    <n v="6"/>
    <s v="Private Health Insurance"/>
    <x v="0"/>
    <s v="Commercial"/>
    <n v="19899.599999999999"/>
    <n v="6113.56"/>
    <n v="0"/>
  </r>
  <r>
    <x v="1040"/>
    <s v="Peconic Bay Medical Center"/>
    <n v="2015"/>
    <n v="9"/>
    <s v="Blue Cross/Blue Shield"/>
    <x v="0"/>
    <s v="Commercial"/>
    <n v="33102.46"/>
    <n v="8064.59"/>
    <n v="0"/>
  </r>
  <r>
    <x v="1041"/>
    <s v="Peconic Bay Medical Center"/>
    <n v="2015"/>
    <n v="9"/>
    <s v="Blue Cross/Blue Shield"/>
    <x v="0"/>
    <s v="Commercial"/>
    <n v="23544.240000000002"/>
    <n v="7373.9"/>
    <n v="0"/>
  </r>
  <r>
    <x v="1042"/>
    <s v="Peconic Bay Medical Center"/>
    <n v="2015"/>
    <n v="6"/>
    <s v="Private Health Insurance"/>
    <x v="0"/>
    <s v="Commercial"/>
    <n v="33327.440000000002"/>
    <n v="16239.52"/>
    <n v="0"/>
  </r>
  <r>
    <x v="1043"/>
    <s v="Peconic Bay Medical Center"/>
    <n v="2015"/>
    <n v="9"/>
    <s v="Blue Cross/Blue Shield"/>
    <x v="0"/>
    <s v="Commercial"/>
    <n v="15339.6"/>
    <n v="3165.69"/>
    <n v="0"/>
  </r>
  <r>
    <x v="1044"/>
    <s v="Peconic Bay Medical Center"/>
    <n v="2015"/>
    <n v="9"/>
    <s v="Blue Cross/Blue Shield"/>
    <x v="0"/>
    <s v="Commercial"/>
    <n v="8442.5"/>
    <n v="2341.0300000000002"/>
    <n v="0"/>
  </r>
  <r>
    <x v="1045"/>
    <s v="Peconic Bay Medical Center"/>
    <n v="2015"/>
    <n v="9"/>
    <s v="Blue Cross/Blue Shield"/>
    <x v="0"/>
    <s v="Commercial"/>
    <n v="55668.800000000003"/>
    <n v="16518.080000000002"/>
    <n v="0"/>
  </r>
  <r>
    <x v="1046"/>
    <s v="Peconic Bay Medical Center"/>
    <n v="2015"/>
    <n v="9"/>
    <s v="Blue Cross/Blue Shield"/>
    <x v="0"/>
    <s v="Commercial"/>
    <n v="31569.82"/>
    <n v="8314.18"/>
    <n v="0"/>
  </r>
  <r>
    <x v="1047"/>
    <s v="Peconic Bay Medical Center"/>
    <n v="2015"/>
    <n v="9"/>
    <s v="Blue Cross/Blue Shield"/>
    <x v="0"/>
    <s v="Commercial"/>
    <n v="21657.98"/>
    <n v="5609.06"/>
    <n v="0"/>
  </r>
  <r>
    <x v="1048"/>
    <s v="Peconic Bay Medical Center"/>
    <n v="2015"/>
    <n v="9"/>
    <s v="Blue Cross/Blue Shield"/>
    <x v="0"/>
    <s v="Commercial"/>
    <n v="14473.3"/>
    <n v="4582.96"/>
    <n v="0"/>
  </r>
  <r>
    <x v="1049"/>
    <s v="Peconic Bay Medical Center"/>
    <n v="2015"/>
    <n v="9"/>
    <s v="Blue Cross/Blue Shield"/>
    <x v="0"/>
    <s v="Commercial"/>
    <n v="14807.16"/>
    <n v="3882.72"/>
    <n v="0"/>
  </r>
  <r>
    <x v="1050"/>
    <s v="Peconic Bay Medical Center"/>
    <n v="2015"/>
    <n v="9"/>
    <s v="Blue Cross/Blue Shield"/>
    <x v="0"/>
    <s v="Commercial"/>
    <n v="17012.5"/>
    <n v="3325.78"/>
    <n v="0"/>
  </r>
  <r>
    <x v="1051"/>
    <s v="Peconic Bay Medical Center"/>
    <n v="2015"/>
    <n v="6"/>
    <s v="Private Health Insurance"/>
    <x v="0"/>
    <s v="Commercial"/>
    <n v="21442.720000000001"/>
    <n v="7464.82"/>
    <n v="0"/>
  </r>
  <r>
    <x v="1052"/>
    <s v="Peconic Bay Medical Center"/>
    <n v="2015"/>
    <n v="9"/>
    <s v="Blue Cross/Blue Shield"/>
    <x v="0"/>
    <s v="Commercial"/>
    <n v="21438.22"/>
    <n v="6453.47"/>
    <n v="0"/>
  </r>
  <r>
    <x v="1053"/>
    <s v="Peconic Bay Medical Center"/>
    <n v="2015"/>
    <n v="9"/>
    <s v="Blue Cross/Blue Shield"/>
    <x v="0"/>
    <s v="Commercial"/>
    <n v="30596.639999999999"/>
    <n v="10174.129999999999"/>
    <n v="0"/>
  </r>
  <r>
    <x v="1054"/>
    <s v="Peconic Bay Medical Center"/>
    <n v="2015"/>
    <n v="9"/>
    <s v="Blue Cross/Blue Shield"/>
    <x v="0"/>
    <s v="Commercial"/>
    <n v="24546.880000000001"/>
    <n v="6216.2"/>
    <n v="0"/>
  </r>
  <r>
    <x v="1055"/>
    <s v="Peconic Bay Medical Center"/>
    <n v="2015"/>
    <n v="9"/>
    <s v="Blue Cross/Blue Shield"/>
    <x v="0"/>
    <s v="Commercial"/>
    <n v="33129.040000000001"/>
    <n v="8385.6299999999992"/>
    <n v="0"/>
  </r>
  <r>
    <x v="1056"/>
    <s v="Peconic Bay Medical Center"/>
    <n v="2015"/>
    <n v="9"/>
    <s v="Blue Cross/Blue Shield"/>
    <x v="0"/>
    <s v="Commercial"/>
    <n v="10050.06"/>
    <n v="2709.58"/>
    <n v="0"/>
  </r>
  <r>
    <x v="1057"/>
    <s v="Peconic Bay Medical Center"/>
    <n v="2015"/>
    <n v="9"/>
    <s v="Blue Cross/Blue Shield"/>
    <x v="0"/>
    <s v="Commercial"/>
    <n v="13419.4"/>
    <n v="2631.86"/>
    <n v="0"/>
  </r>
  <r>
    <x v="1058"/>
    <s v="Peconic Bay Medical Center"/>
    <n v="2015"/>
    <n v="6"/>
    <s v="Private Health Insurance"/>
    <x v="0"/>
    <s v="Commercial"/>
    <n v="17773.46"/>
    <n v="11581.36"/>
    <n v="0"/>
  </r>
  <r>
    <x v="1059"/>
    <s v="Peconic Bay Medical Center"/>
    <n v="2015"/>
    <n v="6"/>
    <s v="Private Health Insurance"/>
    <x v="0"/>
    <s v="Commercial"/>
    <n v="46337.2"/>
    <n v="13899.61"/>
    <n v="0"/>
  </r>
  <r>
    <x v="1060"/>
    <s v="Peconic Bay Medical Center"/>
    <n v="2015"/>
    <n v="6"/>
    <s v="Private Health Insurance"/>
    <x v="0"/>
    <s v="Commercial"/>
    <n v="24595.439999999999"/>
    <n v="7233.12"/>
    <n v="0"/>
  </r>
  <r>
    <x v="1061"/>
    <s v="Peconic Bay Medical Center"/>
    <n v="2015"/>
    <n v="9"/>
    <s v="Blue Cross/Blue Shield"/>
    <x v="0"/>
    <s v="Commercial"/>
    <n v="19629.560000000001"/>
    <n v="8304.48"/>
    <n v="0"/>
  </r>
  <r>
    <x v="1062"/>
    <s v="Peconic Bay Medical Center"/>
    <n v="2015"/>
    <n v="6"/>
    <s v="Private Health Insurance"/>
    <x v="0"/>
    <s v="Commercial"/>
    <n v="26205.96"/>
    <n v="10773.51"/>
    <n v="0"/>
  </r>
  <r>
    <x v="1063"/>
    <s v="Peconic Bay Medical Center"/>
    <n v="2015"/>
    <n v="9"/>
    <s v="Blue Cross/Blue Shield"/>
    <x v="0"/>
    <s v="Commercial"/>
    <n v="40877.339999999997"/>
    <n v="11924.55"/>
    <n v="0"/>
  </r>
  <r>
    <x v="1064"/>
    <s v="Peconic Bay Medical Center"/>
    <n v="2015"/>
    <n v="6"/>
    <s v="Private Health Insurance"/>
    <x v="0"/>
    <s v="Commercial"/>
    <n v="138016.94"/>
    <n v="62626.81"/>
    <n v="0"/>
  </r>
  <r>
    <x v="1065"/>
    <s v="Peconic Bay Medical Center"/>
    <n v="2015"/>
    <n v="6"/>
    <s v="Private Health Insurance"/>
    <x v="0"/>
    <s v="Commercial"/>
    <n v="25442.44"/>
    <n v="10196.93"/>
    <n v="0"/>
  </r>
  <r>
    <x v="1066"/>
    <s v="Peconic Bay Medical Center"/>
    <n v="2015"/>
    <n v="6"/>
    <s v="Private Health Insurance"/>
    <x v="0"/>
    <s v="Commercial"/>
    <n v="38043.120000000003"/>
    <n v="10724.88"/>
    <n v="0"/>
  </r>
  <r>
    <x v="1067"/>
    <s v="Peconic Bay Medical Center"/>
    <n v="2015"/>
    <n v="9"/>
    <s v="Blue Cross/Blue Shield"/>
    <x v="0"/>
    <s v="Commercial"/>
    <n v="9583.4"/>
    <n v="2618.44"/>
    <n v="0"/>
  </r>
  <r>
    <x v="1068"/>
    <s v="Peconic Bay Medical Center"/>
    <n v="2015"/>
    <n v="6"/>
    <s v="Private Health Insurance"/>
    <x v="0"/>
    <s v="Commercial"/>
    <n v="16785.16"/>
    <n v="4287.45"/>
    <n v="0"/>
  </r>
  <r>
    <x v="1069"/>
    <s v="Peconic Bay Medical Center"/>
    <n v="2015"/>
    <n v="9"/>
    <s v="Blue Cross/Blue Shield"/>
    <x v="0"/>
    <s v="Commercial"/>
    <n v="26747.15"/>
    <n v="16790.32"/>
    <n v="0"/>
  </r>
  <r>
    <x v="1070"/>
    <s v="Peconic Bay Medical Center"/>
    <n v="2015"/>
    <n v="6"/>
    <s v="Private Health Insurance"/>
    <x v="0"/>
    <s v="Commercial"/>
    <n v="12489.04"/>
    <n v="3277.93"/>
    <n v="0"/>
  </r>
  <r>
    <x v="1071"/>
    <s v="Peconic Bay Medical Center"/>
    <n v="2015"/>
    <n v="9"/>
    <s v="Blue Cross/Blue Shield"/>
    <x v="0"/>
    <s v="Commercial"/>
    <n v="51982.720000000001"/>
    <n v="16573.13"/>
    <n v="0"/>
  </r>
  <r>
    <x v="1072"/>
    <s v="Peconic Bay Medical Center"/>
    <n v="2015"/>
    <n v="9"/>
    <s v="Blue Cross/Blue Shield"/>
    <x v="0"/>
    <s v="Commercial"/>
    <n v="15953.84"/>
    <n v="4658.82"/>
    <n v="0"/>
  </r>
  <r>
    <x v="1073"/>
    <s v="Peconic Bay Medical Center"/>
    <n v="2015"/>
    <n v="6"/>
    <s v="Private Health Insurance"/>
    <x v="0"/>
    <s v="Commercial"/>
    <n v="95450.4"/>
    <n v="30639.48"/>
    <n v="0"/>
  </r>
  <r>
    <x v="1074"/>
    <s v="Peconic Bay Medical Center"/>
    <n v="2015"/>
    <n v="6"/>
    <s v="Private Health Insurance"/>
    <x v="0"/>
    <s v="Commercial"/>
    <n v="21565.119999999999"/>
    <n v="9504.02"/>
    <n v="0"/>
  </r>
  <r>
    <x v="1075"/>
    <s v="Peconic Bay Medical Center"/>
    <n v="2015"/>
    <n v="9"/>
    <s v="Blue Cross/Blue Shield"/>
    <x v="0"/>
    <s v="Commercial"/>
    <n v="10035.02"/>
    <n v="2854.05"/>
    <n v="0"/>
  </r>
  <r>
    <x v="1076"/>
    <s v="Peconic Bay Medical Center"/>
    <n v="2015"/>
    <n v="9"/>
    <s v="Blue Cross/Blue Shield"/>
    <x v="0"/>
    <s v="Commercial"/>
    <n v="24101.279999999999"/>
    <n v="5263.44"/>
    <n v="0"/>
  </r>
  <r>
    <x v="1077"/>
    <s v="Peconic Bay Medical Center"/>
    <n v="2015"/>
    <n v="9"/>
    <s v="Blue Cross/Blue Shield"/>
    <x v="0"/>
    <s v="Commercial"/>
    <n v="16829.439999999999"/>
    <n v="4290.8500000000004"/>
    <n v="0"/>
  </r>
  <r>
    <x v="1078"/>
    <s v="Peconic Bay Medical Center"/>
    <n v="2015"/>
    <n v="6"/>
    <s v="Private Health Insurance"/>
    <x v="0"/>
    <s v="Commercial"/>
    <n v="8346.7999999999993"/>
    <n v="2214.19"/>
    <n v="0"/>
  </r>
  <r>
    <x v="1079"/>
    <s v="Peconic Bay Medical Center"/>
    <n v="2015"/>
    <n v="6"/>
    <s v="Private Health Insurance"/>
    <x v="0"/>
    <s v="Commercial"/>
    <n v="35340.9"/>
    <n v="9637.17"/>
    <n v="0"/>
  </r>
  <r>
    <x v="1080"/>
    <s v="Peconic Bay Medical Center"/>
    <n v="2015"/>
    <n v="6"/>
    <s v="Private Health Insurance"/>
    <x v="0"/>
    <s v="Commercial"/>
    <n v="47382.68"/>
    <n v="14192.1"/>
    <n v="0"/>
  </r>
  <r>
    <x v="1081"/>
    <s v="Peconic Bay Medical Center"/>
    <n v="2015"/>
    <n v="6"/>
    <s v="Private Health Insurance"/>
    <x v="0"/>
    <s v="Commercial"/>
    <n v="39705.5"/>
    <n v="10637.43"/>
    <n v="0"/>
  </r>
  <r>
    <x v="1082"/>
    <s v="Peconic Bay Medical Center"/>
    <n v="2015"/>
    <n v="6"/>
    <s v="Private Health Insurance"/>
    <x v="0"/>
    <s v="Commercial"/>
    <n v="16499.28"/>
    <n v="4626.83"/>
    <n v="0"/>
  </r>
  <r>
    <x v="1083"/>
    <s v="Peconic Bay Medical Center"/>
    <n v="2015"/>
    <n v="9"/>
    <s v="Blue Cross/Blue Shield"/>
    <x v="0"/>
    <s v="Commercial"/>
    <n v="35024.94"/>
    <n v="10181.959999999999"/>
    <n v="0"/>
  </r>
  <r>
    <x v="1084"/>
    <s v="Peconic Bay Medical Center"/>
    <n v="2015"/>
    <n v="6"/>
    <s v="Private Health Insurance"/>
    <x v="0"/>
    <s v="Commercial"/>
    <n v="22710.7"/>
    <n v="7065.55"/>
    <n v="0"/>
  </r>
  <r>
    <x v="1085"/>
    <s v="Peconic Bay Medical Center"/>
    <n v="2015"/>
    <n v="9"/>
    <s v="Blue Cross/Blue Shield"/>
    <x v="0"/>
    <s v="Commercial"/>
    <n v="12050.6"/>
    <n v="2529.54"/>
    <n v="0"/>
  </r>
  <r>
    <x v="1086"/>
    <s v="Peconic Bay Medical Center"/>
    <n v="2015"/>
    <n v="6"/>
    <s v="Private Health Insurance"/>
    <x v="0"/>
    <s v="Commercial"/>
    <n v="21761.200000000001"/>
    <n v="6470.91"/>
    <n v="0"/>
  </r>
  <r>
    <x v="1087"/>
    <s v="Peconic Bay Medical Center"/>
    <n v="2015"/>
    <n v="6"/>
    <s v="Private Health Insurance"/>
    <x v="0"/>
    <s v="Commercial"/>
    <n v="59218.14"/>
    <n v="48393.78"/>
    <n v="0"/>
  </r>
  <r>
    <x v="1088"/>
    <s v="Peconic Bay Medical Center"/>
    <n v="2015"/>
    <n v="6"/>
    <s v="Private Health Insurance"/>
    <x v="0"/>
    <s v="Commercial"/>
    <n v="22044.720000000001"/>
    <n v="6133.96"/>
    <n v="0"/>
  </r>
  <r>
    <x v="1089"/>
    <s v="Peconic Bay Medical Center"/>
    <n v="2015"/>
    <n v="9"/>
    <s v="Blue Cross/Blue Shield"/>
    <x v="0"/>
    <s v="Commercial"/>
    <n v="17882.62"/>
    <n v="5071.28"/>
    <n v="0"/>
  </r>
  <r>
    <x v="1090"/>
    <s v="Peconic Bay Medical Center"/>
    <n v="2015"/>
    <n v="6"/>
    <s v="Private Health Insurance"/>
    <x v="0"/>
    <s v="Commercial"/>
    <n v="19432.3"/>
    <n v="8679.94"/>
    <n v="0"/>
  </r>
  <r>
    <x v="1091"/>
    <s v="Peconic Bay Medical Center"/>
    <n v="2015"/>
    <n v="9"/>
    <s v="Blue Cross/Blue Shield"/>
    <x v="0"/>
    <s v="Commercial"/>
    <n v="17217.32"/>
    <n v="3688.49"/>
    <n v="0"/>
  </r>
  <r>
    <x v="1092"/>
    <s v="Peconic Bay Medical Center"/>
    <n v="2015"/>
    <n v="9"/>
    <s v="Blue Cross/Blue Shield"/>
    <x v="0"/>
    <s v="Commercial"/>
    <n v="11943.02"/>
    <n v="3873.73"/>
    <n v="0"/>
  </r>
  <r>
    <x v="1093"/>
    <s v="Peconic Bay Medical Center"/>
    <n v="2015"/>
    <n v="6"/>
    <s v="Private Health Insurance"/>
    <x v="0"/>
    <s v="Commercial"/>
    <n v="24973.86"/>
    <n v="7340.49"/>
    <n v="0"/>
  </r>
  <r>
    <x v="1094"/>
    <s v="Peconic Bay Medical Center"/>
    <n v="2015"/>
    <n v="6"/>
    <s v="Private Health Insurance"/>
    <x v="0"/>
    <s v="Commercial"/>
    <n v="27600.240000000002"/>
    <n v="8001.86"/>
    <n v="0"/>
  </r>
  <r>
    <x v="1095"/>
    <s v="Peconic Bay Medical Center"/>
    <n v="2015"/>
    <n v="9"/>
    <s v="Blue Cross/Blue Shield"/>
    <x v="0"/>
    <s v="Commercial"/>
    <n v="11438.34"/>
    <n v="2465.41"/>
    <n v="0"/>
  </r>
  <r>
    <x v="1096"/>
    <s v="Peconic Bay Medical Center"/>
    <n v="2015"/>
    <n v="6"/>
    <s v="Private Health Insurance"/>
    <x v="0"/>
    <s v="Commercial"/>
    <n v="21307.06"/>
    <n v="6111.54"/>
    <n v="0"/>
  </r>
  <r>
    <x v="1097"/>
    <s v="Peconic Bay Medical Center"/>
    <n v="2015"/>
    <n v="6"/>
    <s v="Private Health Insurance"/>
    <x v="0"/>
    <s v="Commercial"/>
    <n v="35123.699999999997"/>
    <n v="12926.26"/>
    <n v="0"/>
  </r>
  <r>
    <x v="1098"/>
    <s v="Peconic Bay Medical Center"/>
    <n v="2015"/>
    <n v="6"/>
    <s v="Private Health Insurance"/>
    <x v="0"/>
    <s v="Commercial"/>
    <n v="28124.76"/>
    <n v="8500.2800000000007"/>
    <n v="0"/>
  </r>
  <r>
    <x v="1099"/>
    <s v="Peconic Bay Medical Center"/>
    <n v="2015"/>
    <n v="6"/>
    <s v="Private Health Insurance"/>
    <x v="0"/>
    <s v="Commercial"/>
    <n v="105594.28"/>
    <n v="31248.560000000001"/>
    <n v="0"/>
  </r>
  <r>
    <x v="1100"/>
    <s v="Peconic Bay Medical Center"/>
    <n v="2015"/>
    <n v="6"/>
    <s v="Private Health Insurance"/>
    <x v="0"/>
    <s v="Commercial"/>
    <n v="25406.74"/>
    <n v="7708.87"/>
    <n v="0"/>
  </r>
  <r>
    <x v="1101"/>
    <s v="Peconic Bay Medical Center"/>
    <n v="2015"/>
    <n v="6"/>
    <s v="Private Health Insurance"/>
    <x v="0"/>
    <s v="Commercial"/>
    <n v="17721.32"/>
    <n v="4536.0600000000004"/>
    <n v="0"/>
  </r>
  <r>
    <x v="1102"/>
    <s v="Peconic Bay Medical Center"/>
    <n v="2015"/>
    <n v="6"/>
    <s v="Private Health Insurance"/>
    <x v="0"/>
    <s v="Commercial"/>
    <n v="55014.62"/>
    <n v="30339.759999999998"/>
    <n v="0"/>
  </r>
  <r>
    <x v="1103"/>
    <s v="Peconic Bay Medical Center"/>
    <n v="2015"/>
    <n v="6"/>
    <s v="Private Health Insurance"/>
    <x v="0"/>
    <s v="Commercial"/>
    <n v="20364.66"/>
    <n v="4993.29"/>
    <n v="0"/>
  </r>
  <r>
    <x v="1104"/>
    <s v="Peconic Bay Medical Center"/>
    <n v="2015"/>
    <n v="9"/>
    <s v="Blue Cross/Blue Shield"/>
    <x v="0"/>
    <s v="Commercial"/>
    <n v="14698.72"/>
    <n v="3161.92"/>
    <n v="0"/>
  </r>
  <r>
    <x v="1105"/>
    <s v="Peconic Bay Medical Center"/>
    <n v="2015"/>
    <n v="9"/>
    <s v="Blue Cross/Blue Shield"/>
    <x v="0"/>
    <s v="Commercial"/>
    <n v="22427.52"/>
    <n v="8579.74"/>
    <n v="0"/>
  </r>
  <r>
    <x v="1106"/>
    <s v="Peconic Bay Medical Center"/>
    <n v="2015"/>
    <n v="9"/>
    <s v="Blue Cross/Blue Shield"/>
    <x v="0"/>
    <s v="Commercial"/>
    <n v="46592.2"/>
    <n v="13844.55"/>
    <n v="0"/>
  </r>
  <r>
    <x v="1107"/>
    <s v="Peconic Bay Medical Center"/>
    <n v="2015"/>
    <n v="6"/>
    <s v="Private Health Insurance"/>
    <x v="0"/>
    <s v="Commercial"/>
    <n v="18405.759999999998"/>
    <n v="4612.87"/>
    <n v="0"/>
  </r>
  <r>
    <x v="1108"/>
    <s v="Peconic Bay Medical Center"/>
    <n v="2015"/>
    <n v="6"/>
    <s v="Private Health Insurance"/>
    <x v="0"/>
    <s v="Commercial"/>
    <n v="13777.2"/>
    <n v="4071.64"/>
    <n v="0"/>
  </r>
  <r>
    <x v="1109"/>
    <s v="Peconic Bay Medical Center"/>
    <n v="2015"/>
    <n v="6"/>
    <s v="Private Health Insurance"/>
    <x v="0"/>
    <s v="Commercial"/>
    <n v="69909.7"/>
    <n v="21277.86"/>
    <n v="0"/>
  </r>
  <r>
    <x v="1110"/>
    <s v="Peconic Bay Medical Center"/>
    <n v="2015"/>
    <n v="9"/>
    <s v="Blue Cross/Blue Shield"/>
    <x v="0"/>
    <s v="Commercial"/>
    <n v="21343.86"/>
    <n v="8649.48"/>
    <n v="0"/>
  </r>
  <r>
    <x v="1111"/>
    <s v="Peconic Bay Medical Center"/>
    <n v="2015"/>
    <n v="6"/>
    <s v="Private Health Insurance"/>
    <x v="0"/>
    <s v="Commercial"/>
    <n v="30220.94"/>
    <n v="5689.24"/>
    <n v="0"/>
  </r>
  <r>
    <x v="1112"/>
    <s v="Peconic Bay Medical Center"/>
    <n v="2015"/>
    <n v="6"/>
    <s v="Private Health Insurance"/>
    <x v="0"/>
    <s v="Commercial"/>
    <n v="26348.32"/>
    <n v="8558.8799999999992"/>
    <n v="0"/>
  </r>
  <r>
    <x v="1113"/>
    <s v="Peconic Bay Medical Center"/>
    <n v="2015"/>
    <n v="9"/>
    <s v="Blue Cross/Blue Shield"/>
    <x v="0"/>
    <s v="Commercial"/>
    <n v="46711.26"/>
    <n v="18749.45"/>
    <n v="0"/>
  </r>
  <r>
    <x v="1114"/>
    <s v="Peconic Bay Medical Center"/>
    <n v="2015"/>
    <n v="9"/>
    <s v="Blue Cross/Blue Shield"/>
    <x v="0"/>
    <s v="Commercial"/>
    <n v="21053.42"/>
    <n v="6297.28"/>
    <n v="0"/>
  </r>
  <r>
    <x v="1115"/>
    <s v="Peconic Bay Medical Center"/>
    <n v="2015"/>
    <n v="6"/>
    <s v="Private Health Insurance"/>
    <x v="0"/>
    <s v="Commercial"/>
    <n v="14545.58"/>
    <n v="3248.3"/>
    <n v="0"/>
  </r>
  <r>
    <x v="1116"/>
    <s v="Peconic Bay Medical Center"/>
    <n v="2015"/>
    <n v="6"/>
    <s v="Private Health Insurance"/>
    <x v="0"/>
    <s v="Commercial"/>
    <n v="20401.060000000001"/>
    <n v="5407.84"/>
    <n v="0"/>
  </r>
  <r>
    <x v="1117"/>
    <s v="Peconic Bay Medical Center"/>
    <n v="2015"/>
    <n v="9"/>
    <s v="Blue Cross/Blue Shield"/>
    <x v="0"/>
    <s v="Commercial"/>
    <n v="32829.58"/>
    <n v="8583.34"/>
    <n v="0"/>
  </r>
  <r>
    <x v="1118"/>
    <s v="Peconic Bay Medical Center"/>
    <n v="2015"/>
    <n v="9"/>
    <s v="Blue Cross/Blue Shield"/>
    <x v="0"/>
    <s v="Commercial"/>
    <n v="35881.18"/>
    <n v="13139.61"/>
    <n v="0"/>
  </r>
  <r>
    <x v="1119"/>
    <s v="Peconic Bay Medical Center"/>
    <n v="2015"/>
    <n v="6"/>
    <s v="Private Health Insurance"/>
    <x v="0"/>
    <s v="Commercial"/>
    <n v="15898.66"/>
    <n v="3364.63"/>
    <n v="0"/>
  </r>
  <r>
    <x v="1120"/>
    <s v="Peconic Bay Medical Center"/>
    <n v="2015"/>
    <n v="6"/>
    <s v="Private Health Insurance"/>
    <x v="0"/>
    <s v="Commercial"/>
    <n v="22479.3"/>
    <n v="10742.45"/>
    <n v="0"/>
  </r>
  <r>
    <x v="1121"/>
    <s v="Peconic Bay Medical Center"/>
    <n v="2015"/>
    <n v="9"/>
    <s v="Blue Cross/Blue Shield"/>
    <x v="0"/>
    <s v="Commercial"/>
    <n v="28200.400000000001"/>
    <n v="9047.26"/>
    <n v="0"/>
  </r>
  <r>
    <x v="1122"/>
    <s v="Peconic Bay Medical Center"/>
    <n v="2015"/>
    <n v="6"/>
    <s v="Private Health Insurance"/>
    <x v="0"/>
    <s v="Commercial"/>
    <n v="24646.68"/>
    <n v="6633.27"/>
    <n v="0"/>
  </r>
  <r>
    <x v="1123"/>
    <s v="Peconic Bay Medical Center"/>
    <n v="2015"/>
    <n v="6"/>
    <s v="Private Health Insurance"/>
    <x v="0"/>
    <s v="Commercial"/>
    <n v="69067.08"/>
    <n v="21460.83"/>
    <n v="0"/>
  </r>
  <r>
    <x v="1124"/>
    <s v="Peconic Bay Medical Center"/>
    <n v="2015"/>
    <n v="6"/>
    <s v="Private Health Insurance"/>
    <x v="0"/>
    <s v="Commercial"/>
    <n v="39196.519999999997"/>
    <n v="11596.02"/>
    <n v="0"/>
  </r>
  <r>
    <x v="1125"/>
    <s v="Peconic Bay Medical Center"/>
    <n v="2015"/>
    <n v="6"/>
    <s v="Private Health Insurance"/>
    <x v="0"/>
    <s v="Commercial"/>
    <n v="30294.84"/>
    <n v="8324.2900000000009"/>
    <n v="0"/>
  </r>
  <r>
    <x v="1126"/>
    <s v="Peconic Bay Medical Center"/>
    <n v="2015"/>
    <n v="9"/>
    <s v="Blue Cross/Blue Shield"/>
    <x v="0"/>
    <s v="Commercial"/>
    <n v="41677.86"/>
    <n v="11756.24"/>
    <n v="0"/>
  </r>
  <r>
    <x v="1127"/>
    <s v="Peconic Bay Medical Center"/>
    <n v="2015"/>
    <n v="6"/>
    <s v="Private Health Insurance"/>
    <x v="0"/>
    <s v="Commercial"/>
    <n v="10685.98"/>
    <n v="2397.13"/>
    <n v="0"/>
  </r>
  <r>
    <x v="1128"/>
    <s v="Peconic Bay Medical Center"/>
    <n v="2015"/>
    <n v="9"/>
    <s v="Blue Cross/Blue Shield"/>
    <x v="0"/>
    <s v="Commercial"/>
    <n v="26523.24"/>
    <n v="11199.61"/>
    <n v="0"/>
  </r>
  <r>
    <x v="1129"/>
    <s v="Peconic Bay Medical Center"/>
    <n v="2015"/>
    <n v="6"/>
    <s v="Private Health Insurance"/>
    <x v="0"/>
    <s v="Commercial"/>
    <n v="20528.34"/>
    <n v="7739.24"/>
    <n v="0"/>
  </r>
  <r>
    <x v="1130"/>
    <s v="Peconic Bay Medical Center"/>
    <n v="2015"/>
    <n v="6"/>
    <s v="Private Health Insurance"/>
    <x v="0"/>
    <s v="Commercial"/>
    <n v="9010.6"/>
    <n v="2486.21"/>
    <n v="0"/>
  </r>
  <r>
    <x v="1131"/>
    <s v="Peconic Bay Medical Center"/>
    <n v="2015"/>
    <n v="6"/>
    <s v="Private Health Insurance"/>
    <x v="0"/>
    <s v="Commercial"/>
    <n v="23199.279999999999"/>
    <n v="10116.700000000001"/>
    <n v="0"/>
  </r>
  <r>
    <x v="1132"/>
    <s v="Peconic Bay Medical Center"/>
    <n v="2015"/>
    <n v="6"/>
    <s v="Private Health Insurance"/>
    <x v="0"/>
    <s v="Commercial"/>
    <n v="17299.099999999999"/>
    <n v="4411.28"/>
    <n v="0"/>
  </r>
  <r>
    <x v="1133"/>
    <s v="Peconic Bay Medical Center"/>
    <n v="2015"/>
    <n v="9"/>
    <s v="Blue Cross/Blue Shield"/>
    <x v="0"/>
    <s v="Commercial"/>
    <n v="169303.37"/>
    <n v="70430.789999999994"/>
    <n v="0"/>
  </r>
  <r>
    <x v="1134"/>
    <s v="Peconic Bay Medical Center"/>
    <n v="2015"/>
    <n v="9"/>
    <s v="Blue Cross/Blue Shield"/>
    <x v="0"/>
    <s v="Commercial"/>
    <n v="76015.62"/>
    <n v="28590.83"/>
    <n v="0"/>
  </r>
  <r>
    <x v="1135"/>
    <s v="Peconic Bay Medical Center"/>
    <n v="2015"/>
    <n v="9"/>
    <s v="Blue Cross/Blue Shield"/>
    <x v="0"/>
    <s v="Commercial"/>
    <n v="35534.42"/>
    <n v="10774.63"/>
    <n v="0"/>
  </r>
  <r>
    <x v="1136"/>
    <s v="Peconic Bay Medical Center"/>
    <n v="2015"/>
    <n v="9"/>
    <s v="Blue Cross/Blue Shield"/>
    <x v="0"/>
    <s v="Commercial"/>
    <n v="28987.48"/>
    <n v="11062.38"/>
    <n v="0"/>
  </r>
  <r>
    <x v="1137"/>
    <s v="Peconic Bay Medical Center"/>
    <n v="2015"/>
    <n v="6"/>
    <s v="Private Health Insurance"/>
    <x v="0"/>
    <s v="Commercial"/>
    <n v="15044.08"/>
    <n v="3880.88"/>
    <n v="0"/>
  </r>
  <r>
    <x v="1138"/>
    <s v="Peconic Bay Medical Center"/>
    <n v="2015"/>
    <n v="9"/>
    <s v="Blue Cross/Blue Shield"/>
    <x v="0"/>
    <s v="Commercial"/>
    <n v="21115.360000000001"/>
    <n v="4816.8100000000004"/>
    <n v="0"/>
  </r>
  <r>
    <x v="1139"/>
    <s v="Peconic Bay Medical Center"/>
    <n v="2015"/>
    <n v="6"/>
    <s v="Private Health Insurance"/>
    <x v="0"/>
    <s v="Commercial"/>
    <n v="26643.58"/>
    <n v="7166.37"/>
    <n v="0"/>
  </r>
  <r>
    <x v="1140"/>
    <s v="Peconic Bay Medical Center"/>
    <n v="2015"/>
    <n v="6"/>
    <s v="Private Health Insurance"/>
    <x v="0"/>
    <s v="Commercial"/>
    <n v="12328.5"/>
    <n v="3901.59"/>
    <n v="0"/>
  </r>
  <r>
    <x v="1141"/>
    <s v="Peconic Bay Medical Center"/>
    <n v="2015"/>
    <n v="9"/>
    <s v="Blue Cross/Blue Shield"/>
    <x v="0"/>
    <s v="Commercial"/>
    <n v="26487.8"/>
    <n v="7579.98"/>
    <n v="0"/>
  </r>
  <r>
    <x v="1142"/>
    <s v="Peconic Bay Medical Center"/>
    <n v="2015"/>
    <n v="6"/>
    <s v="Private Health Insurance"/>
    <x v="0"/>
    <s v="Commercial"/>
    <n v="21995.42"/>
    <n v="8895.18"/>
    <n v="0"/>
  </r>
  <r>
    <x v="1143"/>
    <s v="Peconic Bay Medical Center"/>
    <n v="2015"/>
    <n v="9"/>
    <s v="Blue Cross/Blue Shield"/>
    <x v="0"/>
    <s v="Commercial"/>
    <n v="18681.62"/>
    <n v="4929.96"/>
    <n v="0"/>
  </r>
  <r>
    <x v="1144"/>
    <s v="Peconic Bay Medical Center"/>
    <n v="2015"/>
    <n v="9"/>
    <s v="Blue Cross/Blue Shield"/>
    <x v="0"/>
    <s v="Commercial"/>
    <n v="29338.52"/>
    <n v="8340.44"/>
    <n v="0"/>
  </r>
  <r>
    <x v="1145"/>
    <s v="Peconic Bay Medical Center"/>
    <n v="2015"/>
    <n v="9"/>
    <s v="Blue Cross/Blue Shield"/>
    <x v="0"/>
    <s v="Commercial"/>
    <n v="22638.38"/>
    <n v="3614.44"/>
    <n v="0"/>
  </r>
  <r>
    <x v="1146"/>
    <s v="Peconic Bay Medical Center"/>
    <n v="2015"/>
    <n v="9"/>
    <s v="Blue Cross/Blue Shield"/>
    <x v="0"/>
    <s v="Commercial"/>
    <n v="15942.44"/>
    <n v="3100.04"/>
    <n v="0"/>
  </r>
  <r>
    <x v="1147"/>
    <s v="Peconic Bay Medical Center"/>
    <n v="2015"/>
    <n v="9"/>
    <s v="Blue Cross/Blue Shield"/>
    <x v="0"/>
    <s v="Commercial"/>
    <n v="71563.14"/>
    <n v="30251.96"/>
    <n v="0"/>
  </r>
  <r>
    <x v="1148"/>
    <s v="Peconic Bay Medical Center"/>
    <n v="2015"/>
    <n v="6"/>
    <s v="Private Health Insurance"/>
    <x v="0"/>
    <s v="Commercial"/>
    <n v="10693.14"/>
    <n v="2462.56"/>
    <n v="0"/>
  </r>
  <r>
    <x v="1149"/>
    <s v="Peconic Bay Medical Center"/>
    <n v="2015"/>
    <n v="6"/>
    <s v="Private Health Insurance"/>
    <x v="0"/>
    <s v="Commercial"/>
    <n v="28123.279999999999"/>
    <n v="14405.44"/>
    <n v="0"/>
  </r>
  <r>
    <x v="1150"/>
    <s v="Peconic Bay Medical Center"/>
    <n v="2015"/>
    <n v="9"/>
    <s v="Blue Cross/Blue Shield"/>
    <x v="0"/>
    <s v="Commercial"/>
    <n v="13506.4"/>
    <n v="2358.9899999999998"/>
    <n v="0"/>
  </r>
  <r>
    <x v="1151"/>
    <s v="Peconic Bay Medical Center"/>
    <n v="2015"/>
    <n v="9"/>
    <s v="Blue Cross/Blue Shield"/>
    <x v="0"/>
    <s v="Commercial"/>
    <n v="81009.679999999993"/>
    <n v="41016.51"/>
    <n v="0"/>
  </r>
  <r>
    <x v="1152"/>
    <s v="Peconic Bay Medical Center"/>
    <n v="2015"/>
    <n v="9"/>
    <s v="Blue Cross/Blue Shield"/>
    <x v="0"/>
    <s v="Commercial"/>
    <n v="16926.68"/>
    <n v="3298.2"/>
    <n v="0"/>
  </r>
  <r>
    <x v="1153"/>
    <s v="Peconic Bay Medical Center"/>
    <n v="2015"/>
    <n v="6"/>
    <s v="Private Health Insurance"/>
    <x v="0"/>
    <s v="Commercial"/>
    <n v="20134.080000000002"/>
    <n v="5774.32"/>
    <n v="0"/>
  </r>
  <r>
    <x v="1154"/>
    <s v="Peconic Bay Medical Center"/>
    <n v="2015"/>
    <n v="6"/>
    <s v="Private Health Insurance"/>
    <x v="0"/>
    <s v="Commercial"/>
    <n v="15037.46"/>
    <n v="4380.28"/>
    <n v="0"/>
  </r>
  <r>
    <x v="1155"/>
    <s v="Peconic Bay Medical Center"/>
    <n v="2015"/>
    <n v="6"/>
    <s v="Private Health Insurance"/>
    <x v="0"/>
    <s v="Commercial"/>
    <n v="29391.02"/>
    <n v="18802.45"/>
    <n v="0"/>
  </r>
  <r>
    <x v="1156"/>
    <s v="Peconic Bay Medical Center"/>
    <n v="2015"/>
    <n v="9"/>
    <s v="Blue Cross/Blue Shield"/>
    <x v="0"/>
    <s v="Commercial"/>
    <n v="26184.54"/>
    <n v="16926.45"/>
    <n v="0"/>
  </r>
  <r>
    <x v="1157"/>
    <s v="Peconic Bay Medical Center"/>
    <n v="2015"/>
    <n v="6"/>
    <s v="Private Health Insurance"/>
    <x v="0"/>
    <s v="Commercial"/>
    <n v="21784.98"/>
    <n v="3090.35"/>
    <n v="0"/>
  </r>
  <r>
    <x v="1158"/>
    <s v="Peconic Bay Medical Center"/>
    <n v="2015"/>
    <n v="6"/>
    <s v="Private Health Insurance"/>
    <x v="0"/>
    <s v="Commercial"/>
    <n v="61353.120000000003"/>
    <n v="17235.68"/>
    <n v="0"/>
  </r>
  <r>
    <x v="1159"/>
    <s v="Peconic Bay Medical Center"/>
    <n v="2015"/>
    <n v="6"/>
    <s v="Private Health Insurance"/>
    <x v="0"/>
    <s v="Commercial"/>
    <n v="50561.32"/>
    <n v="20312.57"/>
    <n v="0"/>
  </r>
  <r>
    <x v="1160"/>
    <s v="Peconic Bay Medical Center"/>
    <n v="2015"/>
    <n v="6"/>
    <s v="Private Health Insurance"/>
    <x v="0"/>
    <s v="Commercial"/>
    <n v="12059.08"/>
    <n v="2692.27"/>
    <n v="0"/>
  </r>
  <r>
    <x v="1161"/>
    <s v="Peconic Bay Medical Center"/>
    <n v="2015"/>
    <n v="9"/>
    <s v="Blue Cross/Blue Shield"/>
    <x v="0"/>
    <s v="Commercial"/>
    <n v="14236.28"/>
    <n v="3674.75"/>
    <n v="0"/>
  </r>
  <r>
    <x v="1162"/>
    <s v="Peconic Bay Medical Center"/>
    <n v="2015"/>
    <n v="6"/>
    <s v="Private Health Insurance"/>
    <x v="0"/>
    <s v="Commercial"/>
    <n v="52182.46"/>
    <n v="12348.76"/>
    <n v="0"/>
  </r>
  <r>
    <x v="1163"/>
    <s v="Peconic Bay Medical Center"/>
    <n v="2015"/>
    <n v="6"/>
    <s v="Private Health Insurance"/>
    <x v="0"/>
    <s v="Commercial"/>
    <n v="16211.8"/>
    <n v="4767.4799999999996"/>
    <n v="0"/>
  </r>
  <r>
    <x v="1164"/>
    <s v="Peconic Bay Medical Center"/>
    <n v="2015"/>
    <n v="9"/>
    <s v="Blue Cross/Blue Shield"/>
    <x v="0"/>
    <s v="Commercial"/>
    <n v="46025.22"/>
    <n v="14178.81"/>
    <n v="0"/>
  </r>
  <r>
    <x v="1165"/>
    <s v="Peconic Bay Medical Center"/>
    <n v="2015"/>
    <n v="6"/>
    <s v="Private Health Insurance"/>
    <x v="0"/>
    <s v="Commercial"/>
    <n v="27167.82"/>
    <n v="4907.43"/>
    <n v="0"/>
  </r>
  <r>
    <x v="1166"/>
    <s v="Peconic Bay Medical Center"/>
    <n v="2015"/>
    <n v="6"/>
    <s v="Private Health Insurance"/>
    <x v="0"/>
    <s v="Commercial"/>
    <n v="43067.3"/>
    <n v="18077.419999999998"/>
    <n v="0"/>
  </r>
  <r>
    <x v="1167"/>
    <s v="Peconic Bay Medical Center"/>
    <n v="2015"/>
    <n v="9"/>
    <s v="Blue Cross/Blue Shield"/>
    <x v="0"/>
    <s v="Commercial"/>
    <n v="17872.7"/>
    <n v="3322.11"/>
    <n v="0"/>
  </r>
  <r>
    <x v="1168"/>
    <s v="Peconic Bay Medical Center"/>
    <n v="2015"/>
    <n v="6"/>
    <s v="Private Health Insurance"/>
    <x v="0"/>
    <s v="Commercial"/>
    <n v="27372.66"/>
    <n v="8354.84"/>
    <n v="0"/>
  </r>
  <r>
    <x v="1169"/>
    <s v="Peconic Bay Medical Center"/>
    <n v="2015"/>
    <n v="9"/>
    <s v="Blue Cross/Blue Shield"/>
    <x v="0"/>
    <s v="Commercial"/>
    <n v="16723.02"/>
    <n v="4723.07"/>
    <n v="0"/>
  </r>
  <r>
    <x v="1170"/>
    <s v="Peconic Bay Medical Center"/>
    <n v="2015"/>
    <n v="6"/>
    <s v="Private Health Insurance"/>
    <x v="0"/>
    <s v="Commercial"/>
    <n v="55403.28"/>
    <n v="18768.7"/>
    <n v="0"/>
  </r>
  <r>
    <x v="1171"/>
    <s v="Peconic Bay Medical Center"/>
    <n v="2015"/>
    <n v="6"/>
    <s v="Private Health Insurance"/>
    <x v="0"/>
    <s v="Commercial"/>
    <n v="21384.68"/>
    <n v="5906.59"/>
    <n v="0"/>
  </r>
  <r>
    <x v="1172"/>
    <s v="Peconic Bay Medical Center"/>
    <n v="2015"/>
    <n v="9"/>
    <s v="Blue Cross/Blue Shield"/>
    <x v="0"/>
    <s v="Commercial"/>
    <n v="19436.080000000002"/>
    <n v="5650.85"/>
    <n v="0"/>
  </r>
  <r>
    <x v="1173"/>
    <s v="Peconic Bay Medical Center"/>
    <n v="2015"/>
    <n v="6"/>
    <s v="Private Health Insurance"/>
    <x v="0"/>
    <s v="Commercial"/>
    <n v="24708.86"/>
    <n v="7816.14"/>
    <n v="0"/>
  </r>
  <r>
    <x v="1174"/>
    <s v="Peconic Bay Medical Center"/>
    <n v="2015"/>
    <n v="9"/>
    <s v="Blue Cross/Blue Shield"/>
    <x v="0"/>
    <s v="Commercial"/>
    <n v="21257.4"/>
    <n v="4279.66"/>
    <n v="0"/>
  </r>
  <r>
    <x v="1175"/>
    <s v="Peconic Bay Medical Center"/>
    <n v="2015"/>
    <n v="9"/>
    <s v="Blue Cross/Blue Shield"/>
    <x v="0"/>
    <s v="Commercial"/>
    <n v="66925.179999999993"/>
    <n v="28272.03"/>
    <n v="0"/>
  </r>
  <r>
    <x v="1176"/>
    <s v="Peconic Bay Medical Center"/>
    <n v="2015"/>
    <n v="9"/>
    <s v="Blue Cross/Blue Shield"/>
    <x v="0"/>
    <s v="Commercial"/>
    <n v="61680.14"/>
    <n v="19424.55"/>
    <n v="0"/>
  </r>
  <r>
    <x v="1177"/>
    <s v="Peconic Bay Medical Center"/>
    <n v="2015"/>
    <n v="9"/>
    <s v="Blue Cross/Blue Shield"/>
    <x v="0"/>
    <s v="Commercial"/>
    <n v="28969.56"/>
    <n v="7773.73"/>
    <n v="0"/>
  </r>
  <r>
    <x v="1178"/>
    <s v="Peconic Bay Medical Center"/>
    <n v="2015"/>
    <n v="6"/>
    <s v="Private Health Insurance"/>
    <x v="0"/>
    <s v="Commercial"/>
    <n v="17258.28"/>
    <n v="4427.9399999999996"/>
    <n v="0"/>
  </r>
  <r>
    <x v="1179"/>
    <s v="Peconic Bay Medical Center"/>
    <n v="2015"/>
    <n v="6"/>
    <s v="Private Health Insurance"/>
    <x v="0"/>
    <s v="Commercial"/>
    <n v="20571.18"/>
    <n v="8696.9"/>
    <n v="0"/>
  </r>
  <r>
    <x v="1180"/>
    <s v="Peconic Bay Medical Center"/>
    <n v="2015"/>
    <n v="6"/>
    <s v="Private Health Insurance"/>
    <x v="0"/>
    <s v="Commercial"/>
    <n v="21510.18"/>
    <n v="9862.73"/>
    <n v="0"/>
  </r>
  <r>
    <x v="1181"/>
    <s v="Peconic Bay Medical Center"/>
    <n v="2015"/>
    <n v="9"/>
    <s v="Blue Cross/Blue Shield"/>
    <x v="0"/>
    <s v="Commercial"/>
    <n v="26159.74"/>
    <n v="8417.19"/>
    <n v="0"/>
  </r>
  <r>
    <x v="1182"/>
    <s v="Peconic Bay Medical Center"/>
    <n v="2015"/>
    <n v="6"/>
    <s v="Private Health Insurance"/>
    <x v="0"/>
    <s v="Commercial"/>
    <n v="12627.66"/>
    <n v="3284.83"/>
    <n v="0"/>
  </r>
  <r>
    <x v="1183"/>
    <s v="Peconic Bay Medical Center"/>
    <n v="2015"/>
    <n v="9"/>
    <s v="Blue Cross/Blue Shield"/>
    <x v="0"/>
    <s v="Commercial"/>
    <n v="14177.34"/>
    <n v="3142.48"/>
    <n v="0"/>
  </r>
  <r>
    <x v="1184"/>
    <s v="Peconic Bay Medical Center"/>
    <n v="2015"/>
    <n v="6"/>
    <s v="Private Health Insurance"/>
    <x v="0"/>
    <s v="Commercial"/>
    <n v="48376.3"/>
    <n v="17904.45"/>
    <n v="0"/>
  </r>
  <r>
    <x v="1185"/>
    <s v="Peconic Bay Medical Center"/>
    <n v="2015"/>
    <n v="6"/>
    <s v="Private Health Insurance"/>
    <x v="0"/>
    <s v="Commercial"/>
    <n v="16621.88"/>
    <n v="4989.8599999999997"/>
    <n v="0"/>
  </r>
  <r>
    <x v="1186"/>
    <s v="Peconic Bay Medical Center"/>
    <n v="2015"/>
    <n v="6"/>
    <s v="Private Health Insurance"/>
    <x v="0"/>
    <s v="Commercial"/>
    <n v="13701.2"/>
    <n v="3195.48"/>
    <n v="0"/>
  </r>
  <r>
    <x v="1187"/>
    <s v="Peconic Bay Medical Center"/>
    <n v="2015"/>
    <n v="9"/>
    <s v="Blue Cross/Blue Shield"/>
    <x v="0"/>
    <s v="Commercial"/>
    <n v="20189.8"/>
    <n v="3200.94"/>
    <n v="0"/>
  </r>
  <r>
    <x v="1188"/>
    <s v="Peconic Bay Medical Center"/>
    <n v="2015"/>
    <n v="6"/>
    <s v="Private Health Insurance"/>
    <x v="0"/>
    <s v="Commercial"/>
    <n v="51424.84"/>
    <n v="32334.41"/>
    <n v="0"/>
  </r>
  <r>
    <x v="1189"/>
    <s v="Peconic Bay Medical Center"/>
    <n v="2015"/>
    <n v="9"/>
    <s v="Blue Cross/Blue Shield"/>
    <x v="0"/>
    <s v="Commercial"/>
    <n v="10204.32"/>
    <n v="2792.34"/>
    <n v="0"/>
  </r>
  <r>
    <x v="1190"/>
    <s v="Peconic Bay Medical Center"/>
    <n v="2015"/>
    <n v="9"/>
    <s v="Blue Cross/Blue Shield"/>
    <x v="0"/>
    <s v="Commercial"/>
    <n v="17535.38"/>
    <n v="4827.79"/>
    <n v="0"/>
  </r>
  <r>
    <x v="1191"/>
    <s v="Peconic Bay Medical Center"/>
    <n v="2015"/>
    <n v="9"/>
    <s v="Blue Cross/Blue Shield"/>
    <x v="0"/>
    <s v="Commercial"/>
    <n v="29849.54"/>
    <n v="12161.11"/>
    <n v="0"/>
  </r>
  <r>
    <x v="1192"/>
    <s v="Peconic Bay Medical Center"/>
    <n v="2015"/>
    <n v="9"/>
    <s v="Blue Cross/Blue Shield"/>
    <x v="0"/>
    <s v="Commercial"/>
    <n v="19975.84"/>
    <n v="3434.69"/>
    <n v="0"/>
  </r>
  <r>
    <x v="1193"/>
    <s v="Peconic Bay Medical Center"/>
    <n v="2015"/>
    <n v="6"/>
    <s v="Private Health Insurance"/>
    <x v="0"/>
    <s v="Commercial"/>
    <n v="33588.76"/>
    <n v="10287.629999999999"/>
    <n v="0"/>
  </r>
  <r>
    <x v="1194"/>
    <s v="Peconic Bay Medical Center"/>
    <n v="2015"/>
    <n v="6"/>
    <s v="Private Health Insurance"/>
    <x v="0"/>
    <s v="Commercial"/>
    <n v="23323.72"/>
    <n v="5238.08"/>
    <n v="0"/>
  </r>
  <r>
    <x v="1195"/>
    <s v="Peconic Bay Medical Center"/>
    <n v="2015"/>
    <n v="9"/>
    <s v="Blue Cross/Blue Shield"/>
    <x v="0"/>
    <s v="Commercial"/>
    <n v="8235.52"/>
    <n v="2389.5"/>
    <n v="0"/>
  </r>
  <r>
    <x v="1196"/>
    <s v="Peconic Bay Medical Center"/>
    <n v="2015"/>
    <n v="9"/>
    <s v="Blue Cross/Blue Shield"/>
    <x v="0"/>
    <s v="Commercial"/>
    <n v="24877.360000000001"/>
    <n v="9199.11"/>
    <n v="0"/>
  </r>
  <r>
    <x v="1197"/>
    <s v="Peconic Bay Medical Center"/>
    <n v="2015"/>
    <n v="9"/>
    <s v="Blue Cross/Blue Shield"/>
    <x v="0"/>
    <s v="Commercial"/>
    <n v="29684.52"/>
    <n v="8835.17"/>
    <n v="0"/>
  </r>
  <r>
    <x v="1198"/>
    <s v="Peconic Bay Medical Center"/>
    <n v="2015"/>
    <n v="9"/>
    <s v="Blue Cross/Blue Shield"/>
    <x v="0"/>
    <s v="Commercial"/>
    <n v="34013.22"/>
    <n v="9863.2999999999993"/>
    <n v="0"/>
  </r>
  <r>
    <x v="1199"/>
    <s v="Peconic Bay Medical Center"/>
    <n v="2015"/>
    <n v="9"/>
    <s v="Blue Cross/Blue Shield"/>
    <x v="0"/>
    <s v="Commercial"/>
    <n v="60649.58"/>
    <n v="17707.509999999998"/>
    <n v="0"/>
  </r>
  <r>
    <x v="1200"/>
    <s v="Peconic Bay Medical Center"/>
    <n v="2015"/>
    <n v="9"/>
    <s v="Blue Cross/Blue Shield"/>
    <x v="0"/>
    <s v="Commercial"/>
    <n v="16853.62"/>
    <n v="3175.04"/>
    <n v="0"/>
  </r>
  <r>
    <x v="1201"/>
    <s v="Peconic Bay Medical Center"/>
    <n v="2015"/>
    <n v="9"/>
    <s v="Blue Cross/Blue Shield"/>
    <x v="0"/>
    <s v="Commercial"/>
    <n v="11300.28"/>
    <n v="3020.26"/>
    <n v="0"/>
  </r>
  <r>
    <x v="1202"/>
    <s v="Peconic Bay Medical Center"/>
    <n v="2015"/>
    <n v="6"/>
    <s v="Private Health Insurance"/>
    <x v="0"/>
    <s v="Commercial"/>
    <n v="11670.78"/>
    <n v="3042.14"/>
    <n v="0"/>
  </r>
  <r>
    <x v="1203"/>
    <s v="Peconic Bay Medical Center"/>
    <n v="2015"/>
    <n v="9"/>
    <s v="Blue Cross/Blue Shield"/>
    <x v="0"/>
    <s v="Commercial"/>
    <n v="10484.120000000001"/>
    <n v="2834.01"/>
    <n v="0"/>
  </r>
  <r>
    <x v="1204"/>
    <s v="Peconic Bay Medical Center"/>
    <n v="2015"/>
    <n v="6"/>
    <s v="Private Health Insurance"/>
    <x v="0"/>
    <s v="Commercial"/>
    <n v="9591.84"/>
    <n v="2772.09"/>
    <n v="0"/>
  </r>
  <r>
    <x v="1205"/>
    <s v="Peconic Bay Medical Center"/>
    <n v="2015"/>
    <n v="9"/>
    <s v="Blue Cross/Blue Shield"/>
    <x v="0"/>
    <s v="Commercial"/>
    <n v="32211.8"/>
    <n v="12509.78"/>
    <n v="0"/>
  </r>
  <r>
    <x v="1206"/>
    <s v="Peconic Bay Medical Center"/>
    <n v="2015"/>
    <n v="9"/>
    <s v="Blue Cross/Blue Shield"/>
    <x v="0"/>
    <s v="Commercial"/>
    <n v="28185.9"/>
    <n v="11152.24"/>
    <n v="0"/>
  </r>
  <r>
    <x v="1207"/>
    <s v="Peconic Bay Medical Center"/>
    <n v="2015"/>
    <n v="6"/>
    <s v="Private Health Insurance"/>
    <x v="0"/>
    <s v="Commercial"/>
    <n v="24828.799999999999"/>
    <n v="9960.5499999999993"/>
    <n v="0"/>
  </r>
  <r>
    <x v="1208"/>
    <s v="Peconic Bay Medical Center"/>
    <n v="2015"/>
    <n v="6"/>
    <s v="Private Health Insurance"/>
    <x v="0"/>
    <s v="Commercial"/>
    <n v="22698.78"/>
    <n v="7181.68"/>
    <n v="0"/>
  </r>
  <r>
    <x v="1209"/>
    <s v="Peconic Bay Medical Center"/>
    <n v="2015"/>
    <n v="6"/>
    <s v="Private Health Insurance"/>
    <x v="0"/>
    <s v="Commercial"/>
    <n v="31776.38"/>
    <n v="9402.09"/>
    <n v="0"/>
  </r>
  <r>
    <x v="1210"/>
    <s v="Peconic Bay Medical Center"/>
    <n v="2015"/>
    <n v="6"/>
    <s v="Private Health Insurance"/>
    <x v="0"/>
    <s v="Commercial"/>
    <n v="7467.58"/>
    <n v="2075.9299999999998"/>
    <n v="0"/>
  </r>
  <r>
    <x v="1211"/>
    <s v="Peconic Bay Medical Center"/>
    <n v="2015"/>
    <n v="6"/>
    <s v="Private Health Insurance"/>
    <x v="0"/>
    <s v="Commercial"/>
    <n v="29524.54"/>
    <n v="14317.49"/>
    <n v="0"/>
  </r>
  <r>
    <x v="1212"/>
    <s v="Peconic Bay Medical Center"/>
    <n v="2015"/>
    <n v="9"/>
    <s v="Blue Cross/Blue Shield"/>
    <x v="0"/>
    <s v="Commercial"/>
    <n v="15832.7"/>
    <n v="2985.32"/>
    <n v="0"/>
  </r>
  <r>
    <x v="1213"/>
    <s v="Peconic Bay Medical Center"/>
    <n v="2015"/>
    <n v="6"/>
    <s v="Private Health Insurance"/>
    <x v="0"/>
    <s v="Commercial"/>
    <n v="9275.02"/>
    <n v="2472.33"/>
    <n v="0"/>
  </r>
  <r>
    <x v="1214"/>
    <s v="Peconic Bay Medical Center"/>
    <n v="2015"/>
    <n v="6"/>
    <s v="Private Health Insurance"/>
    <x v="0"/>
    <s v="Commercial"/>
    <n v="23532.58"/>
    <n v="9723.7199999999993"/>
    <n v="0"/>
  </r>
  <r>
    <x v="1215"/>
    <s v="Peconic Bay Medical Center"/>
    <n v="2015"/>
    <n v="9"/>
    <s v="Blue Cross/Blue Shield"/>
    <x v="0"/>
    <s v="Commercial"/>
    <n v="41637.54"/>
    <n v="16293.52"/>
    <n v="0"/>
  </r>
  <r>
    <x v="1216"/>
    <s v="Peconic Bay Medical Center"/>
    <n v="2015"/>
    <n v="6"/>
    <s v="Private Health Insurance"/>
    <x v="0"/>
    <s v="Commercial"/>
    <n v="16414.28"/>
    <n v="4664.66"/>
    <n v="0"/>
  </r>
  <r>
    <x v="1217"/>
    <s v="Peconic Bay Medical Center"/>
    <n v="2015"/>
    <n v="9"/>
    <s v="Blue Cross/Blue Shield"/>
    <x v="0"/>
    <s v="Commercial"/>
    <n v="41283.699999999997"/>
    <n v="14283.27"/>
    <n v="0"/>
  </r>
  <r>
    <x v="1218"/>
    <s v="Peconic Bay Medical Center"/>
    <n v="2015"/>
    <n v="9"/>
    <s v="Blue Cross/Blue Shield"/>
    <x v="0"/>
    <s v="Commercial"/>
    <n v="67092.479999999996"/>
    <n v="27493.63"/>
    <n v="0"/>
  </r>
  <r>
    <x v="1219"/>
    <s v="Peconic Bay Medical Center"/>
    <n v="2015"/>
    <n v="9"/>
    <s v="Blue Cross/Blue Shield"/>
    <x v="0"/>
    <s v="Commercial"/>
    <n v="67968.5"/>
    <n v="24405.51"/>
    <n v="0"/>
  </r>
  <r>
    <x v="1220"/>
    <s v="Peconic Bay Medical Center"/>
    <n v="2015"/>
    <n v="9"/>
    <s v="Blue Cross/Blue Shield"/>
    <x v="0"/>
    <s v="Commercial"/>
    <n v="194895.24"/>
    <n v="161849.5"/>
    <n v="0"/>
  </r>
  <r>
    <x v="1221"/>
    <s v="Peconic Bay Medical Center"/>
    <n v="2015"/>
    <n v="6"/>
    <s v="Private Health Insurance"/>
    <x v="0"/>
    <s v="Commercial"/>
    <n v="128908.38"/>
    <n v="50027.01"/>
    <n v="0"/>
  </r>
  <r>
    <x v="1222"/>
    <s v="Peconic Bay Medical Center"/>
    <n v="2015"/>
    <n v="6"/>
    <s v="Private Health Insurance"/>
    <x v="0"/>
    <s v="Commercial"/>
    <n v="10726"/>
    <n v="3320.16"/>
    <n v="0"/>
  </r>
  <r>
    <x v="1223"/>
    <s v="Peconic Bay Medical Center"/>
    <n v="2015"/>
    <n v="9"/>
    <s v="Blue Cross/Blue Shield"/>
    <x v="0"/>
    <s v="Commercial"/>
    <n v="41905.120000000003"/>
    <n v="21473.88"/>
    <n v="0"/>
  </r>
  <r>
    <x v="1224"/>
    <s v="Peconic Bay Medical Center"/>
    <n v="2015"/>
    <n v="6"/>
    <s v="Private Health Insurance"/>
    <x v="0"/>
    <s v="Commercial"/>
    <n v="15956.78"/>
    <n v="6033.5"/>
    <n v="0"/>
  </r>
  <r>
    <x v="1225"/>
    <s v="Peconic Bay Medical Center"/>
    <n v="2015"/>
    <n v="6"/>
    <s v="Private Health Insurance"/>
    <x v="0"/>
    <s v="Commercial"/>
    <n v="32061.82"/>
    <n v="15196.17"/>
    <n v="0"/>
  </r>
  <r>
    <x v="1226"/>
    <s v="Peconic Bay Medical Center"/>
    <n v="2015"/>
    <n v="6"/>
    <s v="Private Health Insurance"/>
    <x v="0"/>
    <s v="Commercial"/>
    <n v="10608.94"/>
    <n v="3067.57"/>
    <n v="0"/>
  </r>
  <r>
    <x v="1227"/>
    <s v="Peconic Bay Medical Center"/>
    <n v="2015"/>
    <n v="9"/>
    <s v="Blue Cross/Blue Shield"/>
    <x v="0"/>
    <s v="Commercial"/>
    <n v="39132.699999999997"/>
    <n v="10850.19"/>
    <n v="0"/>
  </r>
  <r>
    <x v="1228"/>
    <s v="Peconic Bay Medical Center"/>
    <n v="2015"/>
    <n v="9"/>
    <s v="Blue Cross/Blue Shield"/>
    <x v="0"/>
    <s v="Commercial"/>
    <n v="17148.060000000001"/>
    <n v="3660.5"/>
    <n v="0"/>
  </r>
  <r>
    <x v="1229"/>
    <s v="Peconic Bay Medical Center"/>
    <n v="2015"/>
    <n v="9"/>
    <s v="Blue Cross/Blue Shield"/>
    <x v="0"/>
    <s v="Commercial"/>
    <n v="23617.119999999999"/>
    <n v="7189.29"/>
    <n v="0"/>
  </r>
  <r>
    <x v="1230"/>
    <s v="Peconic Bay Medical Center"/>
    <n v="2015"/>
    <n v="6"/>
    <s v="Private Health Insurance"/>
    <x v="0"/>
    <s v="Commercial"/>
    <n v="15355.98"/>
    <n v="5056.43"/>
    <n v="0"/>
  </r>
  <r>
    <x v="1231"/>
    <s v="Peconic Bay Medical Center"/>
    <n v="2015"/>
    <n v="6"/>
    <s v="Private Health Insurance"/>
    <x v="0"/>
    <s v="Commercial"/>
    <n v="17997.7"/>
    <n v="5271.18"/>
    <n v="0"/>
  </r>
  <r>
    <x v="1232"/>
    <s v="Peconic Bay Medical Center"/>
    <n v="2015"/>
    <n v="6"/>
    <s v="Private Health Insurance"/>
    <x v="0"/>
    <s v="Commercial"/>
    <n v="53930.96"/>
    <n v="31194.84"/>
    <n v="0"/>
  </r>
  <r>
    <x v="1233"/>
    <s v="Peconic Bay Medical Center"/>
    <n v="2015"/>
    <n v="9"/>
    <s v="Blue Cross/Blue Shield"/>
    <x v="0"/>
    <s v="Commercial"/>
    <n v="16749.599999999999"/>
    <n v="4745.83"/>
    <n v="0"/>
  </r>
  <r>
    <x v="1234"/>
    <s v="Peconic Bay Medical Center"/>
    <n v="2015"/>
    <n v="6"/>
    <s v="Private Health Insurance"/>
    <x v="0"/>
    <s v="Commercial"/>
    <n v="17780.12"/>
    <n v="3538.97"/>
    <n v="0"/>
  </r>
  <r>
    <x v="1235"/>
    <s v="Peconic Bay Medical Center"/>
    <n v="2015"/>
    <n v="6"/>
    <s v="Private Health Insurance"/>
    <x v="0"/>
    <s v="Commercial"/>
    <n v="12936.34"/>
    <n v="3045.97"/>
    <n v="0"/>
  </r>
  <r>
    <x v="1236"/>
    <s v="Peconic Bay Medical Center"/>
    <n v="2015"/>
    <n v="9"/>
    <s v="Blue Cross/Blue Shield"/>
    <x v="0"/>
    <s v="Commercial"/>
    <n v="29174.9"/>
    <n v="7899.44"/>
    <n v="0"/>
  </r>
  <r>
    <x v="1237"/>
    <s v="Peconic Bay Medical Center"/>
    <n v="2015"/>
    <n v="6"/>
    <s v="Private Health Insurance"/>
    <x v="0"/>
    <s v="Commercial"/>
    <n v="18409"/>
    <n v="6023.24"/>
    <n v="0"/>
  </r>
  <r>
    <x v="1238"/>
    <s v="Peconic Bay Medical Center"/>
    <n v="2015"/>
    <n v="9"/>
    <s v="Blue Cross/Blue Shield"/>
    <x v="0"/>
    <s v="Commercial"/>
    <n v="26268.5"/>
    <n v="6080.68"/>
    <n v="0"/>
  </r>
  <r>
    <x v="1239"/>
    <s v="Peconic Bay Medical Center"/>
    <n v="2015"/>
    <n v="9"/>
    <s v="Blue Cross/Blue Shield"/>
    <x v="0"/>
    <s v="Commercial"/>
    <n v="39852.449999999997"/>
    <n v="16162.22"/>
    <n v="0"/>
  </r>
  <r>
    <x v="1240"/>
    <s v="Peconic Bay Medical Center"/>
    <n v="2015"/>
    <n v="6"/>
    <s v="Private Health Insurance"/>
    <x v="0"/>
    <s v="Commercial"/>
    <n v="29265.46"/>
    <n v="8219.85"/>
    <n v="0"/>
  </r>
  <r>
    <x v="1241"/>
    <s v="Peconic Bay Medical Center"/>
    <n v="2015"/>
    <n v="6"/>
    <s v="Private Health Insurance"/>
    <x v="0"/>
    <s v="Commercial"/>
    <n v="26073.119999999999"/>
    <n v="6861.75"/>
    <n v="0"/>
  </r>
  <r>
    <x v="1242"/>
    <s v="Peconic Bay Medical Center"/>
    <n v="2015"/>
    <n v="9"/>
    <s v="Blue Cross/Blue Shield"/>
    <x v="0"/>
    <s v="Commercial"/>
    <n v="30364.14"/>
    <n v="8943.14"/>
    <n v="0"/>
  </r>
  <r>
    <x v="1243"/>
    <s v="Peconic Bay Medical Center"/>
    <n v="2015"/>
    <n v="9"/>
    <s v="Blue Cross/Blue Shield"/>
    <x v="0"/>
    <s v="Commercial"/>
    <n v="18454.52"/>
    <n v="5963.66"/>
    <n v="0"/>
  </r>
  <r>
    <x v="1244"/>
    <s v="Peconic Bay Medical Center"/>
    <n v="2015"/>
    <n v="6"/>
    <s v="Private Health Insurance"/>
    <x v="0"/>
    <s v="Commercial"/>
    <n v="24251.9"/>
    <n v="7765.06"/>
    <n v="0"/>
  </r>
  <r>
    <x v="1245"/>
    <s v="Peconic Bay Medical Center"/>
    <n v="2015"/>
    <n v="6"/>
    <s v="Private Health Insurance"/>
    <x v="0"/>
    <s v="Commercial"/>
    <n v="22884.42"/>
    <n v="9748.4599999999991"/>
    <n v="0"/>
  </r>
  <r>
    <x v="1246"/>
    <s v="Peconic Bay Medical Center"/>
    <n v="2015"/>
    <n v="6"/>
    <s v="Private Health Insurance"/>
    <x v="0"/>
    <s v="Commercial"/>
    <n v="21156.74"/>
    <n v="5561.29"/>
    <n v="0"/>
  </r>
  <r>
    <x v="1247"/>
    <s v="Peconic Bay Medical Center"/>
    <n v="2015"/>
    <n v="9"/>
    <s v="Blue Cross/Blue Shield"/>
    <x v="0"/>
    <s v="Commercial"/>
    <n v="28215.3"/>
    <n v="18866.32"/>
    <n v="0"/>
  </r>
  <r>
    <x v="1248"/>
    <s v="Peconic Bay Medical Center"/>
    <n v="2015"/>
    <n v="6"/>
    <s v="Private Health Insurance"/>
    <x v="0"/>
    <s v="Commercial"/>
    <n v="37146.959999999999"/>
    <n v="12300.01"/>
    <n v="0"/>
  </r>
  <r>
    <x v="1249"/>
    <s v="Peconic Bay Medical Center"/>
    <n v="2015"/>
    <n v="6"/>
    <s v="Private Health Insurance"/>
    <x v="0"/>
    <s v="Commercial"/>
    <n v="37216.019999999997"/>
    <n v="8150.99"/>
    <n v="0"/>
  </r>
  <r>
    <x v="1250"/>
    <s v="Peconic Bay Medical Center"/>
    <n v="2015"/>
    <n v="9"/>
    <s v="Blue Cross/Blue Shield"/>
    <x v="0"/>
    <s v="Commercial"/>
    <n v="17319.16"/>
    <n v="4860.76"/>
    <n v="0"/>
  </r>
  <r>
    <x v="1251"/>
    <s v="Peconic Bay Medical Center"/>
    <n v="2015"/>
    <n v="6"/>
    <s v="Private Health Insurance"/>
    <x v="0"/>
    <s v="Commercial"/>
    <n v="37748.36"/>
    <n v="11653.48"/>
    <n v="0"/>
  </r>
  <r>
    <x v="1252"/>
    <s v="Peconic Bay Medical Center"/>
    <n v="2015"/>
    <n v="9"/>
    <s v="Blue Cross/Blue Shield"/>
    <x v="0"/>
    <s v="Commercial"/>
    <n v="10262.58"/>
    <n v="2342.56"/>
    <n v="0"/>
  </r>
  <r>
    <x v="1253"/>
    <s v="Peconic Bay Medical Center"/>
    <n v="2015"/>
    <n v="6"/>
    <s v="Private Health Insurance"/>
    <x v="0"/>
    <s v="Commercial"/>
    <n v="9963.52"/>
    <n v="2643.96"/>
    <n v="0"/>
  </r>
  <r>
    <x v="1254"/>
    <s v="Peconic Bay Medical Center"/>
    <n v="2015"/>
    <n v="9"/>
    <s v="Blue Cross/Blue Shield"/>
    <x v="0"/>
    <s v="Commercial"/>
    <n v="18623.240000000002"/>
    <n v="8168.84"/>
    <n v="0"/>
  </r>
  <r>
    <x v="1255"/>
    <s v="Peconic Bay Medical Center"/>
    <n v="2015"/>
    <n v="9"/>
    <s v="Blue Cross/Blue Shield"/>
    <x v="0"/>
    <s v="Commercial"/>
    <n v="16674.34"/>
    <n v="6828.15"/>
    <n v="0"/>
  </r>
  <r>
    <x v="1256"/>
    <s v="Peconic Bay Medical Center"/>
    <n v="2015"/>
    <n v="9"/>
    <s v="Blue Cross/Blue Shield"/>
    <x v="0"/>
    <s v="Commercial"/>
    <n v="14151.68"/>
    <n v="3759.81"/>
    <n v="0"/>
  </r>
  <r>
    <x v="1257"/>
    <s v="Peconic Bay Medical Center"/>
    <n v="2015"/>
    <n v="9"/>
    <s v="Blue Cross/Blue Shield"/>
    <x v="0"/>
    <s v="Commercial"/>
    <n v="78364.39"/>
    <n v="43921.38"/>
    <n v="0"/>
  </r>
  <r>
    <x v="1258"/>
    <s v="Peconic Bay Medical Center"/>
    <n v="2015"/>
    <n v="6"/>
    <s v="Private Health Insurance"/>
    <x v="0"/>
    <s v="Commercial"/>
    <n v="10362.379999999999"/>
    <n v="2870.38"/>
    <n v="0"/>
  </r>
  <r>
    <x v="1259"/>
    <s v="Peconic Bay Medical Center"/>
    <n v="2015"/>
    <n v="6"/>
    <s v="Private Health Insurance"/>
    <x v="0"/>
    <s v="Commercial"/>
    <n v="17253.04"/>
    <n v="4939.37"/>
    <n v="0"/>
  </r>
  <r>
    <x v="1260"/>
    <s v="Peconic Bay Medical Center"/>
    <n v="2015"/>
    <n v="6"/>
    <s v="Private Health Insurance"/>
    <x v="0"/>
    <s v="Commercial"/>
    <n v="8585.94"/>
    <n v="2298.11"/>
    <n v="0"/>
  </r>
  <r>
    <x v="1261"/>
    <s v="Peconic Bay Medical Center"/>
    <n v="2015"/>
    <n v="9"/>
    <s v="Blue Cross/Blue Shield"/>
    <x v="0"/>
    <s v="Commercial"/>
    <n v="8257.44"/>
    <n v="2240.12"/>
    <n v="0"/>
  </r>
  <r>
    <x v="1262"/>
    <s v="Peconic Bay Medical Center"/>
    <n v="2015"/>
    <n v="6"/>
    <s v="Private Health Insurance"/>
    <x v="0"/>
    <s v="Commercial"/>
    <n v="12348.46"/>
    <n v="2753.52"/>
    <n v="0"/>
  </r>
  <r>
    <x v="1263"/>
    <s v="Peconic Bay Medical Center"/>
    <n v="2015"/>
    <n v="9"/>
    <s v="Blue Cross/Blue Shield"/>
    <x v="0"/>
    <s v="Commercial"/>
    <n v="9558.6"/>
    <n v="2871.07"/>
    <n v="0"/>
  </r>
  <r>
    <x v="1264"/>
    <s v="Peconic Bay Medical Center"/>
    <n v="2015"/>
    <n v="6"/>
    <s v="Private Health Insurance"/>
    <x v="0"/>
    <s v="Commercial"/>
    <n v="17859.46"/>
    <n v="5458.82"/>
    <n v="0"/>
  </r>
  <r>
    <x v="1265"/>
    <s v="Peconic Bay Medical Center"/>
    <n v="2015"/>
    <n v="9"/>
    <s v="Blue Cross/Blue Shield"/>
    <x v="0"/>
    <s v="Commercial"/>
    <n v="21164.12"/>
    <n v="8742.94"/>
    <n v="0"/>
  </r>
  <r>
    <x v="1266"/>
    <s v="Peconic Bay Medical Center"/>
    <n v="2015"/>
    <n v="9"/>
    <s v="Blue Cross/Blue Shield"/>
    <x v="0"/>
    <s v="Commercial"/>
    <n v="47568.86"/>
    <n v="13615.27"/>
    <n v="0"/>
  </r>
  <r>
    <x v="1267"/>
    <s v="Peconic Bay Medical Center"/>
    <n v="2015"/>
    <n v="6"/>
    <s v="Private Health Insurance"/>
    <x v="0"/>
    <s v="Commercial"/>
    <n v="37714.5"/>
    <n v="17821.52"/>
    <n v="0"/>
  </r>
  <r>
    <x v="1268"/>
    <s v="Peconic Bay Medical Center"/>
    <n v="2015"/>
    <n v="6"/>
    <s v="Private Health Insurance"/>
    <x v="0"/>
    <s v="Commercial"/>
    <n v="50819.519999999997"/>
    <n v="27627.119999999999"/>
    <n v="0"/>
  </r>
  <r>
    <x v="1269"/>
    <s v="Peconic Bay Medical Center"/>
    <n v="2015"/>
    <n v="9"/>
    <s v="Blue Cross/Blue Shield"/>
    <x v="0"/>
    <s v="Commercial"/>
    <n v="35104.86"/>
    <n v="10818.51"/>
    <n v="0"/>
  </r>
  <r>
    <x v="1270"/>
    <s v="Peconic Bay Medical Center"/>
    <n v="2015"/>
    <n v="9"/>
    <s v="Blue Cross/Blue Shield"/>
    <x v="0"/>
    <s v="Commercial"/>
    <n v="27993.8"/>
    <n v="12210.63"/>
    <n v="0"/>
  </r>
  <r>
    <x v="1271"/>
    <s v="Peconic Bay Medical Center"/>
    <n v="2015"/>
    <n v="6"/>
    <s v="Private Health Insurance"/>
    <x v="0"/>
    <s v="Commercial"/>
    <n v="63265.440000000002"/>
    <n v="45558.97"/>
    <n v="0"/>
  </r>
  <r>
    <x v="1272"/>
    <s v="Peconic Bay Medical Center"/>
    <n v="2015"/>
    <n v="9"/>
    <s v="Blue Cross/Blue Shield"/>
    <x v="0"/>
    <s v="Commercial"/>
    <n v="48801.93"/>
    <n v="18631.48"/>
    <n v="0"/>
  </r>
  <r>
    <x v="1273"/>
    <s v="Peconic Bay Medical Center"/>
    <n v="2015"/>
    <n v="9"/>
    <s v="Blue Cross/Blue Shield"/>
    <x v="0"/>
    <s v="Commercial"/>
    <n v="30450.98"/>
    <n v="16052.22"/>
    <n v="0"/>
  </r>
  <r>
    <x v="1274"/>
    <s v="Peconic Bay Medical Center"/>
    <n v="2015"/>
    <n v="9"/>
    <s v="Blue Cross/Blue Shield"/>
    <x v="0"/>
    <s v="Commercial"/>
    <n v="31544.42"/>
    <n v="6693.37"/>
    <n v="0"/>
  </r>
  <r>
    <x v="1275"/>
    <s v="Peconic Bay Medical Center"/>
    <n v="2015"/>
    <n v="6"/>
    <s v="Private Health Insurance"/>
    <x v="0"/>
    <s v="Commercial"/>
    <n v="21965.84"/>
    <n v="8538.5400000000009"/>
    <n v="0"/>
  </r>
  <r>
    <x v="1276"/>
    <s v="Peconic Bay Medical Center"/>
    <n v="2015"/>
    <n v="9"/>
    <s v="Blue Cross/Blue Shield"/>
    <x v="0"/>
    <s v="Commercial"/>
    <n v="34736.14"/>
    <n v="9193.4"/>
    <n v="0"/>
  </r>
  <r>
    <x v="1277"/>
    <s v="Peconic Bay Medical Center"/>
    <n v="2015"/>
    <n v="9"/>
    <s v="Blue Cross/Blue Shield"/>
    <x v="0"/>
    <s v="Commercial"/>
    <n v="25868.7"/>
    <n v="11439.67"/>
    <n v="0"/>
  </r>
  <r>
    <x v="1278"/>
    <s v="Peconic Bay Medical Center"/>
    <n v="2015"/>
    <n v="6"/>
    <s v="Private Health Insurance"/>
    <x v="0"/>
    <s v="Commercial"/>
    <n v="17912.64"/>
    <n v="5045.3900000000003"/>
    <n v="0"/>
  </r>
  <r>
    <x v="1279"/>
    <s v="Peconic Bay Medical Center"/>
    <n v="2015"/>
    <n v="6"/>
    <s v="Private Health Insurance"/>
    <x v="0"/>
    <s v="Commercial"/>
    <n v="51909.06"/>
    <n v="28377.34"/>
    <n v="0"/>
  </r>
  <r>
    <x v="1280"/>
    <s v="Peconic Bay Medical Center"/>
    <n v="2015"/>
    <n v="6"/>
    <s v="Private Health Insurance"/>
    <x v="0"/>
    <s v="Commercial"/>
    <n v="10651.86"/>
    <n v="2933.48"/>
    <n v="0"/>
  </r>
  <r>
    <x v="1281"/>
    <s v="Peconic Bay Medical Center"/>
    <n v="2015"/>
    <n v="9"/>
    <s v="Blue Cross/Blue Shield"/>
    <x v="0"/>
    <s v="Commercial"/>
    <n v="8050.18"/>
    <n v="2321.41"/>
    <n v="0"/>
  </r>
  <r>
    <x v="1282"/>
    <s v="Peconic Bay Medical Center"/>
    <n v="2015"/>
    <n v="6"/>
    <s v="Private Health Insurance"/>
    <x v="0"/>
    <s v="Commercial"/>
    <n v="39845.82"/>
    <n v="13136.49"/>
    <n v="0"/>
  </r>
  <r>
    <x v="1283"/>
    <s v="Peconic Bay Medical Center"/>
    <n v="2015"/>
    <n v="9"/>
    <s v="Blue Cross/Blue Shield"/>
    <x v="0"/>
    <s v="Commercial"/>
    <n v="44758.41"/>
    <n v="31242.65"/>
    <n v="0"/>
  </r>
  <r>
    <x v="1284"/>
    <s v="Peconic Bay Medical Center"/>
    <n v="2015"/>
    <n v="6"/>
    <s v="Private Health Insurance"/>
    <x v="0"/>
    <s v="Commercial"/>
    <n v="35105.980000000003"/>
    <n v="10005.959999999999"/>
    <n v="0"/>
  </r>
  <r>
    <x v="1285"/>
    <s v="Peconic Bay Medical Center"/>
    <n v="2015"/>
    <n v="6"/>
    <s v="Private Health Insurance"/>
    <x v="0"/>
    <s v="Commercial"/>
    <n v="132858.07999999999"/>
    <n v="87702.52"/>
    <n v="0"/>
  </r>
  <r>
    <x v="1286"/>
    <s v="Peconic Bay Medical Center"/>
    <n v="2015"/>
    <n v="9"/>
    <s v="Blue Cross/Blue Shield"/>
    <x v="0"/>
    <s v="Commercial"/>
    <n v="13081.4"/>
    <n v="4030.81"/>
    <n v="0"/>
  </r>
  <r>
    <x v="1287"/>
    <s v="Peconic Bay Medical Center"/>
    <n v="2015"/>
    <n v="6"/>
    <s v="Private Health Insurance"/>
    <x v="0"/>
    <s v="Commercial"/>
    <n v="48556.59"/>
    <n v="28038.71"/>
    <n v="0"/>
  </r>
  <r>
    <x v="1288"/>
    <s v="Peconic Bay Medical Center"/>
    <n v="2015"/>
    <n v="6"/>
    <s v="Private Health Insurance"/>
    <x v="0"/>
    <s v="Commercial"/>
    <n v="14073.08"/>
    <n v="4190.7299999999996"/>
    <n v="0"/>
  </r>
  <r>
    <x v="1289"/>
    <s v="Peconic Bay Medical Center"/>
    <n v="2015"/>
    <n v="9"/>
    <s v="Blue Cross/Blue Shield"/>
    <x v="0"/>
    <s v="Commercial"/>
    <n v="10702.1"/>
    <n v="2907.32"/>
    <n v="0"/>
  </r>
  <r>
    <x v="1290"/>
    <s v="Peconic Bay Medical Center"/>
    <n v="2015"/>
    <n v="6"/>
    <s v="Private Health Insurance"/>
    <x v="0"/>
    <s v="Commercial"/>
    <n v="29083.8"/>
    <n v="10962.18"/>
    <n v="0"/>
  </r>
  <r>
    <x v="1291"/>
    <s v="Peconic Bay Medical Center"/>
    <n v="2015"/>
    <n v="6"/>
    <s v="Private Health Insurance"/>
    <x v="0"/>
    <s v="Commercial"/>
    <n v="21121.7"/>
    <n v="6364.56"/>
    <n v="0"/>
  </r>
  <r>
    <x v="1292"/>
    <s v="Peconic Bay Medical Center"/>
    <n v="2015"/>
    <n v="9"/>
    <s v="Blue Cross/Blue Shield"/>
    <x v="0"/>
    <s v="Commercial"/>
    <n v="26858.7"/>
    <n v="9381.2800000000007"/>
    <n v="0"/>
  </r>
  <r>
    <x v="1293"/>
    <s v="Peconic Bay Medical Center"/>
    <n v="2015"/>
    <n v="6"/>
    <s v="Private Health Insurance"/>
    <x v="0"/>
    <s v="Commercial"/>
    <n v="16283.94"/>
    <n v="4869.04"/>
    <n v="0"/>
  </r>
  <r>
    <x v="1294"/>
    <s v="Peconic Bay Medical Center"/>
    <n v="2015"/>
    <n v="9"/>
    <s v="Blue Cross/Blue Shield"/>
    <x v="0"/>
    <s v="Commercial"/>
    <n v="91456.62"/>
    <n v="33071.24"/>
    <n v="0"/>
  </r>
  <r>
    <x v="1295"/>
    <s v="Peconic Bay Medical Center"/>
    <n v="2015"/>
    <n v="6"/>
    <s v="Private Health Insurance"/>
    <x v="0"/>
    <s v="Commercial"/>
    <n v="26434.36"/>
    <n v="8721.3700000000008"/>
    <n v="0"/>
  </r>
  <r>
    <x v="1296"/>
    <s v="Peconic Bay Medical Center"/>
    <n v="2015"/>
    <n v="9"/>
    <s v="Blue Cross/Blue Shield"/>
    <x v="0"/>
    <s v="Commercial"/>
    <n v="27110.080000000002"/>
    <n v="7150"/>
    <n v="0"/>
  </r>
  <r>
    <x v="1297"/>
    <s v="Peconic Bay Medical Center"/>
    <n v="2015"/>
    <n v="6"/>
    <s v="Private Health Insurance"/>
    <x v="0"/>
    <s v="Commercial"/>
    <n v="9703.4599999999991"/>
    <n v="2757.13"/>
    <n v="0"/>
  </r>
  <r>
    <x v="1298"/>
    <s v="Peconic Bay Medical Center"/>
    <n v="2015"/>
    <n v="6"/>
    <s v="Private Health Insurance"/>
    <x v="0"/>
    <s v="Commercial"/>
    <n v="32535.360000000001"/>
    <n v="11420.05"/>
    <n v="0"/>
  </r>
  <r>
    <x v="1299"/>
    <s v="Peconic Bay Medical Center"/>
    <n v="2015"/>
    <n v="9"/>
    <s v="Blue Cross/Blue Shield"/>
    <x v="0"/>
    <s v="Commercial"/>
    <n v="26169.040000000001"/>
    <n v="11520.15"/>
    <n v="0"/>
  </r>
  <r>
    <x v="1300"/>
    <s v="Peconic Bay Medical Center"/>
    <n v="2015"/>
    <n v="6"/>
    <s v="Private Health Insurance"/>
    <x v="0"/>
    <s v="Commercial"/>
    <n v="18052.48"/>
    <n v="5569.75"/>
    <n v="0"/>
  </r>
  <r>
    <x v="1301"/>
    <s v="Peconic Bay Medical Center"/>
    <n v="2015"/>
    <n v="6"/>
    <s v="Private Health Insurance"/>
    <x v="0"/>
    <s v="Commercial"/>
    <n v="56960.08"/>
    <n v="22339.06"/>
    <n v="0"/>
  </r>
  <r>
    <x v="1302"/>
    <s v="Peconic Bay Medical Center"/>
    <n v="2015"/>
    <n v="9"/>
    <s v="Blue Cross/Blue Shield"/>
    <x v="0"/>
    <s v="Commercial"/>
    <n v="25621.599999999999"/>
    <n v="8405.44"/>
    <n v="0"/>
  </r>
  <r>
    <x v="1303"/>
    <s v="Peconic Bay Medical Center"/>
    <n v="2015"/>
    <n v="6"/>
    <s v="Private Health Insurance"/>
    <x v="0"/>
    <s v="Commercial"/>
    <n v="81262.12"/>
    <n v="64219.78"/>
    <n v="0"/>
  </r>
  <r>
    <x v="1304"/>
    <s v="Peconic Bay Medical Center"/>
    <n v="2015"/>
    <n v="6"/>
    <s v="Private Health Insurance"/>
    <x v="0"/>
    <s v="Commercial"/>
    <n v="8852.1200000000008"/>
    <n v="6005.48"/>
    <n v="0"/>
  </r>
  <r>
    <x v="1305"/>
    <s v="Peconic Bay Medical Center"/>
    <n v="2015"/>
    <n v="9"/>
    <s v="Blue Cross/Blue Shield"/>
    <x v="0"/>
    <s v="Commercial"/>
    <n v="65796.740000000005"/>
    <n v="21658.41"/>
    <n v="0"/>
  </r>
  <r>
    <x v="1306"/>
    <s v="Peconic Bay Medical Center"/>
    <n v="2015"/>
    <n v="9"/>
    <s v="Blue Cross/Blue Shield"/>
    <x v="0"/>
    <s v="Commercial"/>
    <n v="16294.12"/>
    <n v="4717.18"/>
    <n v="0"/>
  </r>
  <r>
    <x v="1307"/>
    <s v="Peconic Bay Medical Center"/>
    <n v="2015"/>
    <n v="6"/>
    <s v="Private Health Insurance"/>
    <x v="0"/>
    <s v="Commercial"/>
    <n v="16862.580000000002"/>
    <n v="3688.81"/>
    <n v="0"/>
  </r>
  <r>
    <x v="1308"/>
    <s v="Peconic Bay Medical Center"/>
    <n v="2015"/>
    <n v="6"/>
    <s v="Private Health Insurance"/>
    <x v="0"/>
    <s v="Commercial"/>
    <n v="24067.1"/>
    <n v="8715.3700000000008"/>
    <n v="0"/>
  </r>
  <r>
    <x v="1309"/>
    <s v="Peconic Bay Medical Center"/>
    <n v="2015"/>
    <n v="6"/>
    <s v="Private Health Insurance"/>
    <x v="0"/>
    <s v="Commercial"/>
    <n v="11886.22"/>
    <n v="2666.4"/>
    <n v="0"/>
  </r>
  <r>
    <x v="1310"/>
    <s v="Peconic Bay Medical Center"/>
    <n v="2015"/>
    <n v="6"/>
    <s v="Private Health Insurance"/>
    <x v="0"/>
    <s v="Commercial"/>
    <n v="19532.84"/>
    <n v="8698.5"/>
    <n v="0"/>
  </r>
  <r>
    <x v="1311"/>
    <s v="Peconic Bay Medical Center"/>
    <n v="2015"/>
    <n v="6"/>
    <s v="Private Health Insurance"/>
    <x v="0"/>
    <s v="Commercial"/>
    <n v="32696.22"/>
    <n v="11419.67"/>
    <n v="0"/>
  </r>
  <r>
    <x v="1312"/>
    <s v="Peconic Bay Medical Center"/>
    <n v="2015"/>
    <n v="9"/>
    <s v="Blue Cross/Blue Shield"/>
    <x v="0"/>
    <s v="Commercial"/>
    <n v="10376.94"/>
    <n v="2751.91"/>
    <n v="0"/>
  </r>
  <r>
    <x v="1313"/>
    <s v="Peconic Bay Medical Center"/>
    <n v="2015"/>
    <n v="6"/>
    <s v="Private Health Insurance"/>
    <x v="0"/>
    <s v="Commercial"/>
    <n v="27713.54"/>
    <n v="13638.99"/>
    <n v="0"/>
  </r>
  <r>
    <x v="1314"/>
    <s v="Peconic Bay Medical Center"/>
    <n v="2015"/>
    <n v="9"/>
    <s v="Blue Cross/Blue Shield"/>
    <x v="0"/>
    <s v="Commercial"/>
    <n v="57310.6"/>
    <n v="29621.01"/>
    <n v="0"/>
  </r>
  <r>
    <x v="1315"/>
    <s v="Peconic Bay Medical Center"/>
    <n v="2015"/>
    <n v="6"/>
    <s v="Private Health Insurance"/>
    <x v="0"/>
    <s v="Commercial"/>
    <n v="26472.560000000001"/>
    <n v="4662.71"/>
    <n v="0"/>
  </r>
  <r>
    <x v="1316"/>
    <s v="Peconic Bay Medical Center"/>
    <n v="2015"/>
    <n v="6"/>
    <s v="Private Health Insurance"/>
    <x v="0"/>
    <s v="Commercial"/>
    <n v="39208.639999999999"/>
    <n v="10061.950000000001"/>
    <n v="0"/>
  </r>
  <r>
    <x v="1317"/>
    <s v="Peconic Bay Medical Center"/>
    <n v="2015"/>
    <n v="9"/>
    <s v="Blue Cross/Blue Shield"/>
    <x v="0"/>
    <s v="Commercial"/>
    <n v="31682.720000000001"/>
    <n v="9967.9500000000007"/>
    <n v="0"/>
  </r>
  <r>
    <x v="1318"/>
    <s v="Peconic Bay Medical Center"/>
    <n v="2015"/>
    <n v="6"/>
    <s v="Private Health Insurance"/>
    <x v="0"/>
    <s v="Commercial"/>
    <n v="44146.04"/>
    <n v="19704"/>
    <n v="0"/>
  </r>
  <r>
    <x v="1319"/>
    <s v="Peconic Bay Medical Center"/>
    <n v="2015"/>
    <n v="6"/>
    <s v="Private Health Insurance"/>
    <x v="0"/>
    <s v="Commercial"/>
    <n v="7880.4"/>
    <n v="2179.5"/>
    <n v="0"/>
  </r>
  <r>
    <x v="1320"/>
    <s v="Peconic Bay Medical Center"/>
    <n v="2015"/>
    <n v="9"/>
    <s v="Blue Cross/Blue Shield"/>
    <x v="0"/>
    <s v="Commercial"/>
    <n v="16798.46"/>
    <n v="4445.42"/>
    <n v="0"/>
  </r>
  <r>
    <x v="1321"/>
    <s v="Peconic Bay Medical Center"/>
    <n v="2015"/>
    <n v="6"/>
    <s v="Private Health Insurance"/>
    <x v="0"/>
    <s v="Commercial"/>
    <n v="23684.3"/>
    <n v="7406.42"/>
    <n v="0"/>
  </r>
  <r>
    <x v="1322"/>
    <s v="Peconic Bay Medical Center"/>
    <n v="2015"/>
    <n v="9"/>
    <s v="Blue Cross/Blue Shield"/>
    <x v="0"/>
    <s v="Commercial"/>
    <n v="33731.360000000001"/>
    <n v="10024.93"/>
    <n v="0"/>
  </r>
  <r>
    <x v="1323"/>
    <s v="Peconic Bay Medical Center"/>
    <n v="2015"/>
    <n v="6"/>
    <s v="Private Health Insurance"/>
    <x v="0"/>
    <s v="Commercial"/>
    <n v="95724.1"/>
    <n v="31049"/>
    <n v="0"/>
  </r>
  <r>
    <x v="1324"/>
    <s v="Peconic Bay Medical Center"/>
    <n v="2015"/>
    <n v="6"/>
    <s v="Private Health Insurance"/>
    <x v="0"/>
    <s v="Commercial"/>
    <n v="8693.1"/>
    <n v="2401.5300000000002"/>
    <n v="0"/>
  </r>
  <r>
    <x v="1325"/>
    <s v="Peconic Bay Medical Center"/>
    <n v="2015"/>
    <n v="9"/>
    <s v="Blue Cross/Blue Shield"/>
    <x v="0"/>
    <s v="Commercial"/>
    <n v="19196.73"/>
    <n v="6386.1"/>
    <n v="0"/>
  </r>
  <r>
    <x v="1326"/>
    <s v="Peconic Bay Medical Center"/>
    <n v="2015"/>
    <n v="9"/>
    <s v="Blue Cross/Blue Shield"/>
    <x v="0"/>
    <s v="Commercial"/>
    <n v="12916.64"/>
    <n v="3095.69"/>
    <n v="0"/>
  </r>
  <r>
    <x v="1327"/>
    <s v="Peconic Bay Medical Center"/>
    <n v="2015"/>
    <n v="9"/>
    <s v="Blue Cross/Blue Shield"/>
    <x v="0"/>
    <s v="Commercial"/>
    <n v="31742.68"/>
    <n v="5983.2"/>
    <n v="0"/>
  </r>
  <r>
    <x v="1328"/>
    <s v="Peconic Bay Medical Center"/>
    <n v="2015"/>
    <n v="6"/>
    <s v="Private Health Insurance"/>
    <x v="0"/>
    <s v="Commercial"/>
    <n v="30397.32"/>
    <n v="6344.01"/>
    <n v="0"/>
  </r>
  <r>
    <x v="1329"/>
    <s v="Peconic Bay Medical Center"/>
    <n v="2015"/>
    <n v="6"/>
    <s v="Private Health Insurance"/>
    <x v="0"/>
    <s v="Commercial"/>
    <n v="20059.66"/>
    <n v="5244.5"/>
    <n v="0"/>
  </r>
  <r>
    <x v="1330"/>
    <s v="Peconic Bay Medical Center"/>
    <n v="2015"/>
    <n v="6"/>
    <s v="Private Health Insurance"/>
    <x v="0"/>
    <s v="Commercial"/>
    <n v="30725.279999999999"/>
    <n v="8076.12"/>
    <n v="0"/>
  </r>
  <r>
    <x v="1331"/>
    <s v="Peconic Bay Medical Center"/>
    <n v="2015"/>
    <n v="9"/>
    <s v="Blue Cross/Blue Shield"/>
    <x v="0"/>
    <s v="Commercial"/>
    <n v="21379.22"/>
    <n v="8408.65"/>
    <n v="0"/>
  </r>
  <r>
    <x v="1332"/>
    <s v="Peconic Bay Medical Center"/>
    <n v="2015"/>
    <n v="9"/>
    <s v="Blue Cross/Blue Shield"/>
    <x v="0"/>
    <s v="Commercial"/>
    <n v="43287.18"/>
    <n v="14897.61"/>
    <n v="0"/>
  </r>
  <r>
    <x v="1333"/>
    <s v="Peconic Bay Medical Center"/>
    <n v="2015"/>
    <n v="6"/>
    <s v="Private Health Insurance"/>
    <x v="0"/>
    <s v="Commercial"/>
    <n v="11995.28"/>
    <n v="4362.58"/>
    <n v="0"/>
  </r>
  <r>
    <x v="1334"/>
    <s v="Peconic Bay Medical Center"/>
    <n v="2015"/>
    <n v="9"/>
    <s v="Blue Cross/Blue Shield"/>
    <x v="0"/>
    <s v="Commercial"/>
    <n v="10280.66"/>
    <n v="2668.51"/>
    <n v="0"/>
  </r>
  <r>
    <x v="1335"/>
    <s v="Peconic Bay Medical Center"/>
    <n v="2015"/>
    <n v="9"/>
    <s v="Blue Cross/Blue Shield"/>
    <x v="0"/>
    <s v="Commercial"/>
    <n v="29732.62"/>
    <n v="8309.09"/>
    <n v="0"/>
  </r>
  <r>
    <x v="1336"/>
    <s v="Peconic Bay Medical Center"/>
    <n v="2015"/>
    <n v="9"/>
    <s v="Blue Cross/Blue Shield"/>
    <x v="0"/>
    <s v="Commercial"/>
    <n v="11287.06"/>
    <n v="2950.89"/>
    <n v="0"/>
  </r>
  <r>
    <x v="1337"/>
    <s v="Peconic Bay Medical Center"/>
    <n v="2015"/>
    <n v="9"/>
    <s v="Blue Cross/Blue Shield"/>
    <x v="0"/>
    <s v="Commercial"/>
    <n v="68815.42"/>
    <n v="20021.45"/>
    <n v="0"/>
  </r>
  <r>
    <x v="1338"/>
    <s v="Peconic Bay Medical Center"/>
    <n v="2015"/>
    <n v="9"/>
    <s v="Blue Cross/Blue Shield"/>
    <x v="0"/>
    <s v="Commercial"/>
    <n v="24299.26"/>
    <n v="17216.75"/>
    <n v="0"/>
  </r>
  <r>
    <x v="1339"/>
    <s v="Peconic Bay Medical Center"/>
    <n v="2015"/>
    <n v="9"/>
    <s v="Blue Cross/Blue Shield"/>
    <x v="0"/>
    <s v="Commercial"/>
    <n v="15255.98"/>
    <n v="5018.1099999999997"/>
    <n v="0"/>
  </r>
  <r>
    <x v="1340"/>
    <s v="Peconic Bay Medical Center"/>
    <n v="2015"/>
    <n v="6"/>
    <s v="Private Health Insurance"/>
    <x v="0"/>
    <s v="Commercial"/>
    <n v="19936.599999999999"/>
    <n v="11887.65"/>
    <n v="0"/>
  </r>
  <r>
    <x v="1341"/>
    <s v="Peconic Bay Medical Center"/>
    <n v="2015"/>
    <n v="9"/>
    <s v="Blue Cross/Blue Shield"/>
    <x v="0"/>
    <s v="Commercial"/>
    <n v="16705.02"/>
    <n v="4876.38"/>
    <n v="0"/>
  </r>
  <r>
    <x v="1342"/>
    <s v="Peconic Bay Medical Center"/>
    <n v="2015"/>
    <n v="6"/>
    <s v="Private Health Insurance"/>
    <x v="0"/>
    <s v="Commercial"/>
    <n v="18345.66"/>
    <n v="4696.46"/>
    <n v="0"/>
  </r>
  <r>
    <x v="1343"/>
    <s v="Peconic Bay Medical Center"/>
    <n v="2015"/>
    <n v="9"/>
    <s v="Blue Cross/Blue Shield"/>
    <x v="0"/>
    <s v="Commercial"/>
    <n v="41272.639999999999"/>
    <n v="13698.23"/>
    <n v="0"/>
  </r>
  <r>
    <x v="1344"/>
    <s v="Peconic Bay Medical Center"/>
    <n v="2015"/>
    <n v="9"/>
    <s v="Blue Cross/Blue Shield"/>
    <x v="0"/>
    <s v="Commercial"/>
    <n v="116743.97"/>
    <n v="45056.29"/>
    <n v="0"/>
  </r>
  <r>
    <x v="1345"/>
    <s v="Peconic Bay Medical Center"/>
    <n v="2015"/>
    <n v="9"/>
    <s v="Blue Cross/Blue Shield"/>
    <x v="0"/>
    <s v="Commercial"/>
    <n v="23980.36"/>
    <n v="8458.67"/>
    <n v="0"/>
  </r>
  <r>
    <x v="1346"/>
    <s v="Peconic Bay Medical Center"/>
    <n v="2015"/>
    <n v="6"/>
    <s v="Private Health Insurance"/>
    <x v="0"/>
    <s v="Commercial"/>
    <n v="25629.96"/>
    <n v="12243.51"/>
    <n v="0"/>
  </r>
  <r>
    <x v="1347"/>
    <s v="Peconic Bay Medical Center"/>
    <n v="2015"/>
    <n v="9"/>
    <s v="Blue Cross/Blue Shield"/>
    <x v="0"/>
    <s v="Commercial"/>
    <n v="31584.58"/>
    <n v="15422.71"/>
    <n v="0"/>
  </r>
  <r>
    <x v="1348"/>
    <s v="Peconic Bay Medical Center"/>
    <n v="2015"/>
    <n v="6"/>
    <s v="Private Health Insurance"/>
    <x v="0"/>
    <s v="Commercial"/>
    <n v="24007.66"/>
    <n v="8484.2199999999993"/>
    <n v="0"/>
  </r>
  <r>
    <x v="1349"/>
    <s v="Peconic Bay Medical Center"/>
    <n v="2015"/>
    <n v="6"/>
    <s v="Private Health Insurance"/>
    <x v="0"/>
    <s v="Commercial"/>
    <n v="52541.78"/>
    <n v="15868.24"/>
    <n v="0"/>
  </r>
  <r>
    <x v="1350"/>
    <s v="Peconic Bay Medical Center"/>
    <n v="2015"/>
    <n v="6"/>
    <s v="Private Health Insurance"/>
    <x v="0"/>
    <s v="Commercial"/>
    <n v="214389.92"/>
    <n v="140547.85"/>
    <n v="0"/>
  </r>
  <r>
    <x v="1351"/>
    <s v="Peconic Bay Medical Center"/>
    <n v="2015"/>
    <n v="9"/>
    <s v="Blue Cross/Blue Shield"/>
    <x v="0"/>
    <s v="Commercial"/>
    <n v="9899.6200000000008"/>
    <n v="2777.86"/>
    <n v="0"/>
  </r>
  <r>
    <x v="1352"/>
    <s v="Peconic Bay Medical Center"/>
    <n v="2015"/>
    <n v="6"/>
    <s v="Private Health Insurance"/>
    <x v="0"/>
    <s v="Commercial"/>
    <n v="24517.54"/>
    <n v="13482.32"/>
    <n v="0"/>
  </r>
  <r>
    <x v="1353"/>
    <s v="Peconic Bay Medical Center"/>
    <n v="2015"/>
    <n v="9"/>
    <s v="Blue Cross/Blue Shield"/>
    <x v="0"/>
    <s v="Commercial"/>
    <n v="28323.56"/>
    <n v="12552.56"/>
    <n v="0"/>
  </r>
  <r>
    <x v="1354"/>
    <s v="Peconic Bay Medical Center"/>
    <n v="2015"/>
    <n v="9"/>
    <s v="Blue Cross/Blue Shield"/>
    <x v="0"/>
    <s v="Commercial"/>
    <n v="32610.78"/>
    <n v="7627.32"/>
    <n v="0"/>
  </r>
  <r>
    <x v="1355"/>
    <s v="Peconic Bay Medical Center"/>
    <n v="2015"/>
    <n v="9"/>
    <s v="Blue Cross/Blue Shield"/>
    <x v="0"/>
    <s v="Commercial"/>
    <n v="15120.7"/>
    <n v="4389.8100000000004"/>
    <n v="0"/>
  </r>
  <r>
    <x v="1356"/>
    <s v="Peconic Bay Medical Center"/>
    <n v="2015"/>
    <n v="9"/>
    <s v="Blue Cross/Blue Shield"/>
    <x v="0"/>
    <s v="Commercial"/>
    <n v="51577.760000000002"/>
    <n v="13467.52"/>
    <n v="0"/>
  </r>
  <r>
    <x v="1357"/>
    <s v="Peconic Bay Medical Center"/>
    <n v="2015"/>
    <n v="6"/>
    <s v="Private Health Insurance"/>
    <x v="0"/>
    <s v="Commercial"/>
    <n v="14971.8"/>
    <n v="3183.51"/>
    <n v="0"/>
  </r>
  <r>
    <x v="1358"/>
    <s v="Peconic Bay Medical Center"/>
    <n v="2015"/>
    <n v="6"/>
    <s v="Private Health Insurance"/>
    <x v="0"/>
    <s v="Commercial"/>
    <n v="19967.52"/>
    <n v="4568.04"/>
    <n v="0"/>
  </r>
  <r>
    <x v="1359"/>
    <s v="Peconic Bay Medical Center"/>
    <n v="2015"/>
    <n v="6"/>
    <s v="Private Health Insurance"/>
    <x v="0"/>
    <s v="Commercial"/>
    <n v="44095.86"/>
    <n v="13571.95"/>
    <n v="0"/>
  </r>
  <r>
    <x v="1360"/>
    <s v="Peconic Bay Medical Center"/>
    <n v="2015"/>
    <n v="6"/>
    <s v="Private Health Insurance"/>
    <x v="0"/>
    <s v="Commercial"/>
    <n v="13154.1"/>
    <n v="3457.81"/>
    <n v="0"/>
  </r>
  <r>
    <x v="1361"/>
    <s v="Peconic Bay Medical Center"/>
    <n v="2015"/>
    <n v="6"/>
    <s v="Private Health Insurance"/>
    <x v="0"/>
    <s v="Commercial"/>
    <n v="11806.8"/>
    <n v="3233.63"/>
    <n v="0"/>
  </r>
  <r>
    <x v="1362"/>
    <s v="Peconic Bay Medical Center"/>
    <n v="2015"/>
    <n v="6"/>
    <s v="Private Health Insurance"/>
    <x v="0"/>
    <s v="Commercial"/>
    <n v="33749.58"/>
    <n v="8765.56"/>
    <n v="0"/>
  </r>
  <r>
    <x v="1363"/>
    <s v="Peconic Bay Medical Center"/>
    <n v="2015"/>
    <n v="6"/>
    <s v="Private Health Insurance"/>
    <x v="0"/>
    <s v="Commercial"/>
    <n v="25198.36"/>
    <n v="8623.7999999999993"/>
    <n v="0"/>
  </r>
  <r>
    <x v="1364"/>
    <s v="Peconic Bay Medical Center"/>
    <n v="2015"/>
    <n v="9"/>
    <s v="Blue Cross/Blue Shield"/>
    <x v="0"/>
    <s v="Commercial"/>
    <n v="45552.9"/>
    <n v="13946.07"/>
    <n v="0"/>
  </r>
  <r>
    <x v="1365"/>
    <s v="Peconic Bay Medical Center"/>
    <n v="2015"/>
    <n v="6"/>
    <s v="Private Health Insurance"/>
    <x v="0"/>
    <s v="Commercial"/>
    <n v="29403.86"/>
    <n v="18537.98"/>
    <n v="0"/>
  </r>
  <r>
    <x v="1366"/>
    <s v="Peconic Bay Medical Center"/>
    <n v="2015"/>
    <n v="6"/>
    <s v="Private Health Insurance"/>
    <x v="0"/>
    <s v="Commercial"/>
    <n v="17998.5"/>
    <n v="9082.27"/>
    <n v="0"/>
  </r>
  <r>
    <x v="1367"/>
    <s v="Peconic Bay Medical Center"/>
    <n v="2015"/>
    <n v="9"/>
    <s v="Blue Cross/Blue Shield"/>
    <x v="0"/>
    <s v="Commercial"/>
    <n v="27116.44"/>
    <n v="13322.71"/>
    <n v="0"/>
  </r>
  <r>
    <x v="1368"/>
    <s v="Peconic Bay Medical Center"/>
    <n v="2015"/>
    <n v="9"/>
    <s v="Blue Cross/Blue Shield"/>
    <x v="0"/>
    <s v="Commercial"/>
    <n v="24647.96"/>
    <n v="8831.91"/>
    <n v="0"/>
  </r>
  <r>
    <x v="1369"/>
    <s v="Peconic Bay Medical Center"/>
    <n v="2015"/>
    <n v="6"/>
    <s v="Private Health Insurance"/>
    <x v="0"/>
    <s v="Commercial"/>
    <n v="21866.02"/>
    <n v="5582.69"/>
    <n v="0"/>
  </r>
  <r>
    <x v="1370"/>
    <s v="Peconic Bay Medical Center"/>
    <n v="2015"/>
    <n v="6"/>
    <s v="Private Health Insurance"/>
    <x v="0"/>
    <s v="Commercial"/>
    <n v="10552.88"/>
    <n v="2786.65"/>
    <n v="0"/>
  </r>
  <r>
    <x v="1371"/>
    <s v="Peconic Bay Medical Center"/>
    <n v="2015"/>
    <n v="9"/>
    <s v="Blue Cross/Blue Shield"/>
    <x v="0"/>
    <s v="Commercial"/>
    <n v="26923.68"/>
    <n v="8167.54"/>
    <n v="0"/>
  </r>
  <r>
    <x v="1372"/>
    <s v="Peconic Bay Medical Center"/>
    <n v="2015"/>
    <n v="6"/>
    <s v="Private Health Insurance"/>
    <x v="0"/>
    <s v="Commercial"/>
    <n v="18608.740000000002"/>
    <n v="4702.3999999999996"/>
    <n v="0"/>
  </r>
  <r>
    <x v="1373"/>
    <s v="Peconic Bay Medical Center"/>
    <n v="2015"/>
    <n v="9"/>
    <s v="Blue Cross/Blue Shield"/>
    <x v="0"/>
    <s v="Commercial"/>
    <n v="13134.64"/>
    <n v="3489.56"/>
    <n v="0"/>
  </r>
  <r>
    <x v="1374"/>
    <s v="Peconic Bay Medical Center"/>
    <n v="2015"/>
    <n v="6"/>
    <s v="Private Health Insurance"/>
    <x v="0"/>
    <s v="Commercial"/>
    <n v="23685.4"/>
    <n v="7879.55"/>
    <n v="0"/>
  </r>
  <r>
    <x v="1375"/>
    <s v="Peconic Bay Medical Center"/>
    <n v="2015"/>
    <n v="6"/>
    <s v="Private Health Insurance"/>
    <x v="0"/>
    <s v="Commercial"/>
    <n v="23087.96"/>
    <n v="6226.53"/>
    <n v="0"/>
  </r>
  <r>
    <x v="1376"/>
    <s v="Peconic Bay Medical Center"/>
    <n v="2015"/>
    <n v="6"/>
    <s v="Private Health Insurance"/>
    <x v="0"/>
    <s v="Commercial"/>
    <n v="11085.72"/>
    <n v="3016.75"/>
    <n v="0"/>
  </r>
  <r>
    <x v="1377"/>
    <s v="Peconic Bay Medical Center"/>
    <n v="2015"/>
    <n v="6"/>
    <s v="Private Health Insurance"/>
    <x v="0"/>
    <s v="Commercial"/>
    <n v="48311.38"/>
    <n v="17329.63"/>
    <n v="0"/>
  </r>
  <r>
    <x v="1378"/>
    <s v="Peconic Bay Medical Center"/>
    <n v="2015"/>
    <n v="6"/>
    <s v="Private Health Insurance"/>
    <x v="0"/>
    <s v="Commercial"/>
    <n v="28658.22"/>
    <n v="8061.08"/>
    <n v="0"/>
  </r>
  <r>
    <x v="1379"/>
    <s v="Peconic Bay Medical Center"/>
    <n v="2015"/>
    <n v="6"/>
    <s v="Private Health Insurance"/>
    <x v="0"/>
    <s v="Commercial"/>
    <n v="14320.14"/>
    <n v="4240.8999999999996"/>
    <n v="0"/>
  </r>
  <r>
    <x v="1380"/>
    <s v="Peconic Bay Medical Center"/>
    <n v="2015"/>
    <n v="6"/>
    <s v="Private Health Insurance"/>
    <x v="0"/>
    <s v="Commercial"/>
    <n v="9778.8799999999992"/>
    <n v="2667.17"/>
    <n v="0"/>
  </r>
  <r>
    <x v="1381"/>
    <s v="Peconic Bay Medical Center"/>
    <n v="2015"/>
    <n v="9"/>
    <s v="Blue Cross/Blue Shield"/>
    <x v="0"/>
    <s v="Commercial"/>
    <n v="31381.84"/>
    <n v="9774.24"/>
    <n v="0"/>
  </r>
  <r>
    <x v="1382"/>
    <s v="Peconic Bay Medical Center"/>
    <n v="2015"/>
    <n v="9"/>
    <s v="Blue Cross/Blue Shield"/>
    <x v="0"/>
    <s v="Commercial"/>
    <n v="11700.46"/>
    <n v="2748.76"/>
    <n v="0"/>
  </r>
  <r>
    <x v="1383"/>
    <s v="Peconic Bay Medical Center"/>
    <n v="2015"/>
    <n v="9"/>
    <s v="Blue Cross/Blue Shield"/>
    <x v="0"/>
    <s v="Commercial"/>
    <n v="14166.12"/>
    <n v="3093.36"/>
    <n v="0"/>
  </r>
  <r>
    <x v="1384"/>
    <s v="Peconic Bay Medical Center"/>
    <n v="2015"/>
    <n v="6"/>
    <s v="Private Health Insurance"/>
    <x v="0"/>
    <s v="Commercial"/>
    <n v="25170.560000000001"/>
    <n v="7964.92"/>
    <n v="0"/>
  </r>
  <r>
    <x v="1385"/>
    <s v="Peconic Bay Medical Center"/>
    <n v="2015"/>
    <n v="9"/>
    <s v="Blue Cross/Blue Shield"/>
    <x v="0"/>
    <s v="Commercial"/>
    <n v="25941.02"/>
    <n v="7970.92"/>
    <n v="0"/>
  </r>
  <r>
    <x v="1386"/>
    <s v="Peconic Bay Medical Center"/>
    <n v="2015"/>
    <n v="9"/>
    <s v="Blue Cross/Blue Shield"/>
    <x v="0"/>
    <s v="Commercial"/>
    <n v="23028"/>
    <n v="7094.84"/>
    <n v="0"/>
  </r>
  <r>
    <x v="1387"/>
    <s v="Peconic Bay Medical Center"/>
    <n v="2015"/>
    <n v="9"/>
    <s v="Blue Cross/Blue Shield"/>
    <x v="0"/>
    <s v="Commercial"/>
    <n v="52432.639999999999"/>
    <n v="20457.95"/>
    <n v="0"/>
  </r>
  <r>
    <x v="1388"/>
    <s v="Peconic Bay Medical Center"/>
    <n v="2015"/>
    <n v="9"/>
    <s v="Blue Cross/Blue Shield"/>
    <x v="0"/>
    <s v="Commercial"/>
    <n v="17606.87"/>
    <n v="6768.87"/>
    <n v="0"/>
  </r>
  <r>
    <x v="1389"/>
    <s v="Peconic Bay Medical Center"/>
    <n v="2015"/>
    <n v="6"/>
    <s v="Private Health Insurance"/>
    <x v="0"/>
    <s v="Commercial"/>
    <n v="98502.14"/>
    <n v="51148.95"/>
    <n v="0"/>
  </r>
  <r>
    <x v="1390"/>
    <s v="Peconic Bay Medical Center"/>
    <n v="2015"/>
    <n v="6"/>
    <s v="Private Health Insurance"/>
    <x v="0"/>
    <s v="Commercial"/>
    <n v="29998.58"/>
    <n v="11335.24"/>
    <n v="0"/>
  </r>
  <r>
    <x v="1391"/>
    <s v="Peconic Bay Medical Center"/>
    <n v="2015"/>
    <n v="9"/>
    <s v="Blue Cross/Blue Shield"/>
    <x v="0"/>
    <s v="Commercial"/>
    <n v="41385.54"/>
    <n v="10515.01"/>
    <n v="0"/>
  </r>
  <r>
    <x v="1392"/>
    <s v="Peconic Bay Medical Center"/>
    <n v="2015"/>
    <n v="6"/>
    <s v="Private Health Insurance"/>
    <x v="0"/>
    <s v="Commercial"/>
    <n v="23024.12"/>
    <n v="5891.56"/>
    <n v="0"/>
  </r>
  <r>
    <x v="1393"/>
    <s v="Peconic Bay Medical Center"/>
    <n v="2015"/>
    <n v="6"/>
    <s v="Private Health Insurance"/>
    <x v="0"/>
    <s v="Commercial"/>
    <n v="45192.54"/>
    <n v="19330.43"/>
    <n v="0"/>
  </r>
  <r>
    <x v="1394"/>
    <s v="Peconic Bay Medical Center"/>
    <n v="2015"/>
    <n v="9"/>
    <s v="Blue Cross/Blue Shield"/>
    <x v="0"/>
    <s v="Commercial"/>
    <n v="23166.52"/>
    <n v="6174.54"/>
    <n v="0"/>
  </r>
  <r>
    <x v="1395"/>
    <s v="Peconic Bay Medical Center"/>
    <n v="2015"/>
    <n v="9"/>
    <s v="Blue Cross/Blue Shield"/>
    <x v="0"/>
    <s v="Commercial"/>
    <n v="143447.64000000001"/>
    <n v="60490.49"/>
    <n v="0"/>
  </r>
  <r>
    <x v="1396"/>
    <s v="Peconic Bay Medical Center"/>
    <n v="2015"/>
    <n v="6"/>
    <s v="Private Health Insurance"/>
    <x v="0"/>
    <s v="Commercial"/>
    <n v="28453.96"/>
    <n v="9853.6200000000008"/>
    <n v="0"/>
  </r>
  <r>
    <x v="1397"/>
    <s v="Peconic Bay Medical Center"/>
    <n v="2015"/>
    <n v="6"/>
    <s v="Private Health Insurance"/>
    <x v="0"/>
    <s v="Commercial"/>
    <n v="17723.439999999999"/>
    <n v="8115.08"/>
    <n v="0"/>
  </r>
  <r>
    <x v="1398"/>
    <s v="Peconic Bay Medical Center"/>
    <n v="2015"/>
    <n v="6"/>
    <s v="Private Health Insurance"/>
    <x v="0"/>
    <s v="Commercial"/>
    <n v="61024.44"/>
    <n v="24594.3"/>
    <n v="0"/>
  </r>
  <r>
    <x v="1399"/>
    <s v="Peconic Bay Medical Center"/>
    <n v="2015"/>
    <n v="6"/>
    <s v="Private Health Insurance"/>
    <x v="0"/>
    <s v="Commercial"/>
    <n v="29340.080000000002"/>
    <n v="7447.94"/>
    <n v="0"/>
  </r>
  <r>
    <x v="1400"/>
    <s v="Peconic Bay Medical Center"/>
    <n v="2015"/>
    <n v="9"/>
    <s v="Blue Cross/Blue Shield"/>
    <x v="0"/>
    <s v="Commercial"/>
    <n v="16700.22"/>
    <n v="5010.71"/>
    <n v="0"/>
  </r>
  <r>
    <x v="1401"/>
    <s v="Peconic Bay Medical Center"/>
    <n v="2015"/>
    <n v="9"/>
    <s v="Blue Cross/Blue Shield"/>
    <x v="0"/>
    <s v="Commercial"/>
    <n v="14166.36"/>
    <n v="3214.52"/>
    <n v="0"/>
  </r>
  <r>
    <x v="1402"/>
    <s v="Peconic Bay Medical Center"/>
    <n v="2015"/>
    <n v="9"/>
    <s v="Blue Cross/Blue Shield"/>
    <x v="0"/>
    <s v="Commercial"/>
    <n v="104671.88"/>
    <n v="48552.25"/>
    <n v="0"/>
  </r>
  <r>
    <x v="1403"/>
    <s v="Peconic Bay Medical Center"/>
    <n v="2015"/>
    <n v="6"/>
    <s v="Private Health Insurance"/>
    <x v="0"/>
    <s v="Commercial"/>
    <n v="13883"/>
    <n v="5170.78"/>
    <n v="0"/>
  </r>
  <r>
    <x v="1404"/>
    <s v="Peconic Bay Medical Center"/>
    <n v="2015"/>
    <n v="6"/>
    <s v="Private Health Insurance"/>
    <x v="0"/>
    <s v="Commercial"/>
    <n v="18132.32"/>
    <n v="5081.71"/>
    <n v="0"/>
  </r>
  <r>
    <x v="1405"/>
    <s v="Peconic Bay Medical Center"/>
    <n v="2015"/>
    <n v="6"/>
    <s v="Private Health Insurance"/>
    <x v="0"/>
    <s v="Commercial"/>
    <n v="18446"/>
    <n v="3012.92"/>
    <n v="0"/>
  </r>
  <r>
    <x v="1406"/>
    <s v="Peconic Bay Medical Center"/>
    <n v="2015"/>
    <n v="9"/>
    <s v="Blue Cross/Blue Shield"/>
    <x v="0"/>
    <s v="Commercial"/>
    <n v="21179.24"/>
    <n v="8999.31"/>
    <n v="0"/>
  </r>
  <r>
    <x v="1407"/>
    <s v="Peconic Bay Medical Center"/>
    <n v="2015"/>
    <n v="6"/>
    <s v="Private Health Insurance"/>
    <x v="0"/>
    <s v="Commercial"/>
    <n v="21342.46"/>
    <n v="5932.54"/>
    <n v="0"/>
  </r>
  <r>
    <x v="1408"/>
    <s v="Peconic Bay Medical Center"/>
    <n v="2015"/>
    <n v="9"/>
    <s v="Blue Cross/Blue Shield"/>
    <x v="0"/>
    <s v="Commercial"/>
    <n v="11615.24"/>
    <n v="3755.57"/>
    <n v="0"/>
  </r>
  <r>
    <x v="1409"/>
    <s v="Peconic Bay Medical Center"/>
    <n v="2015"/>
    <n v="6"/>
    <s v="Private Health Insurance"/>
    <x v="0"/>
    <s v="Commercial"/>
    <n v="46450.879999999997"/>
    <n v="13466.49"/>
    <n v="0"/>
  </r>
  <r>
    <x v="1410"/>
    <s v="Peconic Bay Medical Center"/>
    <n v="2015"/>
    <n v="6"/>
    <s v="Private Health Insurance"/>
    <x v="0"/>
    <s v="Commercial"/>
    <n v="27867.16"/>
    <n v="6774.11"/>
    <n v="0"/>
  </r>
  <r>
    <x v="1411"/>
    <s v="Peconic Bay Medical Center"/>
    <n v="2015"/>
    <n v="9"/>
    <s v="Blue Cross/Blue Shield"/>
    <x v="0"/>
    <s v="Commercial"/>
    <n v="10834.66"/>
    <n v="2799.59"/>
    <n v="0"/>
  </r>
  <r>
    <x v="1412"/>
    <s v="Peconic Bay Medical Center"/>
    <n v="2015"/>
    <n v="6"/>
    <s v="Private Health Insurance"/>
    <x v="0"/>
    <s v="Commercial"/>
    <n v="16137.32"/>
    <n v="5106.33"/>
    <n v="0"/>
  </r>
  <r>
    <x v="1413"/>
    <s v="Peconic Bay Medical Center"/>
    <n v="2015"/>
    <n v="6"/>
    <s v="Private Health Insurance"/>
    <x v="0"/>
    <s v="Commercial"/>
    <n v="40330.22"/>
    <n v="13167.8"/>
    <n v="0"/>
  </r>
  <r>
    <x v="1414"/>
    <s v="Peconic Bay Medical Center"/>
    <n v="2015"/>
    <n v="6"/>
    <s v="Private Health Insurance"/>
    <x v="0"/>
    <s v="Commercial"/>
    <n v="14848.42"/>
    <n v="4695"/>
    <n v="0"/>
  </r>
  <r>
    <x v="1415"/>
    <s v="Peconic Bay Medical Center"/>
    <n v="2015"/>
    <n v="9"/>
    <s v="Blue Cross/Blue Shield"/>
    <x v="0"/>
    <s v="Commercial"/>
    <n v="14547.54"/>
    <n v="3171.39"/>
    <n v="0"/>
  </r>
  <r>
    <x v="1416"/>
    <s v="Peconic Bay Medical Center"/>
    <n v="2015"/>
    <n v="9"/>
    <s v="Blue Cross/Blue Shield"/>
    <x v="0"/>
    <s v="Commercial"/>
    <n v="72420.56"/>
    <n v="22777.59"/>
    <n v="0"/>
  </r>
  <r>
    <x v="1417"/>
    <s v="Peconic Bay Medical Center"/>
    <n v="2015"/>
    <n v="6"/>
    <s v="Private Health Insurance"/>
    <x v="0"/>
    <s v="Commercial"/>
    <n v="21495.599999999999"/>
    <n v="3018.22"/>
    <n v="0"/>
  </r>
  <r>
    <x v="1418"/>
    <s v="Peconic Bay Medical Center"/>
    <n v="2015"/>
    <n v="9"/>
    <s v="Blue Cross/Blue Shield"/>
    <x v="0"/>
    <s v="Commercial"/>
    <n v="10568.4"/>
    <n v="2439.9899999999998"/>
    <n v="0"/>
  </r>
  <r>
    <x v="1419"/>
    <s v="Peconic Bay Medical Center"/>
    <n v="2015"/>
    <n v="6"/>
    <s v="Private Health Insurance"/>
    <x v="0"/>
    <s v="Commercial"/>
    <n v="32188.92"/>
    <n v="10678.75"/>
    <n v="0"/>
  </r>
  <r>
    <x v="1420"/>
    <s v="Peconic Bay Medical Center"/>
    <n v="2015"/>
    <n v="9"/>
    <s v="Blue Cross/Blue Shield"/>
    <x v="0"/>
    <s v="Commercial"/>
    <n v="14351.7"/>
    <n v="2681.86"/>
    <n v="0"/>
  </r>
  <r>
    <x v="1421"/>
    <s v="Peconic Bay Medical Center"/>
    <n v="2015"/>
    <n v="9"/>
    <s v="Blue Cross/Blue Shield"/>
    <x v="0"/>
    <s v="Commercial"/>
    <n v="18175.68"/>
    <n v="4667.28"/>
    <n v="0"/>
  </r>
  <r>
    <x v="1422"/>
    <s v="Peconic Bay Medical Center"/>
    <n v="2015"/>
    <n v="9"/>
    <s v="Blue Cross/Blue Shield"/>
    <x v="0"/>
    <s v="Commercial"/>
    <n v="43157.04"/>
    <n v="18546.919999999998"/>
    <n v="0"/>
  </r>
  <r>
    <x v="1423"/>
    <s v="Peconic Bay Medical Center"/>
    <n v="2015"/>
    <n v="6"/>
    <s v="Private Health Insurance"/>
    <x v="0"/>
    <s v="Commercial"/>
    <n v="36870.1"/>
    <n v="11367.82"/>
    <n v="0"/>
  </r>
  <r>
    <x v="1424"/>
    <s v="Peconic Bay Medical Center"/>
    <n v="2015"/>
    <n v="6"/>
    <s v="Private Health Insurance"/>
    <x v="0"/>
    <s v="Commercial"/>
    <n v="9871.68"/>
    <n v="3803.59"/>
    <n v="0"/>
  </r>
  <r>
    <x v="1425"/>
    <s v="Peconic Bay Medical Center"/>
    <n v="2015"/>
    <n v="6"/>
    <s v="Private Health Insurance"/>
    <x v="0"/>
    <s v="Commercial"/>
    <n v="19047.400000000001"/>
    <n v="4786.21"/>
    <n v="0"/>
  </r>
  <r>
    <x v="1426"/>
    <s v="Peconic Bay Medical Center"/>
    <n v="2015"/>
    <n v="9"/>
    <s v="Blue Cross/Blue Shield"/>
    <x v="0"/>
    <s v="Commercial"/>
    <n v="12125.58"/>
    <n v="3883.89"/>
    <n v="0"/>
  </r>
  <r>
    <x v="1427"/>
    <s v="Peconic Bay Medical Center"/>
    <n v="2015"/>
    <n v="9"/>
    <s v="Blue Cross/Blue Shield"/>
    <x v="0"/>
    <s v="Commercial"/>
    <n v="19512.919999999998"/>
    <n v="5131.08"/>
    <n v="0"/>
  </r>
  <r>
    <x v="1428"/>
    <s v="Peconic Bay Medical Center"/>
    <n v="2015"/>
    <n v="6"/>
    <s v="Private Health Insurance"/>
    <x v="0"/>
    <s v="Commercial"/>
    <n v="10730.1"/>
    <n v="2701.05"/>
    <n v="0"/>
  </r>
  <r>
    <x v="1429"/>
    <s v="Peconic Bay Medical Center"/>
    <n v="2015"/>
    <n v="6"/>
    <s v="Private Health Insurance"/>
    <x v="0"/>
    <s v="Commercial"/>
    <n v="29880.04"/>
    <n v="7111.95"/>
    <n v="0"/>
  </r>
  <r>
    <x v="1430"/>
    <s v="Peconic Bay Medical Center"/>
    <n v="2015"/>
    <n v="6"/>
    <s v="Private Health Insurance"/>
    <x v="0"/>
    <s v="Commercial"/>
    <n v="27708.68"/>
    <n v="9331.6"/>
    <n v="0"/>
  </r>
  <r>
    <x v="1431"/>
    <s v="Peconic Bay Medical Center"/>
    <n v="2015"/>
    <n v="9"/>
    <s v="Blue Cross/Blue Shield"/>
    <x v="0"/>
    <s v="Commercial"/>
    <n v="17752.98"/>
    <n v="4432.8900000000003"/>
    <n v="0"/>
  </r>
  <r>
    <x v="1432"/>
    <s v="Peconic Bay Medical Center"/>
    <n v="2015"/>
    <n v="9"/>
    <s v="Blue Cross/Blue Shield"/>
    <x v="0"/>
    <s v="Commercial"/>
    <n v="9040.56"/>
    <n v="2381.59"/>
    <n v="0"/>
  </r>
  <r>
    <x v="1433"/>
    <s v="Peconic Bay Medical Center"/>
    <n v="2015"/>
    <n v="6"/>
    <s v="Private Health Insurance"/>
    <x v="0"/>
    <s v="Commercial"/>
    <n v="16253.52"/>
    <n v="3006.36"/>
    <n v="0"/>
  </r>
  <r>
    <x v="1434"/>
    <s v="Peconic Bay Medical Center"/>
    <n v="2015"/>
    <n v="6"/>
    <s v="Private Health Insurance"/>
    <x v="0"/>
    <s v="Commercial"/>
    <n v="15917.82"/>
    <n v="5394"/>
    <n v="0"/>
  </r>
  <r>
    <x v="1435"/>
    <s v="Peconic Bay Medical Center"/>
    <n v="2015"/>
    <n v="6"/>
    <s v="Private Health Insurance"/>
    <x v="0"/>
    <s v="Commercial"/>
    <n v="28724.52"/>
    <n v="10209.5"/>
    <n v="0"/>
  </r>
  <r>
    <x v="1436"/>
    <s v="Peconic Bay Medical Center"/>
    <n v="2015"/>
    <n v="9"/>
    <s v="Blue Cross/Blue Shield"/>
    <x v="0"/>
    <s v="Commercial"/>
    <n v="34051.599999999999"/>
    <n v="9856.06"/>
    <n v="0"/>
  </r>
  <r>
    <x v="1437"/>
    <s v="Peconic Bay Medical Center"/>
    <n v="2015"/>
    <n v="6"/>
    <s v="Private Health Insurance"/>
    <x v="0"/>
    <s v="Commercial"/>
    <n v="20183.48"/>
    <n v="4819.93"/>
    <n v="0"/>
  </r>
  <r>
    <x v="1438"/>
    <s v="Peconic Bay Medical Center"/>
    <n v="2015"/>
    <n v="9"/>
    <s v="Blue Cross/Blue Shield"/>
    <x v="0"/>
    <s v="Commercial"/>
    <n v="41477.919999999998"/>
    <n v="18060.84"/>
    <n v="0"/>
  </r>
  <r>
    <x v="1439"/>
    <s v="Peconic Bay Medical Center"/>
    <n v="2015"/>
    <n v="6"/>
    <s v="Private Health Insurance"/>
    <x v="0"/>
    <s v="Commercial"/>
    <n v="39423.22"/>
    <n v="12329.91"/>
    <n v="0"/>
  </r>
  <r>
    <x v="1440"/>
    <s v="Peconic Bay Medical Center"/>
    <n v="2015"/>
    <n v="9"/>
    <s v="Blue Cross/Blue Shield"/>
    <x v="0"/>
    <s v="Commercial"/>
    <n v="36174.239999999998"/>
    <n v="24639.58"/>
    <n v="0"/>
  </r>
  <r>
    <x v="1441"/>
    <s v="Peconic Bay Medical Center"/>
    <n v="2015"/>
    <n v="9"/>
    <s v="Blue Cross/Blue Shield"/>
    <x v="0"/>
    <s v="Commercial"/>
    <n v="45606.22"/>
    <n v="12824.21"/>
    <n v="0"/>
  </r>
  <r>
    <x v="1442"/>
    <s v="Peconic Bay Medical Center"/>
    <n v="2015"/>
    <n v="6"/>
    <s v="Private Health Insurance"/>
    <x v="0"/>
    <s v="Commercial"/>
    <n v="36421.24"/>
    <n v="12848.41"/>
    <n v="0"/>
  </r>
  <r>
    <x v="1443"/>
    <s v="Peconic Bay Medical Center"/>
    <n v="2015"/>
    <n v="6"/>
    <s v="Private Health Insurance"/>
    <x v="0"/>
    <s v="Commercial"/>
    <n v="30654.78"/>
    <n v="5857.48"/>
    <n v="0"/>
  </r>
  <r>
    <x v="1444"/>
    <s v="Peconic Bay Medical Center"/>
    <n v="2015"/>
    <n v="9"/>
    <s v="Blue Cross/Blue Shield"/>
    <x v="0"/>
    <s v="Commercial"/>
    <n v="34245.879999999997"/>
    <n v="10108.83"/>
    <n v="0"/>
  </r>
  <r>
    <x v="1445"/>
    <s v="Peconic Bay Medical Center"/>
    <n v="2015"/>
    <n v="9"/>
    <s v="Blue Cross/Blue Shield"/>
    <x v="0"/>
    <s v="Commercial"/>
    <n v="23960.22"/>
    <n v="6495.01"/>
    <n v="0"/>
  </r>
  <r>
    <x v="1446"/>
    <s v="Peconic Bay Medical Center"/>
    <n v="2015"/>
    <n v="6"/>
    <s v="Private Health Insurance"/>
    <x v="0"/>
    <s v="Commercial"/>
    <n v="30189.86"/>
    <n v="10146.879999999999"/>
    <n v="0"/>
  </r>
  <r>
    <x v="1447"/>
    <s v="Peconic Bay Medical Center"/>
    <n v="2015"/>
    <n v="9"/>
    <s v="Blue Cross/Blue Shield"/>
    <x v="0"/>
    <s v="Commercial"/>
    <n v="30537.66"/>
    <n v="9141.31"/>
    <n v="0"/>
  </r>
  <r>
    <x v="1448"/>
    <s v="Peconic Bay Medical Center"/>
    <n v="2015"/>
    <n v="9"/>
    <s v="Blue Cross/Blue Shield"/>
    <x v="0"/>
    <s v="Commercial"/>
    <n v="9423.9599999999991"/>
    <n v="3472.22"/>
    <n v="0"/>
  </r>
  <r>
    <x v="1449"/>
    <s v="Peconic Bay Medical Center"/>
    <n v="2015"/>
    <n v="6"/>
    <s v="Private Health Insurance"/>
    <x v="0"/>
    <s v="Commercial"/>
    <n v="12787.28"/>
    <n v="6668.37"/>
    <n v="0"/>
  </r>
  <r>
    <x v="1450"/>
    <s v="Peconic Bay Medical Center"/>
    <n v="2015"/>
    <n v="9"/>
    <s v="Blue Cross/Blue Shield"/>
    <x v="0"/>
    <s v="Commercial"/>
    <n v="32918.120000000003"/>
    <n v="15839.27"/>
    <n v="0"/>
  </r>
  <r>
    <x v="1451"/>
    <s v="Peconic Bay Medical Center"/>
    <n v="2015"/>
    <n v="6"/>
    <s v="Private Health Insurance"/>
    <x v="0"/>
    <s v="Commercial"/>
    <n v="75023.72"/>
    <n v="24125.919999999998"/>
    <n v="0"/>
  </r>
  <r>
    <x v="1452"/>
    <s v="Peconic Bay Medical Center"/>
    <n v="2015"/>
    <n v="9"/>
    <s v="Blue Cross/Blue Shield"/>
    <x v="0"/>
    <s v="Commercial"/>
    <n v="22919.8"/>
    <n v="4570.87"/>
    <n v="0"/>
  </r>
  <r>
    <x v="1453"/>
    <s v="Peconic Bay Medical Center"/>
    <n v="2015"/>
    <n v="9"/>
    <s v="Blue Cross/Blue Shield"/>
    <x v="0"/>
    <s v="Commercial"/>
    <n v="22899.06"/>
    <n v="6939.26"/>
    <n v="0"/>
  </r>
  <r>
    <x v="1454"/>
    <s v="Peconic Bay Medical Center"/>
    <n v="2015"/>
    <n v="9"/>
    <s v="Blue Cross/Blue Shield"/>
    <x v="0"/>
    <s v="Commercial"/>
    <n v="29386.42"/>
    <n v="8590.0300000000007"/>
    <n v="0"/>
  </r>
  <r>
    <x v="1455"/>
    <s v="Peconic Bay Medical Center"/>
    <n v="2015"/>
    <n v="9"/>
    <s v="Blue Cross/Blue Shield"/>
    <x v="0"/>
    <s v="Commercial"/>
    <n v="41145.54"/>
    <n v="20694.310000000001"/>
    <n v="0"/>
  </r>
  <r>
    <x v="1456"/>
    <s v="Peconic Bay Medical Center"/>
    <n v="2015"/>
    <n v="9"/>
    <s v="Blue Cross/Blue Shield"/>
    <x v="0"/>
    <s v="Commercial"/>
    <n v="14322.78"/>
    <n v="3347.96"/>
    <n v="0"/>
  </r>
  <r>
    <x v="1457"/>
    <s v="Peconic Bay Medical Center"/>
    <n v="2015"/>
    <n v="9"/>
    <s v="Blue Cross/Blue Shield"/>
    <x v="0"/>
    <s v="Commercial"/>
    <n v="25838.38"/>
    <n v="8277.57"/>
    <n v="0"/>
  </r>
  <r>
    <x v="1458"/>
    <s v="Peconic Bay Medical Center"/>
    <n v="2015"/>
    <n v="6"/>
    <s v="Private Health Insurance"/>
    <x v="0"/>
    <s v="Commercial"/>
    <n v="17028.080000000002"/>
    <n v="3942.71"/>
    <n v="0"/>
  </r>
  <r>
    <x v="1459"/>
    <s v="Peconic Bay Medical Center"/>
    <n v="2015"/>
    <n v="6"/>
    <s v="Private Health Insurance"/>
    <x v="0"/>
    <s v="Commercial"/>
    <n v="9608.56"/>
    <n v="3735.98"/>
    <n v="0"/>
  </r>
  <r>
    <x v="1460"/>
    <s v="Peconic Bay Medical Center"/>
    <n v="2015"/>
    <n v="9"/>
    <s v="Blue Cross/Blue Shield"/>
    <x v="0"/>
    <s v="Commercial"/>
    <n v="34578.959999999999"/>
    <n v="13277.67"/>
    <n v="0"/>
  </r>
  <r>
    <x v="1461"/>
    <s v="Peconic Bay Medical Center"/>
    <n v="2015"/>
    <n v="6"/>
    <s v="Private Health Insurance"/>
    <x v="0"/>
    <s v="Commercial"/>
    <n v="20256.62"/>
    <n v="5122.1000000000004"/>
    <n v="0"/>
  </r>
  <r>
    <x v="1462"/>
    <s v="Peconic Bay Medical Center"/>
    <n v="2015"/>
    <n v="9"/>
    <s v="Blue Cross/Blue Shield"/>
    <x v="0"/>
    <s v="Commercial"/>
    <n v="65267.66"/>
    <n v="30582.91"/>
    <n v="0"/>
  </r>
  <r>
    <x v="1463"/>
    <s v="Peconic Bay Medical Center"/>
    <n v="2015"/>
    <n v="9"/>
    <s v="Blue Cross/Blue Shield"/>
    <x v="0"/>
    <s v="Commercial"/>
    <n v="27633.5"/>
    <n v="8504.2900000000009"/>
    <n v="0"/>
  </r>
  <r>
    <x v="1464"/>
    <s v="Peconic Bay Medical Center"/>
    <n v="2015"/>
    <n v="9"/>
    <s v="Blue Cross/Blue Shield"/>
    <x v="0"/>
    <s v="Commercial"/>
    <n v="15023.54"/>
    <n v="4840.7"/>
    <n v="0"/>
  </r>
  <r>
    <x v="1465"/>
    <s v="Peconic Bay Medical Center"/>
    <n v="2015"/>
    <n v="9"/>
    <s v="Blue Cross/Blue Shield"/>
    <x v="0"/>
    <s v="Commercial"/>
    <n v="8630.6200000000008"/>
    <n v="2370.0100000000002"/>
    <n v="0"/>
  </r>
  <r>
    <x v="1466"/>
    <s v="Peconic Bay Medical Center"/>
    <n v="2015"/>
    <n v="9"/>
    <s v="Blue Cross/Blue Shield"/>
    <x v="0"/>
    <s v="Commercial"/>
    <n v="50189.06"/>
    <n v="16667.18"/>
    <n v="0"/>
  </r>
  <r>
    <x v="1467"/>
    <s v="Peconic Bay Medical Center"/>
    <n v="2015"/>
    <n v="6"/>
    <s v="Private Health Insurance"/>
    <x v="0"/>
    <s v="Commercial"/>
    <n v="17333.259999999998"/>
    <n v="4530.1099999999997"/>
    <n v="0"/>
  </r>
  <r>
    <x v="1468"/>
    <s v="Peconic Bay Medical Center"/>
    <n v="2015"/>
    <n v="9"/>
    <s v="Blue Cross/Blue Shield"/>
    <x v="0"/>
    <s v="Commercial"/>
    <n v="23300.94"/>
    <n v="10027.879999999999"/>
    <n v="0"/>
  </r>
  <r>
    <x v="1469"/>
    <s v="Peconic Bay Medical Center"/>
    <n v="2015"/>
    <n v="9"/>
    <s v="Blue Cross/Blue Shield"/>
    <x v="0"/>
    <s v="Commercial"/>
    <n v="116907.76"/>
    <n v="53907.91"/>
    <n v="0"/>
  </r>
  <r>
    <x v="1470"/>
    <s v="Peconic Bay Medical Center"/>
    <n v="2015"/>
    <n v="9"/>
    <s v="Blue Cross/Blue Shield"/>
    <x v="0"/>
    <s v="Commercial"/>
    <n v="51586.7"/>
    <n v="30626.85"/>
    <n v="0"/>
  </r>
  <r>
    <x v="1471"/>
    <s v="Peconic Bay Medical Center"/>
    <n v="2015"/>
    <n v="6"/>
    <s v="Private Health Insurance"/>
    <x v="0"/>
    <s v="Commercial"/>
    <n v="18931.52"/>
    <n v="5832.39"/>
    <n v="0"/>
  </r>
  <r>
    <x v="1472"/>
    <s v="Peconic Bay Medical Center"/>
    <n v="2015"/>
    <n v="9"/>
    <s v="Blue Cross/Blue Shield"/>
    <x v="0"/>
    <s v="Commercial"/>
    <n v="8170.32"/>
    <n v="2321.34"/>
    <n v="0"/>
  </r>
  <r>
    <x v="1473"/>
    <s v="Peconic Bay Medical Center"/>
    <n v="2015"/>
    <n v="6"/>
    <s v="Private Health Insurance"/>
    <x v="0"/>
    <s v="Commercial"/>
    <n v="30270.26"/>
    <n v="10343.5"/>
    <n v="0"/>
  </r>
  <r>
    <x v="1474"/>
    <s v="Peconic Bay Medical Center"/>
    <n v="2015"/>
    <n v="9"/>
    <s v="Blue Cross/Blue Shield"/>
    <x v="0"/>
    <s v="Commercial"/>
    <n v="33848.980000000003"/>
    <n v="17780.05"/>
    <n v="0"/>
  </r>
  <r>
    <x v="1475"/>
    <s v="Peconic Bay Medical Center"/>
    <n v="2015"/>
    <n v="9"/>
    <s v="Blue Cross/Blue Shield"/>
    <x v="0"/>
    <s v="Commercial"/>
    <n v="29057.08"/>
    <n v="8587.1"/>
    <n v="0"/>
  </r>
  <r>
    <x v="1476"/>
    <s v="Peconic Bay Medical Center"/>
    <n v="2015"/>
    <n v="9"/>
    <s v="Blue Cross/Blue Shield"/>
    <x v="0"/>
    <s v="Commercial"/>
    <n v="26778.74"/>
    <n v="6981.81"/>
    <n v="0"/>
  </r>
  <r>
    <x v="1477"/>
    <s v="Peconic Bay Medical Center"/>
    <n v="2015"/>
    <n v="9"/>
    <s v="Blue Cross/Blue Shield"/>
    <x v="0"/>
    <s v="Commercial"/>
    <n v="15766.92"/>
    <n v="3420.36"/>
    <n v="0"/>
  </r>
  <r>
    <x v="1478"/>
    <s v="Peconic Bay Medical Center"/>
    <n v="2015"/>
    <n v="6"/>
    <s v="Private Health Insurance"/>
    <x v="0"/>
    <s v="Commercial"/>
    <n v="65100.160000000003"/>
    <n v="22431.15"/>
    <n v="0"/>
  </r>
  <r>
    <x v="1479"/>
    <s v="Peconic Bay Medical Center"/>
    <n v="2015"/>
    <n v="6"/>
    <s v="Private Health Insurance"/>
    <x v="0"/>
    <s v="Commercial"/>
    <n v="35915.58"/>
    <n v="19787.330000000002"/>
    <n v="0"/>
  </r>
  <r>
    <x v="1480"/>
    <s v="Peconic Bay Medical Center"/>
    <n v="2015"/>
    <n v="9"/>
    <s v="Blue Cross/Blue Shield"/>
    <x v="0"/>
    <s v="Commercial"/>
    <n v="14263.76"/>
    <n v="5264.93"/>
    <n v="0"/>
  </r>
  <r>
    <x v="1481"/>
    <s v="Peconic Bay Medical Center"/>
    <n v="2015"/>
    <n v="6"/>
    <s v="Private Health Insurance"/>
    <x v="0"/>
    <s v="Commercial"/>
    <n v="23233.88"/>
    <n v="6198.21"/>
    <n v="0"/>
  </r>
  <r>
    <x v="1482"/>
    <s v="Peconic Bay Medical Center"/>
    <n v="2015"/>
    <n v="9"/>
    <s v="Blue Cross/Blue Shield"/>
    <x v="0"/>
    <s v="Commercial"/>
    <n v="25253.119999999999"/>
    <n v="9244.3799999999992"/>
    <n v="0"/>
  </r>
  <r>
    <x v="1483"/>
    <s v="Peconic Bay Medical Center"/>
    <n v="2015"/>
    <n v="6"/>
    <s v="Private Health Insurance"/>
    <x v="0"/>
    <s v="Commercial"/>
    <n v="30232.22"/>
    <n v="8568.25"/>
    <n v="0"/>
  </r>
  <r>
    <x v="1484"/>
    <s v="Peconic Bay Medical Center"/>
    <n v="2015"/>
    <n v="9"/>
    <s v="Blue Cross/Blue Shield"/>
    <x v="0"/>
    <s v="Commercial"/>
    <n v="41390.28"/>
    <n v="11657.93"/>
    <n v="0"/>
  </r>
  <r>
    <x v="1485"/>
    <s v="Peconic Bay Medical Center"/>
    <n v="2015"/>
    <n v="6"/>
    <s v="Private Health Insurance"/>
    <x v="0"/>
    <s v="Commercial"/>
    <n v="27784.66"/>
    <n v="7993.87"/>
    <n v="0"/>
  </r>
  <r>
    <x v="1486"/>
    <s v="Peconic Bay Medical Center"/>
    <n v="2015"/>
    <n v="6"/>
    <s v="Private Health Insurance"/>
    <x v="0"/>
    <s v="Commercial"/>
    <n v="18969.240000000002"/>
    <n v="3594.45"/>
    <n v="0"/>
  </r>
  <r>
    <x v="1487"/>
    <s v="Peconic Bay Medical Center"/>
    <n v="2015"/>
    <n v="9"/>
    <s v="Blue Cross/Blue Shield"/>
    <x v="0"/>
    <s v="Commercial"/>
    <n v="29618.34"/>
    <n v="10280.82"/>
    <n v="0"/>
  </r>
  <r>
    <x v="1488"/>
    <s v="Peconic Bay Medical Center"/>
    <n v="2015"/>
    <n v="6"/>
    <s v="Private Health Insurance"/>
    <x v="0"/>
    <s v="Commercial"/>
    <n v="5911.66"/>
    <n v="1983.76"/>
    <n v="0"/>
  </r>
  <r>
    <x v="1489"/>
    <s v="Peconic Bay Medical Center"/>
    <n v="2015"/>
    <n v="6"/>
    <s v="Private Health Insurance"/>
    <x v="0"/>
    <s v="Commercial"/>
    <n v="27336.32"/>
    <n v="9440.35"/>
    <n v="0"/>
  </r>
  <r>
    <x v="1490"/>
    <s v="Peconic Bay Medical Center"/>
    <n v="2015"/>
    <n v="6"/>
    <s v="Private Health Insurance"/>
    <x v="0"/>
    <s v="Commercial"/>
    <n v="16276.82"/>
    <n v="6127.77"/>
    <n v="0"/>
  </r>
  <r>
    <x v="1491"/>
    <s v="Peconic Bay Medical Center"/>
    <n v="2015"/>
    <n v="9"/>
    <s v="Blue Cross/Blue Shield"/>
    <x v="0"/>
    <s v="Commercial"/>
    <n v="25811.88"/>
    <n v="8680.84"/>
    <n v="0"/>
  </r>
  <r>
    <x v="1492"/>
    <s v="Peconic Bay Medical Center"/>
    <n v="2015"/>
    <n v="6"/>
    <s v="Private Health Insurance"/>
    <x v="0"/>
    <s v="Commercial"/>
    <n v="7870.04"/>
    <n v="2175.8200000000002"/>
    <n v="0"/>
  </r>
  <r>
    <x v="1493"/>
    <s v="Peconic Bay Medical Center"/>
    <n v="2015"/>
    <n v="9"/>
    <s v="Blue Cross/Blue Shield"/>
    <x v="0"/>
    <s v="Commercial"/>
    <n v="24920.28"/>
    <n v="8600.8700000000008"/>
    <n v="0"/>
  </r>
  <r>
    <x v="1494"/>
    <s v="Peconic Bay Medical Center"/>
    <n v="2015"/>
    <n v="6"/>
    <s v="Private Health Insurance"/>
    <x v="0"/>
    <s v="Commercial"/>
    <n v="25632"/>
    <n v="8731.82"/>
    <n v="0"/>
  </r>
  <r>
    <x v="1495"/>
    <s v="Peconic Bay Medical Center"/>
    <n v="2015"/>
    <n v="9"/>
    <s v="Blue Cross/Blue Shield"/>
    <x v="0"/>
    <s v="Commercial"/>
    <n v="19746.54"/>
    <n v="5674.98"/>
    <n v="0"/>
  </r>
  <r>
    <x v="1496"/>
    <s v="Peconic Bay Medical Center"/>
    <n v="2015"/>
    <n v="6"/>
    <s v="Private Health Insurance"/>
    <x v="0"/>
    <s v="Commercial"/>
    <n v="47586.68"/>
    <n v="15969.71"/>
    <n v="0"/>
  </r>
  <r>
    <x v="1497"/>
    <s v="Peconic Bay Medical Center"/>
    <n v="2015"/>
    <n v="9"/>
    <s v="Blue Cross/Blue Shield"/>
    <x v="0"/>
    <s v="Commercial"/>
    <n v="96261.88"/>
    <n v="56931.31"/>
    <n v="0"/>
  </r>
  <r>
    <x v="1498"/>
    <s v="Peconic Bay Medical Center"/>
    <n v="2015"/>
    <n v="9"/>
    <s v="Blue Cross/Blue Shield"/>
    <x v="0"/>
    <s v="Commercial"/>
    <n v="17825.72"/>
    <n v="3478.97"/>
    <n v="0"/>
  </r>
  <r>
    <x v="1499"/>
    <s v="Peconic Bay Medical Center"/>
    <n v="2015"/>
    <n v="6"/>
    <s v="Private Health Insurance"/>
    <x v="0"/>
    <s v="Commercial"/>
    <n v="30909.22"/>
    <n v="10321.16"/>
    <n v="0"/>
  </r>
  <r>
    <x v="1500"/>
    <s v="Peconic Bay Medical Center"/>
    <n v="2015"/>
    <n v="6"/>
    <s v="Private Health Insurance"/>
    <x v="0"/>
    <s v="Commercial"/>
    <n v="76256.06"/>
    <n v="23506.45"/>
    <n v="0"/>
  </r>
  <r>
    <x v="1501"/>
    <s v="Peconic Bay Medical Center"/>
    <n v="2015"/>
    <n v="6"/>
    <s v="Private Health Insurance"/>
    <x v="0"/>
    <s v="Commercial"/>
    <n v="12380.66"/>
    <n v="3432.79"/>
    <n v="0"/>
  </r>
  <r>
    <x v="1502"/>
    <s v="Peconic Bay Medical Center"/>
    <n v="2015"/>
    <n v="6"/>
    <s v="Private Health Insurance"/>
    <x v="0"/>
    <s v="Commercial"/>
    <n v="31702.880000000001"/>
    <n v="10551.51"/>
    <n v="0"/>
  </r>
  <r>
    <x v="1503"/>
    <s v="Peconic Bay Medical Center"/>
    <n v="2015"/>
    <n v="9"/>
    <s v="Blue Cross/Blue Shield"/>
    <x v="0"/>
    <s v="Commercial"/>
    <n v="32378.080000000002"/>
    <n v="10066.08"/>
    <n v="0"/>
  </r>
  <r>
    <x v="1504"/>
    <s v="Peconic Bay Medical Center"/>
    <n v="2015"/>
    <n v="9"/>
    <s v="Blue Cross/Blue Shield"/>
    <x v="0"/>
    <s v="Commercial"/>
    <n v="20540.04"/>
    <n v="4512.09"/>
    <n v="0"/>
  </r>
  <r>
    <x v="1505"/>
    <s v="Peconic Bay Medical Center"/>
    <n v="2015"/>
    <n v="6"/>
    <s v="Private Health Insurance"/>
    <x v="0"/>
    <s v="Commercial"/>
    <n v="38218.839999999997"/>
    <n v="14920.83"/>
    <n v="0"/>
  </r>
  <r>
    <x v="1506"/>
    <s v="Peconic Bay Medical Center"/>
    <n v="2015"/>
    <n v="9"/>
    <s v="Blue Cross/Blue Shield"/>
    <x v="0"/>
    <s v="Commercial"/>
    <n v="21389.360000000001"/>
    <n v="6418.67"/>
    <n v="0"/>
  </r>
  <r>
    <x v="1507"/>
    <s v="Peconic Bay Medical Center"/>
    <n v="2015"/>
    <n v="9"/>
    <s v="Blue Cross/Blue Shield"/>
    <x v="0"/>
    <s v="Commercial"/>
    <n v="24595.56"/>
    <n v="10409.15"/>
    <n v="0"/>
  </r>
  <r>
    <x v="1508"/>
    <s v="Peconic Bay Medical Center"/>
    <n v="2015"/>
    <n v="9"/>
    <s v="Blue Cross/Blue Shield"/>
    <x v="0"/>
    <s v="Commercial"/>
    <n v="14394.96"/>
    <n v="4687.76"/>
    <n v="0"/>
  </r>
  <r>
    <x v="1509"/>
    <s v="Peconic Bay Medical Center"/>
    <n v="2015"/>
    <n v="9"/>
    <s v="Blue Cross/Blue Shield"/>
    <x v="0"/>
    <s v="Commercial"/>
    <n v="32963.379999999997"/>
    <n v="15053.56"/>
    <n v="0"/>
  </r>
  <r>
    <x v="1510"/>
    <s v="Peconic Bay Medical Center"/>
    <n v="2015"/>
    <n v="6"/>
    <s v="Private Health Insurance"/>
    <x v="0"/>
    <s v="Commercial"/>
    <n v="10867.64"/>
    <n v="3305.4"/>
    <n v="0"/>
  </r>
  <r>
    <x v="1511"/>
    <s v="Peconic Bay Medical Center"/>
    <n v="2015"/>
    <n v="9"/>
    <s v="Blue Cross/Blue Shield"/>
    <x v="0"/>
    <s v="Commercial"/>
    <n v="59562.720000000001"/>
    <n v="15295.26"/>
    <n v="0"/>
  </r>
  <r>
    <x v="1512"/>
    <s v="Peconic Bay Medical Center"/>
    <n v="2015"/>
    <n v="6"/>
    <s v="Private Health Insurance"/>
    <x v="0"/>
    <s v="Commercial"/>
    <n v="81981.48"/>
    <n v="24823.47"/>
    <n v="0"/>
  </r>
  <r>
    <x v="1513"/>
    <s v="Peconic Bay Medical Center"/>
    <n v="2015"/>
    <n v="6"/>
    <s v="Private Health Insurance"/>
    <x v="0"/>
    <s v="Commercial"/>
    <n v="14201.66"/>
    <n v="5338.13"/>
    <n v="0"/>
  </r>
  <r>
    <x v="1514"/>
    <s v="Peconic Bay Medical Center"/>
    <n v="2015"/>
    <n v="9"/>
    <s v="Blue Cross/Blue Shield"/>
    <x v="0"/>
    <s v="Commercial"/>
    <n v="25961.56"/>
    <n v="7710.2"/>
    <n v="0"/>
  </r>
  <r>
    <x v="1515"/>
    <s v="Peconic Bay Medical Center"/>
    <n v="2015"/>
    <n v="9"/>
    <s v="Blue Cross/Blue Shield"/>
    <x v="0"/>
    <s v="Commercial"/>
    <n v="34186.14"/>
    <n v="11006.78"/>
    <n v="0"/>
  </r>
  <r>
    <x v="1516"/>
    <s v="Peconic Bay Medical Center"/>
    <n v="2015"/>
    <n v="6"/>
    <s v="Private Health Insurance"/>
    <x v="0"/>
    <s v="Commercial"/>
    <n v="21003.72"/>
    <n v="5623.34"/>
    <n v="0"/>
  </r>
  <r>
    <x v="1517"/>
    <s v="Peconic Bay Medical Center"/>
    <n v="2015"/>
    <n v="6"/>
    <s v="Private Health Insurance"/>
    <x v="0"/>
    <s v="Commercial"/>
    <n v="12998.3"/>
    <n v="2951.73"/>
    <n v="0"/>
  </r>
  <r>
    <x v="1518"/>
    <s v="Peconic Bay Medical Center"/>
    <n v="2015"/>
    <n v="6"/>
    <s v="Private Health Insurance"/>
    <x v="0"/>
    <s v="Commercial"/>
    <n v="34903.160000000003"/>
    <n v="10853.87"/>
    <n v="0"/>
  </r>
  <r>
    <x v="1519"/>
    <s v="Peconic Bay Medical Center"/>
    <n v="2015"/>
    <n v="9"/>
    <s v="Blue Cross/Blue Shield"/>
    <x v="0"/>
    <s v="Commercial"/>
    <n v="36106.639999999999"/>
    <n v="10639.31"/>
    <n v="0"/>
  </r>
  <r>
    <x v="1520"/>
    <s v="Peconic Bay Medical Center"/>
    <n v="2015"/>
    <n v="6"/>
    <s v="Private Health Insurance"/>
    <x v="0"/>
    <s v="Commercial"/>
    <n v="64021.54"/>
    <n v="29118.79"/>
    <n v="0"/>
  </r>
  <r>
    <x v="1521"/>
    <s v="Peconic Bay Medical Center"/>
    <n v="2015"/>
    <n v="9"/>
    <s v="Blue Cross/Blue Shield"/>
    <x v="0"/>
    <s v="Commercial"/>
    <n v="37647.43"/>
    <n v="12356.88"/>
    <n v="0"/>
  </r>
  <r>
    <x v="1522"/>
    <s v="Peconic Bay Medical Center"/>
    <n v="2015"/>
    <n v="6"/>
    <s v="Private Health Insurance"/>
    <x v="0"/>
    <s v="Commercial"/>
    <n v="32089.06"/>
    <n v="10675.72"/>
    <n v="0"/>
  </r>
  <r>
    <x v="1523"/>
    <s v="Peconic Bay Medical Center"/>
    <n v="2015"/>
    <n v="6"/>
    <s v="Private Health Insurance"/>
    <x v="0"/>
    <s v="Commercial"/>
    <n v="12254.66"/>
    <n v="4423.47"/>
    <n v="0"/>
  </r>
  <r>
    <x v="1524"/>
    <s v="Peconic Bay Medical Center"/>
    <n v="2015"/>
    <n v="6"/>
    <s v="Private Health Insurance"/>
    <x v="0"/>
    <s v="Commercial"/>
    <n v="24523.46"/>
    <n v="7220.49"/>
    <n v="0"/>
  </r>
  <r>
    <x v="1525"/>
    <s v="Peconic Bay Medical Center"/>
    <n v="2015"/>
    <n v="6"/>
    <s v="Private Health Insurance"/>
    <x v="0"/>
    <s v="Commercial"/>
    <n v="23581.52"/>
    <n v="8317.06"/>
    <n v="0"/>
  </r>
  <r>
    <x v="1526"/>
    <s v="Peconic Bay Medical Center"/>
    <n v="2015"/>
    <n v="6"/>
    <s v="Private Health Insurance"/>
    <x v="0"/>
    <s v="Commercial"/>
    <n v="40075.599999999999"/>
    <n v="16559.89"/>
    <n v="0"/>
  </r>
  <r>
    <x v="1527"/>
    <s v="Peconic Bay Medical Center"/>
    <n v="2015"/>
    <n v="9"/>
    <s v="Blue Cross/Blue Shield"/>
    <x v="0"/>
    <s v="Commercial"/>
    <n v="15732.36"/>
    <n v="5709.46"/>
    <n v="0"/>
  </r>
  <r>
    <x v="1528"/>
    <s v="Peconic Bay Medical Center"/>
    <n v="2015"/>
    <n v="9"/>
    <s v="Blue Cross/Blue Shield"/>
    <x v="0"/>
    <s v="Commercial"/>
    <n v="70924.479999999996"/>
    <n v="23573.040000000001"/>
    <n v="0"/>
  </r>
  <r>
    <x v="1529"/>
    <s v="Peconic Bay Medical Center"/>
    <n v="2015"/>
    <n v="6"/>
    <s v="Private Health Insurance"/>
    <x v="0"/>
    <s v="Commercial"/>
    <n v="21226.400000000001"/>
    <n v="11113.43"/>
    <n v="0"/>
  </r>
  <r>
    <x v="1530"/>
    <s v="Peconic Bay Medical Center"/>
    <n v="2015"/>
    <n v="9"/>
    <s v="Blue Cross/Blue Shield"/>
    <x v="0"/>
    <s v="Commercial"/>
    <n v="9629.4"/>
    <n v="2576.56"/>
    <n v="0"/>
  </r>
  <r>
    <x v="1531"/>
    <s v="Peconic Bay Medical Center"/>
    <n v="2015"/>
    <n v="6"/>
    <s v="Private Health Insurance"/>
    <x v="0"/>
    <s v="Commercial"/>
    <n v="5713.58"/>
    <n v="1994.41"/>
    <n v="0"/>
  </r>
  <r>
    <x v="1532"/>
    <s v="Peconic Bay Medical Center"/>
    <n v="2015"/>
    <n v="6"/>
    <s v="Private Health Insurance"/>
    <x v="0"/>
    <s v="Commercial"/>
    <n v="38284.720000000001"/>
    <n v="27609.73"/>
    <n v="0"/>
  </r>
  <r>
    <x v="1533"/>
    <s v="Peconic Bay Medical Center"/>
    <n v="2015"/>
    <n v="6"/>
    <s v="Private Health Insurance"/>
    <x v="0"/>
    <s v="Commercial"/>
    <n v="26898.9"/>
    <n v="7448.97"/>
    <n v="0"/>
  </r>
  <r>
    <x v="1534"/>
    <s v="Peconic Bay Medical Center"/>
    <n v="2015"/>
    <n v="6"/>
    <s v="Private Health Insurance"/>
    <x v="0"/>
    <s v="Commercial"/>
    <n v="25621.74"/>
    <n v="13811.26"/>
    <n v="0"/>
  </r>
  <r>
    <x v="1535"/>
    <s v="Peconic Bay Medical Center"/>
    <n v="2015"/>
    <n v="6"/>
    <s v="Private Health Insurance"/>
    <x v="0"/>
    <s v="Commercial"/>
    <n v="26511.599999999999"/>
    <n v="16036.32"/>
    <n v="0"/>
  </r>
  <r>
    <x v="1536"/>
    <s v="Peconic Bay Medical Center"/>
    <n v="2015"/>
    <n v="9"/>
    <s v="Blue Cross/Blue Shield"/>
    <x v="0"/>
    <s v="Commercial"/>
    <n v="15390.86"/>
    <n v="3113.92"/>
    <n v="0"/>
  </r>
  <r>
    <x v="1537"/>
    <s v="Peconic Bay Medical Center"/>
    <n v="2015"/>
    <n v="6"/>
    <s v="Private Health Insurance"/>
    <x v="0"/>
    <s v="Commercial"/>
    <n v="22084.86"/>
    <n v="3681.6"/>
    <n v="0"/>
  </r>
  <r>
    <x v="1538"/>
    <s v="Peconic Bay Medical Center"/>
    <n v="2015"/>
    <n v="9"/>
    <s v="Blue Cross/Blue Shield"/>
    <x v="0"/>
    <s v="Commercial"/>
    <n v="40595.699999999997"/>
    <n v="11932.97"/>
    <n v="0"/>
  </r>
  <r>
    <x v="1539"/>
    <s v="Peconic Bay Medical Center"/>
    <n v="2015"/>
    <n v="6"/>
    <s v="Private Health Insurance"/>
    <x v="0"/>
    <s v="Commercial"/>
    <n v="42694.239999999998"/>
    <n v="20849.189999999999"/>
    <n v="0"/>
  </r>
  <r>
    <x v="1540"/>
    <s v="Peconic Bay Medical Center"/>
    <n v="2015"/>
    <n v="6"/>
    <s v="Private Health Insurance"/>
    <x v="0"/>
    <s v="Commercial"/>
    <n v="13100.7"/>
    <n v="2842.43"/>
    <n v="0"/>
  </r>
  <r>
    <x v="1541"/>
    <s v="Peconic Bay Medical Center"/>
    <n v="2015"/>
    <n v="6"/>
    <s v="Private Health Insurance"/>
    <x v="0"/>
    <s v="Commercial"/>
    <n v="22528.7"/>
    <n v="9296.61"/>
    <n v="0"/>
  </r>
  <r>
    <x v="1542"/>
    <s v="Peconic Bay Medical Center"/>
    <n v="2015"/>
    <n v="9"/>
    <s v="Blue Cross/Blue Shield"/>
    <x v="0"/>
    <s v="Commercial"/>
    <n v="35169.519999999997"/>
    <n v="9727.77"/>
    <n v="0"/>
  </r>
  <r>
    <x v="1543"/>
    <s v="Peconic Bay Medical Center"/>
    <n v="2015"/>
    <n v="9"/>
    <s v="Blue Cross/Blue Shield"/>
    <x v="0"/>
    <s v="Commercial"/>
    <n v="31427.759999999998"/>
    <n v="8091.38"/>
    <n v="0"/>
  </r>
  <r>
    <x v="1544"/>
    <s v="Peconic Bay Medical Center"/>
    <n v="2015"/>
    <n v="6"/>
    <s v="Private Health Insurance"/>
    <x v="0"/>
    <s v="Commercial"/>
    <n v="14894.04"/>
    <n v="4279.6000000000004"/>
    <n v="0"/>
  </r>
  <r>
    <x v="1545"/>
    <s v="Peconic Bay Medical Center"/>
    <n v="2015"/>
    <n v="6"/>
    <s v="Private Health Insurance"/>
    <x v="0"/>
    <s v="Commercial"/>
    <n v="18922.919999999998"/>
    <n v="2923.05"/>
    <n v="0"/>
  </r>
  <r>
    <x v="1546"/>
    <s v="Peconic Bay Medical Center"/>
    <n v="2015"/>
    <n v="9"/>
    <s v="Blue Cross/Blue Shield"/>
    <x v="0"/>
    <s v="Commercial"/>
    <n v="24053.4"/>
    <n v="6563.71"/>
    <n v="0"/>
  </r>
  <r>
    <x v="1547"/>
    <s v="Peconic Bay Medical Center"/>
    <n v="2015"/>
    <n v="6"/>
    <s v="Private Health Insurance"/>
    <x v="0"/>
    <s v="Commercial"/>
    <n v="25478.48"/>
    <n v="11144.3"/>
    <n v="0"/>
  </r>
  <r>
    <x v="1548"/>
    <s v="Peconic Bay Medical Center"/>
    <n v="2015"/>
    <n v="9"/>
    <s v="Blue Cross/Blue Shield"/>
    <x v="0"/>
    <s v="Commercial"/>
    <n v="20855.7"/>
    <n v="6337.36"/>
    <n v="0"/>
  </r>
  <r>
    <x v="1549"/>
    <s v="Peconic Bay Medical Center"/>
    <n v="2015"/>
    <n v="9"/>
    <s v="Blue Cross/Blue Shield"/>
    <x v="0"/>
    <s v="Commercial"/>
    <n v="21301.439999999999"/>
    <n v="4975.57"/>
    <n v="0"/>
  </r>
  <r>
    <x v="1550"/>
    <s v="Peconic Bay Medical Center"/>
    <n v="2015"/>
    <n v="6"/>
    <s v="Private Health Insurance"/>
    <x v="0"/>
    <s v="Commercial"/>
    <n v="25013.82"/>
    <n v="6649.27"/>
    <n v="0"/>
  </r>
  <r>
    <x v="1551"/>
    <s v="Peconic Bay Medical Center"/>
    <n v="2015"/>
    <n v="6"/>
    <s v="Private Health Insurance"/>
    <x v="0"/>
    <s v="Commercial"/>
    <n v="23888.02"/>
    <n v="7562.82"/>
    <n v="0"/>
  </r>
  <r>
    <x v="1552"/>
    <s v="Peconic Bay Medical Center"/>
    <n v="2015"/>
    <n v="9"/>
    <s v="Blue Cross/Blue Shield"/>
    <x v="0"/>
    <s v="Commercial"/>
    <n v="16269.48"/>
    <n v="4156.8599999999997"/>
    <n v="0"/>
  </r>
  <r>
    <x v="1553"/>
    <s v="Peconic Bay Medical Center"/>
    <n v="2015"/>
    <n v="9"/>
    <s v="Blue Cross/Blue Shield"/>
    <x v="0"/>
    <s v="Commercial"/>
    <n v="19291.919999999998"/>
    <n v="4714.88"/>
    <n v="0"/>
  </r>
  <r>
    <x v="1554"/>
    <s v="Peconic Bay Medical Center"/>
    <n v="2015"/>
    <n v="6"/>
    <s v="Private Health Insurance"/>
    <x v="0"/>
    <s v="Commercial"/>
    <n v="54260.3"/>
    <n v="15079.86"/>
    <n v="0"/>
  </r>
  <r>
    <x v="1555"/>
    <s v="Peconic Bay Medical Center"/>
    <n v="2015"/>
    <n v="6"/>
    <s v="Private Health Insurance"/>
    <x v="0"/>
    <s v="Commercial"/>
    <n v="50535.78"/>
    <n v="28690.880000000001"/>
    <n v="0"/>
  </r>
  <r>
    <x v="1556"/>
    <s v="Peconic Bay Medical Center"/>
    <n v="2015"/>
    <n v="6"/>
    <s v="Private Health Insurance"/>
    <x v="0"/>
    <s v="Commercial"/>
    <n v="22678.74"/>
    <n v="4555.47"/>
    <n v="0"/>
  </r>
  <r>
    <x v="1557"/>
    <s v="Peconic Bay Medical Center"/>
    <n v="2015"/>
    <n v="6"/>
    <s v="Private Health Insurance"/>
    <x v="0"/>
    <s v="Commercial"/>
    <n v="82479.759999999995"/>
    <n v="33687.919999999998"/>
    <n v="0"/>
  </r>
  <r>
    <x v="1558"/>
    <s v="Peconic Bay Medical Center"/>
    <n v="2015"/>
    <n v="9"/>
    <s v="Blue Cross/Blue Shield"/>
    <x v="0"/>
    <s v="Commercial"/>
    <n v="52989.94"/>
    <n v="22356.03"/>
    <n v="0"/>
  </r>
  <r>
    <x v="1559"/>
    <s v="Peconic Bay Medical Center"/>
    <n v="2015"/>
    <n v="6"/>
    <s v="Private Health Insurance"/>
    <x v="0"/>
    <s v="Commercial"/>
    <n v="35728.080000000002"/>
    <n v="21238.99"/>
    <n v="0"/>
  </r>
  <r>
    <x v="1560"/>
    <s v="Peconic Bay Medical Center"/>
    <n v="2015"/>
    <n v="9"/>
    <s v="Blue Cross/Blue Shield"/>
    <x v="0"/>
    <s v="Commercial"/>
    <n v="23320.82"/>
    <n v="9077.6299999999992"/>
    <n v="0"/>
  </r>
  <r>
    <x v="1561"/>
    <s v="Peconic Bay Medical Center"/>
    <n v="2015"/>
    <n v="9"/>
    <s v="Blue Cross/Blue Shield"/>
    <x v="0"/>
    <s v="Commercial"/>
    <n v="73842.44"/>
    <n v="36167.93"/>
    <n v="0"/>
  </r>
  <r>
    <x v="1562"/>
    <s v="Peconic Bay Medical Center"/>
    <n v="2015"/>
    <n v="6"/>
    <s v="Private Health Insurance"/>
    <x v="0"/>
    <s v="Commercial"/>
    <n v="9478.16"/>
    <n v="2570.15"/>
    <n v="0"/>
  </r>
  <r>
    <x v="1563"/>
    <s v="Peconic Bay Medical Center"/>
    <n v="2015"/>
    <n v="9"/>
    <s v="Blue Cross/Blue Shield"/>
    <x v="0"/>
    <s v="Commercial"/>
    <n v="36919.379999999997"/>
    <n v="10579.66"/>
    <n v="0"/>
  </r>
  <r>
    <x v="1564"/>
    <s v="Peconic Bay Medical Center"/>
    <n v="2015"/>
    <n v="9"/>
    <s v="Blue Cross/Blue Shield"/>
    <x v="0"/>
    <s v="Commercial"/>
    <n v="13541.82"/>
    <n v="4071.97"/>
    <n v="0"/>
  </r>
  <r>
    <x v="1565"/>
    <s v="Peconic Bay Medical Center"/>
    <n v="2015"/>
    <n v="6"/>
    <s v="Private Health Insurance"/>
    <x v="0"/>
    <s v="Commercial"/>
    <n v="28470.16"/>
    <n v="5272.81"/>
    <n v="0"/>
  </r>
  <r>
    <x v="1566"/>
    <s v="Peconic Bay Medical Center"/>
    <n v="2015"/>
    <n v="6"/>
    <s v="Private Health Insurance"/>
    <x v="0"/>
    <s v="Commercial"/>
    <n v="11664.74"/>
    <n v="2617.4499999999998"/>
    <n v="0"/>
  </r>
  <r>
    <x v="1567"/>
    <s v="Peconic Bay Medical Center"/>
    <n v="2015"/>
    <n v="6"/>
    <s v="Private Health Insurance"/>
    <x v="0"/>
    <s v="Commercial"/>
    <n v="30608.34"/>
    <n v="10336.129999999999"/>
    <n v="0"/>
  </r>
  <r>
    <x v="1568"/>
    <s v="Peconic Bay Medical Center"/>
    <n v="2015"/>
    <n v="9"/>
    <s v="Blue Cross/Blue Shield"/>
    <x v="0"/>
    <s v="Commercial"/>
    <n v="14586.7"/>
    <n v="3219.67"/>
    <n v="0"/>
  </r>
  <r>
    <x v="1569"/>
    <s v="Peconic Bay Medical Center"/>
    <n v="2015"/>
    <n v="6"/>
    <s v="Private Health Insurance"/>
    <x v="0"/>
    <s v="Commercial"/>
    <n v="14339.24"/>
    <n v="3151.23"/>
    <n v="0"/>
  </r>
  <r>
    <x v="1570"/>
    <s v="Peconic Bay Medical Center"/>
    <n v="2015"/>
    <n v="9"/>
    <s v="Blue Cross/Blue Shield"/>
    <x v="0"/>
    <s v="Commercial"/>
    <n v="26230.2"/>
    <n v="10651.48"/>
    <n v="0"/>
  </r>
  <r>
    <x v="1571"/>
    <s v="Peconic Bay Medical Center"/>
    <n v="2015"/>
    <n v="6"/>
    <s v="Private Health Insurance"/>
    <x v="0"/>
    <s v="Commercial"/>
    <n v="21783.84"/>
    <n v="9047.5300000000007"/>
    <n v="0"/>
  </r>
  <r>
    <x v="1572"/>
    <s v="Peconic Bay Medical Center"/>
    <n v="2015"/>
    <n v="6"/>
    <s v="Private Health Insurance"/>
    <x v="0"/>
    <s v="Commercial"/>
    <n v="26327.94"/>
    <n v="13458.98"/>
    <n v="0"/>
  </r>
  <r>
    <x v="1573"/>
    <s v="Peconic Bay Medical Center"/>
    <n v="2015"/>
    <n v="4"/>
    <s v="Medicaid"/>
    <x v="1"/>
    <s v="Medicaid"/>
    <n v="16675.259999999998"/>
    <n v="5095.8500000000004"/>
    <n v="0"/>
  </r>
  <r>
    <x v="1574"/>
    <s v="Peconic Bay Medical Center"/>
    <n v="2015"/>
    <n v="4"/>
    <s v="Medicaid"/>
    <x v="1"/>
    <s v="Medicaid"/>
    <n v="16607.52"/>
    <n v="3115.01"/>
    <n v="0"/>
  </r>
  <r>
    <x v="1575"/>
    <s v="Peconic Bay Medical Center"/>
    <n v="2015"/>
    <n v="4"/>
    <s v="Medicaid"/>
    <x v="1"/>
    <s v="Medicaid"/>
    <n v="21928.82"/>
    <n v="5241.05"/>
    <n v="0"/>
  </r>
  <r>
    <x v="1576"/>
    <s v="Peconic Bay Medical Center"/>
    <n v="2015"/>
    <n v="4"/>
    <s v="Medicaid"/>
    <x v="1"/>
    <s v="Medicaid"/>
    <n v="18397.48"/>
    <n v="6379.26"/>
    <n v="0"/>
  </r>
  <r>
    <x v="1577"/>
    <s v="Peconic Bay Medical Center"/>
    <n v="2015"/>
    <n v="4"/>
    <s v="Medicaid"/>
    <x v="1"/>
    <s v="Medicaid"/>
    <n v="9788.18"/>
    <n v="2855.82"/>
    <n v="0"/>
  </r>
  <r>
    <x v="1578"/>
    <s v="Peconic Bay Medical Center"/>
    <n v="2015"/>
    <n v="4"/>
    <s v="Medicaid"/>
    <x v="1"/>
    <s v="Medicaid"/>
    <n v="13066.39"/>
    <n v="4940.63"/>
    <n v="0"/>
  </r>
  <r>
    <x v="1579"/>
    <s v="Peconic Bay Medical Center"/>
    <n v="2015"/>
    <n v="4"/>
    <s v="Medicaid"/>
    <x v="1"/>
    <s v="Medicaid"/>
    <n v="3841.69"/>
    <n v="2262.4299999999998"/>
    <n v="0"/>
  </r>
  <r>
    <x v="1580"/>
    <s v="Peconic Bay Medical Center"/>
    <n v="2015"/>
    <n v="4"/>
    <s v="Medicaid"/>
    <x v="1"/>
    <s v="Medicaid"/>
    <n v="35704.400000000001"/>
    <n v="11779.05"/>
    <n v="0"/>
  </r>
  <r>
    <x v="1581"/>
    <s v="Peconic Bay Medical Center"/>
    <n v="2015"/>
    <n v="4"/>
    <s v="Medicaid"/>
    <x v="1"/>
    <s v="Medicaid"/>
    <n v="23678.400000000001"/>
    <n v="8392.6"/>
    <n v="0"/>
  </r>
  <r>
    <x v="1582"/>
    <s v="Peconic Bay Medical Center"/>
    <n v="2015"/>
    <n v="4"/>
    <s v="Medicaid"/>
    <x v="1"/>
    <s v="Medicaid"/>
    <n v="66970.78"/>
    <n v="49129.3"/>
    <n v="0"/>
  </r>
  <r>
    <x v="1583"/>
    <s v="Peconic Bay Medical Center"/>
    <n v="2015"/>
    <n v="4"/>
    <s v="Medicaid"/>
    <x v="1"/>
    <s v="Medicaid"/>
    <n v="4126.3900000000003"/>
    <n v="4776.5"/>
    <n v="1"/>
  </r>
  <r>
    <x v="1584"/>
    <s v="Peconic Bay Medical Center"/>
    <n v="2015"/>
    <n v="4"/>
    <s v="Medicaid"/>
    <x v="1"/>
    <s v="Medicaid"/>
    <n v="6523.35"/>
    <n v="7869.25"/>
    <n v="1"/>
  </r>
  <r>
    <x v="1585"/>
    <s v="Peconic Bay Medical Center"/>
    <n v="2015"/>
    <n v="4"/>
    <s v="Medicaid"/>
    <x v="1"/>
    <s v="Medicaid"/>
    <n v="6487.15"/>
    <n v="7860.28"/>
    <n v="1"/>
  </r>
  <r>
    <x v="1586"/>
    <s v="Peconic Bay Medical Center"/>
    <n v="2015"/>
    <n v="4"/>
    <s v="Medicaid"/>
    <x v="1"/>
    <s v="Medicaid"/>
    <n v="7287.45"/>
    <n v="6881.89"/>
    <n v="0"/>
  </r>
  <r>
    <x v="1587"/>
    <s v="Peconic Bay Medical Center"/>
    <n v="2015"/>
    <n v="4"/>
    <s v="Medicaid"/>
    <x v="1"/>
    <s v="Medicaid"/>
    <n v="6050.33"/>
    <n v="5323.45"/>
    <n v="0"/>
  </r>
  <r>
    <x v="1588"/>
    <s v="Peconic Bay Medical Center"/>
    <n v="2015"/>
    <n v="4"/>
    <s v="Medicaid"/>
    <x v="1"/>
    <s v="Medicaid"/>
    <n v="4034.95"/>
    <n v="4750.41"/>
    <n v="1"/>
  </r>
  <r>
    <x v="1589"/>
    <s v="Peconic Bay Medical Center"/>
    <n v="2015"/>
    <n v="4"/>
    <s v="Medicaid"/>
    <x v="1"/>
    <s v="Medicaid"/>
    <n v="3917.15"/>
    <n v="4717.9799999999996"/>
    <n v="1"/>
  </r>
  <r>
    <x v="1590"/>
    <s v="Peconic Bay Medical Center"/>
    <n v="2015"/>
    <n v="4"/>
    <s v="Medicaid"/>
    <x v="1"/>
    <s v="Medicaid"/>
    <n v="5446.05"/>
    <n v="6350.4"/>
    <n v="1"/>
  </r>
  <r>
    <x v="1591"/>
    <s v="Peconic Bay Medical Center"/>
    <n v="2015"/>
    <n v="4"/>
    <s v="Medicaid"/>
    <x v="1"/>
    <s v="Medicaid"/>
    <n v="23255"/>
    <n v="8149.63"/>
    <n v="0"/>
  </r>
  <r>
    <x v="1592"/>
    <s v="Peconic Bay Medical Center"/>
    <n v="2015"/>
    <n v="4"/>
    <s v="Medicaid"/>
    <x v="1"/>
    <s v="Medicaid"/>
    <n v="23060.84"/>
    <n v="8011.12"/>
    <n v="0"/>
  </r>
  <r>
    <x v="1593"/>
    <s v="Peconic Bay Medical Center"/>
    <n v="2015"/>
    <n v="4"/>
    <s v="Medicaid"/>
    <x v="1"/>
    <s v="Medicaid"/>
    <n v="94544.72"/>
    <n v="65294.69"/>
    <n v="0"/>
  </r>
  <r>
    <x v="1594"/>
    <s v="Peconic Bay Medical Center"/>
    <n v="2015"/>
    <n v="4"/>
    <s v="Medicaid"/>
    <x v="1"/>
    <s v="Medicaid"/>
    <n v="3913.03"/>
    <n v="4721.13"/>
    <n v="1"/>
  </r>
  <r>
    <x v="1595"/>
    <s v="Peconic Bay Medical Center"/>
    <n v="2015"/>
    <n v="4"/>
    <s v="Medicaid"/>
    <x v="1"/>
    <s v="Medicaid"/>
    <n v="7443.42"/>
    <n v="6921.72"/>
    <n v="0"/>
  </r>
  <r>
    <x v="1596"/>
    <s v="Peconic Bay Medical Center"/>
    <n v="2015"/>
    <n v="4"/>
    <s v="Medicaid"/>
    <x v="1"/>
    <s v="Medicaid"/>
    <n v="74832.460000000006"/>
    <n v="55813.1"/>
    <n v="0"/>
  </r>
  <r>
    <x v="1597"/>
    <s v="Peconic Bay Medical Center"/>
    <n v="2015"/>
    <n v="4"/>
    <s v="Medicaid"/>
    <x v="1"/>
    <s v="Medicaid"/>
    <n v="7698.12"/>
    <n v="8158.05"/>
    <n v="1"/>
  </r>
  <r>
    <x v="1598"/>
    <s v="Peconic Bay Medical Center"/>
    <n v="2015"/>
    <n v="4"/>
    <s v="Medicaid"/>
    <x v="1"/>
    <s v="Medicaid"/>
    <n v="68225.320000000007"/>
    <n v="36771.25"/>
    <n v="0"/>
  </r>
  <r>
    <x v="1599"/>
    <s v="Peconic Bay Medical Center"/>
    <n v="2015"/>
    <n v="4"/>
    <s v="Medicaid"/>
    <x v="1"/>
    <s v="Medicaid"/>
    <n v="8209.75"/>
    <n v="8338.7800000000007"/>
    <n v="1"/>
  </r>
  <r>
    <x v="1600"/>
    <s v="Peconic Bay Medical Center"/>
    <n v="2015"/>
    <n v="4"/>
    <s v="Medicaid"/>
    <x v="1"/>
    <s v="Medicaid"/>
    <n v="2804.23"/>
    <n v="3196.94"/>
    <n v="1"/>
  </r>
  <r>
    <x v="1601"/>
    <s v="Peconic Bay Medical Center"/>
    <n v="2015"/>
    <n v="4"/>
    <s v="Medicaid"/>
    <x v="1"/>
    <s v="Medicaid"/>
    <n v="2926.15"/>
    <n v="3226.22"/>
    <n v="1"/>
  </r>
  <r>
    <x v="1602"/>
    <s v="Peconic Bay Medical Center"/>
    <n v="2015"/>
    <n v="4"/>
    <s v="Medicaid"/>
    <x v="1"/>
    <s v="Medicaid"/>
    <n v="2926.15"/>
    <n v="3226.22"/>
    <n v="1"/>
  </r>
  <r>
    <x v="1603"/>
    <s v="Peconic Bay Medical Center"/>
    <n v="2015"/>
    <n v="4"/>
    <s v="Medicaid"/>
    <x v="1"/>
    <s v="Medicaid"/>
    <n v="5658.11"/>
    <n v="6401.95"/>
    <n v="1"/>
  </r>
  <r>
    <x v="1604"/>
    <s v="Peconic Bay Medical Center"/>
    <n v="2015"/>
    <n v="4"/>
    <s v="Medicaid"/>
    <x v="1"/>
    <s v="Medicaid"/>
    <n v="5675.84"/>
    <n v="6407.04"/>
    <n v="1"/>
  </r>
  <r>
    <x v="1605"/>
    <s v="Peconic Bay Medical Center"/>
    <n v="2015"/>
    <n v="4"/>
    <s v="Medicaid"/>
    <x v="1"/>
    <s v="Medicaid"/>
    <n v="4034.95"/>
    <n v="4750.41"/>
    <n v="1"/>
  </r>
  <r>
    <x v="1606"/>
    <s v="Peconic Bay Medical Center"/>
    <n v="2015"/>
    <n v="4"/>
    <s v="Medicaid"/>
    <x v="1"/>
    <s v="Medicaid"/>
    <n v="36253.730000000003"/>
    <n v="21016.13"/>
    <n v="0"/>
  </r>
  <r>
    <x v="1607"/>
    <s v="Peconic Bay Medical Center"/>
    <n v="2015"/>
    <n v="4"/>
    <s v="Medicaid"/>
    <x v="1"/>
    <s v="Medicaid"/>
    <n v="37456.97"/>
    <n v="25055.61"/>
    <n v="0"/>
  </r>
  <r>
    <x v="1608"/>
    <s v="Peconic Bay Medical Center"/>
    <n v="2015"/>
    <n v="4"/>
    <s v="Medicaid"/>
    <x v="1"/>
    <s v="Medicaid"/>
    <n v="60969.94"/>
    <n v="26347.61"/>
    <n v="0"/>
  </r>
  <r>
    <x v="1609"/>
    <s v="Peconic Bay Medical Center"/>
    <n v="2015"/>
    <n v="4"/>
    <s v="Medicaid"/>
    <x v="1"/>
    <s v="Medicaid"/>
    <n v="20993.46"/>
    <n v="9878.7800000000007"/>
    <n v="0"/>
  </r>
  <r>
    <x v="1610"/>
    <s v="Peconic Bay Medical Center"/>
    <n v="2015"/>
    <n v="4"/>
    <s v="Medicaid"/>
    <x v="1"/>
    <s v="Medicaid"/>
    <n v="57623.4"/>
    <n v="44797.599999999999"/>
    <n v="0"/>
  </r>
  <r>
    <x v="1611"/>
    <s v="Peconic Bay Medical Center"/>
    <n v="2015"/>
    <n v="4"/>
    <s v="Medicaid"/>
    <x v="1"/>
    <s v="Medicaid"/>
    <n v="23314.639999999999"/>
    <n v="8072.08"/>
    <n v="0"/>
  </r>
  <r>
    <x v="1612"/>
    <s v="Peconic Bay Medical Center"/>
    <n v="2015"/>
    <n v="4"/>
    <s v="Medicaid"/>
    <x v="1"/>
    <s v="Medicaid"/>
    <n v="2861.92"/>
    <n v="3210.51"/>
    <n v="1"/>
  </r>
  <r>
    <x v="1613"/>
    <s v="Peconic Bay Medical Center"/>
    <n v="2015"/>
    <n v="4"/>
    <s v="Medicaid"/>
    <x v="1"/>
    <s v="Medicaid"/>
    <n v="5135.99"/>
    <n v="6272.73"/>
    <n v="1"/>
  </r>
  <r>
    <x v="1614"/>
    <s v="Peconic Bay Medical Center"/>
    <n v="2015"/>
    <n v="4"/>
    <s v="Medicaid"/>
    <x v="1"/>
    <s v="Medicaid"/>
    <n v="4076.88"/>
    <n v="4760.9399999999996"/>
    <n v="1"/>
  </r>
  <r>
    <x v="1615"/>
    <s v="Peconic Bay Medical Center"/>
    <n v="2015"/>
    <n v="4"/>
    <s v="Medicaid"/>
    <x v="1"/>
    <s v="Medicaid"/>
    <n v="7395.52"/>
    <n v="9331.64"/>
    <n v="1"/>
  </r>
  <r>
    <x v="1616"/>
    <s v="Peconic Bay Medical Center"/>
    <n v="2015"/>
    <n v="4"/>
    <s v="Medicaid"/>
    <x v="1"/>
    <s v="Medicaid"/>
    <n v="5143.75"/>
    <n v="6274.6"/>
    <n v="1"/>
  </r>
  <r>
    <x v="1617"/>
    <s v="Peconic Bay Medical Center"/>
    <n v="2015"/>
    <n v="4"/>
    <s v="Medicaid"/>
    <x v="1"/>
    <s v="Medicaid"/>
    <n v="5316.99"/>
    <n v="6317.57"/>
    <n v="1"/>
  </r>
  <r>
    <x v="1618"/>
    <s v="Peconic Bay Medical Center"/>
    <n v="2015"/>
    <n v="4"/>
    <s v="Medicaid"/>
    <x v="1"/>
    <s v="Medicaid"/>
    <n v="36645.15"/>
    <n v="22116.62"/>
    <n v="0"/>
  </r>
  <r>
    <x v="1619"/>
    <s v="Peconic Bay Medical Center"/>
    <n v="2015"/>
    <n v="4"/>
    <s v="Medicaid"/>
    <x v="1"/>
    <s v="Medicaid"/>
    <n v="39857.25"/>
    <n v="27482.37"/>
    <n v="0"/>
  </r>
  <r>
    <x v="1620"/>
    <s v="Peconic Bay Medical Center"/>
    <n v="2015"/>
    <n v="4"/>
    <s v="Medicaid"/>
    <x v="1"/>
    <s v="Medicaid"/>
    <n v="4223.83"/>
    <n v="4798.1099999999997"/>
    <n v="1"/>
  </r>
  <r>
    <x v="1621"/>
    <s v="Peconic Bay Medical Center"/>
    <n v="2015"/>
    <n v="4"/>
    <s v="Medicaid"/>
    <x v="1"/>
    <s v="Medicaid"/>
    <n v="4027.19"/>
    <n v="4748.54"/>
    <n v="1"/>
  </r>
  <r>
    <x v="1622"/>
    <s v="Peconic Bay Medical Center"/>
    <n v="2015"/>
    <n v="4"/>
    <s v="Medicaid"/>
    <x v="1"/>
    <s v="Medicaid"/>
    <n v="5143.75"/>
    <n v="6274.6"/>
    <n v="1"/>
  </r>
  <r>
    <x v="1623"/>
    <s v="Peconic Bay Medical Center"/>
    <n v="2015"/>
    <n v="4"/>
    <s v="Medicaid"/>
    <x v="1"/>
    <s v="Medicaid"/>
    <n v="5645.42"/>
    <n v="6399.07"/>
    <n v="1"/>
  </r>
  <r>
    <x v="1624"/>
    <s v="Peconic Bay Medical Center"/>
    <n v="2015"/>
    <n v="4"/>
    <s v="Medicaid"/>
    <x v="1"/>
    <s v="Medicaid"/>
    <n v="4034.95"/>
    <n v="4750.41"/>
    <n v="1"/>
  </r>
  <r>
    <x v="1625"/>
    <s v="Peconic Bay Medical Center"/>
    <n v="2015"/>
    <n v="4"/>
    <s v="Medicaid"/>
    <x v="1"/>
    <s v="Medicaid"/>
    <n v="2960.32"/>
    <n v="3234.89"/>
    <n v="1"/>
  </r>
  <r>
    <x v="1626"/>
    <s v="Peconic Bay Medical Center"/>
    <n v="2015"/>
    <n v="4"/>
    <s v="Medicaid"/>
    <x v="1"/>
    <s v="Medicaid"/>
    <n v="23299.52"/>
    <n v="8160.32"/>
    <n v="0"/>
  </r>
  <r>
    <x v="1627"/>
    <s v="Peconic Bay Medical Center"/>
    <n v="2015"/>
    <n v="4"/>
    <s v="Medicaid"/>
    <x v="1"/>
    <s v="Medicaid"/>
    <n v="5177.92"/>
    <n v="6283.27"/>
    <n v="1"/>
  </r>
  <r>
    <x v="1628"/>
    <s v="Peconic Bay Medical Center"/>
    <n v="2015"/>
    <n v="4"/>
    <s v="Medicaid"/>
    <x v="1"/>
    <s v="Medicaid"/>
    <n v="6838.69"/>
    <n v="5515.01"/>
    <n v="0"/>
  </r>
  <r>
    <x v="1629"/>
    <s v="Peconic Bay Medical Center"/>
    <n v="2015"/>
    <n v="4"/>
    <s v="Medicaid"/>
    <x v="1"/>
    <s v="Medicaid"/>
    <n v="4034.95"/>
    <n v="4750.41"/>
    <n v="1"/>
  </r>
  <r>
    <x v="1630"/>
    <s v="Peconic Bay Medical Center"/>
    <n v="2015"/>
    <n v="4"/>
    <s v="Medicaid"/>
    <x v="1"/>
    <s v="Medicaid"/>
    <n v="4034.95"/>
    <n v="4750.41"/>
    <n v="1"/>
  </r>
  <r>
    <x v="1631"/>
    <s v="Peconic Bay Medical Center"/>
    <n v="2015"/>
    <n v="4"/>
    <s v="Medicaid"/>
    <x v="1"/>
    <s v="Medicaid"/>
    <n v="5525.75"/>
    <n v="6369.22"/>
    <n v="1"/>
  </r>
  <r>
    <x v="1632"/>
    <s v="Peconic Bay Medical Center"/>
    <n v="2015"/>
    <n v="4"/>
    <s v="Medicaid"/>
    <x v="1"/>
    <s v="Medicaid"/>
    <n v="72697.06"/>
    <n v="51017.599999999999"/>
    <n v="0"/>
  </r>
  <r>
    <x v="1633"/>
    <s v="Peconic Bay Medical Center"/>
    <n v="2015"/>
    <n v="4"/>
    <s v="Medicaid"/>
    <x v="1"/>
    <s v="Medicaid"/>
    <n v="2926.15"/>
    <n v="3226.22"/>
    <n v="1"/>
  </r>
  <r>
    <x v="1634"/>
    <s v="Peconic Bay Medical Center"/>
    <n v="2015"/>
    <n v="4"/>
    <s v="Medicaid"/>
    <x v="1"/>
    <s v="Medicaid"/>
    <n v="3073.28"/>
    <n v="3266.4"/>
    <n v="1"/>
  </r>
  <r>
    <x v="1635"/>
    <s v="Peconic Bay Medical Center"/>
    <n v="2015"/>
    <n v="4"/>
    <s v="Medicaid"/>
    <x v="1"/>
    <s v="Medicaid"/>
    <n v="3155.92"/>
    <n v="3283.34"/>
    <n v="1"/>
  </r>
  <r>
    <x v="1636"/>
    <s v="Peconic Bay Medical Center"/>
    <n v="2015"/>
    <n v="4"/>
    <s v="Medicaid"/>
    <x v="1"/>
    <s v="Medicaid"/>
    <n v="40581.49"/>
    <n v="27454.33"/>
    <n v="0"/>
  </r>
  <r>
    <x v="1637"/>
    <s v="Peconic Bay Medical Center"/>
    <n v="2015"/>
    <n v="4"/>
    <s v="Medicaid"/>
    <x v="1"/>
    <s v="Medicaid"/>
    <n v="164860.79999999999"/>
    <n v="142927.99"/>
    <n v="0"/>
  </r>
  <r>
    <x v="1638"/>
    <s v="Peconic Bay Medical Center"/>
    <n v="2015"/>
    <n v="4"/>
    <s v="Medicaid"/>
    <x v="1"/>
    <s v="Medicaid"/>
    <n v="5143.75"/>
    <n v="6274.6"/>
    <n v="1"/>
  </r>
  <r>
    <x v="1639"/>
    <s v="Peconic Bay Medical Center"/>
    <n v="2015"/>
    <n v="4"/>
    <s v="Medicaid"/>
    <x v="1"/>
    <s v="Medicaid"/>
    <n v="5154.59"/>
    <n v="6277.2"/>
    <n v="1"/>
  </r>
  <r>
    <x v="1640"/>
    <s v="Peconic Bay Medical Center"/>
    <n v="2015"/>
    <n v="4"/>
    <s v="Medicaid"/>
    <x v="1"/>
    <s v="Medicaid"/>
    <n v="3913.03"/>
    <n v="4721.13"/>
    <n v="1"/>
  </r>
  <r>
    <x v="1641"/>
    <s v="Peconic Bay Medical Center"/>
    <n v="2015"/>
    <n v="4"/>
    <s v="Medicaid"/>
    <x v="1"/>
    <s v="Medicaid"/>
    <n v="4034.95"/>
    <n v="4750.41"/>
    <n v="1"/>
  </r>
  <r>
    <x v="1642"/>
    <s v="Peconic Bay Medical Center"/>
    <n v="2015"/>
    <n v="4"/>
    <s v="Medicaid"/>
    <x v="1"/>
    <s v="Medicaid"/>
    <n v="42792.85"/>
    <n v="28370.84"/>
    <n v="0"/>
  </r>
  <r>
    <x v="1643"/>
    <s v="Peconic Bay Medical Center"/>
    <n v="2015"/>
    <n v="4"/>
    <s v="Medicaid"/>
    <x v="1"/>
    <s v="Medicaid"/>
    <n v="7433.92"/>
    <n v="9341.16"/>
    <n v="1"/>
  </r>
  <r>
    <x v="1644"/>
    <s v="Peconic Bay Medical Center"/>
    <n v="2015"/>
    <n v="4"/>
    <s v="Medicaid"/>
    <x v="1"/>
    <s v="Medicaid"/>
    <n v="95743.56"/>
    <n v="28668.97"/>
    <n v="0"/>
  </r>
  <r>
    <x v="1645"/>
    <s v="Peconic Bay Medical Center"/>
    <n v="2015"/>
    <n v="4"/>
    <s v="Medicaid"/>
    <x v="1"/>
    <s v="Medicaid"/>
    <n v="6180.01"/>
    <n v="5354.6"/>
    <n v="0"/>
  </r>
  <r>
    <x v="1646"/>
    <s v="Peconic Bay Medical Center"/>
    <n v="2015"/>
    <n v="4"/>
    <s v="Medicaid"/>
    <x v="1"/>
    <s v="Medicaid"/>
    <n v="5143.75"/>
    <n v="6274.6"/>
    <n v="1"/>
  </r>
  <r>
    <x v="1647"/>
    <s v="Peconic Bay Medical Center"/>
    <n v="2015"/>
    <n v="4"/>
    <s v="Medicaid"/>
    <x v="1"/>
    <s v="Medicaid"/>
    <n v="5177.92"/>
    <n v="6283.27"/>
    <n v="1"/>
  </r>
  <r>
    <x v="1648"/>
    <s v="Peconic Bay Medical Center"/>
    <n v="2015"/>
    <n v="4"/>
    <s v="Medicaid"/>
    <x v="1"/>
    <s v="Medicaid"/>
    <n v="4736.62"/>
    <n v="4924.42"/>
    <n v="1"/>
  </r>
  <r>
    <x v="1649"/>
    <s v="Peconic Bay Medical Center"/>
    <n v="2015"/>
    <n v="4"/>
    <s v="Medicaid"/>
    <x v="1"/>
    <s v="Medicaid"/>
    <n v="23545.64"/>
    <n v="8261.59"/>
    <n v="0"/>
  </r>
  <r>
    <x v="1650"/>
    <s v="Peconic Bay Medical Center"/>
    <n v="2015"/>
    <n v="4"/>
    <s v="Medicaid"/>
    <x v="1"/>
    <s v="Medicaid"/>
    <n v="5143.75"/>
    <n v="6274.6"/>
    <n v="1"/>
  </r>
  <r>
    <x v="1651"/>
    <s v="Peconic Bay Medical Center"/>
    <n v="2015"/>
    <n v="4"/>
    <s v="Medicaid"/>
    <x v="1"/>
    <s v="Medicaid"/>
    <n v="36993.61"/>
    <n v="24782.09"/>
    <n v="0"/>
  </r>
  <r>
    <x v="1652"/>
    <s v="Peconic Bay Medical Center"/>
    <n v="2015"/>
    <n v="4"/>
    <s v="Medicaid"/>
    <x v="1"/>
    <s v="Medicaid"/>
    <n v="6252.55"/>
    <n v="7798.79"/>
    <n v="1"/>
  </r>
  <r>
    <x v="1653"/>
    <s v="Peconic Bay Medical Center"/>
    <n v="2015"/>
    <n v="4"/>
    <s v="Medicaid"/>
    <x v="1"/>
    <s v="Medicaid"/>
    <n v="77609.759999999995"/>
    <n v="58940.5"/>
    <n v="0"/>
  </r>
  <r>
    <x v="1654"/>
    <s v="Peconic Bay Medical Center"/>
    <n v="2015"/>
    <n v="4"/>
    <s v="Medicaid"/>
    <x v="1"/>
    <s v="Medicaid"/>
    <n v="4930.6899999999996"/>
    <n v="3796.66"/>
    <n v="0"/>
  </r>
  <r>
    <x v="1655"/>
    <s v="Peconic Bay Medical Center"/>
    <n v="2015"/>
    <n v="4"/>
    <s v="Medicaid"/>
    <x v="1"/>
    <s v="Medicaid"/>
    <n v="2793.39"/>
    <n v="3194.33"/>
    <n v="1"/>
  </r>
  <r>
    <x v="1656"/>
    <s v="Peconic Bay Medical Center"/>
    <n v="2015"/>
    <n v="4"/>
    <s v="Medicaid"/>
    <x v="1"/>
    <s v="Medicaid"/>
    <n v="42900.01"/>
    <n v="29088.75"/>
    <n v="0"/>
  </r>
  <r>
    <x v="1657"/>
    <s v="Peconic Bay Medical Center"/>
    <n v="2015"/>
    <n v="4"/>
    <s v="Medicaid"/>
    <x v="1"/>
    <s v="Medicaid"/>
    <n v="5143.75"/>
    <n v="6274.6"/>
    <n v="1"/>
  </r>
  <r>
    <x v="1658"/>
    <s v="Peconic Bay Medical Center"/>
    <n v="2015"/>
    <n v="4"/>
    <s v="Medicaid"/>
    <x v="1"/>
    <s v="Medicaid"/>
    <n v="39434.61"/>
    <n v="26439.1"/>
    <n v="0"/>
  </r>
  <r>
    <x v="1659"/>
    <s v="Peconic Bay Medical Center"/>
    <n v="2015"/>
    <n v="4"/>
    <s v="Medicaid"/>
    <x v="1"/>
    <s v="Medicaid"/>
    <n v="37262.21"/>
    <n v="25081.01"/>
    <n v="0"/>
  </r>
  <r>
    <x v="1660"/>
    <s v="Peconic Bay Medical Center"/>
    <n v="2015"/>
    <n v="4"/>
    <s v="Medicaid"/>
    <x v="1"/>
    <s v="Medicaid"/>
    <n v="4069.12"/>
    <n v="4759.08"/>
    <n v="1"/>
  </r>
  <r>
    <x v="1661"/>
    <s v="Peconic Bay Medical Center"/>
    <n v="2015"/>
    <n v="4"/>
    <s v="Medicaid"/>
    <x v="1"/>
    <s v="Medicaid"/>
    <n v="4166.5600000000004"/>
    <n v="4786.8599999999997"/>
    <n v="1"/>
  </r>
  <r>
    <x v="1662"/>
    <s v="Peconic Bay Medical Center"/>
    <n v="2015"/>
    <n v="4"/>
    <s v="Medicaid"/>
    <x v="1"/>
    <s v="Medicaid"/>
    <n v="58876.9"/>
    <n v="44286.45"/>
    <n v="0"/>
  </r>
  <r>
    <x v="1663"/>
    <s v="Peconic Bay Medical Center"/>
    <n v="2015"/>
    <n v="4"/>
    <s v="Medicaid"/>
    <x v="1"/>
    <s v="Medicaid"/>
    <n v="23722.560000000001"/>
    <n v="8304.08"/>
    <n v="0"/>
  </r>
  <r>
    <x v="1664"/>
    <s v="Peconic Bay Medical Center"/>
    <n v="2015"/>
    <n v="4"/>
    <s v="Medicaid"/>
    <x v="1"/>
    <s v="Medicaid"/>
    <n v="6081.32"/>
    <n v="6508.02"/>
    <n v="1"/>
  </r>
  <r>
    <x v="1665"/>
    <s v="Peconic Bay Medical Center"/>
    <n v="2015"/>
    <n v="4"/>
    <s v="Medicaid"/>
    <x v="1"/>
    <s v="Medicaid"/>
    <n v="24370.560000000001"/>
    <n v="8425.41"/>
    <n v="0"/>
  </r>
  <r>
    <x v="1666"/>
    <s v="Peconic Bay Medical Center"/>
    <n v="2015"/>
    <n v="4"/>
    <s v="Medicaid"/>
    <x v="1"/>
    <s v="Medicaid"/>
    <n v="7151.37"/>
    <n v="6845.78"/>
    <n v="0"/>
  </r>
  <r>
    <x v="1667"/>
    <s v="Peconic Bay Medical Center"/>
    <n v="2015"/>
    <n v="4"/>
    <s v="Medicaid"/>
    <x v="1"/>
    <s v="Medicaid"/>
    <n v="5221.0200000000004"/>
    <n v="6293.94"/>
    <n v="1"/>
  </r>
  <r>
    <x v="1668"/>
    <s v="Peconic Bay Medical Center"/>
    <n v="2015"/>
    <n v="4"/>
    <s v="Medicaid"/>
    <x v="1"/>
    <s v="Medicaid"/>
    <n v="43081.46"/>
    <n v="23745.95"/>
    <n v="0"/>
  </r>
  <r>
    <x v="1669"/>
    <s v="Peconic Bay Medical Center"/>
    <n v="2015"/>
    <n v="4"/>
    <s v="Medicaid"/>
    <x v="1"/>
    <s v="Medicaid"/>
    <n v="5680.65"/>
    <n v="6407.59"/>
    <n v="1"/>
  </r>
  <r>
    <x v="1670"/>
    <s v="Peconic Bay Medical Center"/>
    <n v="2015"/>
    <n v="4"/>
    <s v="Medicaid"/>
    <x v="1"/>
    <s v="Medicaid"/>
    <n v="4034.95"/>
    <n v="4750.41"/>
    <n v="1"/>
  </r>
  <r>
    <x v="1671"/>
    <s v="Peconic Bay Medical Center"/>
    <n v="2015"/>
    <n v="4"/>
    <s v="Medicaid"/>
    <x v="1"/>
    <s v="Medicaid"/>
    <n v="23434.44"/>
    <n v="8102.08"/>
    <n v="0"/>
  </r>
  <r>
    <x v="1672"/>
    <s v="Peconic Bay Medical Center"/>
    <n v="2015"/>
    <n v="4"/>
    <s v="Medicaid"/>
    <x v="1"/>
    <s v="Medicaid"/>
    <n v="23257.38"/>
    <n v="8157.81"/>
    <n v="0"/>
  </r>
  <r>
    <x v="1673"/>
    <s v="Peconic Bay Medical Center"/>
    <n v="2015"/>
    <n v="4"/>
    <s v="Medicaid"/>
    <x v="1"/>
    <s v="Medicaid"/>
    <n v="98412.97"/>
    <n v="79617.350000000006"/>
    <n v="0"/>
  </r>
  <r>
    <x v="1674"/>
    <s v="Peconic Bay Medical Center"/>
    <n v="2015"/>
    <n v="4"/>
    <s v="Medicaid"/>
    <x v="1"/>
    <s v="Medicaid"/>
    <n v="4027.19"/>
    <n v="4748.54"/>
    <n v="1"/>
  </r>
  <r>
    <x v="1675"/>
    <s v="Peconic Bay Medical Center"/>
    <n v="2015"/>
    <n v="4"/>
    <s v="Medicaid"/>
    <x v="1"/>
    <s v="Medicaid"/>
    <n v="2926.15"/>
    <n v="3226.22"/>
    <n v="1"/>
  </r>
  <r>
    <x v="1676"/>
    <s v="Peconic Bay Medical Center"/>
    <n v="2015"/>
    <n v="4"/>
    <s v="Medicaid"/>
    <x v="1"/>
    <s v="Medicaid"/>
    <n v="89650.83"/>
    <n v="80552.05"/>
    <n v="0"/>
  </r>
  <r>
    <x v="1677"/>
    <s v="Peconic Bay Medical Center"/>
    <n v="2015"/>
    <n v="4"/>
    <s v="Medicaid"/>
    <x v="1"/>
    <s v="Medicaid"/>
    <n v="27287.39"/>
    <n v="16154.32"/>
    <n v="0"/>
  </r>
  <r>
    <x v="1678"/>
    <s v="Peconic Bay Medical Center"/>
    <n v="2015"/>
    <n v="4"/>
    <s v="Medicaid"/>
    <x v="1"/>
    <s v="Medicaid"/>
    <n v="4042.71"/>
    <n v="4752.2700000000004"/>
    <n v="1"/>
  </r>
  <r>
    <x v="1679"/>
    <s v="Peconic Bay Medical Center"/>
    <n v="2015"/>
    <n v="4"/>
    <s v="Medicaid"/>
    <x v="1"/>
    <s v="Medicaid"/>
    <n v="7281.05"/>
    <n v="6876.92"/>
    <n v="0"/>
  </r>
  <r>
    <x v="1680"/>
    <s v="Peconic Bay Medical Center"/>
    <n v="2015"/>
    <n v="4"/>
    <s v="Medicaid"/>
    <x v="1"/>
    <s v="Medicaid"/>
    <n v="7314.92"/>
    <n v="8062.87"/>
    <n v="1"/>
  </r>
  <r>
    <x v="1681"/>
    <s v="Peconic Bay Medical Center"/>
    <n v="2015"/>
    <n v="4"/>
    <s v="Medicaid"/>
    <x v="1"/>
    <s v="Medicaid"/>
    <n v="5151.51"/>
    <n v="6276.46"/>
    <n v="1"/>
  </r>
  <r>
    <x v="1682"/>
    <s v="Peconic Bay Medical Center"/>
    <n v="2015"/>
    <n v="4"/>
    <s v="Medicaid"/>
    <x v="1"/>
    <s v="Medicaid"/>
    <n v="66546.720000000001"/>
    <n v="47179.94"/>
    <n v="0"/>
  </r>
  <r>
    <x v="1683"/>
    <s v="Peconic Bay Medical Center"/>
    <n v="2015"/>
    <n v="4"/>
    <s v="Medicaid"/>
    <x v="1"/>
    <s v="Medicaid"/>
    <n v="36010.75"/>
    <n v="17031.62"/>
    <n v="0"/>
  </r>
  <r>
    <x v="1684"/>
    <s v="Peconic Bay Medical Center"/>
    <n v="2015"/>
    <n v="4"/>
    <s v="Medicaid"/>
    <x v="1"/>
    <s v="Medicaid"/>
    <n v="3650.04"/>
    <n v="3412.23"/>
    <n v="0"/>
  </r>
  <r>
    <x v="1685"/>
    <s v="Peconic Bay Medical Center"/>
    <n v="2015"/>
    <n v="4"/>
    <s v="Medicaid"/>
    <x v="1"/>
    <s v="Medicaid"/>
    <n v="5212.5600000000004"/>
    <n v="6295.01"/>
    <n v="1"/>
  </r>
  <r>
    <x v="1686"/>
    <s v="Peconic Bay Medical Center"/>
    <n v="2015"/>
    <n v="4"/>
    <s v="Medicaid"/>
    <x v="1"/>
    <s v="Medicaid"/>
    <n v="6180.01"/>
    <n v="5354.6"/>
    <n v="0"/>
  </r>
  <r>
    <x v="1687"/>
    <s v="Peconic Bay Medical Center"/>
    <n v="2015"/>
    <n v="4"/>
    <s v="Medicaid"/>
    <x v="1"/>
    <s v="Medicaid"/>
    <n v="6286.72"/>
    <n v="7807.46"/>
    <n v="1"/>
  </r>
  <r>
    <x v="1688"/>
    <s v="Peconic Bay Medical Center"/>
    <n v="2015"/>
    <n v="4"/>
    <s v="Medicaid"/>
    <x v="1"/>
    <s v="Medicaid"/>
    <n v="5503.69"/>
    <n v="6363.82"/>
    <n v="1"/>
  </r>
  <r>
    <x v="1689"/>
    <s v="Peconic Bay Medical Center"/>
    <n v="2015"/>
    <n v="4"/>
    <s v="Medicaid"/>
    <x v="1"/>
    <s v="Medicaid"/>
    <n v="74786.58"/>
    <n v="55595.9"/>
    <n v="0"/>
  </r>
  <r>
    <x v="1690"/>
    <s v="Peconic Bay Medical Center"/>
    <n v="2015"/>
    <n v="4"/>
    <s v="Medicaid"/>
    <x v="1"/>
    <s v="Medicaid"/>
    <n v="23528.48"/>
    <n v="8160.12"/>
    <n v="0"/>
  </r>
  <r>
    <x v="1691"/>
    <s v="Peconic Bay Medical Center"/>
    <n v="2015"/>
    <n v="4"/>
    <s v="Medicaid"/>
    <x v="1"/>
    <s v="Medicaid"/>
    <n v="26090.12"/>
    <n v="9032.5400000000009"/>
    <n v="0"/>
  </r>
  <r>
    <x v="1692"/>
    <s v="Peconic Bay Medical Center"/>
    <n v="2015"/>
    <n v="4"/>
    <s v="Medicaid"/>
    <x v="1"/>
    <s v="Medicaid"/>
    <n v="24444.9"/>
    <n v="8443.39"/>
    <n v="0"/>
  </r>
  <r>
    <x v="1693"/>
    <s v="Peconic Bay Medical Center"/>
    <n v="2015"/>
    <n v="4"/>
    <s v="Medicaid"/>
    <x v="1"/>
    <s v="Medicaid"/>
    <n v="5072.72"/>
    <n v="6253.62"/>
    <n v="1"/>
  </r>
  <r>
    <x v="1694"/>
    <s v="Peconic Bay Medical Center"/>
    <n v="2015"/>
    <n v="4"/>
    <s v="Medicaid"/>
    <x v="1"/>
    <s v="Medicaid"/>
    <n v="5177.92"/>
    <n v="6283.27"/>
    <n v="1"/>
  </r>
  <r>
    <x v="1695"/>
    <s v="Peconic Bay Medical Center"/>
    <n v="2015"/>
    <n v="4"/>
    <s v="Medicaid"/>
    <x v="1"/>
    <s v="Medicaid"/>
    <n v="5177.92"/>
    <n v="6283.27"/>
    <n v="1"/>
  </r>
  <r>
    <x v="1696"/>
    <s v="Peconic Bay Medical Center"/>
    <n v="2015"/>
    <n v="4"/>
    <s v="Medicaid"/>
    <x v="1"/>
    <s v="Medicaid"/>
    <n v="4069.12"/>
    <n v="4759.08"/>
    <n v="1"/>
  </r>
  <r>
    <x v="1697"/>
    <s v="Peconic Bay Medical Center"/>
    <n v="2015"/>
    <n v="4"/>
    <s v="Medicaid"/>
    <x v="1"/>
    <s v="Medicaid"/>
    <n v="5177.92"/>
    <n v="6283.27"/>
    <n v="1"/>
  </r>
  <r>
    <x v="1698"/>
    <s v="Peconic Bay Medical Center"/>
    <n v="2015"/>
    <n v="4"/>
    <s v="Medicaid"/>
    <x v="1"/>
    <s v="Medicaid"/>
    <n v="5243.88"/>
    <n v="6299.69"/>
    <n v="1"/>
  </r>
  <r>
    <x v="1699"/>
    <s v="Peconic Bay Medical Center"/>
    <n v="2015"/>
    <n v="4"/>
    <s v="Medicaid"/>
    <x v="1"/>
    <s v="Medicaid"/>
    <n v="6873.02"/>
    <n v="7952.69"/>
    <n v="1"/>
  </r>
  <r>
    <x v="1700"/>
    <s v="Peconic Bay Medical Center"/>
    <n v="2015"/>
    <n v="4"/>
    <s v="Medicaid"/>
    <x v="1"/>
    <s v="Medicaid"/>
    <n v="6608.66"/>
    <n v="7887.26"/>
    <n v="1"/>
  </r>
  <r>
    <x v="1701"/>
    <s v="Peconic Bay Medical Center"/>
    <n v="2015"/>
    <n v="4"/>
    <s v="Medicaid"/>
    <x v="1"/>
    <s v="Medicaid"/>
    <n v="4069.12"/>
    <n v="4759.08"/>
    <n v="1"/>
  </r>
  <r>
    <x v="1702"/>
    <s v="Peconic Bay Medical Center"/>
    <n v="2015"/>
    <n v="4"/>
    <s v="Medicaid"/>
    <x v="1"/>
    <s v="Medicaid"/>
    <n v="2960.32"/>
    <n v="3234.89"/>
    <n v="1"/>
  </r>
  <r>
    <x v="1703"/>
    <s v="Peconic Bay Medical Center"/>
    <n v="2015"/>
    <n v="4"/>
    <s v="Medicaid"/>
    <x v="1"/>
    <s v="Medicaid"/>
    <n v="3082.24"/>
    <n v="3264.17"/>
    <n v="1"/>
  </r>
  <r>
    <x v="1704"/>
    <s v="Peconic Bay Medical Center"/>
    <n v="2015"/>
    <n v="4"/>
    <s v="Medicaid"/>
    <x v="1"/>
    <s v="Medicaid"/>
    <n v="7872.22"/>
    <n v="8232.85"/>
    <n v="1"/>
  </r>
  <r>
    <x v="1705"/>
    <s v="Peconic Bay Medical Center"/>
    <n v="2015"/>
    <n v="4"/>
    <s v="Medicaid"/>
    <x v="1"/>
    <s v="Medicaid"/>
    <n v="3292"/>
    <n v="2130.5300000000002"/>
    <n v="0"/>
  </r>
  <r>
    <x v="1706"/>
    <s v="Peconic Bay Medical Center"/>
    <n v="2015"/>
    <n v="4"/>
    <s v="Medicaid"/>
    <x v="1"/>
    <s v="Medicaid"/>
    <n v="38574.57"/>
    <n v="26232.07"/>
    <n v="0"/>
  </r>
  <r>
    <x v="1707"/>
    <s v="Peconic Bay Medical Center"/>
    <n v="2015"/>
    <n v="4"/>
    <s v="Medicaid"/>
    <x v="1"/>
    <s v="Medicaid"/>
    <n v="20024.68"/>
    <n v="6303.81"/>
    <n v="0"/>
  </r>
  <r>
    <x v="1708"/>
    <s v="Peconic Bay Medical Center"/>
    <n v="2015"/>
    <n v="4"/>
    <s v="Medicaid"/>
    <x v="1"/>
    <s v="Medicaid"/>
    <n v="168977.86"/>
    <n v="123362.47"/>
    <n v="0"/>
  </r>
  <r>
    <x v="1709"/>
    <s v="Peconic Bay Medical Center"/>
    <n v="2015"/>
    <n v="4"/>
    <s v="Medicaid"/>
    <x v="1"/>
    <s v="Medicaid"/>
    <n v="5079.5200000000004"/>
    <n v="6258.89"/>
    <n v="1"/>
  </r>
  <r>
    <x v="1710"/>
    <s v="Peconic Bay Medical Center"/>
    <n v="2015"/>
    <n v="4"/>
    <s v="Medicaid"/>
    <x v="1"/>
    <s v="Medicaid"/>
    <n v="39532.99"/>
    <n v="25934.080000000002"/>
    <n v="0"/>
  </r>
  <r>
    <x v="1711"/>
    <s v="Peconic Bay Medical Center"/>
    <n v="2015"/>
    <n v="4"/>
    <s v="Medicaid"/>
    <x v="1"/>
    <s v="Medicaid"/>
    <n v="5233.58"/>
    <n v="3875.21"/>
    <n v="0"/>
  </r>
  <r>
    <x v="1712"/>
    <s v="Peconic Bay Medical Center"/>
    <n v="2015"/>
    <n v="4"/>
    <s v="Medicaid"/>
    <x v="1"/>
    <s v="Medicaid"/>
    <n v="5185.68"/>
    <n v="6285.13"/>
    <n v="1"/>
  </r>
  <r>
    <x v="1713"/>
    <s v="Peconic Bay Medical Center"/>
    <n v="2015"/>
    <n v="4"/>
    <s v="Medicaid"/>
    <x v="1"/>
    <s v="Medicaid"/>
    <n v="4069.12"/>
    <n v="4759.08"/>
    <n v="1"/>
  </r>
  <r>
    <x v="1714"/>
    <s v="Peconic Bay Medical Center"/>
    <n v="2015"/>
    <n v="4"/>
    <s v="Medicaid"/>
    <x v="1"/>
    <s v="Medicaid"/>
    <n v="4069.12"/>
    <n v="4759.08"/>
    <n v="1"/>
  </r>
  <r>
    <x v="1715"/>
    <s v="Peconic Bay Medical Center"/>
    <n v="2015"/>
    <n v="4"/>
    <s v="Medicaid"/>
    <x v="1"/>
    <s v="Medicaid"/>
    <n v="5177.92"/>
    <n v="6283.27"/>
    <n v="1"/>
  </r>
  <r>
    <x v="1716"/>
    <s v="Peconic Bay Medical Center"/>
    <n v="2015"/>
    <n v="4"/>
    <s v="Medicaid"/>
    <x v="1"/>
    <s v="Medicaid"/>
    <n v="5063.76"/>
    <n v="6255.85"/>
    <n v="1"/>
  </r>
  <r>
    <x v="1717"/>
    <s v="Peconic Bay Medical Center"/>
    <n v="2015"/>
    <n v="4"/>
    <s v="Medicaid"/>
    <x v="1"/>
    <s v="Medicaid"/>
    <n v="6278.96"/>
    <n v="7805.59"/>
    <n v="1"/>
  </r>
  <r>
    <x v="1718"/>
    <s v="Peconic Bay Medical Center"/>
    <n v="2015"/>
    <n v="4"/>
    <s v="Medicaid"/>
    <x v="1"/>
    <s v="Medicaid"/>
    <n v="4087.72"/>
    <n v="4763.54"/>
    <n v="1"/>
  </r>
  <r>
    <x v="1719"/>
    <s v="Peconic Bay Medical Center"/>
    <n v="2015"/>
    <n v="4"/>
    <s v="Medicaid"/>
    <x v="1"/>
    <s v="Medicaid"/>
    <n v="50053.34"/>
    <n v="25006.22"/>
    <n v="0"/>
  </r>
  <r>
    <x v="1720"/>
    <s v="Peconic Bay Medical Center"/>
    <n v="2015"/>
    <n v="4"/>
    <s v="Medicaid"/>
    <x v="1"/>
    <s v="Medicaid"/>
    <n v="29970.26"/>
    <n v="10229.66"/>
    <n v="0"/>
  </r>
  <r>
    <x v="1721"/>
    <s v="Peconic Bay Medical Center"/>
    <n v="2015"/>
    <n v="4"/>
    <s v="Medicaid"/>
    <x v="1"/>
    <s v="Medicaid"/>
    <n v="2181.02"/>
    <n v="1792.54"/>
    <n v="0"/>
  </r>
  <r>
    <x v="1722"/>
    <s v="Peconic Bay Medical Center"/>
    <n v="2015"/>
    <n v="4"/>
    <s v="Medicaid"/>
    <x v="1"/>
    <s v="Medicaid"/>
    <n v="5170.16"/>
    <n v="6281.4"/>
    <n v="1"/>
  </r>
  <r>
    <x v="1723"/>
    <s v="Peconic Bay Medical Center"/>
    <n v="2015"/>
    <n v="4"/>
    <s v="Medicaid"/>
    <x v="1"/>
    <s v="Medicaid"/>
    <n v="1737.72"/>
    <n v="1682.51"/>
    <n v="0"/>
  </r>
  <r>
    <x v="1724"/>
    <s v="Peconic Bay Medical Center"/>
    <n v="2015"/>
    <n v="4"/>
    <s v="Medicaid"/>
    <x v="1"/>
    <s v="Medicaid"/>
    <n v="2949.48"/>
    <n v="3232.28"/>
    <n v="1"/>
  </r>
  <r>
    <x v="1725"/>
    <s v="Peconic Bay Medical Center"/>
    <n v="2015"/>
    <n v="4"/>
    <s v="Medicaid"/>
    <x v="1"/>
    <s v="Medicaid"/>
    <n v="5170.16"/>
    <n v="6281.4"/>
    <n v="1"/>
  </r>
  <r>
    <x v="1726"/>
    <s v="Peconic Bay Medical Center"/>
    <n v="2015"/>
    <n v="4"/>
    <s v="Medicaid"/>
    <x v="1"/>
    <s v="Medicaid"/>
    <n v="7443.42"/>
    <n v="6921.72"/>
    <n v="0"/>
  </r>
  <r>
    <x v="1727"/>
    <s v="Peconic Bay Medical Center"/>
    <n v="2015"/>
    <n v="4"/>
    <s v="Medicaid"/>
    <x v="1"/>
    <s v="Medicaid"/>
    <n v="4178.92"/>
    <n v="4786.28"/>
    <n v="1"/>
  </r>
  <r>
    <x v="1728"/>
    <s v="Peconic Bay Medical Center"/>
    <n v="2015"/>
    <n v="4"/>
    <s v="Medicaid"/>
    <x v="1"/>
    <s v="Medicaid"/>
    <n v="3978.48"/>
    <n v="4736.57"/>
    <n v="1"/>
  </r>
  <r>
    <x v="1729"/>
    <s v="Peconic Bay Medical Center"/>
    <n v="2015"/>
    <n v="4"/>
    <s v="Medicaid"/>
    <x v="1"/>
    <s v="Medicaid"/>
    <n v="4076.88"/>
    <n v="4760.9399999999996"/>
    <n v="1"/>
  </r>
  <r>
    <x v="1730"/>
    <s v="Peconic Bay Medical Center"/>
    <n v="2015"/>
    <n v="4"/>
    <s v="Medicaid"/>
    <x v="1"/>
    <s v="Medicaid"/>
    <n v="24003.4"/>
    <n v="8371.8799999999992"/>
    <n v="0"/>
  </r>
  <r>
    <x v="1731"/>
    <s v="Peconic Bay Medical Center"/>
    <n v="2015"/>
    <n v="4"/>
    <s v="Medicaid"/>
    <x v="1"/>
    <s v="Medicaid"/>
    <n v="23920.46"/>
    <n v="8366.5"/>
    <n v="0"/>
  </r>
  <r>
    <x v="1732"/>
    <s v="Peconic Bay Medical Center"/>
    <n v="2015"/>
    <n v="4"/>
    <s v="Medicaid"/>
    <x v="1"/>
    <s v="Medicaid"/>
    <n v="4069.12"/>
    <n v="4759.08"/>
    <n v="1"/>
  </r>
  <r>
    <x v="1733"/>
    <s v="Peconic Bay Medical Center"/>
    <n v="2015"/>
    <n v="4"/>
    <s v="Medicaid"/>
    <x v="1"/>
    <s v="Medicaid"/>
    <n v="5539.66"/>
    <n v="5156.05"/>
    <n v="0"/>
  </r>
  <r>
    <x v="1734"/>
    <s v="Peconic Bay Medical Center"/>
    <n v="2015"/>
    <n v="4"/>
    <s v="Medicaid"/>
    <x v="1"/>
    <s v="Medicaid"/>
    <n v="6723.16"/>
    <n v="6699.41"/>
    <n v="0"/>
  </r>
  <r>
    <x v="1735"/>
    <s v="Peconic Bay Medical Center"/>
    <n v="2015"/>
    <n v="4"/>
    <s v="Medicaid"/>
    <x v="1"/>
    <s v="Medicaid"/>
    <n v="3971.68"/>
    <n v="4731.29"/>
    <n v="1"/>
  </r>
  <r>
    <x v="1736"/>
    <s v="Peconic Bay Medical Center"/>
    <n v="2015"/>
    <n v="4"/>
    <s v="Medicaid"/>
    <x v="1"/>
    <s v="Medicaid"/>
    <n v="3963.92"/>
    <n v="4729.43"/>
    <n v="1"/>
  </r>
  <r>
    <x v="1737"/>
    <s v="Peconic Bay Medical Center"/>
    <n v="2015"/>
    <n v="4"/>
    <s v="Medicaid"/>
    <x v="1"/>
    <s v="Medicaid"/>
    <n v="2960.32"/>
    <n v="3234.89"/>
    <n v="1"/>
  </r>
  <r>
    <x v="1738"/>
    <s v="Peconic Bay Medical Center"/>
    <n v="2015"/>
    <n v="4"/>
    <s v="Medicaid"/>
    <x v="1"/>
    <s v="Medicaid"/>
    <n v="7443.42"/>
    <n v="6921.72"/>
    <n v="0"/>
  </r>
  <r>
    <x v="1739"/>
    <s v="Peconic Bay Medical Center"/>
    <n v="2015"/>
    <n v="4"/>
    <s v="Medicaid"/>
    <x v="1"/>
    <s v="Medicaid"/>
    <n v="6712.78"/>
    <n v="5491.4"/>
    <n v="0"/>
  </r>
  <r>
    <x v="1740"/>
    <s v="Peconic Bay Medical Center"/>
    <n v="2015"/>
    <n v="4"/>
    <s v="Medicaid"/>
    <x v="1"/>
    <s v="Medicaid"/>
    <n v="5446.72"/>
    <n v="6349.85"/>
    <n v="1"/>
  </r>
  <r>
    <x v="1741"/>
    <s v="Peconic Bay Medical Center"/>
    <n v="2015"/>
    <n v="4"/>
    <s v="Medicaid"/>
    <x v="1"/>
    <s v="Medicaid"/>
    <n v="24033.360000000001"/>
    <n v="8382.36"/>
    <n v="0"/>
  </r>
  <r>
    <x v="1742"/>
    <s v="Peconic Bay Medical Center"/>
    <n v="2015"/>
    <n v="4"/>
    <s v="Medicaid"/>
    <x v="1"/>
    <s v="Medicaid"/>
    <n v="4076.88"/>
    <n v="4760.9399999999996"/>
    <n v="1"/>
  </r>
  <r>
    <x v="1743"/>
    <s v="Peconic Bay Medical Center"/>
    <n v="2015"/>
    <n v="4"/>
    <s v="Medicaid"/>
    <x v="1"/>
    <s v="Medicaid"/>
    <n v="2952.56"/>
    <n v="3233.02"/>
    <n v="1"/>
  </r>
  <r>
    <x v="1744"/>
    <s v="Peconic Bay Medical Center"/>
    <n v="2015"/>
    <n v="4"/>
    <s v="Medicaid"/>
    <x v="1"/>
    <s v="Medicaid"/>
    <n v="99895.88"/>
    <n v="84681.45"/>
    <n v="0"/>
  </r>
  <r>
    <x v="1745"/>
    <s v="Peconic Bay Medical Center"/>
    <n v="2015"/>
    <n v="4"/>
    <s v="Medicaid"/>
    <x v="1"/>
    <s v="Medicaid"/>
    <n v="2237945.7999999998"/>
    <n v="783455.05"/>
    <n v="0"/>
  </r>
  <r>
    <x v="1746"/>
    <s v="Peconic Bay Medical Center"/>
    <n v="2015"/>
    <n v="4"/>
    <s v="Medicaid"/>
    <x v="1"/>
    <s v="Medicaid"/>
    <n v="5177.92"/>
    <n v="6283.27"/>
    <n v="1"/>
  </r>
  <r>
    <x v="1747"/>
    <s v="Peconic Bay Medical Center"/>
    <n v="2015"/>
    <n v="4"/>
    <s v="Medicaid"/>
    <x v="1"/>
    <s v="Medicaid"/>
    <n v="198105.46"/>
    <n v="94693.9"/>
    <n v="0"/>
  </r>
  <r>
    <x v="1748"/>
    <s v="Peconic Bay Medical Center"/>
    <n v="2015"/>
    <n v="4"/>
    <s v="Medicaid"/>
    <x v="1"/>
    <s v="Medicaid"/>
    <n v="4061.36"/>
    <n v="4757.21"/>
    <n v="1"/>
  </r>
  <r>
    <x v="1749"/>
    <s v="Peconic Bay Medical Center"/>
    <n v="2015"/>
    <n v="4"/>
    <s v="Medicaid"/>
    <x v="1"/>
    <s v="Medicaid"/>
    <n v="5177.92"/>
    <n v="6283.27"/>
    <n v="1"/>
  </r>
  <r>
    <x v="1750"/>
    <s v="Peconic Bay Medical Center"/>
    <n v="2015"/>
    <n v="4"/>
    <s v="Medicaid"/>
    <x v="1"/>
    <s v="Medicaid"/>
    <n v="43382.57"/>
    <n v="34569.78"/>
    <n v="0"/>
  </r>
  <r>
    <x v="1751"/>
    <s v="Peconic Bay Medical Center"/>
    <n v="2015"/>
    <n v="4"/>
    <s v="Medicaid"/>
    <x v="1"/>
    <s v="Medicaid"/>
    <n v="12642.72"/>
    <n v="3930.18"/>
    <n v="0"/>
  </r>
  <r>
    <x v="1752"/>
    <s v="Peconic Bay Medical Center"/>
    <n v="2015"/>
    <n v="4"/>
    <s v="Medicaid"/>
    <x v="1"/>
    <s v="Medicaid"/>
    <n v="4069.12"/>
    <n v="4759.08"/>
    <n v="1"/>
  </r>
  <r>
    <x v="1753"/>
    <s v="Peconic Bay Medical Center"/>
    <n v="2015"/>
    <n v="4"/>
    <s v="Medicaid"/>
    <x v="1"/>
    <s v="Medicaid"/>
    <n v="2817.28"/>
    <n v="3199.4"/>
    <n v="1"/>
  </r>
  <r>
    <x v="1754"/>
    <s v="Peconic Bay Medical Center"/>
    <n v="2015"/>
    <n v="4"/>
    <s v="Medicaid"/>
    <x v="1"/>
    <s v="Medicaid"/>
    <n v="16631.740000000002"/>
    <n v="3194.64"/>
    <n v="0"/>
  </r>
  <r>
    <x v="1755"/>
    <s v="Peconic Bay Medical Center"/>
    <n v="2015"/>
    <n v="4"/>
    <s v="Medicaid"/>
    <x v="1"/>
    <s v="Medicaid"/>
    <n v="23549.119999999999"/>
    <n v="8262.43"/>
    <n v="0"/>
  </r>
  <r>
    <x v="1756"/>
    <s v="Peconic Bay Medical Center"/>
    <n v="2015"/>
    <n v="4"/>
    <s v="Medicaid"/>
    <x v="1"/>
    <s v="Medicaid"/>
    <n v="36841.96"/>
    <n v="6882.43"/>
    <n v="0"/>
  </r>
  <r>
    <x v="1757"/>
    <s v="Peconic Bay Medical Center"/>
    <n v="2015"/>
    <n v="4"/>
    <s v="Medicaid"/>
    <x v="1"/>
    <s v="Medicaid"/>
    <n v="77266.64"/>
    <n v="24744.240000000002"/>
    <n v="0"/>
  </r>
  <r>
    <x v="1758"/>
    <s v="Peconic Bay Medical Center"/>
    <n v="2015"/>
    <n v="4"/>
    <s v="Medicaid"/>
    <x v="1"/>
    <s v="Medicaid"/>
    <n v="3152.52"/>
    <n v="3414.46"/>
    <n v="1"/>
  </r>
  <r>
    <x v="1759"/>
    <s v="Peconic Bay Medical Center"/>
    <n v="2015"/>
    <n v="4"/>
    <s v="Medicaid"/>
    <x v="1"/>
    <s v="Medicaid"/>
    <n v="3224.46"/>
    <n v="3300.24"/>
    <n v="1"/>
  </r>
  <r>
    <x v="1760"/>
    <s v="Peconic Bay Medical Center"/>
    <n v="2015"/>
    <n v="4"/>
    <s v="Medicaid"/>
    <x v="1"/>
    <s v="Medicaid"/>
    <n v="4069.12"/>
    <n v="4759.08"/>
    <n v="1"/>
  </r>
  <r>
    <x v="1761"/>
    <s v="Peconic Bay Medical Center"/>
    <n v="2015"/>
    <n v="4"/>
    <s v="Medicaid"/>
    <x v="1"/>
    <s v="Medicaid"/>
    <n v="65068.14"/>
    <n v="18431.13"/>
    <n v="0"/>
  </r>
  <r>
    <x v="1762"/>
    <s v="Peconic Bay Medical Center"/>
    <n v="2015"/>
    <n v="4"/>
    <s v="Medicaid"/>
    <x v="1"/>
    <s v="Medicaid"/>
    <n v="24309.14"/>
    <n v="8447.7000000000007"/>
    <n v="0"/>
  </r>
  <r>
    <x v="1763"/>
    <s v="Peconic Bay Medical Center"/>
    <n v="2015"/>
    <n v="4"/>
    <s v="Medicaid"/>
    <x v="1"/>
    <s v="Medicaid"/>
    <n v="53856.7"/>
    <n v="19752.990000000002"/>
    <n v="0"/>
  </r>
  <r>
    <x v="1764"/>
    <s v="Peconic Bay Medical Center"/>
    <n v="2015"/>
    <n v="4"/>
    <s v="Medicaid"/>
    <x v="1"/>
    <s v="Medicaid"/>
    <n v="24018.34"/>
    <n v="8375.9599999999991"/>
    <n v="0"/>
  </r>
  <r>
    <x v="1765"/>
    <s v="Peconic Bay Medical Center"/>
    <n v="2015"/>
    <n v="4"/>
    <s v="Medicaid"/>
    <x v="1"/>
    <s v="Medicaid"/>
    <n v="5087.12"/>
    <n v="6260.77"/>
    <n v="1"/>
  </r>
  <r>
    <x v="1766"/>
    <s v="Peconic Bay Medical Center"/>
    <n v="2015"/>
    <n v="4"/>
    <s v="Medicaid"/>
    <x v="1"/>
    <s v="Medicaid"/>
    <n v="5170.16"/>
    <n v="6281.4"/>
    <n v="1"/>
  </r>
  <r>
    <x v="1767"/>
    <s v="Peconic Bay Medical Center"/>
    <n v="2015"/>
    <n v="4"/>
    <s v="Medicaid"/>
    <x v="1"/>
    <s v="Medicaid"/>
    <n v="6103.52"/>
    <n v="6513.52"/>
    <n v="1"/>
  </r>
  <r>
    <x v="1768"/>
    <s v="Peconic Bay Medical Center"/>
    <n v="2015"/>
    <n v="4"/>
    <s v="Medicaid"/>
    <x v="1"/>
    <s v="Medicaid"/>
    <n v="6180.56"/>
    <n v="7781.22"/>
    <n v="1"/>
  </r>
  <r>
    <x v="1769"/>
    <s v="Peconic Bay Medical Center"/>
    <n v="2015"/>
    <n v="4"/>
    <s v="Medicaid"/>
    <x v="1"/>
    <s v="Medicaid"/>
    <n v="15846.72"/>
    <n v="4494.5600000000004"/>
    <n v="0"/>
  </r>
  <r>
    <x v="1770"/>
    <s v="Peconic Bay Medical Center"/>
    <n v="2015"/>
    <n v="4"/>
    <s v="Medicaid"/>
    <x v="1"/>
    <s v="Medicaid"/>
    <n v="40136.22"/>
    <n v="16008.06"/>
    <n v="0"/>
  </r>
  <r>
    <x v="1771"/>
    <s v="Peconic Bay Medical Center"/>
    <n v="2015"/>
    <n v="4"/>
    <s v="Medicaid"/>
    <x v="1"/>
    <s v="Medicaid"/>
    <n v="19619.419999999998"/>
    <n v="6910.43"/>
    <n v="0"/>
  </r>
  <r>
    <x v="1772"/>
    <s v="Peconic Bay Medical Center"/>
    <n v="2015"/>
    <n v="4"/>
    <s v="Medicaid"/>
    <x v="1"/>
    <s v="Medicaid"/>
    <n v="95364.32"/>
    <n v="29215.66"/>
    <n v="0"/>
  </r>
  <r>
    <x v="1773"/>
    <s v="Peconic Bay Medical Center"/>
    <n v="2015"/>
    <n v="4"/>
    <s v="Medicaid"/>
    <x v="1"/>
    <s v="Medicaid"/>
    <n v="5177.92"/>
    <n v="6283.27"/>
    <n v="1"/>
  </r>
  <r>
    <x v="1774"/>
    <s v="Peconic Bay Medical Center"/>
    <n v="2015"/>
    <n v="4"/>
    <s v="Medicaid"/>
    <x v="1"/>
    <s v="Medicaid"/>
    <n v="26975.5"/>
    <n v="9166.59"/>
    <n v="0"/>
  </r>
  <r>
    <x v="1775"/>
    <s v="Peconic Bay Medical Center"/>
    <n v="2015"/>
    <n v="4"/>
    <s v="Medicaid"/>
    <x v="1"/>
    <s v="Medicaid"/>
    <n v="4069.12"/>
    <n v="4759.08"/>
    <n v="1"/>
  </r>
  <r>
    <x v="1776"/>
    <s v="Peconic Bay Medical Center"/>
    <n v="2015"/>
    <n v="4"/>
    <s v="Medicaid"/>
    <x v="1"/>
    <s v="Medicaid"/>
    <n v="7345.02"/>
    <n v="6897.35"/>
    <n v="0"/>
  </r>
  <r>
    <x v="1777"/>
    <s v="Peconic Bay Medical Center"/>
    <n v="2015"/>
    <n v="4"/>
    <s v="Medicaid"/>
    <x v="1"/>
    <s v="Medicaid"/>
    <n v="2968.08"/>
    <n v="3236.75"/>
    <n v="1"/>
  </r>
  <r>
    <x v="1778"/>
    <s v="Peconic Bay Medical Center"/>
    <n v="2015"/>
    <n v="4"/>
    <s v="Medicaid"/>
    <x v="1"/>
    <s v="Medicaid"/>
    <n v="42839.26"/>
    <n v="13056.38"/>
    <n v="0"/>
  </r>
  <r>
    <x v="1779"/>
    <s v="Peconic Bay Medical Center"/>
    <n v="2015"/>
    <n v="4"/>
    <s v="Medicaid"/>
    <x v="1"/>
    <s v="Medicaid"/>
    <n v="5177.92"/>
    <n v="6283.27"/>
    <n v="1"/>
  </r>
  <r>
    <x v="1780"/>
    <s v="Peconic Bay Medical Center"/>
    <n v="2015"/>
    <n v="4"/>
    <s v="Medicaid"/>
    <x v="1"/>
    <s v="Medicaid"/>
    <n v="5170.16"/>
    <n v="6281.4"/>
    <n v="1"/>
  </r>
  <r>
    <x v="1781"/>
    <s v="Peconic Bay Medical Center"/>
    <n v="2015"/>
    <n v="4"/>
    <s v="Medicaid"/>
    <x v="1"/>
    <s v="Medicaid"/>
    <n v="16439.54"/>
    <n v="4741.41"/>
    <n v="0"/>
  </r>
  <r>
    <x v="1782"/>
    <s v="Peconic Bay Medical Center"/>
    <n v="2015"/>
    <n v="4"/>
    <s v="Medicaid"/>
    <x v="1"/>
    <s v="Medicaid"/>
    <n v="23186.16"/>
    <n v="8133.1"/>
    <n v="0"/>
  </r>
  <r>
    <x v="1783"/>
    <s v="Peconic Bay Medical Center"/>
    <n v="2015"/>
    <n v="4"/>
    <s v="Medicaid"/>
    <x v="1"/>
    <s v="Medicaid"/>
    <n v="56755.16"/>
    <n v="40489.980000000003"/>
    <n v="0"/>
  </r>
  <r>
    <x v="1784"/>
    <s v="Peconic Bay Medical Center"/>
    <n v="2015"/>
    <n v="4"/>
    <s v="Medicaid"/>
    <x v="1"/>
    <s v="Medicaid"/>
    <n v="5177.92"/>
    <n v="6283.27"/>
    <n v="1"/>
  </r>
  <r>
    <x v="1785"/>
    <s v="Peconic Bay Medical Center"/>
    <n v="2015"/>
    <n v="4"/>
    <s v="Medicaid"/>
    <x v="1"/>
    <s v="Medicaid"/>
    <n v="5177.92"/>
    <n v="6283.27"/>
    <n v="1"/>
  </r>
  <r>
    <x v="1786"/>
    <s v="Peconic Bay Medical Center"/>
    <n v="2015"/>
    <n v="4"/>
    <s v="Medicaid"/>
    <x v="1"/>
    <s v="Medicaid"/>
    <n v="106896.02"/>
    <n v="33255.71"/>
    <n v="0"/>
  </r>
  <r>
    <x v="1787"/>
    <s v="Peconic Bay Medical Center"/>
    <n v="2015"/>
    <n v="4"/>
    <s v="Medicaid"/>
    <x v="1"/>
    <s v="Medicaid"/>
    <n v="6286.72"/>
    <n v="7807.46"/>
    <n v="1"/>
  </r>
  <r>
    <x v="1788"/>
    <s v="Peconic Bay Medical Center"/>
    <n v="2015"/>
    <n v="4"/>
    <s v="Medicaid"/>
    <x v="1"/>
    <s v="Medicaid"/>
    <n v="19014.54"/>
    <n v="8585.4699999999993"/>
    <n v="0"/>
  </r>
  <r>
    <x v="1789"/>
    <s v="Peconic Bay Medical Center"/>
    <n v="2015"/>
    <n v="4"/>
    <s v="Medicaid"/>
    <x v="1"/>
    <s v="Medicaid"/>
    <n v="67409.740000000005"/>
    <n v="39455.279999999999"/>
    <n v="0"/>
  </r>
  <r>
    <x v="1790"/>
    <s v="Peconic Bay Medical Center"/>
    <n v="2015"/>
    <n v="4"/>
    <s v="Medicaid"/>
    <x v="1"/>
    <s v="Medicaid"/>
    <n v="23102.74"/>
    <n v="6894.34"/>
    <n v="0"/>
  </r>
  <r>
    <x v="1791"/>
    <s v="Peconic Bay Medical Center"/>
    <n v="2015"/>
    <n v="4"/>
    <s v="Medicaid"/>
    <x v="1"/>
    <s v="Medicaid"/>
    <n v="23457.48"/>
    <n v="5094.17"/>
    <n v="0"/>
  </r>
  <r>
    <x v="1792"/>
    <s v="Peconic Bay Medical Center"/>
    <n v="2015"/>
    <n v="4"/>
    <s v="Medicaid"/>
    <x v="1"/>
    <s v="Medicaid"/>
    <n v="3436.02"/>
    <n v="2135.85"/>
    <n v="0"/>
  </r>
  <r>
    <x v="1793"/>
    <s v="Peconic Bay Medical Center"/>
    <n v="2015"/>
    <n v="4"/>
    <s v="Medicaid"/>
    <x v="1"/>
    <s v="Medicaid"/>
    <n v="4069.12"/>
    <n v="4759.08"/>
    <n v="1"/>
  </r>
  <r>
    <x v="1794"/>
    <s v="Peconic Bay Medical Center"/>
    <n v="2015"/>
    <n v="4"/>
    <s v="Medicaid"/>
    <x v="1"/>
    <s v="Medicaid"/>
    <n v="5170.16"/>
    <n v="6281.4"/>
    <n v="1"/>
  </r>
  <r>
    <x v="1795"/>
    <s v="Peconic Bay Medical Center"/>
    <n v="2015"/>
    <n v="4"/>
    <s v="Medicaid"/>
    <x v="1"/>
    <s v="Medicaid"/>
    <n v="5177.92"/>
    <n v="6283.27"/>
    <n v="1"/>
  </r>
  <r>
    <x v="1796"/>
    <s v="Peconic Bay Medical Center"/>
    <n v="2015"/>
    <n v="4"/>
    <s v="Medicaid"/>
    <x v="1"/>
    <s v="Medicaid"/>
    <n v="4099.76"/>
    <n v="4766.72"/>
    <n v="1"/>
  </r>
  <r>
    <x v="1797"/>
    <s v="Peconic Bay Medical Center"/>
    <n v="2015"/>
    <n v="4"/>
    <s v="Medicaid"/>
    <x v="1"/>
    <s v="Medicaid"/>
    <n v="43225.4"/>
    <n v="24565.49"/>
    <n v="0"/>
  </r>
  <r>
    <x v="1798"/>
    <s v="Peconic Bay Medical Center"/>
    <n v="2015"/>
    <n v="4"/>
    <s v="Medicaid"/>
    <x v="1"/>
    <s v="Medicaid"/>
    <n v="34903.620000000003"/>
    <n v="8800.7000000000007"/>
    <n v="0"/>
  </r>
  <r>
    <x v="1799"/>
    <s v="Peconic Bay Medical Center"/>
    <n v="2015"/>
    <n v="4"/>
    <s v="Medicaid"/>
    <x v="1"/>
    <s v="Medicaid"/>
    <n v="2998.72"/>
    <n v="3244.4"/>
    <n v="1"/>
  </r>
  <r>
    <x v="1800"/>
    <s v="Peconic Bay Medical Center"/>
    <n v="2015"/>
    <n v="4"/>
    <s v="Medicaid"/>
    <x v="1"/>
    <s v="Medicaid"/>
    <n v="5170.16"/>
    <n v="6281.4"/>
    <n v="1"/>
  </r>
  <r>
    <x v="1801"/>
    <s v="Peconic Bay Medical Center"/>
    <n v="2015"/>
    <n v="4"/>
    <s v="Medicaid"/>
    <x v="1"/>
    <s v="Medicaid"/>
    <n v="4191"/>
    <n v="4788.3500000000004"/>
    <n v="1"/>
  </r>
  <r>
    <x v="1802"/>
    <s v="Peconic Bay Medical Center"/>
    <n v="2015"/>
    <n v="4"/>
    <s v="Medicaid"/>
    <x v="1"/>
    <s v="Medicaid"/>
    <n v="5177.92"/>
    <n v="6283.27"/>
    <n v="1"/>
  </r>
  <r>
    <x v="1803"/>
    <s v="Peconic Bay Medical Center"/>
    <n v="2015"/>
    <n v="4"/>
    <s v="Medicaid"/>
    <x v="1"/>
    <s v="Medicaid"/>
    <n v="4167.5200000000004"/>
    <n v="4783.45"/>
    <n v="1"/>
  </r>
  <r>
    <x v="1804"/>
    <s v="Peconic Bay Medical Center"/>
    <n v="2015"/>
    <n v="4"/>
    <s v="Medicaid"/>
    <x v="1"/>
    <s v="Medicaid"/>
    <n v="23692.240000000002"/>
    <n v="8487.1299999999992"/>
    <n v="0"/>
  </r>
  <r>
    <x v="1805"/>
    <s v="Peconic Bay Medical Center"/>
    <n v="2015"/>
    <n v="4"/>
    <s v="Medicaid"/>
    <x v="1"/>
    <s v="Medicaid"/>
    <n v="79822.460000000006"/>
    <n v="61860.88"/>
    <n v="0"/>
  </r>
  <r>
    <x v="1806"/>
    <s v="Peconic Bay Medical Center"/>
    <n v="2015"/>
    <n v="4"/>
    <s v="Medicaid"/>
    <x v="1"/>
    <s v="Medicaid"/>
    <n v="17101.099999999999"/>
    <n v="5429.09"/>
    <n v="0"/>
  </r>
  <r>
    <x v="1807"/>
    <s v="Peconic Bay Medical Center"/>
    <n v="2015"/>
    <n v="4"/>
    <s v="Medicaid"/>
    <x v="1"/>
    <s v="Medicaid"/>
    <n v="18895.599999999999"/>
    <n v="5046.9399999999996"/>
    <n v="0"/>
  </r>
  <r>
    <x v="1808"/>
    <s v="Peconic Bay Medical Center"/>
    <n v="2015"/>
    <n v="4"/>
    <s v="Medicaid"/>
    <x v="1"/>
    <s v="Medicaid"/>
    <n v="86599.83"/>
    <n v="40034.92"/>
    <n v="0"/>
  </r>
  <r>
    <x v="1809"/>
    <s v="Peconic Bay Medical Center"/>
    <n v="2015"/>
    <n v="4"/>
    <s v="Medicaid"/>
    <x v="1"/>
    <s v="Medicaid"/>
    <n v="1834233.22"/>
    <n v="619504.47"/>
    <n v="0"/>
  </r>
  <r>
    <x v="1810"/>
    <s v="Peconic Bay Medical Center"/>
    <n v="2015"/>
    <n v="4"/>
    <s v="Medicaid"/>
    <x v="1"/>
    <s v="Medicaid"/>
    <n v="6365.26"/>
    <n v="5405.18"/>
    <n v="0"/>
  </r>
  <r>
    <x v="1811"/>
    <s v="Peconic Bay Medical Center"/>
    <n v="2015"/>
    <n v="4"/>
    <s v="Medicaid"/>
    <x v="1"/>
    <s v="Medicaid"/>
    <n v="2968.08"/>
    <n v="3236.75"/>
    <n v="1"/>
  </r>
  <r>
    <x v="1812"/>
    <s v="Peconic Bay Medical Center"/>
    <n v="2015"/>
    <n v="4"/>
    <s v="Medicaid"/>
    <x v="1"/>
    <s v="Medicaid"/>
    <n v="27369.34"/>
    <n v="9571.14"/>
    <n v="0"/>
  </r>
  <r>
    <x v="1813"/>
    <s v="Peconic Bay Medical Center"/>
    <n v="2015"/>
    <n v="4"/>
    <s v="Medicaid"/>
    <x v="1"/>
    <s v="Medicaid"/>
    <n v="60377.16"/>
    <n v="19365.27"/>
    <n v="0"/>
  </r>
  <r>
    <x v="1814"/>
    <s v="Peconic Bay Medical Center"/>
    <n v="2015"/>
    <n v="4"/>
    <s v="Medicaid"/>
    <x v="1"/>
    <s v="Medicaid"/>
    <n v="12574.7"/>
    <n v="2692.9"/>
    <n v="0"/>
  </r>
  <r>
    <x v="1815"/>
    <s v="Peconic Bay Medical Center"/>
    <n v="2015"/>
    <n v="4"/>
    <s v="Medicaid"/>
    <x v="1"/>
    <s v="Medicaid"/>
    <n v="72836.08"/>
    <n v="54244.89"/>
    <n v="0"/>
  </r>
  <r>
    <x v="1816"/>
    <s v="Peconic Bay Medical Center"/>
    <n v="2015"/>
    <n v="4"/>
    <s v="Medicaid"/>
    <x v="1"/>
    <s v="Medicaid"/>
    <n v="92220.5"/>
    <n v="46556.94"/>
    <n v="0"/>
  </r>
  <r>
    <x v="1817"/>
    <s v="Peconic Bay Medical Center"/>
    <n v="2015"/>
    <n v="4"/>
    <s v="Medicaid"/>
    <x v="1"/>
    <s v="Medicaid"/>
    <n v="33578.03"/>
    <n v="19295.330000000002"/>
    <n v="0"/>
  </r>
  <r>
    <x v="1818"/>
    <s v="Peconic Bay Medical Center"/>
    <n v="2015"/>
    <n v="4"/>
    <s v="Medicaid"/>
    <x v="1"/>
    <s v="Medicaid"/>
    <n v="10915.78"/>
    <n v="3022.24"/>
    <n v="0"/>
  </r>
  <r>
    <x v="1819"/>
    <s v="Peconic Bay Medical Center"/>
    <n v="2015"/>
    <n v="4"/>
    <s v="Medicaid"/>
    <x v="1"/>
    <s v="Medicaid"/>
    <n v="2952.56"/>
    <n v="3233.02"/>
    <n v="1"/>
  </r>
  <r>
    <x v="1820"/>
    <s v="Peconic Bay Medical Center"/>
    <n v="2015"/>
    <n v="4"/>
    <s v="Medicaid"/>
    <x v="1"/>
    <s v="Medicaid"/>
    <n v="12805.62"/>
    <n v="3960.45"/>
    <n v="0"/>
  </r>
  <r>
    <x v="1821"/>
    <s v="Peconic Bay Medical Center"/>
    <n v="2015"/>
    <n v="4"/>
    <s v="Medicaid"/>
    <x v="1"/>
    <s v="Medicaid"/>
    <n v="37459.65"/>
    <n v="25662.16"/>
    <n v="0"/>
  </r>
  <r>
    <x v="1822"/>
    <s v="Peconic Bay Medical Center"/>
    <n v="2015"/>
    <n v="4"/>
    <s v="Medicaid"/>
    <x v="1"/>
    <s v="Medicaid"/>
    <n v="23298.36"/>
    <n v="8388.69"/>
    <n v="0"/>
  </r>
  <r>
    <x v="1823"/>
    <s v="Peconic Bay Medical Center"/>
    <n v="2015"/>
    <n v="4"/>
    <s v="Medicaid"/>
    <x v="1"/>
    <s v="Medicaid"/>
    <n v="36228.43"/>
    <n v="23728.59"/>
    <n v="0"/>
  </r>
  <r>
    <x v="1824"/>
    <s v="Peconic Bay Medical Center"/>
    <n v="2015"/>
    <n v="4"/>
    <s v="Medicaid"/>
    <x v="1"/>
    <s v="Medicaid"/>
    <n v="5276.32"/>
    <n v="6307.64"/>
    <n v="1"/>
  </r>
  <r>
    <x v="1825"/>
    <s v="Peconic Bay Medical Center"/>
    <n v="2015"/>
    <n v="4"/>
    <s v="Medicaid"/>
    <x v="1"/>
    <s v="Medicaid"/>
    <n v="2949.48"/>
    <n v="3232.28"/>
    <n v="1"/>
  </r>
  <r>
    <x v="1826"/>
    <s v="Peconic Bay Medical Center"/>
    <n v="2015"/>
    <n v="4"/>
    <s v="Medicaid"/>
    <x v="1"/>
    <s v="Medicaid"/>
    <n v="6252.78"/>
    <n v="6579.18"/>
    <n v="1"/>
  </r>
  <r>
    <x v="1827"/>
    <s v="Peconic Bay Medical Center"/>
    <n v="2015"/>
    <n v="4"/>
    <s v="Medicaid"/>
    <x v="1"/>
    <s v="Medicaid"/>
    <n v="56265.02"/>
    <n v="19909.810000000001"/>
    <n v="0"/>
  </r>
  <r>
    <x v="1828"/>
    <s v="Peconic Bay Medical Center"/>
    <n v="2015"/>
    <n v="4"/>
    <s v="Medicaid"/>
    <x v="1"/>
    <s v="Medicaid"/>
    <n v="36347.58"/>
    <n v="10796.35"/>
    <n v="0"/>
  </r>
  <r>
    <x v="1829"/>
    <s v="Peconic Bay Medical Center"/>
    <n v="2015"/>
    <n v="4"/>
    <s v="Medicaid"/>
    <x v="1"/>
    <s v="Medicaid"/>
    <n v="11129.54"/>
    <n v="3524.54"/>
    <n v="0"/>
  </r>
  <r>
    <x v="1830"/>
    <s v="Peconic Bay Medical Center"/>
    <n v="2015"/>
    <n v="4"/>
    <s v="Medicaid"/>
    <x v="1"/>
    <s v="Medicaid"/>
    <n v="6677.32"/>
    <n v="7917.53"/>
    <n v="1"/>
  </r>
  <r>
    <x v="1831"/>
    <s v="Peconic Bay Medical Center"/>
    <n v="2015"/>
    <n v="4"/>
    <s v="Medicaid"/>
    <x v="1"/>
    <s v="Medicaid"/>
    <n v="5177.92"/>
    <n v="6283.27"/>
    <n v="1"/>
  </r>
  <r>
    <x v="1832"/>
    <s v="Peconic Bay Medical Center"/>
    <n v="2015"/>
    <n v="4"/>
    <s v="Medicaid"/>
    <x v="1"/>
    <s v="Medicaid"/>
    <n v="23424.2"/>
    <n v="8135.2"/>
    <n v="0"/>
  </r>
  <r>
    <x v="1833"/>
    <s v="Peconic Bay Medical Center"/>
    <n v="2015"/>
    <n v="4"/>
    <s v="Medicaid"/>
    <x v="1"/>
    <s v="Medicaid"/>
    <n v="6236.22"/>
    <n v="5373.16"/>
    <n v="0"/>
  </r>
  <r>
    <x v="1834"/>
    <s v="Peconic Bay Medical Center"/>
    <n v="2015"/>
    <n v="4"/>
    <s v="Medicaid"/>
    <x v="1"/>
    <s v="Medicaid"/>
    <n v="23626.68"/>
    <n v="8281.06"/>
    <n v="0"/>
  </r>
  <r>
    <x v="1835"/>
    <s v="Peconic Bay Medical Center"/>
    <n v="2015"/>
    <n v="4"/>
    <s v="Medicaid"/>
    <x v="1"/>
    <s v="Medicaid"/>
    <n v="12982.98"/>
    <n v="3962.22"/>
    <n v="0"/>
  </r>
  <r>
    <x v="1836"/>
    <s v="Peconic Bay Medical Center"/>
    <n v="2015"/>
    <n v="4"/>
    <s v="Medicaid"/>
    <x v="1"/>
    <s v="Medicaid"/>
    <n v="4069.12"/>
    <n v="4759.08"/>
    <n v="1"/>
  </r>
  <r>
    <x v="1837"/>
    <s v="Peconic Bay Medical Center"/>
    <n v="2015"/>
    <n v="4"/>
    <s v="Medicaid"/>
    <x v="1"/>
    <s v="Medicaid"/>
    <n v="8855.52"/>
    <n v="8521.0400000000009"/>
    <n v="0"/>
  </r>
  <r>
    <x v="1838"/>
    <s v="Peconic Bay Medical Center"/>
    <n v="2015"/>
    <n v="4"/>
    <s v="Medicaid"/>
    <x v="1"/>
    <s v="Medicaid"/>
    <n v="25790.14"/>
    <n v="17479.72"/>
    <n v="0"/>
  </r>
  <r>
    <x v="1839"/>
    <s v="Peconic Bay Medical Center"/>
    <n v="2015"/>
    <n v="4"/>
    <s v="Medicaid"/>
    <x v="1"/>
    <s v="Medicaid"/>
    <n v="2968.08"/>
    <n v="3236.75"/>
    <n v="1"/>
  </r>
  <r>
    <x v="1840"/>
    <s v="Peconic Bay Medical Center"/>
    <n v="2015"/>
    <n v="4"/>
    <s v="Medicaid"/>
    <x v="1"/>
    <s v="Medicaid"/>
    <n v="4076.88"/>
    <n v="4760.9399999999996"/>
    <n v="1"/>
  </r>
  <r>
    <x v="1841"/>
    <s v="Peconic Bay Medical Center"/>
    <n v="2015"/>
    <n v="4"/>
    <s v="Medicaid"/>
    <x v="1"/>
    <s v="Medicaid"/>
    <n v="6965.78"/>
    <n v="6727.12"/>
    <n v="0"/>
  </r>
  <r>
    <x v="1842"/>
    <s v="Peconic Bay Medical Center"/>
    <n v="2015"/>
    <n v="4"/>
    <s v="Medicaid"/>
    <x v="1"/>
    <s v="Medicaid"/>
    <n v="20218.7"/>
    <n v="4778.96"/>
    <n v="0"/>
  </r>
  <r>
    <x v="1843"/>
    <s v="Peconic Bay Medical Center"/>
    <n v="2015"/>
    <n v="4"/>
    <s v="Medicaid"/>
    <x v="1"/>
    <s v="Medicaid"/>
    <n v="5177.92"/>
    <n v="6283.27"/>
    <n v="1"/>
  </r>
  <r>
    <x v="1844"/>
    <s v="Peconic Bay Medical Center"/>
    <n v="2015"/>
    <n v="4"/>
    <s v="Medicaid"/>
    <x v="1"/>
    <s v="Medicaid"/>
    <n v="5177.92"/>
    <n v="6283.27"/>
    <n v="1"/>
  </r>
  <r>
    <x v="1845"/>
    <s v="Peconic Bay Medical Center"/>
    <n v="2015"/>
    <n v="4"/>
    <s v="Medicaid"/>
    <x v="1"/>
    <s v="Medicaid"/>
    <n v="68944.240000000005"/>
    <n v="23699.74"/>
    <n v="0"/>
  </r>
  <r>
    <x v="1846"/>
    <s v="Peconic Bay Medical Center"/>
    <n v="2015"/>
    <n v="4"/>
    <s v="Medicaid"/>
    <x v="1"/>
    <s v="Medicaid"/>
    <n v="22133"/>
    <n v="4892.8"/>
    <n v="0"/>
  </r>
  <r>
    <x v="1847"/>
    <s v="Peconic Bay Medical Center"/>
    <n v="2015"/>
    <n v="4"/>
    <s v="Medicaid"/>
    <x v="1"/>
    <s v="Medicaid"/>
    <n v="8467.42"/>
    <n v="7176.35"/>
    <n v="0"/>
  </r>
  <r>
    <x v="1848"/>
    <s v="Peconic Bay Medical Center"/>
    <n v="2015"/>
    <n v="4"/>
    <s v="Medicaid"/>
    <x v="1"/>
    <s v="Medicaid"/>
    <n v="3956.16"/>
    <n v="4727.57"/>
    <n v="1"/>
  </r>
  <r>
    <x v="1849"/>
    <s v="Peconic Bay Medical Center"/>
    <n v="2015"/>
    <n v="4"/>
    <s v="Medicaid"/>
    <x v="1"/>
    <s v="Medicaid"/>
    <n v="18238.32"/>
    <n v="11753.33"/>
    <n v="0"/>
  </r>
  <r>
    <x v="1850"/>
    <s v="Peconic Bay Medical Center"/>
    <n v="2015"/>
    <n v="4"/>
    <s v="Medicaid"/>
    <x v="1"/>
    <s v="Medicaid"/>
    <n v="4069.12"/>
    <n v="4759.08"/>
    <n v="1"/>
  </r>
  <r>
    <x v="1851"/>
    <s v="Peconic Bay Medical Center"/>
    <n v="2015"/>
    <n v="4"/>
    <s v="Medicaid"/>
    <x v="1"/>
    <s v="Medicaid"/>
    <n v="4700.3999999999996"/>
    <n v="1622.32"/>
    <n v="0"/>
  </r>
  <r>
    <x v="1852"/>
    <s v="Peconic Bay Medical Center"/>
    <n v="2015"/>
    <n v="4"/>
    <s v="Medicaid"/>
    <x v="1"/>
    <s v="Medicaid"/>
    <n v="4076.88"/>
    <n v="4760.9399999999996"/>
    <n v="1"/>
  </r>
  <r>
    <x v="1853"/>
    <s v="Peconic Bay Medical Center"/>
    <n v="2015"/>
    <n v="4"/>
    <s v="Medicaid"/>
    <x v="1"/>
    <s v="Medicaid"/>
    <n v="6187.72"/>
    <n v="6534.38"/>
    <n v="1"/>
  </r>
  <r>
    <x v="1854"/>
    <s v="Peconic Bay Medical Center"/>
    <n v="2015"/>
    <n v="4"/>
    <s v="Medicaid"/>
    <x v="1"/>
    <s v="Medicaid"/>
    <n v="36322.720000000001"/>
    <n v="10265"/>
    <n v="0"/>
  </r>
  <r>
    <x v="1855"/>
    <s v="Peconic Bay Medical Center"/>
    <n v="2015"/>
    <n v="4"/>
    <s v="Medicaid"/>
    <x v="1"/>
    <s v="Medicaid"/>
    <n v="35950.39"/>
    <n v="22130.39"/>
    <n v="0"/>
  </r>
  <r>
    <x v="1856"/>
    <s v="Peconic Bay Medical Center"/>
    <n v="2015"/>
    <n v="4"/>
    <s v="Medicaid"/>
    <x v="1"/>
    <s v="Medicaid"/>
    <n v="23847.119999999999"/>
    <n v="12874.03"/>
    <n v="0"/>
  </r>
  <r>
    <x v="1857"/>
    <s v="Peconic Bay Medical Center"/>
    <n v="2015"/>
    <n v="4"/>
    <s v="Medicaid"/>
    <x v="1"/>
    <s v="Medicaid"/>
    <n v="61808.38"/>
    <n v="26315.52"/>
    <n v="0"/>
  </r>
  <r>
    <x v="1858"/>
    <s v="Peconic Bay Medical Center"/>
    <n v="2015"/>
    <n v="4"/>
    <s v="Medicaid"/>
    <x v="1"/>
    <s v="Medicaid"/>
    <n v="19323.72"/>
    <n v="8806.5499999999993"/>
    <n v="0"/>
  </r>
  <r>
    <x v="1859"/>
    <s v="Peconic Bay Medical Center"/>
    <n v="2015"/>
    <n v="4"/>
    <s v="Medicaid"/>
    <x v="1"/>
    <s v="Medicaid"/>
    <n v="2960.32"/>
    <n v="3234.89"/>
    <n v="1"/>
  </r>
  <r>
    <x v="1860"/>
    <s v="Peconic Bay Medical Center"/>
    <n v="2015"/>
    <n v="4"/>
    <s v="Medicaid"/>
    <x v="1"/>
    <s v="Medicaid"/>
    <n v="19317.48"/>
    <n v="6672.7"/>
    <n v="0"/>
  </r>
  <r>
    <x v="1861"/>
    <s v="Peconic Bay Medical Center"/>
    <n v="2015"/>
    <n v="4"/>
    <s v="Medicaid"/>
    <x v="1"/>
    <s v="Medicaid"/>
    <n v="54651.46"/>
    <n v="40085.83"/>
    <n v="0"/>
  </r>
  <r>
    <x v="1862"/>
    <s v="Peconic Bay Medical Center"/>
    <n v="2015"/>
    <n v="4"/>
    <s v="Medicaid"/>
    <x v="1"/>
    <s v="Medicaid"/>
    <n v="13780.42"/>
    <n v="4059.53"/>
    <n v="0"/>
  </r>
  <r>
    <x v="1863"/>
    <s v="Peconic Bay Medical Center"/>
    <n v="2015"/>
    <n v="4"/>
    <s v="Medicaid"/>
    <x v="1"/>
    <s v="Medicaid"/>
    <n v="16342.48"/>
    <n v="4812.25"/>
    <n v="0"/>
  </r>
  <r>
    <x v="1864"/>
    <s v="Peconic Bay Medical Center"/>
    <n v="2015"/>
    <n v="4"/>
    <s v="Medicaid"/>
    <x v="1"/>
    <s v="Medicaid"/>
    <n v="28397.9"/>
    <n v="6781.1"/>
    <n v="0"/>
  </r>
  <r>
    <x v="1865"/>
    <s v="Peconic Bay Medical Center"/>
    <n v="2015"/>
    <n v="4"/>
    <s v="Medicaid"/>
    <x v="1"/>
    <s v="Medicaid"/>
    <n v="25807.58"/>
    <n v="12511.72"/>
    <n v="0"/>
  </r>
  <r>
    <x v="1866"/>
    <s v="Peconic Bay Medical Center"/>
    <n v="2015"/>
    <n v="4"/>
    <s v="Medicaid"/>
    <x v="1"/>
    <s v="Medicaid"/>
    <n v="5357.18"/>
    <n v="6334.24"/>
    <n v="1"/>
  </r>
  <r>
    <x v="1867"/>
    <s v="Peconic Bay Medical Center"/>
    <n v="2015"/>
    <n v="4"/>
    <s v="Medicaid"/>
    <x v="1"/>
    <s v="Medicaid"/>
    <n v="82995.02"/>
    <n v="23655.48"/>
    <n v="0"/>
  </r>
  <r>
    <x v="1868"/>
    <s v="Peconic Bay Medical Center"/>
    <n v="2015"/>
    <n v="4"/>
    <s v="Medicaid"/>
    <x v="1"/>
    <s v="Medicaid"/>
    <n v="24383.66"/>
    <n v="8428.68"/>
    <n v="0"/>
  </r>
  <r>
    <x v="1869"/>
    <s v="Peconic Bay Medical Center"/>
    <n v="2015"/>
    <n v="4"/>
    <s v="Medicaid"/>
    <x v="1"/>
    <s v="Medicaid"/>
    <n v="4069.12"/>
    <n v="4759.08"/>
    <n v="1"/>
  </r>
  <r>
    <x v="1870"/>
    <s v="Peconic Bay Medical Center"/>
    <n v="2015"/>
    <n v="4"/>
    <s v="Medicaid"/>
    <x v="1"/>
    <s v="Medicaid"/>
    <n v="24914.27"/>
    <n v="6694.75"/>
    <n v="0"/>
  </r>
  <r>
    <x v="1871"/>
    <s v="Peconic Bay Medical Center"/>
    <n v="2015"/>
    <n v="4"/>
    <s v="Medicaid"/>
    <x v="1"/>
    <s v="Medicaid"/>
    <n v="19326.28"/>
    <n v="5941.85"/>
    <n v="0"/>
  </r>
  <r>
    <x v="1872"/>
    <s v="Peconic Bay Medical Center"/>
    <n v="2015"/>
    <n v="4"/>
    <s v="Medicaid"/>
    <x v="1"/>
    <s v="Medicaid"/>
    <n v="12663.48"/>
    <n v="6675.62"/>
    <n v="0"/>
  </r>
  <r>
    <x v="1873"/>
    <s v="Peconic Bay Medical Center"/>
    <n v="2015"/>
    <n v="4"/>
    <s v="Medicaid"/>
    <x v="1"/>
    <s v="Medicaid"/>
    <n v="4076.88"/>
    <n v="4760.9399999999996"/>
    <n v="1"/>
  </r>
  <r>
    <x v="1874"/>
    <s v="Peconic Bay Medical Center"/>
    <n v="2015"/>
    <n v="4"/>
    <s v="Medicaid"/>
    <x v="1"/>
    <s v="Medicaid"/>
    <n v="4076.88"/>
    <n v="4760.9399999999996"/>
    <n v="1"/>
  </r>
  <r>
    <x v="1875"/>
    <s v="Peconic Bay Medical Center"/>
    <n v="2015"/>
    <n v="4"/>
    <s v="Medicaid"/>
    <x v="1"/>
    <s v="Medicaid"/>
    <n v="4229.62"/>
    <n v="4798.83"/>
    <n v="1"/>
  </r>
  <r>
    <x v="1876"/>
    <s v="Peconic Bay Medical Center"/>
    <n v="2015"/>
    <n v="4"/>
    <s v="Medicaid"/>
    <x v="1"/>
    <s v="Medicaid"/>
    <n v="58330.9"/>
    <n v="18730.580000000002"/>
    <n v="0"/>
  </r>
  <r>
    <x v="1877"/>
    <s v="Peconic Bay Medical Center"/>
    <n v="2015"/>
    <n v="4"/>
    <s v="Medicaid"/>
    <x v="1"/>
    <s v="Medicaid"/>
    <n v="2952.56"/>
    <n v="3233.02"/>
    <n v="1"/>
  </r>
  <r>
    <x v="1878"/>
    <s v="Peconic Bay Medical Center"/>
    <n v="2015"/>
    <n v="4"/>
    <s v="Medicaid"/>
    <x v="1"/>
    <s v="Medicaid"/>
    <n v="69617.759999999995"/>
    <n v="42589.31"/>
    <n v="0"/>
  </r>
  <r>
    <x v="1879"/>
    <s v="Peconic Bay Medical Center"/>
    <n v="2015"/>
    <n v="4"/>
    <s v="Medicaid"/>
    <x v="1"/>
    <s v="Medicaid"/>
    <n v="143575.01999999999"/>
    <n v="92016.37"/>
    <n v="0"/>
  </r>
  <r>
    <x v="1880"/>
    <s v="Peconic Bay Medical Center"/>
    <n v="2015"/>
    <n v="4"/>
    <s v="Medicaid"/>
    <x v="1"/>
    <s v="Medicaid"/>
    <n v="23584.76"/>
    <n v="8270.99"/>
    <n v="0"/>
  </r>
  <r>
    <x v="1881"/>
    <s v="Peconic Bay Medical Center"/>
    <n v="2015"/>
    <n v="4"/>
    <s v="Medicaid"/>
    <x v="1"/>
    <s v="Medicaid"/>
    <n v="10009.74"/>
    <n v="11250.91"/>
    <n v="1"/>
  </r>
  <r>
    <x v="1882"/>
    <s v="Peconic Bay Medical Center"/>
    <n v="2015"/>
    <n v="4"/>
    <s v="Medicaid"/>
    <x v="1"/>
    <s v="Medicaid"/>
    <n v="52922.9"/>
    <n v="33871.599999999999"/>
    <n v="0"/>
  </r>
  <r>
    <x v="1883"/>
    <s v="Peconic Bay Medical Center"/>
    <n v="2015"/>
    <n v="4"/>
    <s v="Medicaid"/>
    <x v="1"/>
    <s v="Medicaid"/>
    <n v="6587.74"/>
    <n v="4061.65"/>
    <n v="0"/>
  </r>
  <r>
    <x v="1884"/>
    <s v="Peconic Bay Medical Center"/>
    <n v="2015"/>
    <n v="4"/>
    <s v="Medicaid"/>
    <x v="1"/>
    <s v="Medicaid"/>
    <n v="69010.42"/>
    <n v="47761.48"/>
    <n v="0"/>
  </r>
  <r>
    <x v="1885"/>
    <s v="Peconic Bay Medical Center"/>
    <n v="2015"/>
    <n v="4"/>
    <s v="Medicaid"/>
    <x v="1"/>
    <s v="Medicaid"/>
    <n v="6286.72"/>
    <n v="7807.46"/>
    <n v="1"/>
  </r>
  <r>
    <x v="1886"/>
    <s v="Peconic Bay Medical Center"/>
    <n v="2015"/>
    <n v="4"/>
    <s v="Medicaid"/>
    <x v="1"/>
    <s v="Medicaid"/>
    <n v="5050.5200000000004"/>
    <n v="1683.23"/>
    <n v="0"/>
  </r>
  <r>
    <x v="1887"/>
    <s v="Peconic Bay Medical Center"/>
    <n v="2015"/>
    <n v="4"/>
    <s v="Medicaid"/>
    <x v="1"/>
    <s v="Medicaid"/>
    <n v="14150.24"/>
    <n v="2934.65"/>
    <n v="0"/>
  </r>
  <r>
    <x v="1888"/>
    <s v="Peconic Bay Medical Center"/>
    <n v="2015"/>
    <n v="4"/>
    <s v="Medicaid"/>
    <x v="1"/>
    <s v="Medicaid"/>
    <n v="5216.32"/>
    <n v="6292.78"/>
    <n v="1"/>
  </r>
  <r>
    <x v="1889"/>
    <s v="Peconic Bay Medical Center"/>
    <n v="2015"/>
    <n v="4"/>
    <s v="Medicaid"/>
    <x v="1"/>
    <s v="Medicaid"/>
    <n v="9209.2800000000007"/>
    <n v="2633.24"/>
    <n v="0"/>
  </r>
  <r>
    <x v="1890"/>
    <s v="Peconic Bay Medical Center"/>
    <n v="2015"/>
    <n v="4"/>
    <s v="Medicaid"/>
    <x v="1"/>
    <s v="Medicaid"/>
    <n v="14426.76"/>
    <n v="4951.22"/>
    <n v="0"/>
  </r>
  <r>
    <x v="1891"/>
    <s v="Peconic Bay Medical Center"/>
    <n v="2015"/>
    <n v="4"/>
    <s v="Medicaid"/>
    <x v="1"/>
    <s v="Medicaid"/>
    <n v="5177.92"/>
    <n v="6283.27"/>
    <n v="1"/>
  </r>
  <r>
    <x v="1892"/>
    <s v="Peconic Bay Medical Center"/>
    <n v="2015"/>
    <n v="4"/>
    <s v="Medicaid"/>
    <x v="1"/>
    <s v="Medicaid"/>
    <n v="5345.36"/>
    <n v="6324.8"/>
    <n v="1"/>
  </r>
  <r>
    <x v="1893"/>
    <s v="Peconic Bay Medical Center"/>
    <n v="2015"/>
    <n v="4"/>
    <s v="Medicaid"/>
    <x v="1"/>
    <s v="Medicaid"/>
    <n v="3947.2"/>
    <n v="4729.79"/>
    <n v="1"/>
  </r>
  <r>
    <x v="1894"/>
    <s v="Peconic Bay Medical Center"/>
    <n v="2015"/>
    <n v="4"/>
    <s v="Medicaid"/>
    <x v="1"/>
    <s v="Medicaid"/>
    <n v="61263.12"/>
    <n v="23196.16"/>
    <n v="0"/>
  </r>
  <r>
    <x v="1895"/>
    <s v="Peconic Bay Medical Center"/>
    <n v="2015"/>
    <n v="4"/>
    <s v="Medicaid"/>
    <x v="1"/>
    <s v="Medicaid"/>
    <n v="30146.36"/>
    <n v="9386.36"/>
    <n v="0"/>
  </r>
  <r>
    <x v="1896"/>
    <s v="Peconic Bay Medical Center"/>
    <n v="2015"/>
    <n v="4"/>
    <s v="Medicaid"/>
    <x v="1"/>
    <s v="Medicaid"/>
    <n v="23542.94"/>
    <n v="8260.82"/>
    <n v="0"/>
  </r>
  <r>
    <x v="1897"/>
    <s v="Peconic Bay Medical Center"/>
    <n v="2015"/>
    <n v="4"/>
    <s v="Medicaid"/>
    <x v="1"/>
    <s v="Medicaid"/>
    <n v="5177.92"/>
    <n v="6283.27"/>
    <n v="1"/>
  </r>
  <r>
    <x v="1898"/>
    <s v="Peconic Bay Medical Center"/>
    <n v="2015"/>
    <n v="4"/>
    <s v="Medicaid"/>
    <x v="1"/>
    <s v="Medicaid"/>
    <n v="67695.740000000005"/>
    <n v="53646.55"/>
    <n v="0"/>
  </r>
  <r>
    <x v="1899"/>
    <s v="Peconic Bay Medical Center"/>
    <n v="2015"/>
    <n v="4"/>
    <s v="Medicaid"/>
    <x v="1"/>
    <s v="Medicaid"/>
    <n v="4178.92"/>
    <n v="4786.28"/>
    <n v="1"/>
  </r>
  <r>
    <x v="1900"/>
    <s v="Peconic Bay Medical Center"/>
    <n v="2015"/>
    <n v="4"/>
    <s v="Medicaid"/>
    <x v="1"/>
    <s v="Medicaid"/>
    <n v="17224.599999999999"/>
    <n v="5428.69"/>
    <n v="0"/>
  </r>
  <r>
    <x v="1901"/>
    <s v="Peconic Bay Medical Center"/>
    <n v="2015"/>
    <n v="4"/>
    <s v="Medicaid"/>
    <x v="1"/>
    <s v="Medicaid"/>
    <n v="8992.34"/>
    <n v="2443.2399999999998"/>
    <n v="0"/>
  </r>
  <r>
    <x v="1902"/>
    <s v="Peconic Bay Medical Center"/>
    <n v="2015"/>
    <n v="4"/>
    <s v="Medicaid"/>
    <x v="1"/>
    <s v="Medicaid"/>
    <n v="17200.66"/>
    <n v="6949.05"/>
    <n v="0"/>
  </r>
  <r>
    <x v="1903"/>
    <s v="Peconic Bay Medical Center"/>
    <n v="2015"/>
    <n v="4"/>
    <s v="Medicaid"/>
    <x v="1"/>
    <s v="Medicaid"/>
    <n v="24384.34"/>
    <n v="8428.9699999999993"/>
    <n v="0"/>
  </r>
  <r>
    <x v="1904"/>
    <s v="Peconic Bay Medical Center"/>
    <n v="2015"/>
    <n v="4"/>
    <s v="Medicaid"/>
    <x v="1"/>
    <s v="Medicaid"/>
    <n v="25803.46"/>
    <n v="7016.63"/>
    <n v="0"/>
  </r>
  <r>
    <x v="1905"/>
    <s v="Peconic Bay Medical Center"/>
    <n v="2015"/>
    <n v="4"/>
    <s v="Medicaid"/>
    <x v="1"/>
    <s v="Medicaid"/>
    <n v="5225.82"/>
    <n v="3873.34"/>
    <n v="0"/>
  </r>
  <r>
    <x v="1906"/>
    <s v="Peconic Bay Medical Center"/>
    <n v="2015"/>
    <n v="4"/>
    <s v="Medicaid"/>
    <x v="1"/>
    <s v="Medicaid"/>
    <n v="4076.88"/>
    <n v="4760.9399999999996"/>
    <n v="1"/>
  </r>
  <r>
    <x v="1907"/>
    <s v="Peconic Bay Medical Center"/>
    <n v="2015"/>
    <n v="4"/>
    <s v="Medicaid"/>
    <x v="1"/>
    <s v="Medicaid"/>
    <n v="29511.58"/>
    <n v="9847.27"/>
    <n v="0"/>
  </r>
  <r>
    <x v="1908"/>
    <s v="Peconic Bay Medical Center"/>
    <n v="2015"/>
    <n v="4"/>
    <s v="Medicaid"/>
    <x v="1"/>
    <s v="Medicaid"/>
    <n v="4061.36"/>
    <n v="4757.21"/>
    <n v="1"/>
  </r>
  <r>
    <x v="1909"/>
    <s v="Peconic Bay Medical Center"/>
    <n v="2015"/>
    <n v="4"/>
    <s v="Medicaid"/>
    <x v="1"/>
    <s v="Medicaid"/>
    <n v="5177.92"/>
    <n v="6283.27"/>
    <n v="1"/>
  </r>
  <r>
    <x v="1910"/>
    <s v="Peconic Bay Medical Center"/>
    <n v="2015"/>
    <n v="4"/>
    <s v="Medicaid"/>
    <x v="1"/>
    <s v="Medicaid"/>
    <n v="28493.96"/>
    <n v="18712.72"/>
    <n v="0"/>
  </r>
  <r>
    <x v="1911"/>
    <s v="Peconic Bay Medical Center"/>
    <n v="2015"/>
    <n v="4"/>
    <s v="Medicaid"/>
    <x v="1"/>
    <s v="Medicaid"/>
    <n v="3620.06"/>
    <n v="3398.37"/>
    <n v="0"/>
  </r>
  <r>
    <x v="1912"/>
    <s v="Peconic Bay Medical Center"/>
    <n v="2015"/>
    <n v="4"/>
    <s v="Medicaid"/>
    <x v="1"/>
    <s v="Medicaid"/>
    <n v="3255.52"/>
    <n v="3308.01"/>
    <n v="1"/>
  </r>
  <r>
    <x v="1913"/>
    <s v="Peconic Bay Medical Center"/>
    <n v="2015"/>
    <n v="4"/>
    <s v="Medicaid"/>
    <x v="1"/>
    <s v="Medicaid"/>
    <n v="4069.12"/>
    <n v="4759.08"/>
    <n v="1"/>
  </r>
  <r>
    <x v="1914"/>
    <s v="Peconic Bay Medical Center"/>
    <n v="2015"/>
    <n v="4"/>
    <s v="Medicaid"/>
    <x v="1"/>
    <s v="Medicaid"/>
    <n v="4069.12"/>
    <n v="4759.08"/>
    <n v="1"/>
  </r>
  <r>
    <x v="1915"/>
    <s v="Peconic Bay Medical Center"/>
    <n v="2015"/>
    <n v="4"/>
    <s v="Medicaid"/>
    <x v="1"/>
    <s v="Medicaid"/>
    <n v="17643.66"/>
    <n v="4425.3900000000003"/>
    <n v="0"/>
  </r>
  <r>
    <x v="1916"/>
    <s v="Peconic Bay Medical Center"/>
    <n v="2015"/>
    <n v="4"/>
    <s v="Medicaid"/>
    <x v="1"/>
    <s v="Medicaid"/>
    <n v="37357.65"/>
    <n v="27542.82"/>
    <n v="0"/>
  </r>
  <r>
    <x v="1917"/>
    <s v="Peconic Bay Medical Center"/>
    <n v="2015"/>
    <n v="4"/>
    <s v="Medicaid"/>
    <x v="1"/>
    <s v="Medicaid"/>
    <n v="4222.72"/>
    <n v="4797.12"/>
    <n v="1"/>
  </r>
  <r>
    <x v="1918"/>
    <s v="Peconic Bay Medical Center"/>
    <n v="2015"/>
    <n v="4"/>
    <s v="Medicaid"/>
    <x v="1"/>
    <s v="Medicaid"/>
    <n v="24200.959999999999"/>
    <n v="11874.37"/>
    <n v="0"/>
  </r>
  <r>
    <x v="1919"/>
    <s v="Peconic Bay Medical Center"/>
    <n v="2015"/>
    <n v="4"/>
    <s v="Medicaid"/>
    <x v="1"/>
    <s v="Medicaid"/>
    <n v="2960.32"/>
    <n v="3234.89"/>
    <n v="1"/>
  </r>
  <r>
    <x v="1920"/>
    <s v="Peconic Bay Medical Center"/>
    <n v="2015"/>
    <n v="4"/>
    <s v="Medicaid"/>
    <x v="1"/>
    <s v="Medicaid"/>
    <n v="7443.42"/>
    <n v="6921.72"/>
    <n v="0"/>
  </r>
  <r>
    <x v="1921"/>
    <s v="Peconic Bay Medical Center"/>
    <n v="2015"/>
    <n v="4"/>
    <s v="Medicaid"/>
    <x v="1"/>
    <s v="Medicaid"/>
    <n v="23503.84"/>
    <n v="8209.4"/>
    <n v="0"/>
  </r>
  <r>
    <x v="1922"/>
    <s v="Peconic Bay Medical Center"/>
    <n v="2015"/>
    <n v="4"/>
    <s v="Medicaid"/>
    <x v="1"/>
    <s v="Medicaid"/>
    <n v="26693.84"/>
    <n v="7856.65"/>
    <n v="0"/>
  </r>
  <r>
    <x v="1923"/>
    <s v="Peconic Bay Medical Center"/>
    <n v="2015"/>
    <n v="4"/>
    <s v="Medicaid"/>
    <x v="1"/>
    <s v="Medicaid"/>
    <n v="5072.72"/>
    <n v="6253.62"/>
    <n v="1"/>
  </r>
  <r>
    <x v="1924"/>
    <s v="Peconic Bay Medical Center"/>
    <n v="2015"/>
    <n v="4"/>
    <s v="Medicaid"/>
    <x v="1"/>
    <s v="Medicaid"/>
    <n v="4830.62"/>
    <n v="6197.03"/>
    <n v="1"/>
  </r>
  <r>
    <x v="1925"/>
    <s v="Peconic Bay Medical Center"/>
    <n v="2015"/>
    <n v="4"/>
    <s v="Medicaid"/>
    <x v="1"/>
    <s v="Medicaid"/>
    <n v="35786.199999999997"/>
    <n v="10509.64"/>
    <n v="0"/>
  </r>
  <r>
    <x v="1926"/>
    <s v="Peconic Bay Medical Center"/>
    <n v="2015"/>
    <n v="4"/>
    <s v="Medicaid"/>
    <x v="1"/>
    <s v="Medicaid"/>
    <n v="6286.72"/>
    <n v="7807.46"/>
    <n v="1"/>
  </r>
  <r>
    <x v="1927"/>
    <s v="Peconic Bay Medical Center"/>
    <n v="2015"/>
    <n v="4"/>
    <s v="Medicaid"/>
    <x v="1"/>
    <s v="Medicaid"/>
    <n v="12616.08"/>
    <n v="3248.74"/>
    <n v="0"/>
  </r>
  <r>
    <x v="1928"/>
    <s v="Peconic Bay Medical Center"/>
    <n v="2015"/>
    <n v="4"/>
    <s v="Medicaid"/>
    <x v="1"/>
    <s v="Medicaid"/>
    <n v="38610.22"/>
    <n v="10063.799999999999"/>
    <n v="0"/>
  </r>
  <r>
    <x v="1929"/>
    <s v="Peconic Bay Medical Center"/>
    <n v="2015"/>
    <n v="4"/>
    <s v="Medicaid"/>
    <x v="1"/>
    <s v="Medicaid"/>
    <n v="6810.06"/>
    <n v="7937.87"/>
    <n v="1"/>
  </r>
  <r>
    <x v="1930"/>
    <s v="Peconic Bay Medical Center"/>
    <n v="2015"/>
    <n v="4"/>
    <s v="Medicaid"/>
    <x v="1"/>
    <s v="Medicaid"/>
    <n v="21608"/>
    <n v="4780.29"/>
    <n v="0"/>
  </r>
  <r>
    <x v="1931"/>
    <s v="Peconic Bay Medical Center"/>
    <n v="2015"/>
    <n v="4"/>
    <s v="Medicaid"/>
    <x v="1"/>
    <s v="Medicaid"/>
    <n v="15526.66"/>
    <n v="4536.59"/>
    <n v="0"/>
  </r>
  <r>
    <x v="1932"/>
    <s v="Peconic Bay Medical Center"/>
    <n v="2015"/>
    <n v="4"/>
    <s v="Medicaid"/>
    <x v="1"/>
    <s v="Medicaid"/>
    <n v="7527.22"/>
    <n v="8149.03"/>
    <n v="1"/>
  </r>
  <r>
    <x v="1933"/>
    <s v="Peconic Bay Medical Center"/>
    <n v="2015"/>
    <n v="4"/>
    <s v="Medicaid"/>
    <x v="1"/>
    <s v="Medicaid"/>
    <n v="4923.42"/>
    <n v="6220.02"/>
    <n v="1"/>
  </r>
  <r>
    <x v="1934"/>
    <s v="Peconic Bay Medical Center"/>
    <n v="2015"/>
    <n v="4"/>
    <s v="Medicaid"/>
    <x v="1"/>
    <s v="Medicaid"/>
    <n v="44954.01"/>
    <n v="26614.880000000001"/>
    <n v="0"/>
  </r>
  <r>
    <x v="1935"/>
    <s v="Peconic Bay Medical Center"/>
    <n v="2015"/>
    <n v="4"/>
    <s v="Medicaid"/>
    <x v="1"/>
    <s v="Medicaid"/>
    <n v="39467.269999999997"/>
    <n v="26555.02"/>
    <n v="0"/>
  </r>
  <r>
    <x v="1936"/>
    <s v="Peconic Bay Medical Center"/>
    <n v="2015"/>
    <n v="4"/>
    <s v="Medicaid"/>
    <x v="1"/>
    <s v="Medicaid"/>
    <n v="23325.38"/>
    <n v="7267.24"/>
    <n v="0"/>
  </r>
  <r>
    <x v="1937"/>
    <s v="Peconic Bay Medical Center"/>
    <n v="2015"/>
    <n v="4"/>
    <s v="Medicaid"/>
    <x v="1"/>
    <s v="Medicaid"/>
    <n v="28738.97"/>
    <n v="17442.21"/>
    <n v="0"/>
  </r>
  <r>
    <x v="1938"/>
    <s v="Peconic Bay Medical Center"/>
    <n v="2015"/>
    <n v="4"/>
    <s v="Medicaid"/>
    <x v="1"/>
    <s v="Medicaid"/>
    <n v="14657.34"/>
    <n v="4283.7299999999996"/>
    <n v="0"/>
  </r>
  <r>
    <x v="1939"/>
    <s v="Peconic Bay Medical Center"/>
    <n v="2015"/>
    <n v="4"/>
    <s v="Medicaid"/>
    <x v="1"/>
    <s v="Medicaid"/>
    <n v="4977.22"/>
    <n v="6233.35"/>
    <n v="1"/>
  </r>
  <r>
    <x v="1940"/>
    <s v="Peconic Bay Medical Center"/>
    <n v="2015"/>
    <n v="4"/>
    <s v="Medicaid"/>
    <x v="1"/>
    <s v="Medicaid"/>
    <n v="42943.48"/>
    <n v="12466.67"/>
    <n v="0"/>
  </r>
  <r>
    <x v="1941"/>
    <s v="Peconic Bay Medical Center"/>
    <n v="2015"/>
    <n v="4"/>
    <s v="Medicaid"/>
    <x v="1"/>
    <s v="Medicaid"/>
    <n v="29635.26"/>
    <n v="9139.01"/>
    <n v="0"/>
  </r>
  <r>
    <x v="1942"/>
    <s v="Peconic Bay Medical Center"/>
    <n v="2015"/>
    <n v="4"/>
    <s v="Medicaid"/>
    <x v="1"/>
    <s v="Medicaid"/>
    <n v="21008.240000000002"/>
    <n v="4812.84"/>
    <n v="0"/>
  </r>
  <r>
    <x v="1943"/>
    <s v="Peconic Bay Medical Center"/>
    <n v="2015"/>
    <n v="4"/>
    <s v="Medicaid"/>
    <x v="1"/>
    <s v="Medicaid"/>
    <n v="69778.14"/>
    <n v="28885.79"/>
    <n v="0"/>
  </r>
  <r>
    <x v="1944"/>
    <s v="Peconic Bay Medical Center"/>
    <n v="2015"/>
    <n v="4"/>
    <s v="Medicaid"/>
    <x v="1"/>
    <s v="Medicaid"/>
    <n v="6326.86"/>
    <n v="5395.67"/>
    <n v="0"/>
  </r>
  <r>
    <x v="1945"/>
    <s v="Peconic Bay Medical Center"/>
    <n v="2015"/>
    <n v="4"/>
    <s v="Medicaid"/>
    <x v="1"/>
    <s v="Medicaid"/>
    <n v="80312.820000000007"/>
    <n v="42237.75"/>
    <n v="0"/>
  </r>
  <r>
    <x v="1946"/>
    <s v="Peconic Bay Medical Center"/>
    <n v="2015"/>
    <n v="4"/>
    <s v="Medicaid"/>
    <x v="1"/>
    <s v="Medicaid"/>
    <n v="15870.78"/>
    <n v="4843.84"/>
    <n v="0"/>
  </r>
  <r>
    <x v="1947"/>
    <s v="Peconic Bay Medical Center"/>
    <n v="2015"/>
    <n v="4"/>
    <s v="Medicaid"/>
    <x v="1"/>
    <s v="Medicaid"/>
    <n v="22295.24"/>
    <n v="5266.15"/>
    <n v="0"/>
  </r>
  <r>
    <x v="1948"/>
    <s v="Peconic Bay Medical Center"/>
    <n v="2015"/>
    <n v="4"/>
    <s v="Medicaid"/>
    <x v="1"/>
    <s v="Medicaid"/>
    <n v="5143.63"/>
    <n v="6274.57"/>
    <n v="1"/>
  </r>
  <r>
    <x v="1949"/>
    <s v="Peconic Bay Medical Center"/>
    <n v="2015"/>
    <n v="4"/>
    <s v="Medicaid"/>
    <x v="1"/>
    <s v="Medicaid"/>
    <n v="5216.32"/>
    <n v="6292.78"/>
    <n v="1"/>
  </r>
  <r>
    <x v="1950"/>
    <s v="Peconic Bay Medical Center"/>
    <n v="2015"/>
    <n v="4"/>
    <s v="Medicaid"/>
    <x v="1"/>
    <s v="Medicaid"/>
    <n v="24680.959999999999"/>
    <n v="8500.41"/>
    <n v="0"/>
  </r>
  <r>
    <x v="1951"/>
    <s v="Peconic Bay Medical Center"/>
    <n v="2015"/>
    <n v="4"/>
    <s v="Medicaid"/>
    <x v="1"/>
    <s v="Medicaid"/>
    <n v="13721.38"/>
    <n v="2972.92"/>
    <n v="0"/>
  </r>
  <r>
    <x v="1952"/>
    <s v="Peconic Bay Medical Center"/>
    <n v="2015"/>
    <n v="4"/>
    <s v="Medicaid"/>
    <x v="1"/>
    <s v="Medicaid"/>
    <n v="24229.8"/>
    <n v="8351.5"/>
    <n v="0"/>
  </r>
  <r>
    <x v="1953"/>
    <s v="Peconic Bay Medical Center"/>
    <n v="2015"/>
    <n v="4"/>
    <s v="Medicaid"/>
    <x v="1"/>
    <s v="Medicaid"/>
    <n v="41558.6"/>
    <n v="20864.27"/>
    <n v="0"/>
  </r>
  <r>
    <x v="1954"/>
    <s v="Peconic Bay Medical Center"/>
    <n v="2015"/>
    <n v="4"/>
    <s v="Medicaid"/>
    <x v="1"/>
    <s v="Medicaid"/>
    <n v="5731.73"/>
    <n v="6420.25"/>
    <n v="1"/>
  </r>
  <r>
    <x v="1955"/>
    <s v="Peconic Bay Medical Center"/>
    <n v="2015"/>
    <n v="4"/>
    <s v="Medicaid"/>
    <x v="1"/>
    <s v="Medicaid"/>
    <n v="25514.32"/>
    <n v="8331.3799999999992"/>
    <n v="0"/>
  </r>
  <r>
    <x v="1956"/>
    <s v="Peconic Bay Medical Center"/>
    <n v="2015"/>
    <n v="4"/>
    <s v="Medicaid"/>
    <x v="1"/>
    <s v="Medicaid"/>
    <n v="5170.16"/>
    <n v="6281.4"/>
    <n v="1"/>
  </r>
  <r>
    <x v="1957"/>
    <s v="Peconic Bay Medical Center"/>
    <n v="2015"/>
    <n v="4"/>
    <s v="Medicaid"/>
    <x v="1"/>
    <s v="Medicaid"/>
    <n v="5177.92"/>
    <n v="6283.27"/>
    <n v="1"/>
  </r>
  <r>
    <x v="1958"/>
    <s v="Peconic Bay Medical Center"/>
    <n v="2015"/>
    <n v="4"/>
    <s v="Medicaid"/>
    <x v="1"/>
    <s v="Medicaid"/>
    <n v="6853.6"/>
    <n v="7948.8"/>
    <n v="1"/>
  </r>
  <r>
    <x v="1959"/>
    <s v="Peconic Bay Medical Center"/>
    <n v="2015"/>
    <n v="4"/>
    <s v="Medicaid"/>
    <x v="1"/>
    <s v="Medicaid"/>
    <n v="15163.12"/>
    <n v="4013.67"/>
    <n v="0"/>
  </r>
  <r>
    <x v="1960"/>
    <s v="Peconic Bay Medical Center"/>
    <n v="2015"/>
    <n v="4"/>
    <s v="Medicaid"/>
    <x v="1"/>
    <s v="Medicaid"/>
    <n v="4145.92"/>
    <n v="4778.1000000000004"/>
    <n v="1"/>
  </r>
  <r>
    <x v="1961"/>
    <s v="Peconic Bay Medical Center"/>
    <n v="2015"/>
    <n v="4"/>
    <s v="Medicaid"/>
    <x v="1"/>
    <s v="Medicaid"/>
    <n v="5170.16"/>
    <n v="6281.4"/>
    <n v="1"/>
  </r>
  <r>
    <x v="1962"/>
    <s v="Peconic Bay Medical Center"/>
    <n v="2015"/>
    <n v="4"/>
    <s v="Medicaid"/>
    <x v="1"/>
    <s v="Medicaid"/>
    <n v="42042.91"/>
    <n v="28558.54"/>
    <n v="0"/>
  </r>
  <r>
    <x v="1963"/>
    <s v="Peconic Bay Medical Center"/>
    <n v="2015"/>
    <n v="4"/>
    <s v="Medicaid"/>
    <x v="1"/>
    <s v="Medicaid"/>
    <n v="6334.62"/>
    <n v="5397.53"/>
    <n v="0"/>
  </r>
  <r>
    <x v="1964"/>
    <s v="Peconic Bay Medical Center"/>
    <n v="2015"/>
    <n v="4"/>
    <s v="Medicaid"/>
    <x v="1"/>
    <s v="Medicaid"/>
    <n v="11780.2"/>
    <n v="3632.41"/>
    <n v="0"/>
  </r>
  <r>
    <x v="1965"/>
    <s v="Peconic Bay Medical Center"/>
    <n v="2015"/>
    <n v="4"/>
    <s v="Medicaid"/>
    <x v="1"/>
    <s v="Medicaid"/>
    <n v="5208.5600000000004"/>
    <n v="6290.91"/>
    <n v="1"/>
  </r>
  <r>
    <x v="1966"/>
    <s v="Peconic Bay Medical Center"/>
    <n v="2015"/>
    <n v="4"/>
    <s v="Medicaid"/>
    <x v="1"/>
    <s v="Medicaid"/>
    <n v="6663.03"/>
    <n v="5474.51"/>
    <n v="0"/>
  </r>
  <r>
    <x v="1967"/>
    <s v="Peconic Bay Medical Center"/>
    <n v="2015"/>
    <n v="4"/>
    <s v="Medicaid"/>
    <x v="1"/>
    <s v="Medicaid"/>
    <n v="3334.89"/>
    <n v="2105.0700000000002"/>
    <n v="0"/>
  </r>
  <r>
    <x v="1968"/>
    <s v="Peconic Bay Medical Center"/>
    <n v="2015"/>
    <n v="4"/>
    <s v="Medicaid"/>
    <x v="1"/>
    <s v="Medicaid"/>
    <n v="26438"/>
    <n v="7079.87"/>
    <n v="0"/>
  </r>
  <r>
    <x v="1969"/>
    <s v="Peconic Bay Medical Center"/>
    <n v="2015"/>
    <n v="4"/>
    <s v="Medicaid"/>
    <x v="1"/>
    <s v="Medicaid"/>
    <n v="2968.08"/>
    <n v="3236.75"/>
    <n v="1"/>
  </r>
  <r>
    <x v="1970"/>
    <s v="Peconic Bay Medical Center"/>
    <n v="2015"/>
    <n v="4"/>
    <s v="Medicaid"/>
    <x v="1"/>
    <s v="Medicaid"/>
    <n v="49733.54"/>
    <n v="22966.46"/>
    <n v="0"/>
  </r>
  <r>
    <x v="1971"/>
    <s v="Peconic Bay Medical Center"/>
    <n v="2015"/>
    <n v="4"/>
    <s v="Medicaid"/>
    <x v="1"/>
    <s v="Medicaid"/>
    <n v="7689.36"/>
    <n v="6907.45"/>
    <n v="0"/>
  </r>
  <r>
    <x v="1972"/>
    <s v="Peconic Bay Medical Center"/>
    <n v="2015"/>
    <n v="4"/>
    <s v="Medicaid"/>
    <x v="1"/>
    <s v="Medicaid"/>
    <n v="4118.3599999999997"/>
    <n v="4771.1899999999996"/>
    <n v="1"/>
  </r>
  <r>
    <x v="1973"/>
    <s v="Peconic Bay Medical Center"/>
    <n v="2015"/>
    <n v="4"/>
    <s v="Medicaid"/>
    <x v="1"/>
    <s v="Medicaid"/>
    <n v="4069.12"/>
    <n v="4759.08"/>
    <n v="1"/>
  </r>
  <r>
    <x v="1974"/>
    <s v="Peconic Bay Medical Center"/>
    <n v="2015"/>
    <n v="4"/>
    <s v="Medicaid"/>
    <x v="1"/>
    <s v="Medicaid"/>
    <n v="67920.22"/>
    <n v="39354.54"/>
    <n v="0"/>
  </r>
  <r>
    <x v="1975"/>
    <s v="Peconic Bay Medical Center"/>
    <n v="2015"/>
    <n v="4"/>
    <s v="Medicaid"/>
    <x v="1"/>
    <s v="Medicaid"/>
    <n v="4034.83"/>
    <n v="4750.38"/>
    <n v="1"/>
  </r>
  <r>
    <x v="1976"/>
    <s v="Peconic Bay Medical Center"/>
    <n v="2015"/>
    <n v="4"/>
    <s v="Medicaid"/>
    <x v="1"/>
    <s v="Medicaid"/>
    <n v="7403.28"/>
    <n v="9333.51"/>
    <n v="1"/>
  </r>
  <r>
    <x v="1977"/>
    <s v="Peconic Bay Medical Center"/>
    <n v="2015"/>
    <n v="4"/>
    <s v="Medicaid"/>
    <x v="1"/>
    <s v="Medicaid"/>
    <n v="3189.62"/>
    <n v="3291.69"/>
    <n v="1"/>
  </r>
  <r>
    <x v="1978"/>
    <s v="Peconic Bay Medical Center"/>
    <n v="2015"/>
    <n v="4"/>
    <s v="Medicaid"/>
    <x v="1"/>
    <s v="Medicaid"/>
    <n v="6252.43"/>
    <n v="7798.76"/>
    <n v="1"/>
  </r>
  <r>
    <x v="1979"/>
    <s v="Peconic Bay Medical Center"/>
    <n v="2015"/>
    <n v="4"/>
    <s v="Medicaid"/>
    <x v="1"/>
    <s v="Medicaid"/>
    <n v="191781.23"/>
    <n v="56697.36"/>
    <n v="0"/>
  </r>
  <r>
    <x v="1980"/>
    <s v="Peconic Bay Medical Center"/>
    <n v="2015"/>
    <n v="4"/>
    <s v="Medicaid"/>
    <x v="1"/>
    <s v="Medicaid"/>
    <n v="4069.12"/>
    <n v="4759.08"/>
    <n v="1"/>
  </r>
  <r>
    <x v="1981"/>
    <s v="Peconic Bay Medical Center"/>
    <n v="2015"/>
    <n v="4"/>
    <s v="Medicaid"/>
    <x v="1"/>
    <s v="Medicaid"/>
    <n v="24908.9"/>
    <n v="8521.73"/>
    <n v="0"/>
  </r>
  <r>
    <x v="1982"/>
    <s v="Peconic Bay Medical Center"/>
    <n v="2015"/>
    <n v="4"/>
    <s v="Medicaid"/>
    <x v="1"/>
    <s v="Medicaid"/>
    <n v="19311.419999999998"/>
    <n v="6794.05"/>
    <n v="0"/>
  </r>
  <r>
    <x v="1983"/>
    <s v="Peconic Bay Medical Center"/>
    <n v="2015"/>
    <n v="4"/>
    <s v="Medicaid"/>
    <x v="1"/>
    <s v="Medicaid"/>
    <n v="71986.94"/>
    <n v="22299.57"/>
    <n v="0"/>
  </r>
  <r>
    <x v="1984"/>
    <s v="Peconic Bay Medical Center"/>
    <n v="2015"/>
    <n v="4"/>
    <s v="Medicaid"/>
    <x v="1"/>
    <s v="Medicaid"/>
    <n v="28034.28"/>
    <n v="9711.52"/>
    <n v="0"/>
  </r>
  <r>
    <x v="1985"/>
    <s v="Peconic Bay Medical Center"/>
    <n v="2015"/>
    <n v="4"/>
    <s v="Medicaid"/>
    <x v="1"/>
    <s v="Medicaid"/>
    <n v="25068.16"/>
    <n v="11090.77"/>
    <n v="0"/>
  </r>
  <r>
    <x v="1986"/>
    <s v="Peconic Bay Medical Center"/>
    <n v="2015"/>
    <n v="4"/>
    <s v="Medicaid"/>
    <x v="1"/>
    <s v="Medicaid"/>
    <n v="251193.8"/>
    <n v="74878.899999999994"/>
    <n v="0"/>
  </r>
  <r>
    <x v="1987"/>
    <s v="Peconic Bay Medical Center"/>
    <n v="2015"/>
    <n v="4"/>
    <s v="Medicaid"/>
    <x v="1"/>
    <s v="Medicaid"/>
    <n v="17547.900000000001"/>
    <n v="5533.65"/>
    <n v="0"/>
  </r>
  <r>
    <x v="1988"/>
    <s v="Peconic Bay Medical Center"/>
    <n v="2015"/>
    <n v="4"/>
    <s v="Medicaid"/>
    <x v="1"/>
    <s v="Medicaid"/>
    <n v="4076.88"/>
    <n v="4760.9399999999996"/>
    <n v="1"/>
  </r>
  <r>
    <x v="1989"/>
    <s v="Peconic Bay Medical Center"/>
    <n v="2015"/>
    <n v="4"/>
    <s v="Medicaid"/>
    <x v="1"/>
    <s v="Medicaid"/>
    <n v="4069.12"/>
    <n v="4759.08"/>
    <n v="1"/>
  </r>
  <r>
    <x v="1990"/>
    <s v="Peconic Bay Medical Center"/>
    <n v="2015"/>
    <n v="4"/>
    <s v="Medicaid"/>
    <x v="1"/>
    <s v="Medicaid"/>
    <n v="26411.64"/>
    <n v="10629.65"/>
    <n v="0"/>
  </r>
  <r>
    <x v="1991"/>
    <s v="Peconic Bay Medical Center"/>
    <n v="2015"/>
    <n v="4"/>
    <s v="Medicaid"/>
    <x v="1"/>
    <s v="Medicaid"/>
    <n v="6359.39"/>
    <n v="7828.58"/>
    <n v="1"/>
  </r>
  <r>
    <x v="1992"/>
    <s v="Peconic Bay Medical Center"/>
    <n v="2015"/>
    <n v="4"/>
    <s v="Medicaid"/>
    <x v="1"/>
    <s v="Medicaid"/>
    <n v="4212.62"/>
    <n v="4794.62"/>
    <n v="1"/>
  </r>
  <r>
    <x v="1993"/>
    <s v="Peconic Bay Medical Center"/>
    <n v="2015"/>
    <n v="4"/>
    <s v="Medicaid"/>
    <x v="1"/>
    <s v="Medicaid"/>
    <n v="10269.56"/>
    <n v="2789.08"/>
    <n v="0"/>
  </r>
  <r>
    <x v="1994"/>
    <s v="Peconic Bay Medical Center"/>
    <n v="2015"/>
    <n v="4"/>
    <s v="Medicaid"/>
    <x v="1"/>
    <s v="Medicaid"/>
    <n v="16558.560000000001"/>
    <n v="4973.54"/>
    <n v="0"/>
  </r>
  <r>
    <x v="1995"/>
    <s v="Peconic Bay Medical Center"/>
    <n v="2015"/>
    <n v="4"/>
    <s v="Medicaid"/>
    <x v="1"/>
    <s v="Medicaid"/>
    <n v="17252.3"/>
    <n v="4336.1000000000004"/>
    <n v="0"/>
  </r>
  <r>
    <x v="1996"/>
    <s v="Peconic Bay Medical Center"/>
    <n v="2015"/>
    <n v="4"/>
    <s v="Medicaid"/>
    <x v="1"/>
    <s v="Medicaid"/>
    <n v="32412.799999999999"/>
    <n v="14721.09"/>
    <n v="0"/>
  </r>
  <r>
    <x v="1997"/>
    <s v="Peconic Bay Medical Center"/>
    <n v="2015"/>
    <n v="4"/>
    <s v="Medicaid"/>
    <x v="1"/>
    <s v="Medicaid"/>
    <n v="4167.58"/>
    <n v="4783.41"/>
    <n v="1"/>
  </r>
  <r>
    <x v="1998"/>
    <s v="Peconic Bay Medical Center"/>
    <n v="2015"/>
    <n v="4"/>
    <s v="Medicaid"/>
    <x v="1"/>
    <s v="Medicaid"/>
    <n v="16382.22"/>
    <n v="4201.45"/>
    <n v="0"/>
  </r>
  <r>
    <x v="1999"/>
    <s v="Peconic Bay Medical Center"/>
    <n v="2015"/>
    <n v="4"/>
    <s v="Medicaid"/>
    <x v="1"/>
    <s v="Medicaid"/>
    <n v="51408.56"/>
    <n v="30974.83"/>
    <n v="0"/>
  </r>
  <r>
    <x v="2000"/>
    <s v="Peconic Bay Medical Center"/>
    <n v="2015"/>
    <n v="4"/>
    <s v="Medicaid"/>
    <x v="1"/>
    <s v="Medicaid"/>
    <n v="34269.64"/>
    <n v="10503.37"/>
    <n v="0"/>
  </r>
  <r>
    <x v="2001"/>
    <s v="Peconic Bay Medical Center"/>
    <n v="2015"/>
    <n v="4"/>
    <s v="Medicaid"/>
    <x v="1"/>
    <s v="Medicaid"/>
    <n v="5177.92"/>
    <n v="6283.27"/>
    <n v="1"/>
  </r>
  <r>
    <x v="2002"/>
    <s v="Peconic Bay Medical Center"/>
    <n v="2015"/>
    <n v="4"/>
    <s v="Medicaid"/>
    <x v="1"/>
    <s v="Medicaid"/>
    <n v="22276.799999999999"/>
    <n v="8555.99"/>
    <n v="0"/>
  </r>
  <r>
    <x v="2003"/>
    <s v="Peconic Bay Medical Center"/>
    <n v="2015"/>
    <n v="4"/>
    <s v="Medicaid"/>
    <x v="1"/>
    <s v="Medicaid"/>
    <n v="6362.82"/>
    <n v="7826.31"/>
    <n v="1"/>
  </r>
  <r>
    <x v="2004"/>
    <s v="Peconic Bay Medical Center"/>
    <n v="2015"/>
    <n v="4"/>
    <s v="Medicaid"/>
    <x v="1"/>
    <s v="Medicaid"/>
    <n v="39420.06"/>
    <n v="7592.7"/>
    <n v="0"/>
  </r>
  <r>
    <x v="2005"/>
    <s v="Peconic Bay Medical Center"/>
    <n v="2015"/>
    <n v="4"/>
    <s v="Medicaid"/>
    <x v="1"/>
    <s v="Medicaid"/>
    <n v="18314.98"/>
    <n v="4720.18"/>
    <n v="0"/>
  </r>
  <r>
    <x v="2006"/>
    <s v="Peconic Bay Medical Center"/>
    <n v="2015"/>
    <n v="4"/>
    <s v="Medicaid"/>
    <x v="1"/>
    <s v="Medicaid"/>
    <n v="11154.02"/>
    <n v="3008.95"/>
    <n v="0"/>
  </r>
  <r>
    <x v="2007"/>
    <s v="Peconic Bay Medical Center"/>
    <n v="2015"/>
    <n v="4"/>
    <s v="Medicaid"/>
    <x v="1"/>
    <s v="Medicaid"/>
    <n v="6570.92"/>
    <n v="7884.05"/>
    <n v="1"/>
  </r>
  <r>
    <x v="2008"/>
    <s v="Peconic Bay Medical Center"/>
    <n v="2015"/>
    <n v="4"/>
    <s v="Medicaid"/>
    <x v="1"/>
    <s v="Medicaid"/>
    <n v="26138.46"/>
    <n v="6355.14"/>
    <n v="0"/>
  </r>
  <r>
    <x v="2009"/>
    <s v="Peconic Bay Medical Center"/>
    <n v="2015"/>
    <n v="4"/>
    <s v="Medicaid"/>
    <x v="1"/>
    <s v="Medicaid"/>
    <n v="77433.3"/>
    <n v="59085.95"/>
    <n v="0"/>
  </r>
  <r>
    <x v="2010"/>
    <s v="Peconic Bay Medical Center"/>
    <n v="2015"/>
    <n v="4"/>
    <s v="Medicaid"/>
    <x v="1"/>
    <s v="Medicaid"/>
    <n v="4069.12"/>
    <n v="4759.08"/>
    <n v="1"/>
  </r>
  <r>
    <x v="2011"/>
    <s v="Peconic Bay Medical Center"/>
    <n v="2015"/>
    <n v="4"/>
    <s v="Medicaid"/>
    <x v="1"/>
    <s v="Medicaid"/>
    <n v="8298.59"/>
    <n v="5952.43"/>
    <n v="0"/>
  </r>
  <r>
    <x v="2012"/>
    <s v="Peconic Bay Medical Center"/>
    <n v="2015"/>
    <n v="4"/>
    <s v="Medicaid"/>
    <x v="1"/>
    <s v="Medicaid"/>
    <n v="40208.18"/>
    <n v="16872.7"/>
    <n v="0"/>
  </r>
  <r>
    <x v="2013"/>
    <s v="Peconic Bay Medical Center"/>
    <n v="2015"/>
    <n v="4"/>
    <s v="Medicaid"/>
    <x v="1"/>
    <s v="Medicaid"/>
    <n v="22609.78"/>
    <n v="6168.81"/>
    <n v="0"/>
  </r>
  <r>
    <x v="2014"/>
    <s v="Peconic Bay Medical Center"/>
    <n v="2015"/>
    <n v="4"/>
    <s v="Medicaid"/>
    <x v="1"/>
    <s v="Medicaid"/>
    <n v="19495.189999999999"/>
    <n v="4642.87"/>
    <n v="0"/>
  </r>
  <r>
    <x v="2015"/>
    <s v="Peconic Bay Medical Center"/>
    <n v="2015"/>
    <n v="4"/>
    <s v="Medicaid"/>
    <x v="1"/>
    <s v="Medicaid"/>
    <n v="75435.179999999993"/>
    <n v="23462.28"/>
    <n v="0"/>
  </r>
  <r>
    <x v="2016"/>
    <s v="Peconic Bay Medical Center"/>
    <n v="2015"/>
    <n v="4"/>
    <s v="Medicaid"/>
    <x v="1"/>
    <s v="Medicaid"/>
    <n v="4050.52"/>
    <n v="4754.6099999999997"/>
    <n v="1"/>
  </r>
  <r>
    <x v="2017"/>
    <s v="Peconic Bay Medical Center"/>
    <n v="2015"/>
    <n v="4"/>
    <s v="Medicaid"/>
    <x v="1"/>
    <s v="Medicaid"/>
    <n v="4069.12"/>
    <n v="4759.08"/>
    <n v="1"/>
  </r>
  <r>
    <x v="2018"/>
    <s v="Peconic Bay Medical Center"/>
    <n v="2015"/>
    <n v="4"/>
    <s v="Medicaid"/>
    <x v="1"/>
    <s v="Medicaid"/>
    <n v="62585.68"/>
    <n v="45700.959999999999"/>
    <n v="0"/>
  </r>
  <r>
    <x v="2019"/>
    <s v="Peconic Bay Medical Center"/>
    <n v="2015"/>
    <n v="4"/>
    <s v="Medicaid"/>
    <x v="1"/>
    <s v="Medicaid"/>
    <n v="2918.27"/>
    <n v="3224.32"/>
    <n v="1"/>
  </r>
  <r>
    <x v="2020"/>
    <s v="Peconic Bay Medical Center"/>
    <n v="2015"/>
    <n v="4"/>
    <s v="Medicaid"/>
    <x v="1"/>
    <s v="Medicaid"/>
    <n v="22338.16"/>
    <n v="4418.43"/>
    <n v="0"/>
  </r>
  <r>
    <x v="2021"/>
    <s v="Peconic Bay Medical Center"/>
    <n v="2015"/>
    <n v="4"/>
    <s v="Medicaid"/>
    <x v="1"/>
    <s v="Medicaid"/>
    <n v="11578"/>
    <n v="3064.43"/>
    <n v="0"/>
  </r>
  <r>
    <x v="2022"/>
    <s v="Peconic Bay Medical Center"/>
    <n v="2015"/>
    <n v="4"/>
    <s v="Medicaid"/>
    <x v="1"/>
    <s v="Medicaid"/>
    <n v="10520.36"/>
    <n v="3395.83"/>
    <n v="0"/>
  </r>
  <r>
    <x v="2023"/>
    <s v="Peconic Bay Medical Center"/>
    <n v="2015"/>
    <n v="4"/>
    <s v="Medicaid"/>
    <x v="1"/>
    <s v="Medicaid"/>
    <n v="24517.040000000001"/>
    <n v="8460.59"/>
    <n v="0"/>
  </r>
  <r>
    <x v="2024"/>
    <s v="Peconic Bay Medical Center"/>
    <n v="2015"/>
    <n v="4"/>
    <s v="Medicaid"/>
    <x v="1"/>
    <s v="Medicaid"/>
    <n v="5216.03"/>
    <n v="6292.5"/>
    <n v="1"/>
  </r>
  <r>
    <x v="2025"/>
    <s v="Peconic Bay Medical Center"/>
    <n v="2015"/>
    <n v="4"/>
    <s v="Medicaid"/>
    <x v="1"/>
    <s v="Medicaid"/>
    <n v="9955.6200000000008"/>
    <n v="2219.6799999999998"/>
    <n v="0"/>
  </r>
  <r>
    <x v="2026"/>
    <s v="Peconic Bay Medical Center"/>
    <n v="2015"/>
    <n v="4"/>
    <s v="Medicaid"/>
    <x v="1"/>
    <s v="Medicaid"/>
    <n v="33220.379999999997"/>
    <n v="10708.38"/>
    <n v="0"/>
  </r>
  <r>
    <x v="2027"/>
    <s v="Peconic Bay Medical Center"/>
    <n v="2015"/>
    <n v="4"/>
    <s v="Medicaid"/>
    <x v="1"/>
    <s v="Medicaid"/>
    <n v="5216.32"/>
    <n v="6292.78"/>
    <n v="1"/>
  </r>
  <r>
    <x v="2028"/>
    <s v="Peconic Bay Medical Center"/>
    <n v="2015"/>
    <n v="4"/>
    <s v="Medicaid"/>
    <x v="1"/>
    <s v="Medicaid"/>
    <n v="17098.54"/>
    <n v="5017.12"/>
    <n v="0"/>
  </r>
  <r>
    <x v="2029"/>
    <s v="Peconic Bay Medical Center"/>
    <n v="2015"/>
    <n v="4"/>
    <s v="Medicaid"/>
    <x v="1"/>
    <s v="Medicaid"/>
    <n v="5177.92"/>
    <n v="6283.27"/>
    <n v="1"/>
  </r>
  <r>
    <x v="2030"/>
    <s v="Peconic Bay Medical Center"/>
    <n v="2015"/>
    <n v="4"/>
    <s v="Medicaid"/>
    <x v="1"/>
    <s v="Medicaid"/>
    <n v="70776.84"/>
    <n v="26095.01"/>
    <n v="0"/>
  </r>
  <r>
    <x v="2031"/>
    <s v="Peconic Bay Medical Center"/>
    <n v="2015"/>
    <n v="4"/>
    <s v="Medicaid"/>
    <x v="1"/>
    <s v="Medicaid"/>
    <n v="20685.48"/>
    <n v="4733.1000000000004"/>
    <n v="0"/>
  </r>
  <r>
    <x v="2032"/>
    <s v="Peconic Bay Medical Center"/>
    <n v="2015"/>
    <n v="4"/>
    <s v="Medicaid"/>
    <x v="1"/>
    <s v="Medicaid"/>
    <n v="40373.660000000003"/>
    <n v="11622.24"/>
    <n v="0"/>
  </r>
  <r>
    <x v="2033"/>
    <s v="Peconic Bay Medical Center"/>
    <n v="2015"/>
    <n v="4"/>
    <s v="Medicaid"/>
    <x v="1"/>
    <s v="Medicaid"/>
    <n v="26864.16"/>
    <n v="10354.83"/>
    <n v="0"/>
  </r>
  <r>
    <x v="2034"/>
    <s v="Peconic Bay Medical Center"/>
    <n v="2015"/>
    <n v="4"/>
    <s v="Medicaid"/>
    <x v="1"/>
    <s v="Medicaid"/>
    <n v="33503.480000000003"/>
    <n v="9934.52"/>
    <n v="0"/>
  </r>
  <r>
    <x v="2035"/>
    <s v="Peconic Bay Medical Center"/>
    <n v="2015"/>
    <n v="4"/>
    <s v="Medicaid"/>
    <x v="1"/>
    <s v="Medicaid"/>
    <n v="19242.259999999998"/>
    <n v="4329.8"/>
    <n v="0"/>
  </r>
  <r>
    <x v="2036"/>
    <s v="Peconic Bay Medical Center"/>
    <n v="2015"/>
    <n v="4"/>
    <s v="Medicaid"/>
    <x v="1"/>
    <s v="Medicaid"/>
    <n v="13140.02"/>
    <n v="3086.28"/>
    <n v="0"/>
  </r>
  <r>
    <x v="2037"/>
    <s v="Peconic Bay Medical Center"/>
    <n v="2015"/>
    <n v="4"/>
    <s v="Medicaid"/>
    <x v="1"/>
    <s v="Medicaid"/>
    <n v="42605.94"/>
    <n v="11950.45"/>
    <n v="0"/>
  </r>
  <r>
    <x v="2038"/>
    <s v="Peconic Bay Medical Center"/>
    <n v="2015"/>
    <n v="4"/>
    <s v="Medicaid"/>
    <x v="1"/>
    <s v="Medicaid"/>
    <n v="15302.98"/>
    <n v="6034.96"/>
    <n v="0"/>
  </r>
  <r>
    <x v="2039"/>
    <s v="Peconic Bay Medical Center"/>
    <n v="2015"/>
    <n v="4"/>
    <s v="Medicaid"/>
    <x v="1"/>
    <s v="Medicaid"/>
    <n v="37887.81"/>
    <n v="21726.47"/>
    <n v="0"/>
  </r>
  <r>
    <x v="2040"/>
    <s v="Peconic Bay Medical Center"/>
    <n v="2015"/>
    <n v="4"/>
    <s v="Medicaid"/>
    <x v="1"/>
    <s v="Medicaid"/>
    <n v="35573.199999999997"/>
    <n v="9776.86"/>
    <n v="0"/>
  </r>
  <r>
    <x v="2041"/>
    <s v="Peconic Bay Medical Center"/>
    <n v="2015"/>
    <n v="4"/>
    <s v="Medicaid"/>
    <x v="1"/>
    <s v="Medicaid"/>
    <n v="59926.400000000001"/>
    <n v="41956.6"/>
    <n v="0"/>
  </r>
  <r>
    <x v="2042"/>
    <s v="Peconic Bay Medical Center"/>
    <n v="2015"/>
    <n v="4"/>
    <s v="Medicaid"/>
    <x v="1"/>
    <s v="Medicaid"/>
    <n v="4034.95"/>
    <n v="4750.41"/>
    <n v="1"/>
  </r>
  <r>
    <x v="2043"/>
    <s v="Peconic Bay Medical Center"/>
    <n v="2015"/>
    <n v="4"/>
    <s v="Medicaid"/>
    <x v="1"/>
    <s v="Medicaid"/>
    <n v="17342.18"/>
    <n v="4426.28"/>
    <n v="0"/>
  </r>
  <r>
    <x v="2044"/>
    <s v="Peconic Bay Medical Center"/>
    <n v="2015"/>
    <n v="4"/>
    <s v="Medicaid"/>
    <x v="1"/>
    <s v="Medicaid"/>
    <n v="4027.19"/>
    <n v="4748.54"/>
    <n v="1"/>
  </r>
  <r>
    <x v="2045"/>
    <s v="Peconic Bay Medical Center"/>
    <n v="2015"/>
    <n v="4"/>
    <s v="Medicaid"/>
    <x v="1"/>
    <s v="Medicaid"/>
    <n v="21174.880000000001"/>
    <n v="7218.13"/>
    <n v="0"/>
  </r>
  <r>
    <x v="2046"/>
    <s v="Peconic Bay Medical Center"/>
    <n v="2015"/>
    <n v="4"/>
    <s v="Medicaid"/>
    <x v="1"/>
    <s v="Medicaid"/>
    <n v="20428.62"/>
    <n v="6187.96"/>
    <n v="0"/>
  </r>
  <r>
    <x v="2047"/>
    <s v="Peconic Bay Medical Center"/>
    <n v="2015"/>
    <n v="4"/>
    <s v="Medicaid"/>
    <x v="1"/>
    <s v="Medicaid"/>
    <n v="27464.12"/>
    <n v="8076.22"/>
    <n v="0"/>
  </r>
  <r>
    <x v="2048"/>
    <s v="Peconic Bay Medical Center"/>
    <n v="2015"/>
    <n v="4"/>
    <s v="Medicaid"/>
    <x v="1"/>
    <s v="Medicaid"/>
    <n v="40505.699999999997"/>
    <n v="11210.98"/>
    <n v="0"/>
  </r>
  <r>
    <x v="2049"/>
    <s v="Peconic Bay Medical Center"/>
    <n v="2015"/>
    <n v="4"/>
    <s v="Medicaid"/>
    <x v="1"/>
    <s v="Medicaid"/>
    <n v="4351.6099999999997"/>
    <n v="3580.24"/>
    <n v="0"/>
  </r>
  <r>
    <x v="2050"/>
    <s v="Peconic Bay Medical Center"/>
    <n v="2015"/>
    <n v="4"/>
    <s v="Medicaid"/>
    <x v="1"/>
    <s v="Medicaid"/>
    <n v="45394.82"/>
    <n v="15319.79"/>
    <n v="0"/>
  </r>
  <r>
    <x v="2051"/>
    <s v="Peconic Bay Medical Center"/>
    <n v="2015"/>
    <n v="4"/>
    <s v="Medicaid"/>
    <x v="1"/>
    <s v="Medicaid"/>
    <n v="27430.26"/>
    <n v="8091.97"/>
    <n v="0"/>
  </r>
  <r>
    <x v="2052"/>
    <s v="Peconic Bay Medical Center"/>
    <n v="2015"/>
    <n v="4"/>
    <s v="Medicaid"/>
    <x v="1"/>
    <s v="Medicaid"/>
    <n v="4088.7"/>
    <n v="1447.47"/>
    <n v="0"/>
  </r>
  <r>
    <x v="2053"/>
    <s v="Peconic Bay Medical Center"/>
    <n v="2015"/>
    <n v="4"/>
    <s v="Medicaid"/>
    <x v="1"/>
    <s v="Medicaid"/>
    <n v="17022.62"/>
    <n v="2839.44"/>
    <n v="0"/>
  </r>
  <r>
    <x v="2054"/>
    <s v="Peconic Bay Medical Center"/>
    <n v="2015"/>
    <n v="4"/>
    <s v="Medicaid"/>
    <x v="1"/>
    <s v="Medicaid"/>
    <n v="117243.6"/>
    <n v="58043.72"/>
    <n v="0"/>
  </r>
  <r>
    <x v="2055"/>
    <s v="Peconic Bay Medical Center"/>
    <n v="2015"/>
    <n v="4"/>
    <s v="Medicaid"/>
    <x v="1"/>
    <s v="Medicaid"/>
    <n v="2918.39"/>
    <n v="3224.35"/>
    <n v="1"/>
  </r>
  <r>
    <x v="2056"/>
    <s v="Peconic Bay Medical Center"/>
    <n v="2015"/>
    <n v="4"/>
    <s v="Medicaid"/>
    <x v="1"/>
    <s v="Medicaid"/>
    <n v="5315.39"/>
    <n v="6317.17"/>
    <n v="1"/>
  </r>
  <r>
    <x v="2057"/>
    <s v="Peconic Bay Medical Center"/>
    <n v="2015"/>
    <n v="4"/>
    <s v="Medicaid"/>
    <x v="1"/>
    <s v="Medicaid"/>
    <n v="13188.18"/>
    <n v="4196.38"/>
    <n v="0"/>
  </r>
  <r>
    <x v="2058"/>
    <s v="Peconic Bay Medical Center"/>
    <n v="2015"/>
    <n v="4"/>
    <s v="Medicaid"/>
    <x v="1"/>
    <s v="Medicaid"/>
    <n v="14494.2"/>
    <n v="4039.08"/>
    <n v="0"/>
  </r>
  <r>
    <x v="2059"/>
    <s v="Peconic Bay Medical Center"/>
    <n v="2015"/>
    <n v="4"/>
    <s v="Medicaid"/>
    <x v="1"/>
    <s v="Medicaid"/>
    <n v="13471.1"/>
    <n v="4258.54"/>
    <n v="0"/>
  </r>
  <r>
    <x v="2060"/>
    <s v="Peconic Bay Medical Center"/>
    <n v="2015"/>
    <n v="4"/>
    <s v="Medicaid"/>
    <x v="1"/>
    <s v="Medicaid"/>
    <n v="37390.67"/>
    <n v="27340.11"/>
    <n v="0"/>
  </r>
  <r>
    <x v="2061"/>
    <s v="Peconic Bay Medical Center"/>
    <n v="2015"/>
    <n v="4"/>
    <s v="Medicaid"/>
    <x v="1"/>
    <s v="Medicaid"/>
    <n v="31612.54"/>
    <n v="14614.54"/>
    <n v="0"/>
  </r>
  <r>
    <x v="2062"/>
    <s v="Peconic Bay Medical Center"/>
    <n v="2015"/>
    <n v="4"/>
    <s v="Medicaid"/>
    <x v="1"/>
    <s v="Medicaid"/>
    <n v="118803.08"/>
    <n v="37202.800000000003"/>
    <n v="0"/>
  </r>
  <r>
    <x v="2063"/>
    <s v="Peconic Bay Medical Center"/>
    <n v="2015"/>
    <n v="4"/>
    <s v="Medicaid"/>
    <x v="1"/>
    <s v="Medicaid"/>
    <n v="31184.880000000001"/>
    <n v="9677.51"/>
    <n v="0"/>
  </r>
  <r>
    <x v="2064"/>
    <s v="Peconic Bay Medical Center"/>
    <n v="2015"/>
    <n v="4"/>
    <s v="Medicaid"/>
    <x v="1"/>
    <s v="Medicaid"/>
    <n v="26303.759999999998"/>
    <n v="7846"/>
    <n v="0"/>
  </r>
  <r>
    <x v="2065"/>
    <s v="Peconic Bay Medical Center"/>
    <n v="2015"/>
    <n v="4"/>
    <s v="Medicaid"/>
    <x v="1"/>
    <s v="Medicaid"/>
    <n v="11405.74"/>
    <n v="2519.09"/>
    <n v="0"/>
  </r>
  <r>
    <x v="2066"/>
    <s v="Peconic Bay Medical Center"/>
    <n v="2015"/>
    <n v="4"/>
    <s v="Medicaid"/>
    <x v="1"/>
    <s v="Medicaid"/>
    <n v="2926.15"/>
    <n v="3226.22"/>
    <n v="1"/>
  </r>
  <r>
    <x v="2067"/>
    <s v="Peconic Bay Medical Center"/>
    <n v="2015"/>
    <n v="4"/>
    <s v="Medicaid"/>
    <x v="1"/>
    <s v="Medicaid"/>
    <n v="12706.28"/>
    <n v="3779.97"/>
    <n v="0"/>
  </r>
  <r>
    <x v="2068"/>
    <s v="Peconic Bay Medical Center"/>
    <n v="2015"/>
    <n v="4"/>
    <s v="Medicaid"/>
    <x v="1"/>
    <s v="Medicaid"/>
    <n v="236245.87"/>
    <n v="68889.58"/>
    <n v="0"/>
  </r>
  <r>
    <x v="2069"/>
    <s v="Peconic Bay Medical Center"/>
    <n v="2015"/>
    <n v="4"/>
    <s v="Medicaid"/>
    <x v="1"/>
    <s v="Medicaid"/>
    <n v="5135.99"/>
    <n v="6272.73"/>
    <n v="1"/>
  </r>
  <r>
    <x v="2070"/>
    <s v="Peconic Bay Medical Center"/>
    <n v="2015"/>
    <n v="4"/>
    <s v="Medicaid"/>
    <x v="1"/>
    <s v="Medicaid"/>
    <n v="100634.46"/>
    <n v="52739.16"/>
    <n v="0"/>
  </r>
  <r>
    <x v="2071"/>
    <s v="Peconic Bay Medical Center"/>
    <n v="2015"/>
    <n v="4"/>
    <s v="Medicaid"/>
    <x v="1"/>
    <s v="Medicaid"/>
    <n v="78003.240000000005"/>
    <n v="59338.67"/>
    <n v="0"/>
  </r>
  <r>
    <x v="2072"/>
    <s v="Peconic Bay Medical Center"/>
    <n v="2015"/>
    <n v="4"/>
    <s v="Medicaid"/>
    <x v="1"/>
    <s v="Medicaid"/>
    <n v="16625.68"/>
    <n v="4717.47"/>
    <n v="0"/>
  </r>
  <r>
    <x v="2073"/>
    <s v="Peconic Bay Medical Center"/>
    <n v="2015"/>
    <n v="4"/>
    <s v="Medicaid"/>
    <x v="1"/>
    <s v="Medicaid"/>
    <n v="5253.39"/>
    <n v="6301.81"/>
    <n v="1"/>
  </r>
  <r>
    <x v="2074"/>
    <s v="Peconic Bay Medical Center"/>
    <n v="2015"/>
    <n v="4"/>
    <s v="Medicaid"/>
    <x v="1"/>
    <s v="Medicaid"/>
    <n v="11243.7"/>
    <n v="2985.75"/>
    <n v="0"/>
  </r>
  <r>
    <x v="2075"/>
    <s v="Peconic Bay Medical Center"/>
    <n v="2015"/>
    <n v="4"/>
    <s v="Medicaid"/>
    <x v="1"/>
    <s v="Medicaid"/>
    <n v="5143.75"/>
    <n v="6274.6"/>
    <n v="1"/>
  </r>
  <r>
    <x v="2076"/>
    <s v="Peconic Bay Medical Center"/>
    <n v="2015"/>
    <n v="4"/>
    <s v="Medicaid"/>
    <x v="1"/>
    <s v="Medicaid"/>
    <n v="75097.52"/>
    <n v="27050.799999999999"/>
    <n v="0"/>
  </r>
  <r>
    <x v="2077"/>
    <s v="Peconic Bay Medical Center"/>
    <n v="2015"/>
    <n v="4"/>
    <s v="Medicaid"/>
    <x v="1"/>
    <s v="Medicaid"/>
    <n v="17011.32"/>
    <n v="2694.42"/>
    <n v="0"/>
  </r>
  <r>
    <x v="2078"/>
    <s v="Peconic Bay Medical Center"/>
    <n v="2015"/>
    <n v="4"/>
    <s v="Medicaid"/>
    <x v="1"/>
    <s v="Medicaid"/>
    <n v="124914.5"/>
    <n v="35956.519999999997"/>
    <n v="0"/>
  </r>
  <r>
    <x v="2079"/>
    <s v="Peconic Bay Medical Center"/>
    <n v="2015"/>
    <n v="4"/>
    <s v="Medicaid"/>
    <x v="1"/>
    <s v="Medicaid"/>
    <n v="51287.44"/>
    <n v="22828.13"/>
    <n v="0"/>
  </r>
  <r>
    <x v="2080"/>
    <s v="Peconic Bay Medical Center"/>
    <n v="2015"/>
    <n v="4"/>
    <s v="Medicaid"/>
    <x v="1"/>
    <s v="Medicaid"/>
    <n v="6252.55"/>
    <n v="7798.79"/>
    <n v="1"/>
  </r>
  <r>
    <x v="2081"/>
    <s v="Peconic Bay Medical Center"/>
    <n v="2015"/>
    <n v="4"/>
    <s v="Medicaid"/>
    <x v="1"/>
    <s v="Medicaid"/>
    <n v="60835.72"/>
    <n v="18551.64"/>
    <n v="0"/>
  </r>
  <r>
    <x v="2082"/>
    <s v="Peconic Bay Medical Center"/>
    <n v="2015"/>
    <n v="4"/>
    <s v="Medicaid"/>
    <x v="1"/>
    <s v="Medicaid"/>
    <n v="48156.42"/>
    <n v="19784.82"/>
    <n v="0"/>
  </r>
  <r>
    <x v="2083"/>
    <s v="Peconic Bay Medical Center"/>
    <n v="2015"/>
    <n v="4"/>
    <s v="Medicaid"/>
    <x v="1"/>
    <s v="Medicaid"/>
    <n v="76293.52"/>
    <n v="23601.74"/>
    <n v="0"/>
  </r>
  <r>
    <x v="2084"/>
    <s v="Peconic Bay Medical Center"/>
    <n v="2015"/>
    <n v="4"/>
    <s v="Medicaid"/>
    <x v="1"/>
    <s v="Medicaid"/>
    <n v="38411.39"/>
    <n v="27617.51"/>
    <n v="0"/>
  </r>
  <r>
    <x v="2085"/>
    <s v="Peconic Bay Medical Center"/>
    <n v="2015"/>
    <n v="4"/>
    <s v="Medicaid"/>
    <x v="1"/>
    <s v="Medicaid"/>
    <n v="10192.719999999999"/>
    <n v="2369.19"/>
    <n v="0"/>
  </r>
  <r>
    <x v="2086"/>
    <s v="Peconic Bay Medical Center"/>
    <n v="2015"/>
    <n v="4"/>
    <s v="Medicaid"/>
    <x v="1"/>
    <s v="Medicaid"/>
    <n v="14473.34"/>
    <n v="3803.85"/>
    <n v="0"/>
  </r>
  <r>
    <x v="2087"/>
    <s v="Peconic Bay Medical Center"/>
    <n v="2015"/>
    <n v="4"/>
    <s v="Medicaid"/>
    <x v="1"/>
    <s v="Medicaid"/>
    <n v="26494.44"/>
    <n v="8564.83"/>
    <n v="0"/>
  </r>
  <r>
    <x v="2088"/>
    <s v="Peconic Bay Medical Center"/>
    <n v="2015"/>
    <n v="4"/>
    <s v="Medicaid"/>
    <x v="1"/>
    <s v="Medicaid"/>
    <n v="18590.3"/>
    <n v="8436.02"/>
    <n v="0"/>
  </r>
  <r>
    <x v="2089"/>
    <s v="Peconic Bay Medical Center"/>
    <n v="2015"/>
    <n v="4"/>
    <s v="Medicaid"/>
    <x v="1"/>
    <s v="Medicaid"/>
    <n v="41416.370000000003"/>
    <n v="28815.54"/>
    <n v="0"/>
  </r>
  <r>
    <x v="2090"/>
    <s v="Peconic Bay Medical Center"/>
    <n v="2015"/>
    <n v="4"/>
    <s v="Medicaid"/>
    <x v="1"/>
    <s v="Medicaid"/>
    <n v="4034.95"/>
    <n v="4750.41"/>
    <n v="1"/>
  </r>
  <r>
    <x v="2091"/>
    <s v="Peconic Bay Medical Center"/>
    <n v="2015"/>
    <n v="4"/>
    <s v="Medicaid"/>
    <x v="1"/>
    <s v="Medicaid"/>
    <n v="12315.82"/>
    <n v="3380.9"/>
    <n v="0"/>
  </r>
  <r>
    <x v="2092"/>
    <s v="Peconic Bay Medical Center"/>
    <n v="2015"/>
    <n v="4"/>
    <s v="Medicaid"/>
    <x v="1"/>
    <s v="Medicaid"/>
    <n v="5185.68"/>
    <n v="6285.13"/>
    <n v="1"/>
  </r>
  <r>
    <x v="2093"/>
    <s v="Peconic Bay Medical Center"/>
    <n v="2015"/>
    <n v="4"/>
    <s v="Medicaid"/>
    <x v="1"/>
    <s v="Medicaid"/>
    <n v="2933.91"/>
    <n v="3228.08"/>
    <n v="1"/>
  </r>
  <r>
    <x v="2094"/>
    <s v="Peconic Bay Medical Center"/>
    <n v="2015"/>
    <n v="4"/>
    <s v="Medicaid"/>
    <x v="1"/>
    <s v="Medicaid"/>
    <n v="22281.96"/>
    <n v="6232.42"/>
    <n v="0"/>
  </r>
  <r>
    <x v="2095"/>
    <s v="Peconic Bay Medical Center"/>
    <n v="2015"/>
    <n v="4"/>
    <s v="Medicaid"/>
    <x v="1"/>
    <s v="Medicaid"/>
    <n v="3943.51"/>
    <n v="4724.32"/>
    <n v="1"/>
  </r>
  <r>
    <x v="2096"/>
    <s v="Peconic Bay Medical Center"/>
    <n v="2015"/>
    <n v="4"/>
    <s v="Medicaid"/>
    <x v="1"/>
    <s v="Medicaid"/>
    <n v="34486.870000000003"/>
    <n v="20181.62"/>
    <n v="0"/>
  </r>
  <r>
    <x v="2097"/>
    <s v="Peconic Bay Medical Center"/>
    <n v="2015"/>
    <n v="4"/>
    <s v="Medicaid"/>
    <x v="1"/>
    <s v="Medicaid"/>
    <n v="19780.97"/>
    <n v="6845.36"/>
    <n v="0"/>
  </r>
  <r>
    <x v="2098"/>
    <s v="Peconic Bay Medical Center"/>
    <n v="2015"/>
    <n v="4"/>
    <s v="Medicaid"/>
    <x v="1"/>
    <s v="Medicaid"/>
    <n v="27104.38"/>
    <n v="8419.9500000000007"/>
    <n v="0"/>
  </r>
  <r>
    <x v="2099"/>
    <s v="Peconic Bay Medical Center"/>
    <n v="2015"/>
    <n v="4"/>
    <s v="Medicaid"/>
    <x v="1"/>
    <s v="Medicaid"/>
    <n v="35109.47"/>
    <n v="19909.96"/>
    <n v="0"/>
  </r>
  <r>
    <x v="2100"/>
    <s v="Peconic Bay Medical Center"/>
    <n v="2015"/>
    <n v="4"/>
    <s v="Medicaid"/>
    <x v="1"/>
    <s v="Medicaid"/>
    <n v="4034.95"/>
    <n v="4750.41"/>
    <n v="1"/>
  </r>
  <r>
    <x v="2101"/>
    <s v="Peconic Bay Medical Center"/>
    <n v="2015"/>
    <n v="4"/>
    <s v="Medicaid"/>
    <x v="1"/>
    <s v="Medicaid"/>
    <n v="39535.68"/>
    <n v="11090.5"/>
    <n v="0"/>
  </r>
  <r>
    <x v="2102"/>
    <s v="Peconic Bay Medical Center"/>
    <n v="2015"/>
    <n v="4"/>
    <s v="Medicaid"/>
    <x v="1"/>
    <s v="Medicaid"/>
    <n v="12240.84"/>
    <n v="3398.91"/>
    <n v="0"/>
  </r>
  <r>
    <x v="2103"/>
    <s v="Peconic Bay Medical Center"/>
    <n v="2015"/>
    <n v="4"/>
    <s v="Medicaid"/>
    <x v="1"/>
    <s v="Medicaid"/>
    <n v="76617.38"/>
    <n v="23056.55"/>
    <n v="0"/>
  </r>
  <r>
    <x v="2104"/>
    <s v="Peconic Bay Medical Center"/>
    <n v="2015"/>
    <n v="4"/>
    <s v="Medicaid"/>
    <x v="1"/>
    <s v="Medicaid"/>
    <n v="15305.94"/>
    <n v="3550.96"/>
    <n v="0"/>
  </r>
  <r>
    <x v="2105"/>
    <s v="Peconic Bay Medical Center"/>
    <n v="2015"/>
    <n v="4"/>
    <s v="Medicaid"/>
    <x v="1"/>
    <s v="Medicaid"/>
    <n v="27384.080000000002"/>
    <n v="7781.16"/>
    <n v="0"/>
  </r>
  <r>
    <x v="2106"/>
    <s v="Peconic Bay Medical Center"/>
    <n v="2015"/>
    <n v="4"/>
    <s v="Medicaid"/>
    <x v="1"/>
    <s v="Medicaid"/>
    <n v="27988.22"/>
    <n v="6786.23"/>
    <n v="0"/>
  </r>
  <r>
    <x v="2107"/>
    <s v="Peconic Bay Medical Center"/>
    <n v="2015"/>
    <n v="4"/>
    <s v="Medicaid"/>
    <x v="1"/>
    <s v="Medicaid"/>
    <n v="60420.63"/>
    <n v="26277.08"/>
    <n v="0"/>
  </r>
  <r>
    <x v="2108"/>
    <s v="Peconic Bay Medical Center"/>
    <n v="2015"/>
    <n v="4"/>
    <s v="Medicaid"/>
    <x v="1"/>
    <s v="Medicaid"/>
    <n v="34950.82"/>
    <n v="10823.99"/>
    <n v="0"/>
  </r>
  <r>
    <x v="2109"/>
    <s v="Peconic Bay Medical Center"/>
    <n v="2015"/>
    <n v="4"/>
    <s v="Medicaid"/>
    <x v="1"/>
    <s v="Medicaid"/>
    <n v="28924.32"/>
    <n v="7484.41"/>
    <n v="0"/>
  </r>
  <r>
    <x v="2110"/>
    <s v="Peconic Bay Medical Center"/>
    <n v="2015"/>
    <n v="4"/>
    <s v="Medicaid"/>
    <x v="1"/>
    <s v="Medicaid"/>
    <n v="39173.14"/>
    <n v="19926.07"/>
    <n v="0"/>
  </r>
  <r>
    <x v="2111"/>
    <s v="Peconic Bay Medical Center"/>
    <n v="2015"/>
    <n v="4"/>
    <s v="Medicaid"/>
    <x v="1"/>
    <s v="Medicaid"/>
    <n v="29575.56"/>
    <n v="14878.46"/>
    <n v="0"/>
  </r>
  <r>
    <x v="2112"/>
    <s v="Peconic Bay Medical Center"/>
    <n v="2015"/>
    <n v="4"/>
    <s v="Medicaid"/>
    <x v="1"/>
    <s v="Medicaid"/>
    <n v="31731.360000000001"/>
    <n v="8929.7199999999993"/>
    <n v="0"/>
  </r>
  <r>
    <x v="2113"/>
    <s v="Peconic Bay Medical Center"/>
    <n v="2015"/>
    <n v="4"/>
    <s v="Medicaid"/>
    <x v="1"/>
    <s v="Medicaid"/>
    <n v="19155.599999999999"/>
    <n v="5469.15"/>
    <n v="0"/>
  </r>
  <r>
    <x v="2114"/>
    <s v="Peconic Bay Medical Center"/>
    <n v="2015"/>
    <n v="4"/>
    <s v="Medicaid"/>
    <x v="1"/>
    <s v="Medicaid"/>
    <n v="16967.060000000001"/>
    <n v="7611.79"/>
    <n v="0"/>
  </r>
  <r>
    <x v="2115"/>
    <s v="Peconic Bay Medical Center"/>
    <n v="2015"/>
    <n v="4"/>
    <s v="Medicaid"/>
    <x v="1"/>
    <s v="Medicaid"/>
    <n v="66977.62"/>
    <n v="49959.03"/>
    <n v="0"/>
  </r>
  <r>
    <x v="2116"/>
    <s v="Peconic Bay Medical Center"/>
    <n v="2015"/>
    <n v="4"/>
    <s v="Medicaid"/>
    <x v="1"/>
    <s v="Medicaid"/>
    <n v="41790.019999999997"/>
    <n v="12953.32"/>
    <n v="0"/>
  </r>
  <r>
    <x v="2117"/>
    <s v="Peconic Bay Medical Center"/>
    <n v="2015"/>
    <n v="4"/>
    <s v="Medicaid"/>
    <x v="1"/>
    <s v="Medicaid"/>
    <n v="18558.580000000002"/>
    <n v="5036.5600000000004"/>
    <n v="0"/>
  </r>
  <r>
    <x v="2118"/>
    <s v="Peconic Bay Medical Center"/>
    <n v="2015"/>
    <n v="4"/>
    <s v="Medicaid"/>
    <x v="1"/>
    <s v="Medicaid"/>
    <n v="19780.96"/>
    <n v="5295.18"/>
    <n v="0"/>
  </r>
  <r>
    <x v="2119"/>
    <s v="Peconic Bay Medical Center"/>
    <n v="2015"/>
    <n v="4"/>
    <s v="Medicaid"/>
    <x v="1"/>
    <s v="Medicaid"/>
    <n v="14563.04"/>
    <n v="7095.52"/>
    <n v="0"/>
  </r>
  <r>
    <x v="2120"/>
    <s v="Peconic Bay Medical Center"/>
    <n v="2015"/>
    <n v="4"/>
    <s v="Medicaid"/>
    <x v="1"/>
    <s v="Medicaid"/>
    <n v="22749.279999999999"/>
    <n v="6680.09"/>
    <n v="0"/>
  </r>
  <r>
    <x v="2121"/>
    <s v="Peconic Bay Medical Center"/>
    <n v="2015"/>
    <n v="4"/>
    <s v="Medicaid"/>
    <x v="1"/>
    <s v="Medicaid"/>
    <n v="45642"/>
    <n v="13077.82"/>
    <n v="0"/>
  </r>
  <r>
    <x v="2122"/>
    <s v="Peconic Bay Medical Center"/>
    <n v="2015"/>
    <n v="4"/>
    <s v="Medicaid"/>
    <x v="1"/>
    <s v="Medicaid"/>
    <n v="59081.72"/>
    <n v="21786.09"/>
    <n v="0"/>
  </r>
  <r>
    <x v="2123"/>
    <s v="Peconic Bay Medical Center"/>
    <n v="2015"/>
    <n v="4"/>
    <s v="Medicaid"/>
    <x v="1"/>
    <s v="Medicaid"/>
    <n v="8876.5400000000009"/>
    <n v="2473.75"/>
    <n v="0"/>
  </r>
  <r>
    <x v="2124"/>
    <s v="Peconic Bay Medical Center"/>
    <n v="2015"/>
    <n v="4"/>
    <s v="Medicaid"/>
    <x v="1"/>
    <s v="Medicaid"/>
    <n v="43206.5"/>
    <n v="12626.3"/>
    <n v="0"/>
  </r>
  <r>
    <x v="2125"/>
    <s v="Peconic Bay Medical Center"/>
    <n v="2015"/>
    <n v="4"/>
    <s v="Medicaid"/>
    <x v="1"/>
    <s v="Medicaid"/>
    <n v="11112.78"/>
    <n v="2884.64"/>
    <n v="0"/>
  </r>
  <r>
    <x v="2126"/>
    <s v="Peconic Bay Medical Center"/>
    <n v="2015"/>
    <n v="4"/>
    <s v="Medicaid"/>
    <x v="1"/>
    <s v="Medicaid"/>
    <n v="38935.480000000003"/>
    <n v="18190.38"/>
    <n v="0"/>
  </r>
  <r>
    <x v="2127"/>
    <s v="Peconic Bay Medical Center"/>
    <n v="2015"/>
    <n v="4"/>
    <s v="Medicaid"/>
    <x v="1"/>
    <s v="Medicaid"/>
    <n v="16419.599999999999"/>
    <n v="4830.96"/>
    <n v="0"/>
  </r>
  <r>
    <x v="2128"/>
    <s v="Peconic Bay Medical Center"/>
    <n v="2015"/>
    <n v="4"/>
    <s v="Medicaid"/>
    <x v="1"/>
    <s v="Medicaid"/>
    <n v="30658.76"/>
    <n v="9347.56"/>
    <n v="0"/>
  </r>
  <r>
    <x v="2129"/>
    <s v="Peconic Bay Medical Center"/>
    <n v="2015"/>
    <n v="4"/>
    <s v="Medicaid"/>
    <x v="1"/>
    <s v="Medicaid"/>
    <n v="72141.119999999995"/>
    <n v="55101.45"/>
    <n v="0"/>
  </r>
  <r>
    <x v="2130"/>
    <s v="Peconic Bay Medical Center"/>
    <n v="2015"/>
    <n v="4"/>
    <s v="Medicaid"/>
    <x v="1"/>
    <s v="Medicaid"/>
    <n v="26582.080000000002"/>
    <n v="10092.6"/>
    <n v="0"/>
  </r>
  <r>
    <x v="2131"/>
    <s v="Peconic Bay Medical Center"/>
    <n v="2015"/>
    <n v="4"/>
    <s v="Medicaid"/>
    <x v="1"/>
    <s v="Medicaid"/>
    <n v="32057.24"/>
    <n v="9026.1200000000008"/>
    <n v="0"/>
  </r>
  <r>
    <x v="2132"/>
    <s v="Peconic Bay Medical Center"/>
    <n v="2015"/>
    <n v="4"/>
    <s v="Medicaid"/>
    <x v="1"/>
    <s v="Medicaid"/>
    <n v="16868.36"/>
    <n v="4227.8500000000004"/>
    <n v="0"/>
  </r>
  <r>
    <x v="2133"/>
    <s v="Peconic Bay Medical Center"/>
    <n v="2015"/>
    <n v="4"/>
    <s v="Medicaid"/>
    <x v="1"/>
    <s v="Medicaid"/>
    <n v="4034.95"/>
    <n v="4750.41"/>
    <n v="1"/>
  </r>
  <r>
    <x v="2134"/>
    <s v="Peconic Bay Medical Center"/>
    <n v="2015"/>
    <n v="4"/>
    <s v="Medicaid"/>
    <x v="1"/>
    <s v="Medicaid"/>
    <n v="16319.4"/>
    <n v="4070.22"/>
    <n v="0"/>
  </r>
  <r>
    <x v="2135"/>
    <s v="Peconic Bay Medical Center"/>
    <n v="2015"/>
    <n v="4"/>
    <s v="Medicaid"/>
    <x v="1"/>
    <s v="Medicaid"/>
    <n v="28477.360000000001"/>
    <n v="11405.43"/>
    <n v="0"/>
  </r>
  <r>
    <x v="2136"/>
    <s v="Peconic Bay Medical Center"/>
    <n v="2015"/>
    <n v="4"/>
    <s v="Medicaid"/>
    <x v="1"/>
    <s v="Medicaid"/>
    <n v="29809.22"/>
    <n v="8978.26"/>
    <n v="0"/>
  </r>
  <r>
    <x v="2137"/>
    <s v="Peconic Bay Medical Center"/>
    <n v="2015"/>
    <n v="4"/>
    <s v="Medicaid"/>
    <x v="1"/>
    <s v="Medicaid"/>
    <n v="21767.98"/>
    <n v="8500.9"/>
    <n v="0"/>
  </r>
  <r>
    <x v="2138"/>
    <s v="Peconic Bay Medical Center"/>
    <n v="2015"/>
    <n v="4"/>
    <s v="Medicaid"/>
    <x v="1"/>
    <s v="Medicaid"/>
    <n v="84121.54"/>
    <n v="31151.91"/>
    <n v="0"/>
  </r>
  <r>
    <x v="2139"/>
    <s v="Peconic Bay Medical Center"/>
    <n v="2015"/>
    <n v="4"/>
    <s v="Medicaid"/>
    <x v="1"/>
    <s v="Medicaid"/>
    <n v="62229.38"/>
    <n v="41824.089999999997"/>
    <n v="0"/>
  </r>
  <r>
    <x v="2140"/>
    <s v="Peconic Bay Medical Center"/>
    <n v="2015"/>
    <n v="4"/>
    <s v="Medicaid"/>
    <x v="1"/>
    <s v="Medicaid"/>
    <n v="44224.9"/>
    <n v="13009.34"/>
    <n v="0"/>
  </r>
  <r>
    <x v="2141"/>
    <s v="Peconic Bay Medical Center"/>
    <n v="2015"/>
    <n v="4"/>
    <s v="Medicaid"/>
    <x v="1"/>
    <s v="Medicaid"/>
    <n v="47480.84"/>
    <n v="30427.49"/>
    <n v="0"/>
  </r>
  <r>
    <x v="2142"/>
    <s v="Peconic Bay Medical Center"/>
    <n v="2015"/>
    <n v="4"/>
    <s v="Medicaid"/>
    <x v="1"/>
    <s v="Medicaid"/>
    <n v="23982.2"/>
    <n v="7320.37"/>
    <n v="0"/>
  </r>
  <r>
    <x v="2143"/>
    <s v="Peconic Bay Medical Center"/>
    <n v="2015"/>
    <n v="4"/>
    <s v="Medicaid"/>
    <x v="1"/>
    <s v="Medicaid"/>
    <n v="29319.94"/>
    <n v="9255.0400000000009"/>
    <n v="0"/>
  </r>
  <r>
    <x v="2144"/>
    <s v="Peconic Bay Medical Center"/>
    <n v="2015"/>
    <n v="4"/>
    <s v="Medicaid"/>
    <x v="1"/>
    <s v="Medicaid"/>
    <n v="33938.92"/>
    <n v="10219.68"/>
    <n v="0"/>
  </r>
  <r>
    <x v="2145"/>
    <s v="Peconic Bay Medical Center"/>
    <n v="2015"/>
    <n v="4"/>
    <s v="Medicaid"/>
    <x v="1"/>
    <s v="Medicaid"/>
    <n v="17699.18"/>
    <n v="4459.17"/>
    <n v="0"/>
  </r>
  <r>
    <x v="2146"/>
    <s v="Peconic Bay Medical Center"/>
    <n v="2015"/>
    <n v="4"/>
    <s v="Medicaid"/>
    <x v="1"/>
    <s v="Medicaid"/>
    <n v="25405.5"/>
    <n v="7606.28"/>
    <n v="0"/>
  </r>
  <r>
    <x v="2147"/>
    <s v="Peconic Bay Medical Center"/>
    <n v="2015"/>
    <n v="4"/>
    <s v="Medicaid"/>
    <x v="1"/>
    <s v="Medicaid"/>
    <n v="37562.639999999999"/>
    <n v="9780.23"/>
    <n v="0"/>
  </r>
  <r>
    <x v="2148"/>
    <s v="Peconic Bay Medical Center"/>
    <n v="2015"/>
    <n v="4"/>
    <s v="Medicaid"/>
    <x v="1"/>
    <s v="Medicaid"/>
    <n v="50339.66"/>
    <n v="15858.62"/>
    <n v="0"/>
  </r>
  <r>
    <x v="2149"/>
    <s v="Peconic Bay Medical Center"/>
    <n v="2015"/>
    <n v="4"/>
    <s v="Medicaid"/>
    <x v="1"/>
    <s v="Medicaid"/>
    <n v="5180.7"/>
    <n v="3863.08"/>
    <n v="0"/>
  </r>
  <r>
    <x v="2150"/>
    <s v="Peconic Bay Medical Center"/>
    <n v="2015"/>
    <n v="4"/>
    <s v="Medicaid"/>
    <x v="1"/>
    <s v="Medicaid"/>
    <n v="72907.360000000001"/>
    <n v="20732.63"/>
    <n v="0"/>
  </r>
  <r>
    <x v="2151"/>
    <s v="Peconic Bay Medical Center"/>
    <n v="2015"/>
    <n v="4"/>
    <s v="Medicaid"/>
    <x v="1"/>
    <s v="Medicaid"/>
    <n v="19407.22"/>
    <n v="5950.78"/>
    <n v="0"/>
  </r>
  <r>
    <x v="2152"/>
    <s v="Peconic Bay Medical Center"/>
    <n v="2015"/>
    <n v="4"/>
    <s v="Medicaid"/>
    <x v="1"/>
    <s v="Medicaid"/>
    <n v="5177.92"/>
    <n v="6283.27"/>
    <n v="1"/>
  </r>
  <r>
    <x v="2153"/>
    <s v="Peconic Bay Medical Center"/>
    <n v="2015"/>
    <n v="4"/>
    <s v="Medicaid"/>
    <x v="1"/>
    <s v="Medicaid"/>
    <n v="19869.62"/>
    <n v="5267.8"/>
    <n v="0"/>
  </r>
  <r>
    <x v="2154"/>
    <s v="Peconic Bay Medical Center"/>
    <n v="2015"/>
    <n v="4"/>
    <s v="Medicaid"/>
    <x v="1"/>
    <s v="Medicaid"/>
    <n v="19686.14"/>
    <n v="7768.13"/>
    <n v="0"/>
  </r>
  <r>
    <x v="2155"/>
    <s v="Peconic Bay Medical Center"/>
    <n v="2015"/>
    <n v="4"/>
    <s v="Medicaid"/>
    <x v="1"/>
    <s v="Medicaid"/>
    <n v="12866.02"/>
    <n v="3305.06"/>
    <n v="0"/>
  </r>
  <r>
    <x v="2156"/>
    <s v="Peconic Bay Medical Center"/>
    <n v="2015"/>
    <n v="4"/>
    <s v="Medicaid"/>
    <x v="1"/>
    <s v="Medicaid"/>
    <n v="15286.54"/>
    <n v="5574.34"/>
    <n v="0"/>
  </r>
  <r>
    <x v="2157"/>
    <s v="Peconic Bay Medical Center"/>
    <n v="2015"/>
    <n v="4"/>
    <s v="Medicaid"/>
    <x v="1"/>
    <s v="Medicaid"/>
    <n v="18552.46"/>
    <n v="4652.87"/>
    <n v="0"/>
  </r>
  <r>
    <x v="2158"/>
    <s v="Peconic Bay Medical Center"/>
    <n v="2015"/>
    <n v="4"/>
    <s v="Medicaid"/>
    <x v="1"/>
    <s v="Medicaid"/>
    <n v="23777.52"/>
    <n v="6718.24"/>
    <n v="0"/>
  </r>
  <r>
    <x v="2159"/>
    <s v="Peconic Bay Medical Center"/>
    <n v="2015"/>
    <n v="4"/>
    <s v="Medicaid"/>
    <x v="1"/>
    <s v="Medicaid"/>
    <n v="25661.98"/>
    <n v="6875.91"/>
    <n v="0"/>
  </r>
  <r>
    <x v="2160"/>
    <s v="Peconic Bay Medical Center"/>
    <n v="2015"/>
    <n v="4"/>
    <s v="Medicaid"/>
    <x v="1"/>
    <s v="Medicaid"/>
    <n v="20965.18"/>
    <n v="5113.93"/>
    <n v="0"/>
  </r>
  <r>
    <x v="2161"/>
    <s v="Peconic Bay Medical Center"/>
    <n v="2015"/>
    <n v="4"/>
    <s v="Medicaid"/>
    <x v="1"/>
    <s v="Medicaid"/>
    <n v="46999.58"/>
    <n v="15031.22"/>
    <n v="0"/>
  </r>
  <r>
    <x v="2162"/>
    <s v="Peconic Bay Medical Center"/>
    <n v="2015"/>
    <n v="4"/>
    <s v="Medicaid"/>
    <x v="1"/>
    <s v="Medicaid"/>
    <n v="26622.880000000001"/>
    <n v="8846.6299999999992"/>
    <n v="0"/>
  </r>
  <r>
    <x v="2163"/>
    <s v="Peconic Bay Medical Center"/>
    <n v="2015"/>
    <n v="4"/>
    <s v="Medicaid"/>
    <x v="1"/>
    <s v="Medicaid"/>
    <n v="22470.76"/>
    <n v="7086.91"/>
    <n v="0"/>
  </r>
  <r>
    <x v="2164"/>
    <s v="Peconic Bay Medical Center"/>
    <n v="2015"/>
    <n v="4"/>
    <s v="Medicaid"/>
    <x v="1"/>
    <s v="Medicaid"/>
    <n v="38097.699999999997"/>
    <n v="7629.01"/>
    <n v="0"/>
  </r>
  <r>
    <x v="2165"/>
    <s v="Peconic Bay Medical Center"/>
    <n v="2015"/>
    <n v="4"/>
    <s v="Medicaid"/>
    <x v="1"/>
    <s v="Medicaid"/>
    <n v="5326.12"/>
    <n v="6319.98"/>
    <n v="1"/>
  </r>
  <r>
    <x v="2166"/>
    <s v="Peconic Bay Medical Center"/>
    <n v="2015"/>
    <n v="4"/>
    <s v="Medicaid"/>
    <x v="1"/>
    <s v="Medicaid"/>
    <n v="17994.12"/>
    <n v="5151.47"/>
    <n v="0"/>
  </r>
  <r>
    <x v="2167"/>
    <s v="Peconic Bay Medical Center"/>
    <n v="2015"/>
    <n v="4"/>
    <s v="Medicaid"/>
    <x v="1"/>
    <s v="Medicaid"/>
    <n v="14967.04"/>
    <n v="4270.5"/>
    <n v="0"/>
  </r>
  <r>
    <x v="2168"/>
    <s v="Peconic Bay Medical Center"/>
    <n v="2015"/>
    <n v="4"/>
    <s v="Medicaid"/>
    <x v="1"/>
    <s v="Medicaid"/>
    <n v="6193.02"/>
    <n v="6568.03"/>
    <n v="1"/>
  </r>
  <r>
    <x v="2169"/>
    <s v="Peconic Bay Medical Center"/>
    <n v="2015"/>
    <n v="4"/>
    <s v="Medicaid"/>
    <x v="1"/>
    <s v="Medicaid"/>
    <n v="18406.900000000001"/>
    <n v="8438.58"/>
    <n v="0"/>
  </r>
  <r>
    <x v="2170"/>
    <s v="Peconic Bay Medical Center"/>
    <n v="2015"/>
    <n v="4"/>
    <s v="Medicaid"/>
    <x v="1"/>
    <s v="Medicaid"/>
    <n v="16198.72"/>
    <n v="4611.07"/>
    <n v="0"/>
  </r>
  <r>
    <x v="2171"/>
    <s v="Peconic Bay Medical Center"/>
    <n v="2015"/>
    <n v="4"/>
    <s v="Medicaid"/>
    <x v="1"/>
    <s v="Medicaid"/>
    <n v="19612.04"/>
    <n v="5870.34"/>
    <n v="0"/>
  </r>
  <r>
    <x v="2172"/>
    <s v="Peconic Bay Medical Center"/>
    <n v="2015"/>
    <n v="4"/>
    <s v="Medicaid"/>
    <x v="1"/>
    <s v="Medicaid"/>
    <n v="150678.68"/>
    <n v="68675.009999999995"/>
    <n v="0"/>
  </r>
  <r>
    <x v="2173"/>
    <s v="Peconic Bay Medical Center"/>
    <n v="2015"/>
    <n v="4"/>
    <s v="Medicaid"/>
    <x v="1"/>
    <s v="Medicaid"/>
    <n v="14227.28"/>
    <n v="4241.0600000000004"/>
    <n v="0"/>
  </r>
  <r>
    <x v="2174"/>
    <s v="Peconic Bay Medical Center"/>
    <n v="2015"/>
    <n v="4"/>
    <s v="Medicaid"/>
    <x v="1"/>
    <s v="Medicaid"/>
    <n v="10077.219999999999"/>
    <n v="2885.74"/>
    <n v="0"/>
  </r>
  <r>
    <x v="2175"/>
    <s v="Peconic Bay Medical Center"/>
    <n v="2015"/>
    <n v="4"/>
    <s v="Medicaid"/>
    <x v="1"/>
    <s v="Medicaid"/>
    <n v="23760.84"/>
    <n v="6793.45"/>
    <n v="0"/>
  </r>
  <r>
    <x v="2176"/>
    <s v="Peconic Bay Medical Center"/>
    <n v="2015"/>
    <n v="4"/>
    <s v="Medicaid"/>
    <x v="1"/>
    <s v="Medicaid"/>
    <n v="38467.879999999997"/>
    <n v="11322.29"/>
    <n v="0"/>
  </r>
  <r>
    <x v="2177"/>
    <s v="Peconic Bay Medical Center"/>
    <n v="2015"/>
    <n v="4"/>
    <s v="Medicaid"/>
    <x v="1"/>
    <s v="Medicaid"/>
    <n v="17139.900000000001"/>
    <n v="4990.2"/>
    <n v="0"/>
  </r>
  <r>
    <x v="2178"/>
    <s v="Peconic Bay Medical Center"/>
    <n v="2015"/>
    <n v="4"/>
    <s v="Medicaid"/>
    <x v="1"/>
    <s v="Medicaid"/>
    <n v="2998.72"/>
    <n v="3244.4"/>
    <n v="1"/>
  </r>
  <r>
    <x v="2179"/>
    <s v="Peconic Bay Medical Center"/>
    <n v="2015"/>
    <n v="4"/>
    <s v="Medicaid"/>
    <x v="1"/>
    <s v="Medicaid"/>
    <n v="16024.94"/>
    <n v="5113.53"/>
    <n v="0"/>
  </r>
  <r>
    <x v="2180"/>
    <s v="Peconic Bay Medical Center"/>
    <n v="2015"/>
    <n v="4"/>
    <s v="Medicaid"/>
    <x v="1"/>
    <s v="Medicaid"/>
    <n v="21447.62"/>
    <n v="12141.84"/>
    <n v="0"/>
  </r>
  <r>
    <x v="2181"/>
    <s v="Peconic Bay Medical Center"/>
    <n v="2015"/>
    <n v="4"/>
    <s v="Medicaid"/>
    <x v="1"/>
    <s v="Medicaid"/>
    <n v="11344.62"/>
    <n v="3067.07"/>
    <n v="0"/>
  </r>
  <r>
    <x v="2182"/>
    <s v="Peconic Bay Medical Center"/>
    <n v="2015"/>
    <n v="4"/>
    <s v="Medicaid"/>
    <x v="1"/>
    <s v="Medicaid"/>
    <n v="22495.66"/>
    <n v="14052.66"/>
    <n v="0"/>
  </r>
  <r>
    <x v="2183"/>
    <s v="Peconic Bay Medical Center"/>
    <n v="2015"/>
    <n v="4"/>
    <s v="Medicaid"/>
    <x v="1"/>
    <s v="Medicaid"/>
    <n v="19216.22"/>
    <n v="5439.28"/>
    <n v="0"/>
  </r>
  <r>
    <x v="2184"/>
    <s v="Peconic Bay Medical Center"/>
    <n v="2015"/>
    <n v="4"/>
    <s v="Medicaid"/>
    <x v="1"/>
    <s v="Medicaid"/>
    <n v="39030.9"/>
    <n v="12151.3"/>
    <n v="0"/>
  </r>
  <r>
    <x v="2185"/>
    <s v="Peconic Bay Medical Center"/>
    <n v="2015"/>
    <n v="4"/>
    <s v="Medicaid"/>
    <x v="1"/>
    <s v="Medicaid"/>
    <n v="27716.66"/>
    <n v="11338.34"/>
    <n v="0"/>
  </r>
  <r>
    <x v="2186"/>
    <s v="Peconic Bay Medical Center"/>
    <n v="2015"/>
    <n v="4"/>
    <s v="Medicaid"/>
    <x v="1"/>
    <s v="Medicaid"/>
    <n v="44972.7"/>
    <n v="21371.55"/>
    <n v="0"/>
  </r>
  <r>
    <x v="2187"/>
    <s v="Peconic Bay Medical Center"/>
    <n v="2015"/>
    <n v="4"/>
    <s v="Medicaid"/>
    <x v="1"/>
    <s v="Medicaid"/>
    <n v="18845.68"/>
    <n v="4154.7"/>
    <n v="0"/>
  </r>
  <r>
    <x v="2188"/>
    <s v="Peconic Bay Medical Center"/>
    <n v="2015"/>
    <n v="4"/>
    <s v="Medicaid"/>
    <x v="1"/>
    <s v="Medicaid"/>
    <n v="17041.18"/>
    <n v="4889.87"/>
    <n v="0"/>
  </r>
  <r>
    <x v="2189"/>
    <s v="Peconic Bay Medical Center"/>
    <n v="2015"/>
    <n v="4"/>
    <s v="Medicaid"/>
    <x v="1"/>
    <s v="Medicaid"/>
    <n v="65288.98"/>
    <n v="20590.060000000001"/>
    <n v="0"/>
  </r>
  <r>
    <x v="2190"/>
    <s v="Peconic Bay Medical Center"/>
    <n v="2015"/>
    <n v="4"/>
    <s v="Medicaid"/>
    <x v="1"/>
    <s v="Medicaid"/>
    <n v="46156.52"/>
    <n v="23072.93"/>
    <n v="0"/>
  </r>
  <r>
    <x v="2191"/>
    <s v="Peconic Bay Medical Center"/>
    <n v="2015"/>
    <n v="4"/>
    <s v="Medicaid"/>
    <x v="1"/>
    <s v="Medicaid"/>
    <n v="9145.56"/>
    <n v="2460.39"/>
    <n v="0"/>
  </r>
  <r>
    <x v="2192"/>
    <s v="Peconic Bay Medical Center"/>
    <n v="2015"/>
    <n v="4"/>
    <s v="Medicaid"/>
    <x v="1"/>
    <s v="Medicaid"/>
    <n v="10158.879999999999"/>
    <n v="2875.57"/>
    <n v="0"/>
  </r>
  <r>
    <x v="2193"/>
    <s v="Peconic Bay Medical Center"/>
    <n v="2015"/>
    <n v="4"/>
    <s v="Medicaid"/>
    <x v="1"/>
    <s v="Medicaid"/>
    <n v="13122.96"/>
    <n v="4062.05"/>
    <n v="0"/>
  </r>
  <r>
    <x v="2194"/>
    <s v="Peconic Bay Medical Center"/>
    <n v="2015"/>
    <n v="4"/>
    <s v="Medicaid"/>
    <x v="1"/>
    <s v="Medicaid"/>
    <n v="44057.22"/>
    <n v="12974.25"/>
    <n v="0"/>
  </r>
  <r>
    <x v="2195"/>
    <s v="Peconic Bay Medical Center"/>
    <n v="2015"/>
    <n v="4"/>
    <s v="Medicaid"/>
    <x v="1"/>
    <s v="Medicaid"/>
    <n v="16441.16"/>
    <n v="3951.53"/>
    <n v="0"/>
  </r>
  <r>
    <x v="2196"/>
    <s v="Peconic Bay Medical Center"/>
    <n v="2015"/>
    <n v="4"/>
    <s v="Medicaid"/>
    <x v="1"/>
    <s v="Medicaid"/>
    <n v="14340.22"/>
    <n v="4502.75"/>
    <n v="0"/>
  </r>
  <r>
    <x v="2197"/>
    <s v="Peconic Bay Medical Center"/>
    <n v="2015"/>
    <n v="4"/>
    <s v="Medicaid"/>
    <x v="1"/>
    <s v="Medicaid"/>
    <n v="31237.22"/>
    <n v="9689.34"/>
    <n v="0"/>
  </r>
  <r>
    <x v="2198"/>
    <s v="Peconic Bay Medical Center"/>
    <n v="2015"/>
    <n v="4"/>
    <s v="Medicaid"/>
    <x v="1"/>
    <s v="Medicaid"/>
    <n v="11252.32"/>
    <n v="6575.61"/>
    <n v="0"/>
  </r>
  <r>
    <x v="2199"/>
    <s v="Peconic Bay Medical Center"/>
    <n v="2015"/>
    <n v="4"/>
    <s v="Medicaid"/>
    <x v="1"/>
    <s v="Medicaid"/>
    <n v="41834.160000000003"/>
    <n v="13757.63"/>
    <n v="0"/>
  </r>
  <r>
    <x v="2200"/>
    <s v="Peconic Bay Medical Center"/>
    <n v="2015"/>
    <n v="4"/>
    <s v="Medicaid"/>
    <x v="1"/>
    <s v="Medicaid"/>
    <n v="16022.84"/>
    <n v="4629"/>
    <n v="0"/>
  </r>
  <r>
    <x v="2201"/>
    <s v="Peconic Bay Medical Center"/>
    <n v="2015"/>
    <n v="4"/>
    <s v="Medicaid"/>
    <x v="1"/>
    <s v="Medicaid"/>
    <n v="58085.26"/>
    <n v="26101.89"/>
    <n v="0"/>
  </r>
  <r>
    <x v="2202"/>
    <s v="Peconic Bay Medical Center"/>
    <n v="2015"/>
    <n v="4"/>
    <s v="Medicaid"/>
    <x v="1"/>
    <s v="Medicaid"/>
    <n v="16858.5"/>
    <n v="4511.1499999999996"/>
    <n v="0"/>
  </r>
  <r>
    <x v="2203"/>
    <s v="Peconic Bay Medical Center"/>
    <n v="2015"/>
    <n v="4"/>
    <s v="Medicaid"/>
    <x v="1"/>
    <s v="Medicaid"/>
    <n v="12960.58"/>
    <n v="3507.4"/>
    <n v="0"/>
  </r>
  <r>
    <x v="2204"/>
    <s v="Peconic Bay Medical Center"/>
    <n v="2015"/>
    <n v="4"/>
    <s v="Medicaid"/>
    <x v="1"/>
    <s v="Medicaid"/>
    <n v="29546.6"/>
    <n v="9783.35"/>
    <n v="0"/>
  </r>
  <r>
    <x v="2205"/>
    <s v="Peconic Bay Medical Center"/>
    <n v="2015"/>
    <n v="4"/>
    <s v="Medicaid"/>
    <x v="1"/>
    <s v="Medicaid"/>
    <n v="4618.32"/>
    <n v="4895.12"/>
    <n v="1"/>
  </r>
  <r>
    <x v="2206"/>
    <s v="Peconic Bay Medical Center"/>
    <n v="2015"/>
    <n v="4"/>
    <s v="Medicaid"/>
    <x v="1"/>
    <s v="Medicaid"/>
    <n v="19258.759999999998"/>
    <n v="5482.44"/>
    <n v="0"/>
  </r>
  <r>
    <x v="2207"/>
    <s v="Peconic Bay Medical Center"/>
    <n v="2015"/>
    <n v="4"/>
    <s v="Medicaid"/>
    <x v="1"/>
    <s v="Medicaid"/>
    <n v="4174.32"/>
    <n v="4788.72"/>
    <n v="1"/>
  </r>
  <r>
    <x v="2208"/>
    <s v="Peconic Bay Medical Center"/>
    <n v="2015"/>
    <n v="4"/>
    <s v="Medicaid"/>
    <x v="1"/>
    <s v="Medicaid"/>
    <n v="37122.300000000003"/>
    <n v="17087.52"/>
    <n v="0"/>
  </r>
  <r>
    <x v="2209"/>
    <s v="Peconic Bay Medical Center"/>
    <n v="2015"/>
    <n v="4"/>
    <s v="Medicaid"/>
    <x v="1"/>
    <s v="Medicaid"/>
    <n v="13394.2"/>
    <n v="2847.09"/>
    <n v="0"/>
  </r>
  <r>
    <x v="2210"/>
    <s v="Peconic Bay Medical Center"/>
    <n v="2015"/>
    <n v="4"/>
    <s v="Medicaid"/>
    <x v="1"/>
    <s v="Medicaid"/>
    <n v="4256.96"/>
    <n v="4805.67"/>
    <n v="1"/>
  </r>
  <r>
    <x v="2211"/>
    <s v="Peconic Bay Medical Center"/>
    <n v="2015"/>
    <n v="4"/>
    <s v="Medicaid"/>
    <x v="1"/>
    <s v="Medicaid"/>
    <n v="43217.440000000002"/>
    <n v="12734.94"/>
    <n v="0"/>
  </r>
  <r>
    <x v="2212"/>
    <s v="Peconic Bay Medical Center"/>
    <n v="2015"/>
    <n v="4"/>
    <s v="Medicaid"/>
    <x v="1"/>
    <s v="Medicaid"/>
    <n v="8149.56"/>
    <n v="2247.1999999999998"/>
    <n v="0"/>
  </r>
  <r>
    <x v="2213"/>
    <s v="Peconic Bay Medical Center"/>
    <n v="2015"/>
    <n v="4"/>
    <s v="Medicaid"/>
    <x v="1"/>
    <s v="Medicaid"/>
    <n v="58848.160000000003"/>
    <n v="19174.38"/>
    <n v="0"/>
  </r>
  <r>
    <x v="2214"/>
    <s v="Peconic Bay Medical Center"/>
    <n v="2015"/>
    <n v="4"/>
    <s v="Medicaid"/>
    <x v="1"/>
    <s v="Medicaid"/>
    <n v="19008.900000000001"/>
    <n v="3032.64"/>
    <n v="0"/>
  </r>
  <r>
    <x v="2215"/>
    <s v="Peconic Bay Medical Center"/>
    <n v="2015"/>
    <n v="4"/>
    <s v="Medicaid"/>
    <x v="1"/>
    <s v="Medicaid"/>
    <n v="14776.8"/>
    <n v="3014.51"/>
    <n v="0"/>
  </r>
  <r>
    <x v="2216"/>
    <s v="Peconic Bay Medical Center"/>
    <n v="2015"/>
    <n v="4"/>
    <s v="Medicaid"/>
    <x v="1"/>
    <s v="Medicaid"/>
    <n v="14663.78"/>
    <n v="3905.16"/>
    <n v="0"/>
  </r>
  <r>
    <x v="2217"/>
    <s v="Peconic Bay Medical Center"/>
    <n v="2015"/>
    <n v="4"/>
    <s v="Medicaid"/>
    <x v="1"/>
    <s v="Medicaid"/>
    <n v="32132.82"/>
    <n v="18833.330000000002"/>
    <n v="0"/>
  </r>
  <r>
    <x v="2218"/>
    <s v="Peconic Bay Medical Center"/>
    <n v="2015"/>
    <n v="4"/>
    <s v="Medicaid"/>
    <x v="1"/>
    <s v="Medicaid"/>
    <n v="23801.52"/>
    <n v="8323.0499999999993"/>
    <n v="0"/>
  </r>
  <r>
    <x v="2219"/>
    <s v="Peconic Bay Medical Center"/>
    <n v="2015"/>
    <n v="4"/>
    <s v="Medicaid"/>
    <x v="1"/>
    <s v="Medicaid"/>
    <n v="21989.02"/>
    <n v="8460.57"/>
    <n v="0"/>
  </r>
  <r>
    <x v="2220"/>
    <s v="Peconic Bay Medical Center"/>
    <n v="2015"/>
    <n v="4"/>
    <s v="Medicaid"/>
    <x v="1"/>
    <s v="Medicaid"/>
    <n v="42141.56"/>
    <n v="12509.21"/>
    <n v="0"/>
  </r>
  <r>
    <x v="2221"/>
    <s v="Peconic Bay Medical Center"/>
    <n v="2015"/>
    <n v="4"/>
    <s v="Medicaid"/>
    <x v="1"/>
    <s v="Medicaid"/>
    <n v="51052.38"/>
    <n v="24329.57"/>
    <n v="0"/>
  </r>
  <r>
    <x v="2222"/>
    <s v="Peconic Bay Medical Center"/>
    <n v="2015"/>
    <n v="4"/>
    <s v="Medicaid"/>
    <x v="1"/>
    <s v="Medicaid"/>
    <n v="11990.32"/>
    <n v="2425.08"/>
    <n v="0"/>
  </r>
  <r>
    <x v="2223"/>
    <s v="Peconic Bay Medical Center"/>
    <n v="2015"/>
    <n v="4"/>
    <s v="Medicaid"/>
    <x v="1"/>
    <s v="Medicaid"/>
    <n v="10501.66"/>
    <n v="2760.65"/>
    <n v="0"/>
  </r>
  <r>
    <x v="2224"/>
    <s v="Peconic Bay Medical Center"/>
    <n v="2015"/>
    <n v="4"/>
    <s v="Medicaid"/>
    <x v="1"/>
    <s v="Medicaid"/>
    <n v="40072.14"/>
    <n v="16197.58"/>
    <n v="0"/>
  </r>
  <r>
    <x v="2225"/>
    <s v="Peconic Bay Medical Center"/>
    <n v="2015"/>
    <n v="4"/>
    <s v="Medicaid"/>
    <x v="1"/>
    <s v="Medicaid"/>
    <n v="9499.6"/>
    <n v="2566.1999999999998"/>
    <n v="0"/>
  </r>
  <r>
    <x v="2226"/>
    <s v="Peconic Bay Medical Center"/>
    <n v="2015"/>
    <n v="4"/>
    <s v="Medicaid"/>
    <x v="1"/>
    <s v="Medicaid"/>
    <n v="31154.06"/>
    <n v="10894.78"/>
    <n v="0"/>
  </r>
  <r>
    <x v="2227"/>
    <s v="Peconic Bay Medical Center"/>
    <n v="2015"/>
    <n v="4"/>
    <s v="Medicaid"/>
    <x v="1"/>
    <s v="Medicaid"/>
    <n v="31289.52"/>
    <n v="9118.3799999999992"/>
    <n v="0"/>
  </r>
  <r>
    <x v="2228"/>
    <s v="Peconic Bay Medical Center"/>
    <n v="2015"/>
    <n v="4"/>
    <s v="Medicaid"/>
    <x v="1"/>
    <s v="Medicaid"/>
    <n v="39013.440000000002"/>
    <n v="22065.94"/>
    <n v="0"/>
  </r>
  <r>
    <x v="2229"/>
    <s v="Peconic Bay Medical Center"/>
    <n v="2015"/>
    <n v="4"/>
    <s v="Medicaid"/>
    <x v="1"/>
    <s v="Medicaid"/>
    <n v="22962.240000000002"/>
    <n v="5224.9799999999996"/>
    <n v="0"/>
  </r>
  <r>
    <x v="2230"/>
    <s v="Peconic Bay Medical Center"/>
    <n v="2015"/>
    <n v="4"/>
    <s v="Medicaid"/>
    <x v="1"/>
    <s v="Medicaid"/>
    <n v="17540.5"/>
    <n v="3028.11"/>
    <n v="0"/>
  </r>
  <r>
    <x v="2231"/>
    <s v="Peconic Bay Medical Center"/>
    <n v="2015"/>
    <n v="4"/>
    <s v="Medicaid"/>
    <x v="1"/>
    <s v="Medicaid"/>
    <n v="27369.07"/>
    <n v="13226.98"/>
    <n v="0"/>
  </r>
  <r>
    <x v="2232"/>
    <s v="Peconic Bay Medical Center"/>
    <n v="2015"/>
    <n v="4"/>
    <s v="Medicaid"/>
    <x v="1"/>
    <s v="Medicaid"/>
    <n v="71353.5"/>
    <n v="35927.919999999998"/>
    <n v="0"/>
  </r>
  <r>
    <x v="2233"/>
    <s v="Peconic Bay Medical Center"/>
    <n v="2015"/>
    <n v="4"/>
    <s v="Medicaid"/>
    <x v="1"/>
    <s v="Medicaid"/>
    <n v="108675.16"/>
    <n v="45750.84"/>
    <n v="0"/>
  </r>
  <r>
    <x v="2234"/>
    <s v="Peconic Bay Medical Center"/>
    <n v="2015"/>
    <n v="4"/>
    <s v="Medicaid"/>
    <x v="1"/>
    <s v="Medicaid"/>
    <n v="33285.620000000003"/>
    <n v="8607.93"/>
    <n v="0"/>
  </r>
  <r>
    <x v="2235"/>
    <s v="Peconic Bay Medical Center"/>
    <n v="2015"/>
    <n v="4"/>
    <s v="Medicaid"/>
    <x v="1"/>
    <s v="Medicaid"/>
    <n v="29832.2"/>
    <n v="8490.09"/>
    <n v="0"/>
  </r>
  <r>
    <x v="2236"/>
    <s v="Peconic Bay Medical Center"/>
    <n v="2015"/>
    <n v="4"/>
    <s v="Medicaid"/>
    <x v="1"/>
    <s v="Medicaid"/>
    <n v="10898.98"/>
    <n v="2788.87"/>
    <n v="0"/>
  </r>
  <r>
    <x v="2237"/>
    <s v="Peconic Bay Medical Center"/>
    <n v="2015"/>
    <n v="4"/>
    <s v="Medicaid"/>
    <x v="1"/>
    <s v="Medicaid"/>
    <n v="23014.98"/>
    <n v="8821.01"/>
    <n v="0"/>
  </r>
  <r>
    <x v="2238"/>
    <s v="Peconic Bay Medical Center"/>
    <n v="2015"/>
    <n v="4"/>
    <s v="Medicaid"/>
    <x v="1"/>
    <s v="Medicaid"/>
    <n v="29467.16"/>
    <n v="8217.9599999999991"/>
    <n v="0"/>
  </r>
  <r>
    <x v="2239"/>
    <s v="Peconic Bay Medical Center"/>
    <n v="2015"/>
    <n v="4"/>
    <s v="Medicaid"/>
    <x v="1"/>
    <s v="Medicaid"/>
    <n v="85403.18"/>
    <n v="22478.5"/>
    <n v="0"/>
  </r>
  <r>
    <x v="2240"/>
    <s v="Peconic Bay Medical Center"/>
    <n v="2015"/>
    <n v="4"/>
    <s v="Medicaid"/>
    <x v="1"/>
    <s v="Medicaid"/>
    <n v="5170.16"/>
    <n v="6281.4"/>
    <n v="1"/>
  </r>
  <r>
    <x v="2241"/>
    <s v="Peconic Bay Medical Center"/>
    <n v="2015"/>
    <n v="4"/>
    <s v="Medicaid"/>
    <x v="1"/>
    <s v="Medicaid"/>
    <n v="45945.5"/>
    <n v="12747.79"/>
    <n v="0"/>
  </r>
  <r>
    <x v="2242"/>
    <s v="Peconic Bay Medical Center"/>
    <n v="2015"/>
    <n v="4"/>
    <s v="Medicaid"/>
    <x v="1"/>
    <s v="Medicaid"/>
    <n v="4069.12"/>
    <n v="4759.08"/>
    <n v="1"/>
  </r>
  <r>
    <x v="2243"/>
    <s v="Peconic Bay Medical Center"/>
    <n v="2015"/>
    <n v="4"/>
    <s v="Medicaid"/>
    <x v="1"/>
    <s v="Medicaid"/>
    <n v="8471.7999999999993"/>
    <n v="2282.37"/>
    <n v="0"/>
  </r>
  <r>
    <x v="2244"/>
    <s v="Peconic Bay Medical Center"/>
    <n v="2015"/>
    <n v="4"/>
    <s v="Medicaid"/>
    <x v="1"/>
    <s v="Medicaid"/>
    <n v="28678.87"/>
    <n v="18343"/>
    <n v="0"/>
  </r>
  <r>
    <x v="2245"/>
    <s v="Peconic Bay Medical Center"/>
    <n v="2015"/>
    <n v="4"/>
    <s v="Medicaid"/>
    <x v="1"/>
    <s v="Medicaid"/>
    <n v="45939.46"/>
    <n v="30170.67"/>
    <n v="0"/>
  </r>
  <r>
    <x v="2246"/>
    <s v="Peconic Bay Medical Center"/>
    <n v="2015"/>
    <n v="4"/>
    <s v="Medicaid"/>
    <x v="1"/>
    <s v="Medicaid"/>
    <n v="12498.74"/>
    <n v="3438.89"/>
    <n v="0"/>
  </r>
  <r>
    <x v="2247"/>
    <s v="Peconic Bay Medical Center"/>
    <n v="2015"/>
    <n v="4"/>
    <s v="Medicaid"/>
    <x v="1"/>
    <s v="Medicaid"/>
    <n v="12553.64"/>
    <n v="3251.95"/>
    <n v="0"/>
  </r>
  <r>
    <x v="2248"/>
    <s v="Peconic Bay Medical Center"/>
    <n v="2015"/>
    <n v="4"/>
    <s v="Medicaid"/>
    <x v="1"/>
    <s v="Medicaid"/>
    <n v="5185.68"/>
    <n v="6285.13"/>
    <n v="1"/>
  </r>
  <r>
    <x v="2249"/>
    <s v="Peconic Bay Medical Center"/>
    <n v="2015"/>
    <n v="4"/>
    <s v="Medicaid"/>
    <x v="1"/>
    <s v="Medicaid"/>
    <n v="16895.919999999998"/>
    <n v="4058.3"/>
    <n v="0"/>
  </r>
  <r>
    <x v="2250"/>
    <s v="Peconic Bay Medical Center"/>
    <n v="2015"/>
    <n v="4"/>
    <s v="Medicaid"/>
    <x v="1"/>
    <s v="Medicaid"/>
    <n v="19000.099999999999"/>
    <n v="7628.83"/>
    <n v="0"/>
  </r>
  <r>
    <x v="2251"/>
    <s v="Peconic Bay Medical Center"/>
    <n v="2015"/>
    <n v="4"/>
    <s v="Medicaid"/>
    <x v="1"/>
    <s v="Medicaid"/>
    <n v="23311.74"/>
    <n v="7277.37"/>
    <n v="0"/>
  </r>
  <r>
    <x v="2252"/>
    <s v="Peconic Bay Medical Center"/>
    <n v="2015"/>
    <n v="4"/>
    <s v="Medicaid"/>
    <x v="1"/>
    <s v="Medicaid"/>
    <n v="21435.1"/>
    <n v="6591.93"/>
    <n v="0"/>
  </r>
  <r>
    <x v="2253"/>
    <s v="Peconic Bay Medical Center"/>
    <n v="2015"/>
    <n v="4"/>
    <s v="Medicaid"/>
    <x v="1"/>
    <s v="Medicaid"/>
    <n v="22476.76"/>
    <n v="9103.4500000000007"/>
    <n v="0"/>
  </r>
  <r>
    <x v="2254"/>
    <s v="Peconic Bay Medical Center"/>
    <n v="2015"/>
    <n v="4"/>
    <s v="Medicaid"/>
    <x v="1"/>
    <s v="Medicaid"/>
    <n v="17155.240000000002"/>
    <n v="4321.71"/>
    <n v="0"/>
  </r>
  <r>
    <x v="2255"/>
    <s v="Peconic Bay Medical Center"/>
    <n v="2015"/>
    <n v="4"/>
    <s v="Medicaid"/>
    <x v="1"/>
    <s v="Medicaid"/>
    <n v="46889.8"/>
    <n v="10103.48"/>
    <n v="0"/>
  </r>
  <r>
    <x v="2256"/>
    <s v="Peconic Bay Medical Center"/>
    <n v="2015"/>
    <n v="4"/>
    <s v="Medicaid"/>
    <x v="1"/>
    <s v="Medicaid"/>
    <n v="41575.72"/>
    <n v="13809.11"/>
    <n v="0"/>
  </r>
  <r>
    <x v="2257"/>
    <s v="Peconic Bay Medical Center"/>
    <n v="2015"/>
    <n v="4"/>
    <s v="Medicaid"/>
    <x v="1"/>
    <s v="Medicaid"/>
    <n v="79098.3"/>
    <n v="59730.77"/>
    <n v="0"/>
  </r>
  <r>
    <x v="2258"/>
    <s v="Peconic Bay Medical Center"/>
    <n v="2015"/>
    <n v="4"/>
    <s v="Medicaid"/>
    <x v="1"/>
    <s v="Medicaid"/>
    <n v="12357.08"/>
    <n v="2894.49"/>
    <n v="0"/>
  </r>
  <r>
    <x v="2259"/>
    <s v="Peconic Bay Medical Center"/>
    <n v="2015"/>
    <n v="4"/>
    <s v="Medicaid"/>
    <x v="1"/>
    <s v="Medicaid"/>
    <n v="4231.0200000000004"/>
    <n v="4799.18"/>
    <n v="1"/>
  </r>
  <r>
    <x v="2260"/>
    <s v="Peconic Bay Medical Center"/>
    <n v="2015"/>
    <n v="4"/>
    <s v="Medicaid"/>
    <x v="1"/>
    <s v="Medicaid"/>
    <n v="13836.18"/>
    <n v="3613.5"/>
    <n v="0"/>
  </r>
  <r>
    <x v="2261"/>
    <s v="Peconic Bay Medical Center"/>
    <n v="2015"/>
    <n v="4"/>
    <s v="Medicaid"/>
    <x v="1"/>
    <s v="Medicaid"/>
    <n v="12638.66"/>
    <n v="3751.35"/>
    <n v="0"/>
  </r>
  <r>
    <x v="2262"/>
    <s v="Peconic Bay Medical Center"/>
    <n v="2015"/>
    <n v="4"/>
    <s v="Medicaid"/>
    <x v="1"/>
    <s v="Medicaid"/>
    <n v="2960.32"/>
    <n v="3234.89"/>
    <n v="1"/>
  </r>
  <r>
    <x v="2263"/>
    <s v="Peconic Bay Medical Center"/>
    <n v="2015"/>
    <n v="4"/>
    <s v="Medicaid"/>
    <x v="1"/>
    <s v="Medicaid"/>
    <n v="56075.4"/>
    <n v="15768.23"/>
    <n v="0"/>
  </r>
  <r>
    <x v="2264"/>
    <s v="Peconic Bay Medical Center"/>
    <n v="2015"/>
    <n v="4"/>
    <s v="Medicaid"/>
    <x v="1"/>
    <s v="Medicaid"/>
    <n v="31116.560000000001"/>
    <n v="16627.87"/>
    <n v="0"/>
  </r>
  <r>
    <x v="2265"/>
    <s v="Peconic Bay Medical Center"/>
    <n v="2015"/>
    <n v="4"/>
    <s v="Medicaid"/>
    <x v="1"/>
    <s v="Medicaid"/>
    <n v="77987.179999999993"/>
    <n v="42907.5"/>
    <n v="0"/>
  </r>
  <r>
    <x v="2266"/>
    <s v="Peconic Bay Medical Center"/>
    <n v="2015"/>
    <n v="4"/>
    <s v="Medicaid"/>
    <x v="1"/>
    <s v="Medicaid"/>
    <n v="12961.16"/>
    <n v="3505.04"/>
    <n v="0"/>
  </r>
  <r>
    <x v="2267"/>
    <s v="Peconic Bay Medical Center"/>
    <n v="2015"/>
    <n v="4"/>
    <s v="Medicaid"/>
    <x v="1"/>
    <s v="Medicaid"/>
    <n v="6110.98"/>
    <n v="1796.72"/>
    <n v="0"/>
  </r>
  <r>
    <x v="2268"/>
    <s v="Peconic Bay Medical Center"/>
    <n v="2015"/>
    <n v="4"/>
    <s v="Medicaid"/>
    <x v="1"/>
    <s v="Medicaid"/>
    <n v="36385.24"/>
    <n v="8703.6200000000008"/>
    <n v="0"/>
  </r>
  <r>
    <x v="2269"/>
    <s v="Peconic Bay Medical Center"/>
    <n v="2015"/>
    <n v="4"/>
    <s v="Medicaid"/>
    <x v="1"/>
    <s v="Medicaid"/>
    <n v="18661.740000000002"/>
    <n v="4808.9399999999996"/>
    <n v="0"/>
  </r>
  <r>
    <x v="2270"/>
    <s v="Peconic Bay Medical Center"/>
    <n v="2015"/>
    <n v="4"/>
    <s v="Medicaid"/>
    <x v="1"/>
    <s v="Medicaid"/>
    <n v="23515.62"/>
    <n v="8254.26"/>
    <n v="0"/>
  </r>
  <r>
    <x v="2271"/>
    <s v="Peconic Bay Medical Center"/>
    <n v="2015"/>
    <n v="4"/>
    <s v="Medicaid"/>
    <x v="1"/>
    <s v="Medicaid"/>
    <n v="9016.5"/>
    <n v="2479.77"/>
    <n v="0"/>
  </r>
  <r>
    <x v="2272"/>
    <s v="Peconic Bay Medical Center"/>
    <n v="2015"/>
    <n v="4"/>
    <s v="Medicaid"/>
    <x v="1"/>
    <s v="Medicaid"/>
    <n v="28267.5"/>
    <n v="5214.32"/>
    <n v="0"/>
  </r>
  <r>
    <x v="2273"/>
    <s v="Peconic Bay Medical Center"/>
    <n v="2015"/>
    <n v="4"/>
    <s v="Medicaid"/>
    <x v="1"/>
    <s v="Medicaid"/>
    <n v="14467.02"/>
    <n v="4316.9799999999996"/>
    <n v="0"/>
  </r>
  <r>
    <x v="2274"/>
    <s v="Peconic Bay Medical Center"/>
    <n v="2015"/>
    <n v="4"/>
    <s v="Medicaid"/>
    <x v="1"/>
    <s v="Medicaid"/>
    <n v="20130.46"/>
    <n v="8319.3700000000008"/>
    <n v="0"/>
  </r>
  <r>
    <x v="2275"/>
    <s v="Peconic Bay Medical Center"/>
    <n v="2015"/>
    <n v="4"/>
    <s v="Medicaid"/>
    <x v="1"/>
    <s v="Medicaid"/>
    <n v="33525.269999999997"/>
    <n v="19326.41"/>
    <n v="0"/>
  </r>
  <r>
    <x v="2276"/>
    <s v="Peconic Bay Medical Center"/>
    <n v="2015"/>
    <n v="4"/>
    <s v="Medicaid"/>
    <x v="1"/>
    <s v="Medicaid"/>
    <n v="17863.02"/>
    <n v="5045.7"/>
    <n v="0"/>
  </r>
  <r>
    <x v="2277"/>
    <s v="Peconic Bay Medical Center"/>
    <n v="2015"/>
    <n v="4"/>
    <s v="Medicaid"/>
    <x v="1"/>
    <s v="Medicaid"/>
    <n v="15887.06"/>
    <n v="4685.43"/>
    <n v="0"/>
  </r>
  <r>
    <x v="2278"/>
    <s v="Peconic Bay Medical Center"/>
    <n v="2015"/>
    <n v="4"/>
    <s v="Medicaid"/>
    <x v="1"/>
    <s v="Medicaid"/>
    <n v="9688.32"/>
    <n v="2636.92"/>
    <n v="0"/>
  </r>
  <r>
    <x v="2279"/>
    <s v="Peconic Bay Medical Center"/>
    <n v="2015"/>
    <n v="4"/>
    <s v="Medicaid"/>
    <x v="1"/>
    <s v="Medicaid"/>
    <n v="31355.52"/>
    <n v="8127.35"/>
    <n v="0"/>
  </r>
  <r>
    <x v="2280"/>
    <s v="Peconic Bay Medical Center"/>
    <n v="2015"/>
    <n v="4"/>
    <s v="Medicaid"/>
    <x v="1"/>
    <s v="Medicaid"/>
    <n v="50183.33"/>
    <n v="14675.03"/>
    <n v="0"/>
  </r>
  <r>
    <x v="2281"/>
    <s v="Peconic Bay Medical Center"/>
    <n v="2015"/>
    <n v="4"/>
    <s v="Medicaid"/>
    <x v="1"/>
    <s v="Medicaid"/>
    <n v="48455.06"/>
    <n v="15682.48"/>
    <n v="0"/>
  </r>
  <r>
    <x v="2282"/>
    <s v="Peconic Bay Medical Center"/>
    <n v="2015"/>
    <n v="4"/>
    <s v="Medicaid"/>
    <x v="1"/>
    <s v="Medicaid"/>
    <n v="8984.9"/>
    <n v="2573.25"/>
    <n v="0"/>
  </r>
  <r>
    <x v="2283"/>
    <s v="Peconic Bay Medical Center"/>
    <n v="2015"/>
    <n v="4"/>
    <s v="Medicaid"/>
    <x v="1"/>
    <s v="Medicaid"/>
    <n v="26323.9"/>
    <n v="7968.41"/>
    <n v="0"/>
  </r>
  <r>
    <x v="2284"/>
    <s v="Peconic Bay Medical Center"/>
    <n v="2015"/>
    <n v="4"/>
    <s v="Medicaid"/>
    <x v="1"/>
    <s v="Medicaid"/>
    <n v="17341.740000000002"/>
    <n v="2779.72"/>
    <n v="0"/>
  </r>
  <r>
    <x v="2285"/>
    <s v="Peconic Bay Medical Center"/>
    <n v="2015"/>
    <n v="4"/>
    <s v="Medicaid"/>
    <x v="1"/>
    <s v="Medicaid"/>
    <n v="39764.120000000003"/>
    <n v="23930.04"/>
    <n v="0"/>
  </r>
  <r>
    <x v="2286"/>
    <s v="Peconic Bay Medical Center"/>
    <n v="2015"/>
    <n v="4"/>
    <s v="Medicaid"/>
    <x v="1"/>
    <s v="Medicaid"/>
    <n v="29630.080000000002"/>
    <n v="8574.32"/>
    <n v="0"/>
  </r>
  <r>
    <x v="2287"/>
    <s v="Peconic Bay Medical Center"/>
    <n v="2015"/>
    <n v="4"/>
    <s v="Medicaid"/>
    <x v="1"/>
    <s v="Medicaid"/>
    <n v="7910.38"/>
    <n v="2094.75"/>
    <n v="0"/>
  </r>
  <r>
    <x v="2288"/>
    <s v="Peconic Bay Medical Center"/>
    <n v="2015"/>
    <n v="4"/>
    <s v="Medicaid"/>
    <x v="1"/>
    <s v="Medicaid"/>
    <n v="29464.74"/>
    <n v="9227.42"/>
    <n v="0"/>
  </r>
  <r>
    <x v="2289"/>
    <s v="Peconic Bay Medical Center"/>
    <n v="2015"/>
    <n v="4"/>
    <s v="Medicaid"/>
    <x v="1"/>
    <s v="Medicaid"/>
    <n v="31280.46"/>
    <n v="8482.1299999999992"/>
    <n v="0"/>
  </r>
  <r>
    <x v="2290"/>
    <s v="Peconic Bay Medical Center"/>
    <n v="2015"/>
    <n v="4"/>
    <s v="Medicaid"/>
    <x v="1"/>
    <s v="Medicaid"/>
    <n v="8772.1"/>
    <n v="2353.7199999999998"/>
    <n v="0"/>
  </r>
  <r>
    <x v="2291"/>
    <s v="Peconic Bay Medical Center"/>
    <n v="2015"/>
    <n v="4"/>
    <s v="Medicaid"/>
    <x v="1"/>
    <s v="Medicaid"/>
    <n v="8974.5"/>
    <n v="2375.7800000000002"/>
    <n v="0"/>
  </r>
  <r>
    <x v="2292"/>
    <s v="Peconic Bay Medical Center"/>
    <n v="2015"/>
    <n v="4"/>
    <s v="Medicaid"/>
    <x v="1"/>
    <s v="Medicaid"/>
    <n v="11365.94"/>
    <n v="2967.96"/>
    <n v="0"/>
  </r>
  <r>
    <x v="2293"/>
    <s v="Peconic Bay Medical Center"/>
    <n v="2015"/>
    <n v="4"/>
    <s v="Medicaid"/>
    <x v="1"/>
    <s v="Medicaid"/>
    <n v="26295.14"/>
    <n v="7440.76"/>
    <n v="0"/>
  </r>
  <r>
    <x v="2294"/>
    <s v="Peconic Bay Medical Center"/>
    <n v="2015"/>
    <n v="4"/>
    <s v="Medicaid"/>
    <x v="1"/>
    <s v="Medicaid"/>
    <n v="89823.16"/>
    <n v="31793.599999999999"/>
    <n v="0"/>
  </r>
  <r>
    <x v="2295"/>
    <s v="Peconic Bay Medical Center"/>
    <n v="2015"/>
    <n v="4"/>
    <s v="Medicaid"/>
    <x v="1"/>
    <s v="Medicaid"/>
    <n v="26979.040000000001"/>
    <n v="9312.39"/>
    <n v="0"/>
  </r>
  <r>
    <x v="2296"/>
    <s v="Peconic Bay Medical Center"/>
    <n v="2015"/>
    <n v="4"/>
    <s v="Medicaid"/>
    <x v="1"/>
    <s v="Medicaid"/>
    <n v="170961.58"/>
    <n v="77746.210000000006"/>
    <n v="0"/>
  </r>
  <r>
    <x v="2297"/>
    <s v="Peconic Bay Medical Center"/>
    <n v="2015"/>
    <n v="4"/>
    <s v="Medicaid"/>
    <x v="1"/>
    <s v="Medicaid"/>
    <n v="4107.5200000000004"/>
    <n v="4768.59"/>
    <n v="1"/>
  </r>
  <r>
    <x v="2298"/>
    <s v="Peconic Bay Medical Center"/>
    <n v="2015"/>
    <n v="4"/>
    <s v="Medicaid"/>
    <x v="1"/>
    <s v="Medicaid"/>
    <n v="17053.240000000002"/>
    <n v="4826.96"/>
    <n v="0"/>
  </r>
  <r>
    <x v="2299"/>
    <s v="Peconic Bay Medical Center"/>
    <n v="2015"/>
    <n v="4"/>
    <s v="Medicaid"/>
    <x v="1"/>
    <s v="Medicaid"/>
    <n v="14689.86"/>
    <n v="3693.79"/>
    <n v="0"/>
  </r>
  <r>
    <x v="2300"/>
    <s v="Peconic Bay Medical Center"/>
    <n v="2015"/>
    <n v="4"/>
    <s v="Medicaid"/>
    <x v="1"/>
    <s v="Medicaid"/>
    <n v="18744.32"/>
    <n v="5763.42"/>
    <n v="0"/>
  </r>
  <r>
    <x v="2301"/>
    <s v="Peconic Bay Medical Center"/>
    <n v="2015"/>
    <n v="4"/>
    <s v="Medicaid"/>
    <x v="1"/>
    <s v="Medicaid"/>
    <n v="17211.759999999998"/>
    <n v="5457.75"/>
    <n v="0"/>
  </r>
  <r>
    <x v="2302"/>
    <s v="Peconic Bay Medical Center"/>
    <n v="2015"/>
    <n v="4"/>
    <s v="Medicaid"/>
    <x v="1"/>
    <s v="Medicaid"/>
    <n v="34680.120000000003"/>
    <n v="17384.650000000001"/>
    <n v="0"/>
  </r>
  <r>
    <x v="2303"/>
    <s v="Peconic Bay Medical Center"/>
    <n v="2015"/>
    <n v="4"/>
    <s v="Medicaid"/>
    <x v="1"/>
    <s v="Medicaid"/>
    <n v="5177.92"/>
    <n v="6283.27"/>
    <n v="1"/>
  </r>
  <r>
    <x v="2304"/>
    <s v="Peconic Bay Medical Center"/>
    <n v="2015"/>
    <n v="4"/>
    <s v="Medicaid"/>
    <x v="1"/>
    <s v="Medicaid"/>
    <n v="9438.34"/>
    <n v="2675.11"/>
    <n v="0"/>
  </r>
  <r>
    <x v="2305"/>
    <s v="Peconic Bay Medical Center"/>
    <n v="2015"/>
    <n v="4"/>
    <s v="Medicaid"/>
    <x v="1"/>
    <s v="Medicaid"/>
    <n v="92049.78"/>
    <n v="27299.07"/>
    <n v="0"/>
  </r>
  <r>
    <x v="2306"/>
    <s v="Peconic Bay Medical Center"/>
    <n v="2015"/>
    <n v="4"/>
    <s v="Medicaid"/>
    <x v="1"/>
    <s v="Medicaid"/>
    <n v="5177.92"/>
    <n v="6283.27"/>
    <n v="1"/>
  </r>
  <r>
    <x v="2307"/>
    <s v="Peconic Bay Medical Center"/>
    <n v="2015"/>
    <n v="4"/>
    <s v="Medicaid"/>
    <x v="1"/>
    <s v="Medicaid"/>
    <n v="48380.02"/>
    <n v="13516.2"/>
    <n v="0"/>
  </r>
  <r>
    <x v="2308"/>
    <s v="Peconic Bay Medical Center"/>
    <n v="2015"/>
    <n v="4"/>
    <s v="Medicaid"/>
    <x v="1"/>
    <s v="Medicaid"/>
    <n v="30765.02"/>
    <n v="6184.61"/>
    <n v="0"/>
  </r>
  <r>
    <x v="2309"/>
    <s v="Peconic Bay Medical Center"/>
    <n v="2015"/>
    <n v="4"/>
    <s v="Medicaid"/>
    <x v="1"/>
    <s v="Medicaid"/>
    <n v="9005.3799999999992"/>
    <n v="2595.64"/>
    <n v="0"/>
  </r>
  <r>
    <x v="2310"/>
    <s v="Peconic Bay Medical Center"/>
    <n v="2015"/>
    <n v="4"/>
    <s v="Medicaid"/>
    <x v="1"/>
    <s v="Medicaid"/>
    <n v="26333.52"/>
    <n v="6918.71"/>
    <n v="0"/>
  </r>
  <r>
    <x v="2311"/>
    <s v="Peconic Bay Medical Center"/>
    <n v="2015"/>
    <n v="4"/>
    <s v="Medicaid"/>
    <x v="1"/>
    <s v="Medicaid"/>
    <n v="14297.62"/>
    <n v="4070.22"/>
    <n v="0"/>
  </r>
  <r>
    <x v="2312"/>
    <s v="Peconic Bay Medical Center"/>
    <n v="2015"/>
    <n v="4"/>
    <s v="Medicaid"/>
    <x v="1"/>
    <s v="Medicaid"/>
    <n v="61352.9"/>
    <n v="17475.73"/>
    <n v="0"/>
  </r>
  <r>
    <x v="2313"/>
    <s v="Peconic Bay Medical Center"/>
    <n v="2015"/>
    <n v="4"/>
    <s v="Medicaid"/>
    <x v="1"/>
    <s v="Medicaid"/>
    <n v="5216.22"/>
    <n v="5044.09"/>
    <n v="0"/>
  </r>
  <r>
    <x v="2314"/>
    <s v="Peconic Bay Medical Center"/>
    <n v="2015"/>
    <n v="4"/>
    <s v="Medicaid"/>
    <x v="1"/>
    <s v="Medicaid"/>
    <n v="14544.42"/>
    <n v="4208.26"/>
    <n v="0"/>
  </r>
  <r>
    <x v="2315"/>
    <s v="Peconic Bay Medical Center"/>
    <n v="2015"/>
    <n v="4"/>
    <s v="Medicaid"/>
    <x v="1"/>
    <s v="Medicaid"/>
    <n v="22347.84"/>
    <n v="6649.47"/>
    <n v="0"/>
  </r>
  <r>
    <x v="2316"/>
    <s v="Peconic Bay Medical Center"/>
    <n v="2015"/>
    <n v="4"/>
    <s v="Medicaid"/>
    <x v="1"/>
    <s v="Medicaid"/>
    <n v="23384.26"/>
    <n v="4306.46"/>
    <n v="0"/>
  </r>
  <r>
    <x v="2317"/>
    <s v="Peconic Bay Medical Center"/>
    <n v="2015"/>
    <n v="4"/>
    <s v="Medicaid"/>
    <x v="1"/>
    <s v="Medicaid"/>
    <n v="53161.4"/>
    <n v="21011.41"/>
    <n v="0"/>
  </r>
  <r>
    <x v="2318"/>
    <s v="Peconic Bay Medical Center"/>
    <n v="2015"/>
    <n v="4"/>
    <s v="Medicaid"/>
    <x v="1"/>
    <s v="Medicaid"/>
    <n v="27376.38"/>
    <n v="8142.28"/>
    <n v="0"/>
  </r>
  <r>
    <x v="2319"/>
    <s v="Peconic Bay Medical Center"/>
    <n v="2015"/>
    <n v="4"/>
    <s v="Medicaid"/>
    <x v="1"/>
    <s v="Medicaid"/>
    <n v="33091.22"/>
    <n v="9806.31"/>
    <n v="0"/>
  </r>
  <r>
    <x v="2320"/>
    <s v="Peconic Bay Medical Center"/>
    <n v="2015"/>
    <n v="4"/>
    <s v="Medicaid"/>
    <x v="1"/>
    <s v="Medicaid"/>
    <n v="20745.22"/>
    <n v="6121.04"/>
    <n v="0"/>
  </r>
  <r>
    <x v="2321"/>
    <s v="Peconic Bay Medical Center"/>
    <n v="2015"/>
    <n v="4"/>
    <s v="Medicaid"/>
    <x v="1"/>
    <s v="Medicaid"/>
    <n v="4220.38"/>
    <n v="4796.49"/>
    <n v="1"/>
  </r>
  <r>
    <x v="2322"/>
    <s v="Peconic Bay Medical Center"/>
    <n v="2015"/>
    <n v="4"/>
    <s v="Medicaid"/>
    <x v="1"/>
    <s v="Medicaid"/>
    <n v="27150.14"/>
    <n v="9553.59"/>
    <n v="0"/>
  </r>
  <r>
    <x v="2323"/>
    <s v="Peconic Bay Medical Center"/>
    <n v="2015"/>
    <n v="4"/>
    <s v="Medicaid"/>
    <x v="1"/>
    <s v="Medicaid"/>
    <n v="44356.6"/>
    <n v="18290.53"/>
    <n v="0"/>
  </r>
  <r>
    <x v="2324"/>
    <s v="Peconic Bay Medical Center"/>
    <n v="2015"/>
    <n v="4"/>
    <s v="Medicaid"/>
    <x v="1"/>
    <s v="Medicaid"/>
    <n v="11725.52"/>
    <n v="2635.44"/>
    <n v="0"/>
  </r>
  <r>
    <x v="2325"/>
    <s v="Peconic Bay Medical Center"/>
    <n v="2015"/>
    <n v="4"/>
    <s v="Medicaid"/>
    <x v="1"/>
    <s v="Medicaid"/>
    <n v="5753.42"/>
    <n v="6425.82"/>
    <n v="1"/>
  </r>
  <r>
    <x v="2326"/>
    <s v="Peconic Bay Medical Center"/>
    <n v="2015"/>
    <n v="4"/>
    <s v="Medicaid"/>
    <x v="1"/>
    <s v="Medicaid"/>
    <n v="8607.7000000000007"/>
    <n v="2471.37"/>
    <n v="0"/>
  </r>
  <r>
    <x v="2327"/>
    <s v="Peconic Bay Medical Center"/>
    <n v="2015"/>
    <n v="4"/>
    <s v="Medicaid"/>
    <x v="1"/>
    <s v="Medicaid"/>
    <n v="22335.1"/>
    <n v="6202.64"/>
    <n v="0"/>
  </r>
  <r>
    <x v="2328"/>
    <s v="Peconic Bay Medical Center"/>
    <n v="2015"/>
    <n v="4"/>
    <s v="Medicaid"/>
    <x v="1"/>
    <s v="Medicaid"/>
    <n v="5845.42"/>
    <n v="6448.61"/>
    <n v="1"/>
  </r>
  <r>
    <x v="2329"/>
    <s v="Peconic Bay Medical Center"/>
    <n v="2015"/>
    <n v="4"/>
    <s v="Medicaid"/>
    <x v="1"/>
    <s v="Medicaid"/>
    <n v="14511.6"/>
    <n v="3765.69"/>
    <n v="0"/>
  </r>
  <r>
    <x v="2330"/>
    <s v="Peconic Bay Medical Center"/>
    <n v="2015"/>
    <n v="4"/>
    <s v="Medicaid"/>
    <x v="1"/>
    <s v="Medicaid"/>
    <n v="3627.82"/>
    <n v="3400.23"/>
    <n v="0"/>
  </r>
  <r>
    <x v="2331"/>
    <s v="Peconic Bay Medical Center"/>
    <n v="2015"/>
    <n v="4"/>
    <s v="Medicaid"/>
    <x v="1"/>
    <s v="Medicaid"/>
    <n v="9791.42"/>
    <n v="2676.27"/>
    <n v="0"/>
  </r>
  <r>
    <x v="2332"/>
    <s v="Peconic Bay Medical Center"/>
    <n v="2015"/>
    <n v="4"/>
    <s v="Medicaid"/>
    <x v="1"/>
    <s v="Medicaid"/>
    <n v="28141.03"/>
    <n v="14040.72"/>
    <n v="0"/>
  </r>
  <r>
    <x v="2333"/>
    <s v="Peconic Bay Medical Center"/>
    <n v="2015"/>
    <n v="4"/>
    <s v="Medicaid"/>
    <x v="1"/>
    <s v="Medicaid"/>
    <n v="15727.74"/>
    <n v="4698.67"/>
    <n v="0"/>
  </r>
  <r>
    <x v="2334"/>
    <s v="Peconic Bay Medical Center"/>
    <n v="2015"/>
    <n v="4"/>
    <s v="Medicaid"/>
    <x v="1"/>
    <s v="Medicaid"/>
    <n v="39431.620000000003"/>
    <n v="11118.12"/>
    <n v="0"/>
  </r>
  <r>
    <x v="2335"/>
    <s v="Peconic Bay Medical Center"/>
    <n v="2015"/>
    <n v="4"/>
    <s v="Medicaid"/>
    <x v="1"/>
    <s v="Medicaid"/>
    <n v="27559.279999999999"/>
    <n v="6670.18"/>
    <n v="0"/>
  </r>
  <r>
    <x v="2336"/>
    <s v="Peconic Bay Medical Center"/>
    <n v="2015"/>
    <n v="4"/>
    <s v="Medicaid"/>
    <x v="1"/>
    <s v="Medicaid"/>
    <n v="36263.82"/>
    <n v="9190.34"/>
    <n v="0"/>
  </r>
  <r>
    <x v="2337"/>
    <s v="Peconic Bay Medical Center"/>
    <n v="2015"/>
    <n v="4"/>
    <s v="Medicaid"/>
    <x v="1"/>
    <s v="Medicaid"/>
    <n v="14817.82"/>
    <n v="4306.6899999999996"/>
    <n v="0"/>
  </r>
  <r>
    <x v="2338"/>
    <s v="Peconic Bay Medical Center"/>
    <n v="2015"/>
    <n v="4"/>
    <s v="Medicaid"/>
    <x v="1"/>
    <s v="Medicaid"/>
    <n v="22281.74"/>
    <n v="5331.18"/>
    <n v="0"/>
  </r>
  <r>
    <x v="2339"/>
    <s v="Peconic Bay Medical Center"/>
    <n v="2015"/>
    <n v="4"/>
    <s v="Medicaid"/>
    <x v="1"/>
    <s v="Medicaid"/>
    <n v="12166.72"/>
    <n v="2667.74"/>
    <n v="0"/>
  </r>
  <r>
    <x v="2340"/>
    <s v="Peconic Bay Medical Center"/>
    <n v="2015"/>
    <n v="4"/>
    <s v="Medicaid"/>
    <x v="1"/>
    <s v="Medicaid"/>
    <n v="43353.82"/>
    <n v="13299.02"/>
    <n v="0"/>
  </r>
  <r>
    <x v="2341"/>
    <s v="Peconic Bay Medical Center"/>
    <n v="2015"/>
    <n v="4"/>
    <s v="Medicaid"/>
    <x v="1"/>
    <s v="Medicaid"/>
    <n v="25438.47"/>
    <n v="14109.67"/>
    <n v="0"/>
  </r>
  <r>
    <x v="2342"/>
    <s v="Peconic Bay Medical Center"/>
    <n v="2015"/>
    <n v="4"/>
    <s v="Medicaid"/>
    <x v="1"/>
    <s v="Medicaid"/>
    <n v="22609.360000000001"/>
    <n v="6898.4"/>
    <n v="0"/>
  </r>
  <r>
    <x v="2343"/>
    <s v="Peconic Bay Medical Center"/>
    <n v="2015"/>
    <n v="4"/>
    <s v="Medicaid"/>
    <x v="1"/>
    <s v="Medicaid"/>
    <n v="63807.66"/>
    <n v="23195.42"/>
    <n v="0"/>
  </r>
  <r>
    <x v="2344"/>
    <s v="Peconic Bay Medical Center"/>
    <n v="2015"/>
    <n v="4"/>
    <s v="Medicaid"/>
    <x v="1"/>
    <s v="Medicaid"/>
    <n v="46095.66"/>
    <n v="12335.79"/>
    <n v="0"/>
  </r>
  <r>
    <x v="2345"/>
    <s v="Peconic Bay Medical Center"/>
    <n v="2015"/>
    <n v="4"/>
    <s v="Medicaid"/>
    <x v="1"/>
    <s v="Medicaid"/>
    <n v="29005.200000000001"/>
    <n v="8248.4599999999991"/>
    <n v="0"/>
  </r>
  <r>
    <x v="2346"/>
    <s v="Peconic Bay Medical Center"/>
    <n v="2015"/>
    <n v="4"/>
    <s v="Medicaid"/>
    <x v="1"/>
    <s v="Medicaid"/>
    <n v="28660.68"/>
    <n v="7622.66"/>
    <n v="0"/>
  </r>
  <r>
    <x v="2347"/>
    <s v="Peconic Bay Medical Center"/>
    <n v="2015"/>
    <n v="4"/>
    <s v="Medicaid"/>
    <x v="1"/>
    <s v="Medicaid"/>
    <n v="38571.26"/>
    <n v="14692.97"/>
    <n v="0"/>
  </r>
  <r>
    <x v="2348"/>
    <s v="Peconic Bay Medical Center"/>
    <n v="2015"/>
    <n v="4"/>
    <s v="Medicaid"/>
    <x v="1"/>
    <s v="Medicaid"/>
    <n v="45469.72"/>
    <n v="9987.65"/>
    <n v="0"/>
  </r>
  <r>
    <x v="2349"/>
    <s v="Peconic Bay Medical Center"/>
    <n v="2015"/>
    <n v="4"/>
    <s v="Medicaid"/>
    <x v="1"/>
    <s v="Medicaid"/>
    <n v="12960.8"/>
    <n v="2778.9"/>
    <n v="0"/>
  </r>
  <r>
    <x v="2350"/>
    <s v="Peconic Bay Medical Center"/>
    <n v="2015"/>
    <n v="4"/>
    <s v="Medicaid"/>
    <x v="1"/>
    <s v="Medicaid"/>
    <n v="22657.14"/>
    <n v="6859.1"/>
    <n v="0"/>
  </r>
  <r>
    <x v="2351"/>
    <s v="Peconic Bay Medical Center"/>
    <n v="2015"/>
    <n v="4"/>
    <s v="Medicaid"/>
    <x v="1"/>
    <s v="Medicaid"/>
    <n v="18605.22"/>
    <n v="3598.64"/>
    <n v="0"/>
  </r>
  <r>
    <x v="2352"/>
    <s v="Peconic Bay Medical Center"/>
    <n v="2015"/>
    <n v="4"/>
    <s v="Medicaid"/>
    <x v="1"/>
    <s v="Medicaid"/>
    <n v="24671.5"/>
    <n v="7786.11"/>
    <n v="0"/>
  </r>
  <r>
    <x v="2353"/>
    <s v="Peconic Bay Medical Center"/>
    <n v="2015"/>
    <n v="4"/>
    <s v="Medicaid"/>
    <x v="1"/>
    <s v="Medicaid"/>
    <n v="43538.720000000001"/>
    <n v="12776.08"/>
    <n v="0"/>
  </r>
  <r>
    <x v="2354"/>
    <s v="Peconic Bay Medical Center"/>
    <n v="2015"/>
    <n v="4"/>
    <s v="Medicaid"/>
    <x v="1"/>
    <s v="Medicaid"/>
    <n v="20373.22"/>
    <n v="5065.51"/>
    <n v="0"/>
  </r>
  <r>
    <x v="2355"/>
    <s v="Peconic Bay Medical Center"/>
    <n v="2015"/>
    <n v="4"/>
    <s v="Medicaid"/>
    <x v="1"/>
    <s v="Medicaid"/>
    <n v="20433.7"/>
    <n v="3676.6"/>
    <n v="0"/>
  </r>
  <r>
    <x v="2356"/>
    <s v="Peconic Bay Medical Center"/>
    <n v="2015"/>
    <n v="4"/>
    <s v="Medicaid"/>
    <x v="1"/>
    <s v="Medicaid"/>
    <n v="12891.52"/>
    <n v="3738.6"/>
    <n v="0"/>
  </r>
  <r>
    <x v="2357"/>
    <s v="Peconic Bay Medical Center"/>
    <n v="2015"/>
    <n v="4"/>
    <s v="Medicaid"/>
    <x v="1"/>
    <s v="Medicaid"/>
    <n v="19239.36"/>
    <n v="4061.35"/>
    <n v="0"/>
  </r>
  <r>
    <x v="2358"/>
    <s v="Peconic Bay Medical Center"/>
    <n v="2015"/>
    <n v="4"/>
    <s v="Medicaid"/>
    <x v="1"/>
    <s v="Medicaid"/>
    <n v="41554.22"/>
    <n v="12362.67"/>
    <n v="0"/>
  </r>
  <r>
    <x v="2359"/>
    <s v="Peconic Bay Medical Center"/>
    <n v="2015"/>
    <n v="4"/>
    <s v="Medicaid"/>
    <x v="1"/>
    <s v="Medicaid"/>
    <n v="27027.46"/>
    <n v="8306.2900000000009"/>
    <n v="0"/>
  </r>
  <r>
    <x v="2360"/>
    <s v="Peconic Bay Medical Center"/>
    <n v="2015"/>
    <n v="4"/>
    <s v="Medicaid"/>
    <x v="1"/>
    <s v="Medicaid"/>
    <n v="93688.46"/>
    <n v="38003.620000000003"/>
    <n v="0"/>
  </r>
  <r>
    <x v="2361"/>
    <s v="Peconic Bay Medical Center"/>
    <n v="2015"/>
    <n v="4"/>
    <s v="Medicaid"/>
    <x v="1"/>
    <s v="Medicaid"/>
    <n v="16380.42"/>
    <n v="4241.92"/>
    <n v="0"/>
  </r>
  <r>
    <x v="2362"/>
    <s v="Peconic Bay Medical Center"/>
    <n v="2015"/>
    <n v="4"/>
    <s v="Medicaid"/>
    <x v="1"/>
    <s v="Medicaid"/>
    <n v="21581.08"/>
    <n v="12371.7"/>
    <n v="0"/>
  </r>
  <r>
    <x v="2363"/>
    <s v="Peconic Bay Medical Center"/>
    <n v="2015"/>
    <n v="4"/>
    <s v="Medicaid"/>
    <x v="1"/>
    <s v="Medicaid"/>
    <n v="31627.05"/>
    <n v="8615.56"/>
    <n v="0"/>
  </r>
  <r>
    <x v="2364"/>
    <s v="Peconic Bay Medical Center"/>
    <n v="2015"/>
    <n v="4"/>
    <s v="Medicaid"/>
    <x v="1"/>
    <s v="Medicaid"/>
    <n v="15560.74"/>
    <n v="4592.57"/>
    <n v="0"/>
  </r>
  <r>
    <x v="2365"/>
    <s v="Peconic Bay Medical Center"/>
    <n v="2015"/>
    <n v="4"/>
    <s v="Medicaid"/>
    <x v="1"/>
    <s v="Medicaid"/>
    <n v="58914.16"/>
    <n v="21182.02"/>
    <n v="0"/>
  </r>
  <r>
    <x v="2366"/>
    <s v="Peconic Bay Medical Center"/>
    <n v="2015"/>
    <n v="4"/>
    <s v="Medicaid"/>
    <x v="1"/>
    <s v="Medicaid"/>
    <n v="28423.26"/>
    <n v="7140.54"/>
    <n v="0"/>
  </r>
  <r>
    <x v="2367"/>
    <s v="Peconic Bay Medical Center"/>
    <n v="2015"/>
    <n v="4"/>
    <s v="Medicaid"/>
    <x v="1"/>
    <s v="Medicaid"/>
    <n v="34678.199999999997"/>
    <n v="16710.330000000002"/>
    <n v="0"/>
  </r>
  <r>
    <x v="2368"/>
    <s v="Peconic Bay Medical Center"/>
    <n v="2015"/>
    <n v="4"/>
    <s v="Medicaid"/>
    <x v="1"/>
    <s v="Medicaid"/>
    <n v="52890.86"/>
    <n v="17443.96"/>
    <n v="0"/>
  </r>
  <r>
    <x v="2369"/>
    <s v="Peconic Bay Medical Center"/>
    <n v="2015"/>
    <n v="4"/>
    <s v="Medicaid"/>
    <x v="1"/>
    <s v="Medicaid"/>
    <n v="29982"/>
    <n v="9406.48"/>
    <n v="0"/>
  </r>
  <r>
    <x v="2370"/>
    <s v="Peconic Bay Medical Center"/>
    <n v="2015"/>
    <n v="4"/>
    <s v="Medicaid"/>
    <x v="1"/>
    <s v="Medicaid"/>
    <n v="63484.04"/>
    <n v="19106.45"/>
    <n v="0"/>
  </r>
  <r>
    <x v="2371"/>
    <s v="Peconic Bay Medical Center"/>
    <n v="2015"/>
    <n v="4"/>
    <s v="Medicaid"/>
    <x v="1"/>
    <s v="Medicaid"/>
    <n v="109776.13"/>
    <n v="78871.649999999994"/>
    <n v="0"/>
  </r>
  <r>
    <x v="2372"/>
    <s v="Peconic Bay Medical Center"/>
    <n v="2015"/>
    <n v="4"/>
    <s v="Medicaid"/>
    <x v="1"/>
    <s v="Medicaid"/>
    <n v="28479.34"/>
    <n v="8438.44"/>
    <n v="0"/>
  </r>
  <r>
    <x v="2373"/>
    <s v="Peconic Bay Medical Center"/>
    <n v="2015"/>
    <n v="4"/>
    <s v="Medicaid"/>
    <x v="1"/>
    <s v="Medicaid"/>
    <n v="26734.14"/>
    <n v="10636.78"/>
    <n v="0"/>
  </r>
  <r>
    <x v="2374"/>
    <s v="Peconic Bay Medical Center"/>
    <n v="2015"/>
    <n v="4"/>
    <s v="Medicaid"/>
    <x v="1"/>
    <s v="Medicaid"/>
    <n v="178264.44"/>
    <n v="70383.08"/>
    <n v="0"/>
  </r>
  <r>
    <x v="2375"/>
    <s v="Peconic Bay Medical Center"/>
    <n v="2015"/>
    <n v="4"/>
    <s v="Medicaid"/>
    <x v="1"/>
    <s v="Medicaid"/>
    <n v="24338.7"/>
    <n v="9503.07"/>
    <n v="0"/>
  </r>
  <r>
    <x v="2376"/>
    <s v="Peconic Bay Medical Center"/>
    <n v="2015"/>
    <n v="4"/>
    <s v="Medicaid"/>
    <x v="1"/>
    <s v="Medicaid"/>
    <n v="17244.32"/>
    <n v="4961.63"/>
    <n v="0"/>
  </r>
  <r>
    <x v="2377"/>
    <s v="Peconic Bay Medical Center"/>
    <n v="2015"/>
    <n v="4"/>
    <s v="Medicaid"/>
    <x v="1"/>
    <s v="Medicaid"/>
    <n v="43034.52"/>
    <n v="28721.77"/>
    <n v="0"/>
  </r>
  <r>
    <x v="2378"/>
    <s v="Peconic Bay Medical Center"/>
    <n v="2015"/>
    <n v="4"/>
    <s v="Medicaid"/>
    <x v="1"/>
    <s v="Medicaid"/>
    <n v="29025.42"/>
    <n v="10399.85"/>
    <n v="0"/>
  </r>
  <r>
    <x v="2379"/>
    <s v="Peconic Bay Medical Center"/>
    <n v="2015"/>
    <n v="4"/>
    <s v="Medicaid"/>
    <x v="1"/>
    <s v="Medicaid"/>
    <n v="24037.42"/>
    <n v="6603.52"/>
    <n v="0"/>
  </r>
  <r>
    <x v="2380"/>
    <s v="Peconic Bay Medical Center"/>
    <n v="2015"/>
    <n v="4"/>
    <s v="Medicaid"/>
    <x v="1"/>
    <s v="Medicaid"/>
    <n v="20130.78"/>
    <n v="4017.79"/>
    <n v="0"/>
  </r>
  <r>
    <x v="2381"/>
    <s v="Peconic Bay Medical Center"/>
    <n v="2015"/>
    <n v="4"/>
    <s v="Medicaid"/>
    <x v="1"/>
    <s v="Medicaid"/>
    <n v="54629.58"/>
    <n v="16401.03"/>
    <n v="0"/>
  </r>
  <r>
    <x v="2382"/>
    <s v="Peconic Bay Medical Center"/>
    <n v="2015"/>
    <n v="4"/>
    <s v="Medicaid"/>
    <x v="1"/>
    <s v="Medicaid"/>
    <n v="22791.9"/>
    <n v="10138.92"/>
    <n v="0"/>
  </r>
  <r>
    <x v="2383"/>
    <s v="Peconic Bay Medical Center"/>
    <n v="2015"/>
    <n v="4"/>
    <s v="Medicaid"/>
    <x v="1"/>
    <s v="Medicaid"/>
    <n v="34338.46"/>
    <n v="8695.92"/>
    <n v="0"/>
  </r>
  <r>
    <x v="2384"/>
    <s v="Peconic Bay Medical Center"/>
    <n v="2015"/>
    <n v="4"/>
    <s v="Medicaid"/>
    <x v="1"/>
    <s v="Medicaid"/>
    <n v="162718.06"/>
    <n v="81650.12"/>
    <n v="0"/>
  </r>
  <r>
    <x v="2385"/>
    <s v="Peconic Bay Medical Center"/>
    <n v="2015"/>
    <n v="4"/>
    <s v="Medicaid"/>
    <x v="1"/>
    <s v="Medicaid"/>
    <n v="25294.46"/>
    <n v="7214.51"/>
    <n v="0"/>
  </r>
  <r>
    <x v="2386"/>
    <s v="Peconic Bay Medical Center"/>
    <n v="2015"/>
    <n v="4"/>
    <s v="Medicaid"/>
    <x v="1"/>
    <s v="Medicaid"/>
    <n v="26379.439999999999"/>
    <n v="7772.02"/>
    <n v="0"/>
  </r>
  <r>
    <x v="2387"/>
    <s v="Peconic Bay Medical Center"/>
    <n v="2015"/>
    <n v="4"/>
    <s v="Medicaid"/>
    <x v="1"/>
    <s v="Medicaid"/>
    <n v="27166.84"/>
    <n v="13617.61"/>
    <n v="0"/>
  </r>
  <r>
    <x v="2388"/>
    <s v="Peconic Bay Medical Center"/>
    <n v="2015"/>
    <n v="4"/>
    <s v="Medicaid"/>
    <x v="1"/>
    <s v="Medicaid"/>
    <n v="155054.64000000001"/>
    <n v="76657.06"/>
    <n v="0"/>
  </r>
  <r>
    <x v="2389"/>
    <s v="Peconic Bay Medical Center"/>
    <n v="2015"/>
    <n v="4"/>
    <s v="Medicaid"/>
    <x v="1"/>
    <s v="Medicaid"/>
    <n v="9072.1200000000008"/>
    <n v="2656.37"/>
    <n v="0"/>
  </r>
  <r>
    <x v="2390"/>
    <s v="Peconic Bay Medical Center"/>
    <n v="2015"/>
    <n v="4"/>
    <s v="Medicaid"/>
    <x v="1"/>
    <s v="Medicaid"/>
    <n v="36963.980000000003"/>
    <n v="9900.8799999999992"/>
    <n v="0"/>
  </r>
  <r>
    <x v="2391"/>
    <s v="Peconic Bay Medical Center"/>
    <n v="2015"/>
    <n v="4"/>
    <s v="Medicaid"/>
    <x v="1"/>
    <s v="Medicaid"/>
    <n v="79039.520000000004"/>
    <n v="37590.519999999997"/>
    <n v="0"/>
  </r>
  <r>
    <x v="2392"/>
    <s v="Peconic Bay Medical Center"/>
    <n v="2015"/>
    <n v="4"/>
    <s v="Medicaid"/>
    <x v="1"/>
    <s v="Medicaid"/>
    <n v="57862.98"/>
    <n v="26952.52"/>
    <n v="0"/>
  </r>
  <r>
    <x v="2393"/>
    <s v="Peconic Bay Medical Center"/>
    <n v="2015"/>
    <n v="4"/>
    <s v="Medicaid"/>
    <x v="1"/>
    <s v="Medicaid"/>
    <n v="24414.62"/>
    <n v="6733.94"/>
    <n v="0"/>
  </r>
  <r>
    <x v="2394"/>
    <s v="Peconic Bay Medical Center"/>
    <n v="2015"/>
    <n v="4"/>
    <s v="Medicaid"/>
    <x v="1"/>
    <s v="Medicaid"/>
    <n v="32846.54"/>
    <n v="8647.0400000000009"/>
    <n v="0"/>
  </r>
  <r>
    <x v="2395"/>
    <s v="Peconic Bay Medical Center"/>
    <n v="2015"/>
    <n v="4"/>
    <s v="Medicaid"/>
    <x v="1"/>
    <s v="Medicaid"/>
    <n v="43618.18"/>
    <n v="14898.13"/>
    <n v="0"/>
  </r>
  <r>
    <x v="2396"/>
    <s v="Peconic Bay Medical Center"/>
    <n v="2015"/>
    <n v="4"/>
    <s v="Medicaid"/>
    <x v="1"/>
    <s v="Medicaid"/>
    <n v="23983.439999999999"/>
    <n v="7526.71"/>
    <n v="0"/>
  </r>
  <r>
    <x v="2397"/>
    <s v="Peconic Bay Medical Center"/>
    <n v="2015"/>
    <n v="4"/>
    <s v="Medicaid"/>
    <x v="1"/>
    <s v="Medicaid"/>
    <n v="29294.720000000001"/>
    <n v="8801.11"/>
    <n v="0"/>
  </r>
  <r>
    <x v="2398"/>
    <s v="Peconic Bay Medical Center"/>
    <n v="2015"/>
    <n v="4"/>
    <s v="Medicaid"/>
    <x v="1"/>
    <s v="Medicaid"/>
    <n v="9203.06"/>
    <n v="2488.58"/>
    <n v="0"/>
  </r>
  <r>
    <x v="2399"/>
    <s v="Peconic Bay Medical Center"/>
    <n v="2015"/>
    <n v="4"/>
    <s v="Medicaid"/>
    <x v="1"/>
    <s v="Medicaid"/>
    <n v="29231.34"/>
    <n v="9130.77"/>
    <n v="0"/>
  </r>
  <r>
    <x v="2400"/>
    <s v="Peconic Bay Medical Center"/>
    <n v="2015"/>
    <n v="4"/>
    <s v="Medicaid"/>
    <x v="1"/>
    <s v="Medicaid"/>
    <n v="7156.12"/>
    <n v="2089.56"/>
    <n v="0"/>
  </r>
  <r>
    <x v="2401"/>
    <s v="Peconic Bay Medical Center"/>
    <n v="2015"/>
    <n v="4"/>
    <s v="Medicaid"/>
    <x v="1"/>
    <s v="Medicaid"/>
    <n v="13582.06"/>
    <n v="2772.14"/>
    <n v="0"/>
  </r>
  <r>
    <x v="2402"/>
    <s v="Peconic Bay Medical Center"/>
    <n v="2015"/>
    <n v="4"/>
    <s v="Medicaid"/>
    <x v="1"/>
    <s v="Medicaid"/>
    <n v="36209.18"/>
    <n v="10895.72"/>
    <n v="0"/>
  </r>
  <r>
    <x v="2403"/>
    <s v="Peconic Bay Medical Center"/>
    <n v="2015"/>
    <n v="4"/>
    <s v="Medicaid"/>
    <x v="1"/>
    <s v="Medicaid"/>
    <n v="27481.8"/>
    <n v="8261.1200000000008"/>
    <n v="0"/>
  </r>
  <r>
    <x v="2404"/>
    <s v="Peconic Bay Medical Center"/>
    <n v="2015"/>
    <n v="4"/>
    <s v="Medicaid"/>
    <x v="1"/>
    <s v="Medicaid"/>
    <n v="23204.68"/>
    <n v="8020.51"/>
    <n v="0"/>
  </r>
  <r>
    <x v="2405"/>
    <s v="Peconic Bay Medical Center"/>
    <n v="2015"/>
    <n v="4"/>
    <s v="Medicaid"/>
    <x v="1"/>
    <s v="Medicaid"/>
    <n v="12874.3"/>
    <n v="4231.57"/>
    <n v="0"/>
  </r>
  <r>
    <x v="2406"/>
    <s v="Peconic Bay Medical Center"/>
    <n v="2015"/>
    <n v="4"/>
    <s v="Medicaid"/>
    <x v="1"/>
    <s v="Medicaid"/>
    <n v="35147.919999999998"/>
    <n v="10148.83"/>
    <n v="0"/>
  </r>
  <r>
    <x v="2407"/>
    <s v="Peconic Bay Medical Center"/>
    <n v="2015"/>
    <n v="4"/>
    <s v="Medicaid"/>
    <x v="1"/>
    <s v="Medicaid"/>
    <n v="11402.76"/>
    <n v="2457.1999999999998"/>
    <n v="0"/>
  </r>
  <r>
    <x v="2408"/>
    <s v="Peconic Bay Medical Center"/>
    <n v="2015"/>
    <n v="4"/>
    <s v="Medicaid"/>
    <x v="1"/>
    <s v="Medicaid"/>
    <n v="30792.48"/>
    <n v="7505.24"/>
    <n v="0"/>
  </r>
  <r>
    <x v="2409"/>
    <s v="Peconic Bay Medical Center"/>
    <n v="2015"/>
    <n v="4"/>
    <s v="Medicaid"/>
    <x v="1"/>
    <s v="Medicaid"/>
    <n v="8383.4"/>
    <n v="2194.15"/>
    <n v="0"/>
  </r>
  <r>
    <x v="2410"/>
    <s v="Peconic Bay Medical Center"/>
    <n v="2015"/>
    <n v="4"/>
    <s v="Medicaid"/>
    <x v="1"/>
    <s v="Medicaid"/>
    <n v="53611.22"/>
    <n v="16001.97"/>
    <n v="0"/>
  </r>
  <r>
    <x v="2411"/>
    <s v="Peconic Bay Medical Center"/>
    <n v="2015"/>
    <n v="4"/>
    <s v="Medicaid"/>
    <x v="1"/>
    <s v="Medicaid"/>
    <n v="25026.92"/>
    <n v="8336.49"/>
    <n v="0"/>
  </r>
  <r>
    <x v="2412"/>
    <s v="Peconic Bay Medical Center"/>
    <n v="2015"/>
    <n v="4"/>
    <s v="Medicaid"/>
    <x v="1"/>
    <s v="Medicaid"/>
    <n v="19408.52"/>
    <n v="8578.74"/>
    <n v="0"/>
  </r>
  <r>
    <x v="2413"/>
    <s v="Peconic Bay Medical Center"/>
    <n v="2015"/>
    <n v="4"/>
    <s v="Medicaid"/>
    <x v="1"/>
    <s v="Medicaid"/>
    <n v="56921.440000000002"/>
    <n v="15219.17"/>
    <n v="0"/>
  </r>
  <r>
    <x v="2414"/>
    <s v="Peconic Bay Medical Center"/>
    <n v="2015"/>
    <n v="4"/>
    <s v="Medicaid"/>
    <x v="1"/>
    <s v="Medicaid"/>
    <n v="32982.22"/>
    <n v="6874.92"/>
    <n v="0"/>
  </r>
  <r>
    <x v="2415"/>
    <s v="Peconic Bay Medical Center"/>
    <n v="2015"/>
    <n v="4"/>
    <s v="Medicaid"/>
    <x v="1"/>
    <s v="Medicaid"/>
    <n v="56294.04"/>
    <n v="35865.51"/>
    <n v="0"/>
  </r>
  <r>
    <x v="2416"/>
    <s v="Peconic Bay Medical Center"/>
    <n v="2015"/>
    <n v="4"/>
    <s v="Medicaid"/>
    <x v="1"/>
    <s v="Medicaid"/>
    <n v="11055.64"/>
    <n v="3031.76"/>
    <n v="0"/>
  </r>
  <r>
    <x v="2417"/>
    <s v="Peconic Bay Medical Center"/>
    <n v="2015"/>
    <n v="4"/>
    <s v="Medicaid"/>
    <x v="1"/>
    <s v="Medicaid"/>
    <n v="82566.080000000002"/>
    <n v="37557.53"/>
    <n v="0"/>
  </r>
  <r>
    <x v="2418"/>
    <s v="Peconic Bay Medical Center"/>
    <n v="2015"/>
    <n v="4"/>
    <s v="Medicaid"/>
    <x v="1"/>
    <s v="Medicaid"/>
    <n v="59649.1"/>
    <n v="20176.29"/>
    <n v="0"/>
  </r>
  <r>
    <x v="2419"/>
    <s v="Peconic Bay Medical Center"/>
    <n v="2015"/>
    <n v="4"/>
    <s v="Medicaid"/>
    <x v="1"/>
    <s v="Medicaid"/>
    <n v="10026.219999999999"/>
    <n v="2309.31"/>
    <n v="0"/>
  </r>
  <r>
    <x v="2420"/>
    <s v="Peconic Bay Medical Center"/>
    <n v="2015"/>
    <n v="4"/>
    <s v="Medicaid"/>
    <x v="1"/>
    <s v="Medicaid"/>
    <n v="18370.22"/>
    <n v="4909.72"/>
    <n v="0"/>
  </r>
  <r>
    <x v="2421"/>
    <s v="Peconic Bay Medical Center"/>
    <n v="2015"/>
    <n v="4"/>
    <s v="Medicaid"/>
    <x v="1"/>
    <s v="Medicaid"/>
    <n v="22074.54"/>
    <n v="3469.27"/>
    <n v="0"/>
  </r>
  <r>
    <x v="2422"/>
    <s v="Peconic Bay Medical Center"/>
    <n v="2015"/>
    <n v="4"/>
    <s v="Medicaid"/>
    <x v="1"/>
    <s v="Medicaid"/>
    <n v="26792.66"/>
    <n v="7253.42"/>
    <n v="0"/>
  </r>
  <r>
    <x v="2423"/>
    <s v="Peconic Bay Medical Center"/>
    <n v="2015"/>
    <n v="4"/>
    <s v="Medicaid"/>
    <x v="1"/>
    <s v="Medicaid"/>
    <n v="14335.1"/>
    <n v="3348.26"/>
    <n v="0"/>
  </r>
  <r>
    <x v="2424"/>
    <s v="Peconic Bay Medical Center"/>
    <n v="2015"/>
    <n v="4"/>
    <s v="Medicaid"/>
    <x v="1"/>
    <s v="Medicaid"/>
    <n v="15882.84"/>
    <n v="4544.87"/>
    <n v="0"/>
  </r>
  <r>
    <x v="2425"/>
    <s v="Peconic Bay Medical Center"/>
    <n v="2015"/>
    <n v="4"/>
    <s v="Medicaid"/>
    <x v="1"/>
    <s v="Medicaid"/>
    <n v="21640.28"/>
    <n v="6446.8"/>
    <n v="0"/>
  </r>
  <r>
    <x v="2426"/>
    <s v="Peconic Bay Medical Center"/>
    <n v="2015"/>
    <n v="4"/>
    <s v="Medicaid"/>
    <x v="1"/>
    <s v="Medicaid"/>
    <n v="23166.46"/>
    <n v="6346.95"/>
    <n v="0"/>
  </r>
  <r>
    <x v="2427"/>
    <s v="Peconic Bay Medical Center"/>
    <n v="2015"/>
    <n v="4"/>
    <s v="Medicaid"/>
    <x v="1"/>
    <s v="Medicaid"/>
    <n v="13771.18"/>
    <n v="3090.19"/>
    <n v="0"/>
  </r>
  <r>
    <x v="2428"/>
    <s v="Peconic Bay Medical Center"/>
    <n v="2015"/>
    <n v="4"/>
    <s v="Medicaid"/>
    <x v="1"/>
    <s v="Medicaid"/>
    <n v="42122.15"/>
    <n v="12857.32"/>
    <n v="0"/>
  </r>
  <r>
    <x v="2429"/>
    <s v="Peconic Bay Medical Center"/>
    <n v="2015"/>
    <n v="4"/>
    <s v="Medicaid"/>
    <x v="1"/>
    <s v="Medicaid"/>
    <n v="8697.2000000000007"/>
    <n v="2368.25"/>
    <n v="0"/>
  </r>
  <r>
    <x v="2430"/>
    <s v="Peconic Bay Medical Center"/>
    <n v="2015"/>
    <n v="4"/>
    <s v="Medicaid"/>
    <x v="1"/>
    <s v="Medicaid"/>
    <n v="37630.5"/>
    <n v="11384.82"/>
    <n v="0"/>
  </r>
  <r>
    <x v="2431"/>
    <s v="Peconic Bay Medical Center"/>
    <n v="2015"/>
    <n v="4"/>
    <s v="Medicaid"/>
    <x v="1"/>
    <s v="Medicaid"/>
    <n v="23703.06"/>
    <n v="6455.71"/>
    <n v="0"/>
  </r>
  <r>
    <x v="2432"/>
    <s v="Peconic Bay Medical Center"/>
    <n v="2015"/>
    <n v="4"/>
    <s v="Medicaid"/>
    <x v="1"/>
    <s v="Medicaid"/>
    <n v="23855.16"/>
    <n v="10041.65"/>
    <n v="0"/>
  </r>
  <r>
    <x v="2433"/>
    <s v="Peconic Bay Medical Center"/>
    <n v="2015"/>
    <n v="4"/>
    <s v="Medicaid"/>
    <x v="1"/>
    <s v="Medicaid"/>
    <n v="25299.9"/>
    <n v="6487.68"/>
    <n v="0"/>
  </r>
  <r>
    <x v="2434"/>
    <s v="Peconic Bay Medical Center"/>
    <n v="2015"/>
    <n v="4"/>
    <s v="Medicaid"/>
    <x v="1"/>
    <s v="Medicaid"/>
    <n v="9889.42"/>
    <n v="2744.37"/>
    <n v="0"/>
  </r>
  <r>
    <x v="2435"/>
    <s v="Peconic Bay Medical Center"/>
    <n v="2015"/>
    <n v="4"/>
    <s v="Medicaid"/>
    <x v="1"/>
    <s v="Medicaid"/>
    <n v="9306.1200000000008"/>
    <n v="2405.94"/>
    <n v="0"/>
  </r>
  <r>
    <x v="2436"/>
    <s v="Peconic Bay Medical Center"/>
    <n v="2015"/>
    <n v="4"/>
    <s v="Medicaid"/>
    <x v="1"/>
    <s v="Medicaid"/>
    <n v="35282.58"/>
    <n v="13379.42"/>
    <n v="0"/>
  </r>
  <r>
    <x v="2437"/>
    <s v="Peconic Bay Medical Center"/>
    <n v="2015"/>
    <n v="4"/>
    <s v="Medicaid"/>
    <x v="1"/>
    <s v="Medicaid"/>
    <n v="38261.68"/>
    <n v="10975.4"/>
    <n v="0"/>
  </r>
  <r>
    <x v="2438"/>
    <s v="Peconic Bay Medical Center"/>
    <n v="2015"/>
    <n v="4"/>
    <s v="Medicaid"/>
    <x v="1"/>
    <s v="Medicaid"/>
    <n v="16358.68"/>
    <n v="5299.41"/>
    <n v="0"/>
  </r>
  <r>
    <x v="2439"/>
    <s v="Peconic Bay Medical Center"/>
    <n v="2015"/>
    <n v="4"/>
    <s v="Medicaid"/>
    <x v="1"/>
    <s v="Medicaid"/>
    <n v="21297.24"/>
    <n v="5764.06"/>
    <n v="0"/>
  </r>
  <r>
    <x v="2440"/>
    <s v="Peconic Bay Medical Center"/>
    <n v="2015"/>
    <n v="4"/>
    <s v="Medicaid"/>
    <x v="1"/>
    <s v="Medicaid"/>
    <n v="40504.199999999997"/>
    <n v="12116.16"/>
    <n v="0"/>
  </r>
  <r>
    <x v="2441"/>
    <s v="Peconic Bay Medical Center"/>
    <n v="2015"/>
    <n v="4"/>
    <s v="Medicaid"/>
    <x v="1"/>
    <s v="Medicaid"/>
    <n v="12360.24"/>
    <n v="2881.09"/>
    <n v="0"/>
  </r>
  <r>
    <x v="2442"/>
    <s v="Peconic Bay Medical Center"/>
    <n v="2015"/>
    <n v="4"/>
    <s v="Medicaid"/>
    <x v="1"/>
    <s v="Medicaid"/>
    <n v="9865.3799999999992"/>
    <n v="2612.13"/>
    <n v="0"/>
  </r>
  <r>
    <x v="2443"/>
    <s v="Peconic Bay Medical Center"/>
    <n v="2015"/>
    <n v="4"/>
    <s v="Medicaid"/>
    <x v="1"/>
    <s v="Medicaid"/>
    <n v="19131.740000000002"/>
    <n v="4418.72"/>
    <n v="0"/>
  </r>
  <r>
    <x v="2444"/>
    <s v="Peconic Bay Medical Center"/>
    <n v="2015"/>
    <n v="4"/>
    <s v="Medicaid"/>
    <x v="1"/>
    <s v="Medicaid"/>
    <n v="24465.82"/>
    <n v="7737.31"/>
    <n v="0"/>
  </r>
  <r>
    <x v="2445"/>
    <s v="Peconic Bay Medical Center"/>
    <n v="2015"/>
    <n v="4"/>
    <s v="Medicaid"/>
    <x v="1"/>
    <s v="Medicaid"/>
    <n v="24611.84"/>
    <n v="6399.52"/>
    <n v="0"/>
  </r>
  <r>
    <x v="2446"/>
    <s v="Peconic Bay Medical Center"/>
    <n v="2015"/>
    <n v="4"/>
    <s v="Medicaid"/>
    <x v="1"/>
    <s v="Medicaid"/>
    <n v="16795.22"/>
    <n v="3517.65"/>
    <n v="0"/>
  </r>
  <r>
    <x v="2447"/>
    <s v="Peconic Bay Medical Center"/>
    <n v="2015"/>
    <n v="4"/>
    <s v="Medicaid"/>
    <x v="1"/>
    <s v="Medicaid"/>
    <n v="32319.86"/>
    <n v="7573.12"/>
    <n v="0"/>
  </r>
  <r>
    <x v="2448"/>
    <s v="Peconic Bay Medical Center"/>
    <n v="2015"/>
    <n v="4"/>
    <s v="Medicaid"/>
    <x v="1"/>
    <s v="Medicaid"/>
    <n v="32870.239999999998"/>
    <n v="13204.67"/>
    <n v="0"/>
  </r>
  <r>
    <x v="2449"/>
    <s v="Peconic Bay Medical Center"/>
    <n v="2015"/>
    <n v="4"/>
    <s v="Medicaid"/>
    <x v="1"/>
    <s v="Medicaid"/>
    <n v="31635.06"/>
    <n v="12661.71"/>
    <n v="0"/>
  </r>
  <r>
    <x v="2450"/>
    <s v="Peconic Bay Medical Center"/>
    <n v="2015"/>
    <n v="4"/>
    <s v="Medicaid"/>
    <x v="1"/>
    <s v="Medicaid"/>
    <n v="27055.38"/>
    <n v="10915.29"/>
    <n v="0"/>
  </r>
  <r>
    <x v="2451"/>
    <s v="Peconic Bay Medical Center"/>
    <n v="2015"/>
    <n v="4"/>
    <s v="Medicaid"/>
    <x v="1"/>
    <s v="Medicaid"/>
    <n v="22540.06"/>
    <n v="9608.26"/>
    <n v="0"/>
  </r>
  <r>
    <x v="2452"/>
    <s v="Peconic Bay Medical Center"/>
    <n v="2015"/>
    <n v="4"/>
    <s v="Medicaid"/>
    <x v="1"/>
    <s v="Medicaid"/>
    <n v="81200.740000000005"/>
    <n v="39309.15"/>
    <n v="0"/>
  </r>
  <r>
    <x v="2453"/>
    <s v="Peconic Bay Medical Center"/>
    <n v="2015"/>
    <n v="4"/>
    <s v="Medicaid"/>
    <x v="1"/>
    <s v="Medicaid"/>
    <n v="19834.88"/>
    <n v="5474.51"/>
    <n v="0"/>
  </r>
  <r>
    <x v="2454"/>
    <s v="Peconic Bay Medical Center"/>
    <n v="2015"/>
    <n v="4"/>
    <s v="Medicaid"/>
    <x v="1"/>
    <s v="Medicaid"/>
    <n v="9911.02"/>
    <n v="2273.58"/>
    <n v="0"/>
  </r>
  <r>
    <x v="2455"/>
    <s v="Peconic Bay Medical Center"/>
    <n v="2015"/>
    <n v="4"/>
    <s v="Medicaid"/>
    <x v="1"/>
    <s v="Medicaid"/>
    <n v="32797.160000000003"/>
    <n v="9145.36"/>
    <n v="0"/>
  </r>
  <r>
    <x v="2456"/>
    <s v="Peconic Bay Medical Center"/>
    <n v="2015"/>
    <n v="4"/>
    <s v="Medicaid"/>
    <x v="1"/>
    <s v="Medicaid"/>
    <n v="31095.5"/>
    <n v="10764.28"/>
    <n v="0"/>
  </r>
  <r>
    <x v="2457"/>
    <s v="Peconic Bay Medical Center"/>
    <n v="2015"/>
    <n v="4"/>
    <s v="Medicaid"/>
    <x v="1"/>
    <s v="Medicaid"/>
    <n v="21736.18"/>
    <n v="6988.47"/>
    <n v="0"/>
  </r>
  <r>
    <x v="2458"/>
    <s v="Peconic Bay Medical Center"/>
    <n v="2015"/>
    <n v="4"/>
    <s v="Medicaid"/>
    <x v="1"/>
    <s v="Medicaid"/>
    <n v="18708.599999999999"/>
    <n v="7125.88"/>
    <n v="0"/>
  </r>
  <r>
    <x v="2459"/>
    <s v="Peconic Bay Medical Center"/>
    <n v="2015"/>
    <n v="4"/>
    <s v="Medicaid"/>
    <x v="1"/>
    <s v="Medicaid"/>
    <n v="23297.46"/>
    <n v="6225.64"/>
    <n v="0"/>
  </r>
  <r>
    <x v="2460"/>
    <s v="Peconic Bay Medical Center"/>
    <n v="2015"/>
    <n v="4"/>
    <s v="Medicaid"/>
    <x v="1"/>
    <s v="Medicaid"/>
    <n v="16541.740000000002"/>
    <n v="4670.6400000000003"/>
    <n v="0"/>
  </r>
  <r>
    <x v="2461"/>
    <s v="Peconic Bay Medical Center"/>
    <n v="2015"/>
    <n v="4"/>
    <s v="Medicaid"/>
    <x v="1"/>
    <s v="Medicaid"/>
    <n v="20224.48"/>
    <n v="4734.34"/>
    <n v="0"/>
  </r>
  <r>
    <x v="2462"/>
    <s v="Peconic Bay Medical Center"/>
    <n v="2015"/>
    <n v="4"/>
    <s v="Medicaid"/>
    <x v="1"/>
    <s v="Medicaid"/>
    <n v="14203.72"/>
    <n v="3732.53"/>
    <n v="0"/>
  </r>
  <r>
    <x v="2463"/>
    <s v="Peconic Bay Medical Center"/>
    <n v="2015"/>
    <n v="4"/>
    <s v="Medicaid"/>
    <x v="1"/>
    <s v="Medicaid"/>
    <n v="26980.5"/>
    <n v="6878.82"/>
    <n v="0"/>
  </r>
  <r>
    <x v="2464"/>
    <s v="Peconic Bay Medical Center"/>
    <n v="2015"/>
    <n v="4"/>
    <s v="Medicaid"/>
    <x v="1"/>
    <s v="Medicaid"/>
    <n v="27942.26"/>
    <n v="7643.94"/>
    <n v="0"/>
  </r>
  <r>
    <x v="2465"/>
    <s v="Peconic Bay Medical Center"/>
    <n v="2015"/>
    <n v="4"/>
    <s v="Medicaid"/>
    <x v="1"/>
    <s v="Medicaid"/>
    <n v="114226.7"/>
    <n v="53500.03"/>
    <n v="0"/>
  </r>
  <r>
    <x v="2466"/>
    <s v="Peconic Bay Medical Center"/>
    <n v="2015"/>
    <n v="4"/>
    <s v="Medicaid"/>
    <x v="1"/>
    <s v="Medicaid"/>
    <n v="32793.06"/>
    <n v="15262.53"/>
    <n v="0"/>
  </r>
  <r>
    <x v="2467"/>
    <s v="Peconic Bay Medical Center"/>
    <n v="2015"/>
    <n v="4"/>
    <s v="Medicaid"/>
    <x v="1"/>
    <s v="Medicaid"/>
    <n v="40901.919999999998"/>
    <n v="12486.62"/>
    <n v="0"/>
  </r>
  <r>
    <x v="2468"/>
    <s v="Peconic Bay Medical Center"/>
    <n v="2015"/>
    <n v="4"/>
    <s v="Medicaid"/>
    <x v="1"/>
    <s v="Medicaid"/>
    <n v="17376.3"/>
    <n v="2854.39"/>
    <n v="0"/>
  </r>
  <r>
    <x v="2469"/>
    <s v="Peconic Bay Medical Center"/>
    <n v="2015"/>
    <n v="4"/>
    <s v="Medicaid"/>
    <x v="1"/>
    <s v="Medicaid"/>
    <n v="11894.88"/>
    <n v="3824.96"/>
    <n v="0"/>
  </r>
  <r>
    <x v="2470"/>
    <s v="Peconic Bay Medical Center"/>
    <n v="2015"/>
    <n v="4"/>
    <s v="Medicaid"/>
    <x v="1"/>
    <s v="Medicaid"/>
    <n v="11068.7"/>
    <n v="6338.95"/>
    <n v="0"/>
  </r>
  <r>
    <x v="2471"/>
    <s v="Peconic Bay Medical Center"/>
    <n v="2015"/>
    <n v="4"/>
    <s v="Medicaid"/>
    <x v="1"/>
    <s v="Medicaid"/>
    <n v="23864.5"/>
    <n v="9943.8700000000008"/>
    <n v="0"/>
  </r>
  <r>
    <x v="2472"/>
    <s v="Peconic Bay Medical Center"/>
    <n v="2015"/>
    <n v="4"/>
    <s v="Medicaid"/>
    <x v="1"/>
    <s v="Medicaid"/>
    <n v="15448.68"/>
    <n v="5060.55"/>
    <n v="0"/>
  </r>
  <r>
    <x v="2473"/>
    <s v="Peconic Bay Medical Center"/>
    <n v="2015"/>
    <n v="4"/>
    <s v="Medicaid"/>
    <x v="1"/>
    <s v="Medicaid"/>
    <n v="53839.27"/>
    <n v="24090.21"/>
    <n v="0"/>
  </r>
  <r>
    <x v="2474"/>
    <s v="Peconic Bay Medical Center"/>
    <n v="2015"/>
    <n v="4"/>
    <s v="Medicaid"/>
    <x v="1"/>
    <s v="Medicaid"/>
    <n v="30377.7"/>
    <n v="9022.57"/>
    <n v="0"/>
  </r>
  <r>
    <x v="2475"/>
    <s v="Peconic Bay Medical Center"/>
    <n v="2015"/>
    <n v="4"/>
    <s v="Medicaid"/>
    <x v="1"/>
    <s v="Medicaid"/>
    <n v="12329.5"/>
    <n v="2647.54"/>
    <n v="0"/>
  </r>
  <r>
    <x v="2476"/>
    <s v="Peconic Bay Medical Center"/>
    <n v="2015"/>
    <n v="4"/>
    <s v="Medicaid"/>
    <x v="1"/>
    <s v="Medicaid"/>
    <n v="20559.14"/>
    <n v="5649.89"/>
    <n v="0"/>
  </r>
  <r>
    <x v="2477"/>
    <s v="Peconic Bay Medical Center"/>
    <n v="2015"/>
    <n v="4"/>
    <s v="Medicaid"/>
    <x v="1"/>
    <s v="Medicaid"/>
    <n v="81595.839999999997"/>
    <n v="46936.74"/>
    <n v="0"/>
  </r>
  <r>
    <x v="2478"/>
    <s v="Peconic Bay Medical Center"/>
    <n v="2015"/>
    <n v="4"/>
    <s v="Medicaid"/>
    <x v="1"/>
    <s v="Medicaid"/>
    <n v="15436.72"/>
    <n v="4258.42"/>
    <n v="0"/>
  </r>
  <r>
    <x v="2479"/>
    <s v="Peconic Bay Medical Center"/>
    <n v="2015"/>
    <n v="4"/>
    <s v="Medicaid"/>
    <x v="1"/>
    <s v="Medicaid"/>
    <n v="84351.1"/>
    <n v="27920.48"/>
    <n v="0"/>
  </r>
  <r>
    <x v="2480"/>
    <s v="Peconic Bay Medical Center"/>
    <n v="2015"/>
    <n v="4"/>
    <s v="Medicaid"/>
    <x v="1"/>
    <s v="Medicaid"/>
    <n v="23679.8"/>
    <n v="7189.03"/>
    <n v="0"/>
  </r>
  <r>
    <x v="2481"/>
    <s v="Peconic Bay Medical Center"/>
    <n v="2015"/>
    <n v="4"/>
    <s v="Medicaid"/>
    <x v="1"/>
    <s v="Medicaid"/>
    <n v="9406.52"/>
    <n v="2568.9499999999998"/>
    <n v="0"/>
  </r>
  <r>
    <x v="2482"/>
    <s v="Peconic Bay Medical Center"/>
    <n v="2015"/>
    <n v="4"/>
    <s v="Medicaid"/>
    <x v="1"/>
    <s v="Medicaid"/>
    <n v="28685.52"/>
    <n v="13065.28"/>
    <n v="0"/>
  </r>
  <r>
    <x v="2483"/>
    <s v="Peconic Bay Medical Center"/>
    <n v="2015"/>
    <n v="4"/>
    <s v="Medicaid"/>
    <x v="1"/>
    <s v="Medicaid"/>
    <n v="87582.98"/>
    <n v="45760.87"/>
    <n v="0"/>
  </r>
  <r>
    <x v="2484"/>
    <s v="Peconic Bay Medical Center"/>
    <n v="2015"/>
    <n v="4"/>
    <s v="Medicaid"/>
    <x v="1"/>
    <s v="Medicaid"/>
    <n v="80923.839999999997"/>
    <n v="25403.57"/>
    <n v="0"/>
  </r>
  <r>
    <x v="2485"/>
    <s v="Peconic Bay Medical Center"/>
    <n v="2015"/>
    <n v="4"/>
    <s v="Medicaid"/>
    <x v="1"/>
    <s v="Medicaid"/>
    <n v="174850.46"/>
    <n v="104321.18"/>
    <n v="0"/>
  </r>
  <r>
    <x v="2486"/>
    <s v="Peconic Bay Medical Center"/>
    <n v="2015"/>
    <n v="4"/>
    <s v="Medicaid"/>
    <x v="1"/>
    <s v="Medicaid"/>
    <n v="38282.11"/>
    <n v="9665.0300000000007"/>
    <n v="0"/>
  </r>
  <r>
    <x v="2487"/>
    <s v="Peconic Bay Medical Center"/>
    <n v="2015"/>
    <n v="4"/>
    <s v="Medicaid"/>
    <x v="1"/>
    <s v="Medicaid"/>
    <n v="12976.78"/>
    <n v="3613.48"/>
    <n v="0"/>
  </r>
  <r>
    <x v="2488"/>
    <s v="Peconic Bay Medical Center"/>
    <n v="2015"/>
    <n v="4"/>
    <s v="Medicaid"/>
    <x v="1"/>
    <s v="Medicaid"/>
    <n v="36780.18"/>
    <n v="11515.94"/>
    <n v="0"/>
  </r>
  <r>
    <x v="2489"/>
    <s v="Peconic Bay Medical Center"/>
    <n v="2015"/>
    <n v="4"/>
    <s v="Medicaid"/>
    <x v="1"/>
    <s v="Medicaid"/>
    <n v="18989.580000000002"/>
    <n v="5379.39"/>
    <n v="0"/>
  </r>
  <r>
    <x v="2490"/>
    <s v="Peconic Bay Medical Center"/>
    <n v="2015"/>
    <n v="4"/>
    <s v="Medicaid"/>
    <x v="1"/>
    <s v="Medicaid"/>
    <n v="17572.580000000002"/>
    <n v="5067"/>
    <n v="0"/>
  </r>
  <r>
    <x v="2491"/>
    <s v="Peconic Bay Medical Center"/>
    <n v="2015"/>
    <n v="4"/>
    <s v="Medicaid"/>
    <x v="1"/>
    <s v="Medicaid"/>
    <n v="68436.72"/>
    <n v="26656.17"/>
    <n v="0"/>
  </r>
  <r>
    <x v="2492"/>
    <s v="Peconic Bay Medical Center"/>
    <n v="2015"/>
    <n v="4"/>
    <s v="Medicaid"/>
    <x v="1"/>
    <s v="Medicaid"/>
    <n v="148242.54"/>
    <n v="66280.88"/>
    <n v="0"/>
  </r>
  <r>
    <x v="2493"/>
    <s v="Peconic Bay Medical Center"/>
    <n v="2015"/>
    <n v="4"/>
    <s v="Medicaid"/>
    <x v="1"/>
    <s v="Medicaid"/>
    <n v="29768.240000000002"/>
    <n v="10617.01"/>
    <n v="0"/>
  </r>
  <r>
    <x v="2494"/>
    <s v="Peconic Bay Medical Center"/>
    <n v="2015"/>
    <n v="4"/>
    <s v="Medicaid"/>
    <x v="1"/>
    <s v="Medicaid"/>
    <n v="24469.62"/>
    <n v="7036.89"/>
    <n v="0"/>
  </r>
  <r>
    <x v="2495"/>
    <s v="Peconic Bay Medical Center"/>
    <n v="2015"/>
    <n v="4"/>
    <s v="Medicaid"/>
    <x v="1"/>
    <s v="Medicaid"/>
    <n v="30626.720000000001"/>
    <n v="8044.43"/>
    <n v="0"/>
  </r>
  <r>
    <x v="2496"/>
    <s v="Peconic Bay Medical Center"/>
    <n v="2015"/>
    <n v="4"/>
    <s v="Medicaid"/>
    <x v="1"/>
    <s v="Medicaid"/>
    <n v="64167.16"/>
    <n v="27943.11"/>
    <n v="0"/>
  </r>
  <r>
    <x v="2497"/>
    <s v="Peconic Bay Medical Center"/>
    <n v="2015"/>
    <n v="4"/>
    <s v="Medicaid"/>
    <x v="1"/>
    <s v="Medicaid"/>
    <n v="23553.08"/>
    <n v="6383.53"/>
    <n v="0"/>
  </r>
  <r>
    <x v="2498"/>
    <s v="Peconic Bay Medical Center"/>
    <n v="2015"/>
    <n v="4"/>
    <s v="Medicaid"/>
    <x v="1"/>
    <s v="Medicaid"/>
    <n v="12315.86"/>
    <n v="2985.84"/>
    <n v="0"/>
  </r>
  <r>
    <x v="2499"/>
    <s v="Peconic Bay Medical Center"/>
    <n v="2015"/>
    <n v="4"/>
    <s v="Medicaid"/>
    <x v="1"/>
    <s v="Medicaid"/>
    <n v="42571.24"/>
    <n v="14778.4"/>
    <n v="0"/>
  </r>
  <r>
    <x v="2500"/>
    <s v="Peconic Bay Medical Center"/>
    <n v="2015"/>
    <n v="4"/>
    <s v="Medicaid"/>
    <x v="1"/>
    <s v="Medicaid"/>
    <n v="17231.599999999999"/>
    <n v="5517.15"/>
    <n v="0"/>
  </r>
  <r>
    <x v="2501"/>
    <s v="Peconic Bay Medical Center"/>
    <n v="2015"/>
    <n v="4"/>
    <s v="Medicaid"/>
    <x v="1"/>
    <s v="Medicaid"/>
    <n v="21580.48"/>
    <n v="6400.01"/>
    <n v="0"/>
  </r>
  <r>
    <x v="2502"/>
    <s v="Peconic Bay Medical Center"/>
    <n v="2015"/>
    <n v="4"/>
    <s v="Medicaid"/>
    <x v="1"/>
    <s v="Medicaid"/>
    <n v="49617.1"/>
    <n v="15016.56"/>
    <n v="0"/>
  </r>
  <r>
    <x v="2503"/>
    <s v="Peconic Bay Medical Center"/>
    <n v="2015"/>
    <n v="4"/>
    <s v="Medicaid"/>
    <x v="1"/>
    <s v="Medicaid"/>
    <n v="21001.62"/>
    <n v="6456.01"/>
    <n v="0"/>
  </r>
  <r>
    <x v="2504"/>
    <s v="Peconic Bay Medical Center"/>
    <n v="2015"/>
    <n v="4"/>
    <s v="Medicaid"/>
    <x v="1"/>
    <s v="Medicaid"/>
    <n v="57332.160000000003"/>
    <n v="24283.73"/>
    <n v="0"/>
  </r>
  <r>
    <x v="2505"/>
    <s v="Peconic Bay Medical Center"/>
    <n v="2015"/>
    <n v="4"/>
    <s v="Medicaid"/>
    <x v="1"/>
    <s v="Medicaid"/>
    <n v="26401.919999999998"/>
    <n v="13051.44"/>
    <n v="0"/>
  </r>
  <r>
    <x v="2506"/>
    <s v="Peconic Bay Medical Center"/>
    <n v="2015"/>
    <n v="4"/>
    <s v="Medicaid"/>
    <x v="1"/>
    <s v="Medicaid"/>
    <n v="21255.16"/>
    <n v="6487.1"/>
    <n v="0"/>
  </r>
  <r>
    <x v="2507"/>
    <s v="Peconic Bay Medical Center"/>
    <n v="2015"/>
    <n v="4"/>
    <s v="Medicaid"/>
    <x v="1"/>
    <s v="Medicaid"/>
    <n v="52693.46"/>
    <n v="16409.03"/>
    <n v="0"/>
  </r>
  <r>
    <x v="2508"/>
    <s v="Peconic Bay Medical Center"/>
    <n v="2015"/>
    <n v="4"/>
    <s v="Medicaid"/>
    <x v="1"/>
    <s v="Medicaid"/>
    <n v="12596.36"/>
    <n v="2989.01"/>
    <n v="0"/>
  </r>
  <r>
    <x v="2509"/>
    <s v="Peconic Bay Medical Center"/>
    <n v="2015"/>
    <n v="4"/>
    <s v="Medicaid"/>
    <x v="1"/>
    <s v="Medicaid"/>
    <n v="34975.1"/>
    <n v="10016.57"/>
    <n v="0"/>
  </r>
  <r>
    <x v="2510"/>
    <s v="Peconic Bay Medical Center"/>
    <n v="2015"/>
    <n v="4"/>
    <s v="Medicaid"/>
    <x v="1"/>
    <s v="Medicaid"/>
    <n v="11542.52"/>
    <n v="2966.41"/>
    <n v="0"/>
  </r>
  <r>
    <x v="2511"/>
    <s v="Peconic Bay Medical Center"/>
    <n v="2015"/>
    <n v="4"/>
    <s v="Medicaid"/>
    <x v="1"/>
    <s v="Medicaid"/>
    <n v="28160.26"/>
    <n v="8043.57"/>
    <n v="0"/>
  </r>
  <r>
    <x v="2512"/>
    <s v="Peconic Bay Medical Center"/>
    <n v="2015"/>
    <n v="4"/>
    <s v="Medicaid"/>
    <x v="1"/>
    <s v="Medicaid"/>
    <n v="21083.66"/>
    <n v="5760.68"/>
    <n v="0"/>
  </r>
  <r>
    <x v="2513"/>
    <s v="Peconic Bay Medical Center"/>
    <n v="2015"/>
    <n v="4"/>
    <s v="Medicaid"/>
    <x v="1"/>
    <s v="Medicaid"/>
    <n v="26265.599999999999"/>
    <n v="7246.7"/>
    <n v="0"/>
  </r>
  <r>
    <x v="2514"/>
    <s v="Peconic Bay Medical Center"/>
    <n v="2015"/>
    <n v="4"/>
    <s v="Medicaid"/>
    <x v="1"/>
    <s v="Medicaid"/>
    <n v="29366.76"/>
    <n v="6604.17"/>
    <n v="0"/>
  </r>
  <r>
    <x v="2515"/>
    <s v="Peconic Bay Medical Center"/>
    <n v="2015"/>
    <n v="4"/>
    <s v="Medicaid"/>
    <x v="1"/>
    <s v="Medicaid"/>
    <n v="22449.58"/>
    <n v="8346.58"/>
    <n v="0"/>
  </r>
  <r>
    <x v="2516"/>
    <s v="Peconic Bay Medical Center"/>
    <n v="2015"/>
    <n v="4"/>
    <s v="Medicaid"/>
    <x v="1"/>
    <s v="Medicaid"/>
    <n v="75641.8"/>
    <n v="26617.03"/>
    <n v="0"/>
  </r>
  <r>
    <x v="2517"/>
    <s v="Peconic Bay Medical Center"/>
    <n v="2015"/>
    <n v="4"/>
    <s v="Medicaid"/>
    <x v="1"/>
    <s v="Medicaid"/>
    <n v="20264.16"/>
    <n v="12965.83"/>
    <n v="0"/>
  </r>
  <r>
    <x v="2518"/>
    <s v="Peconic Bay Medical Center"/>
    <n v="2015"/>
    <n v="4"/>
    <s v="Medicaid"/>
    <x v="1"/>
    <s v="Medicaid"/>
    <n v="70984.14"/>
    <n v="20518.91"/>
    <n v="0"/>
  </r>
  <r>
    <x v="2519"/>
    <s v="Peconic Bay Medical Center"/>
    <n v="2015"/>
    <n v="4"/>
    <s v="Medicaid"/>
    <x v="1"/>
    <s v="Medicaid"/>
    <n v="9087.4599999999991"/>
    <n v="2564.73"/>
    <n v="0"/>
  </r>
  <r>
    <x v="2520"/>
    <s v="Peconic Bay Medical Center"/>
    <n v="2015"/>
    <n v="4"/>
    <s v="Medicaid"/>
    <x v="1"/>
    <s v="Medicaid"/>
    <n v="34380.980000000003"/>
    <n v="16055.46"/>
    <n v="0"/>
  </r>
  <r>
    <x v="2521"/>
    <s v="Peconic Bay Medical Center"/>
    <n v="2015"/>
    <n v="4"/>
    <s v="Medicaid"/>
    <x v="1"/>
    <s v="Medicaid"/>
    <n v="39188.92"/>
    <n v="11797.05"/>
    <n v="0"/>
  </r>
  <r>
    <x v="2522"/>
    <s v="Peconic Bay Medical Center"/>
    <n v="2015"/>
    <n v="4"/>
    <s v="Medicaid"/>
    <x v="1"/>
    <s v="Medicaid"/>
    <n v="9245.76"/>
    <n v="2575.0500000000002"/>
    <n v="0"/>
  </r>
  <r>
    <x v="2523"/>
    <s v="Peconic Bay Medical Center"/>
    <n v="2015"/>
    <n v="4"/>
    <s v="Medicaid"/>
    <x v="1"/>
    <s v="Medicaid"/>
    <n v="25286.68"/>
    <n v="7768.73"/>
    <n v="0"/>
  </r>
  <r>
    <x v="2524"/>
    <s v="Peconic Bay Medical Center"/>
    <n v="2015"/>
    <n v="4"/>
    <s v="Medicaid"/>
    <x v="1"/>
    <s v="Medicaid"/>
    <n v="21964.44"/>
    <n v="6519.08"/>
    <n v="0"/>
  </r>
  <r>
    <x v="2525"/>
    <s v="Peconic Bay Medical Center"/>
    <n v="2015"/>
    <n v="4"/>
    <s v="Medicaid"/>
    <x v="1"/>
    <s v="Medicaid"/>
    <n v="26553.34"/>
    <n v="7591.78"/>
    <n v="0"/>
  </r>
  <r>
    <x v="2526"/>
    <s v="Peconic Bay Medical Center"/>
    <n v="2015"/>
    <n v="4"/>
    <s v="Medicaid"/>
    <x v="1"/>
    <s v="Medicaid"/>
    <n v="12995.96"/>
    <n v="2825.83"/>
    <n v="0"/>
  </r>
  <r>
    <x v="2527"/>
    <s v="Peconic Bay Medical Center"/>
    <n v="2015"/>
    <n v="4"/>
    <s v="Medicaid"/>
    <x v="1"/>
    <s v="Medicaid"/>
    <n v="75938.42"/>
    <n v="22752.15"/>
    <n v="0"/>
  </r>
  <r>
    <x v="2528"/>
    <s v="Peconic Bay Medical Center"/>
    <n v="2015"/>
    <n v="4"/>
    <s v="Medicaid"/>
    <x v="1"/>
    <s v="Medicaid"/>
    <n v="52969.1"/>
    <n v="16709.29"/>
    <n v="0"/>
  </r>
  <r>
    <x v="2529"/>
    <s v="Peconic Bay Medical Center"/>
    <n v="2015"/>
    <n v="4"/>
    <s v="Medicaid"/>
    <x v="1"/>
    <s v="Medicaid"/>
    <n v="37910.14"/>
    <n v="8502.6"/>
    <n v="0"/>
  </r>
  <r>
    <x v="2530"/>
    <s v="Peconic Bay Medical Center"/>
    <n v="2015"/>
    <n v="4"/>
    <s v="Medicaid"/>
    <x v="1"/>
    <s v="Medicaid"/>
    <n v="28017.06"/>
    <n v="6211.39"/>
    <n v="0"/>
  </r>
  <r>
    <x v="2531"/>
    <s v="Peconic Bay Medical Center"/>
    <n v="2015"/>
    <n v="4"/>
    <s v="Medicaid"/>
    <x v="1"/>
    <s v="Medicaid"/>
    <n v="40645.5"/>
    <n v="20437.349999999999"/>
    <n v="0"/>
  </r>
  <r>
    <x v="2532"/>
    <s v="Peconic Bay Medical Center"/>
    <n v="2015"/>
    <n v="4"/>
    <s v="Medicaid"/>
    <x v="1"/>
    <s v="Medicaid"/>
    <n v="20485.62"/>
    <n v="4955.92"/>
    <n v="0"/>
  </r>
  <r>
    <x v="2533"/>
    <s v="Peconic Bay Medical Center"/>
    <n v="2015"/>
    <n v="4"/>
    <s v="Medicaid"/>
    <x v="1"/>
    <s v="Medicaid"/>
    <n v="20603.84"/>
    <n v="6067.67"/>
    <n v="0"/>
  </r>
  <r>
    <x v="2534"/>
    <s v="Peconic Bay Medical Center"/>
    <n v="2015"/>
    <n v="4"/>
    <s v="Medicaid"/>
    <x v="1"/>
    <s v="Medicaid"/>
    <n v="28707.72"/>
    <n v="11218"/>
    <n v="0"/>
  </r>
  <r>
    <x v="2535"/>
    <s v="Peconic Bay Medical Center"/>
    <n v="2015"/>
    <n v="4"/>
    <s v="Medicaid"/>
    <x v="1"/>
    <s v="Medicaid"/>
    <n v="49851.02"/>
    <n v="14231.88"/>
    <n v="0"/>
  </r>
  <r>
    <x v="2536"/>
    <s v="Peconic Bay Medical Center"/>
    <n v="2015"/>
    <n v="4"/>
    <s v="Medicaid"/>
    <x v="1"/>
    <s v="Medicaid"/>
    <n v="11618.5"/>
    <n v="2771.8"/>
    <n v="0"/>
  </r>
  <r>
    <x v="2537"/>
    <s v="Peconic Bay Medical Center"/>
    <n v="2015"/>
    <n v="4"/>
    <s v="Medicaid"/>
    <x v="1"/>
    <s v="Medicaid"/>
    <n v="29511.9"/>
    <n v="8621.07"/>
    <n v="0"/>
  </r>
  <r>
    <x v="2538"/>
    <s v="Peconic Bay Medical Center"/>
    <n v="2015"/>
    <n v="4"/>
    <s v="Medicaid"/>
    <x v="1"/>
    <s v="Medicaid"/>
    <n v="17427.28"/>
    <n v="4391.1000000000004"/>
    <n v="0"/>
  </r>
  <r>
    <x v="2539"/>
    <s v="Peconic Bay Medical Center"/>
    <n v="2015"/>
    <n v="4"/>
    <s v="Medicaid"/>
    <x v="1"/>
    <s v="Medicaid"/>
    <n v="72039.02"/>
    <n v="29478.75"/>
    <n v="0"/>
  </r>
  <r>
    <x v="2540"/>
    <s v="Peconic Bay Medical Center"/>
    <n v="2015"/>
    <n v="4"/>
    <s v="Medicaid"/>
    <x v="1"/>
    <s v="Medicaid"/>
    <n v="122192.3"/>
    <n v="64205.279999999999"/>
    <n v="0"/>
  </r>
  <r>
    <x v="2541"/>
    <s v="Peconic Bay Medical Center"/>
    <n v="2015"/>
    <n v="4"/>
    <s v="Medicaid"/>
    <x v="1"/>
    <s v="Medicaid"/>
    <n v="6171.64"/>
    <n v="1816.35"/>
    <n v="0"/>
  </r>
  <r>
    <x v="2542"/>
    <s v="Peconic Bay Medical Center"/>
    <n v="2015"/>
    <n v="4"/>
    <s v="Medicaid"/>
    <x v="1"/>
    <s v="Medicaid"/>
    <n v="18319.099999999999"/>
    <n v="5216.87"/>
    <n v="0"/>
  </r>
  <r>
    <x v="2543"/>
    <s v="Peconic Bay Medical Center"/>
    <n v="2015"/>
    <n v="4"/>
    <s v="Medicaid"/>
    <x v="1"/>
    <s v="Medicaid"/>
    <n v="53810.48"/>
    <n v="23871.5"/>
    <n v="0"/>
  </r>
  <r>
    <x v="2544"/>
    <s v="Peconic Bay Medical Center"/>
    <n v="2015"/>
    <n v="4"/>
    <s v="Medicaid"/>
    <x v="1"/>
    <s v="Medicaid"/>
    <n v="15598.46"/>
    <n v="4530.54"/>
    <n v="0"/>
  </r>
  <r>
    <x v="2545"/>
    <s v="Peconic Bay Medical Center"/>
    <n v="2015"/>
    <n v="4"/>
    <s v="Medicaid"/>
    <x v="1"/>
    <s v="Medicaid"/>
    <n v="23388.04"/>
    <n v="7160.72"/>
    <n v="0"/>
  </r>
  <r>
    <x v="2546"/>
    <s v="Peconic Bay Medical Center"/>
    <n v="2015"/>
    <n v="4"/>
    <s v="Medicaid"/>
    <x v="1"/>
    <s v="Medicaid"/>
    <n v="11237.18"/>
    <n v="3144.28"/>
    <n v="0"/>
  </r>
  <r>
    <x v="2547"/>
    <s v="Peconic Bay Medical Center"/>
    <n v="2015"/>
    <n v="4"/>
    <s v="Medicaid"/>
    <x v="1"/>
    <s v="Medicaid"/>
    <n v="16352.1"/>
    <n v="2942.73"/>
    <n v="0"/>
  </r>
  <r>
    <x v="2548"/>
    <s v="Peconic Bay Medical Center"/>
    <n v="2015"/>
    <n v="4"/>
    <s v="Medicaid"/>
    <x v="1"/>
    <s v="Medicaid"/>
    <n v="85013.5"/>
    <n v="49072.08"/>
    <n v="0"/>
  </r>
  <r>
    <x v="2549"/>
    <s v="Peconic Bay Medical Center"/>
    <n v="2015"/>
    <n v="4"/>
    <s v="Medicaid"/>
    <x v="1"/>
    <s v="Medicaid"/>
    <n v="209674.44"/>
    <n v="64995.77"/>
    <n v="0"/>
  </r>
  <r>
    <x v="2550"/>
    <s v="Peconic Bay Medical Center"/>
    <n v="2015"/>
    <n v="4"/>
    <s v="Medicaid"/>
    <x v="1"/>
    <s v="Medicaid"/>
    <n v="18771.2"/>
    <n v="4760.5600000000004"/>
    <n v="0"/>
  </r>
  <r>
    <x v="2551"/>
    <s v="Peconic Bay Medical Center"/>
    <n v="2015"/>
    <n v="4"/>
    <s v="Medicaid"/>
    <x v="1"/>
    <s v="Medicaid"/>
    <n v="22421.58"/>
    <n v="8837.2099999999991"/>
    <n v="0"/>
  </r>
  <r>
    <x v="2552"/>
    <s v="Peconic Bay Medical Center"/>
    <n v="2015"/>
    <n v="4"/>
    <s v="Medicaid"/>
    <x v="1"/>
    <s v="Medicaid"/>
    <n v="27197.439999999999"/>
    <n v="7924.83"/>
    <n v="0"/>
  </r>
  <r>
    <x v="2553"/>
    <s v="Peconic Bay Medical Center"/>
    <n v="2015"/>
    <n v="4"/>
    <s v="Medicaid"/>
    <x v="1"/>
    <s v="Medicaid"/>
    <n v="16539.18"/>
    <n v="4992.24"/>
    <n v="0"/>
  </r>
  <r>
    <x v="2554"/>
    <s v="Peconic Bay Medical Center"/>
    <n v="2015"/>
    <n v="4"/>
    <s v="Medicaid"/>
    <x v="1"/>
    <s v="Medicaid"/>
    <n v="13227.78"/>
    <n v="3926.98"/>
    <n v="0"/>
  </r>
  <r>
    <x v="2555"/>
    <s v="Peconic Bay Medical Center"/>
    <n v="2015"/>
    <n v="4"/>
    <s v="Medicaid"/>
    <x v="1"/>
    <s v="Medicaid"/>
    <n v="131326.92000000001"/>
    <n v="50732.33"/>
    <n v="0"/>
  </r>
  <r>
    <x v="2556"/>
    <s v="Peconic Bay Medical Center"/>
    <n v="2015"/>
    <n v="4"/>
    <s v="Medicaid"/>
    <x v="1"/>
    <s v="Medicaid"/>
    <n v="11740.52"/>
    <n v="3207.77"/>
    <n v="0"/>
  </r>
  <r>
    <x v="2557"/>
    <s v="Peconic Bay Medical Center"/>
    <n v="2015"/>
    <n v="4"/>
    <s v="Medicaid"/>
    <x v="1"/>
    <s v="Medicaid"/>
    <n v="44260.58"/>
    <n v="14081.18"/>
    <n v="0"/>
  </r>
  <r>
    <x v="2558"/>
    <s v="Peconic Bay Medical Center"/>
    <n v="2015"/>
    <n v="4"/>
    <s v="Medicaid"/>
    <x v="1"/>
    <s v="Medicaid"/>
    <n v="23778.240000000002"/>
    <n v="6498.9"/>
    <n v="0"/>
  </r>
  <r>
    <x v="2559"/>
    <s v="Peconic Bay Medical Center"/>
    <n v="2015"/>
    <n v="4"/>
    <s v="Medicaid"/>
    <x v="1"/>
    <s v="Medicaid"/>
    <n v="16229.52"/>
    <n v="4575.51"/>
    <n v="0"/>
  </r>
  <r>
    <x v="2560"/>
    <s v="Peconic Bay Medical Center"/>
    <n v="2015"/>
    <n v="4"/>
    <s v="Medicaid"/>
    <x v="1"/>
    <s v="Medicaid"/>
    <n v="6840.08"/>
    <n v="2004.88"/>
    <n v="0"/>
  </r>
  <r>
    <x v="2561"/>
    <s v="Peconic Bay Medical Center"/>
    <n v="2015"/>
    <n v="4"/>
    <s v="Medicaid"/>
    <x v="1"/>
    <s v="Medicaid"/>
    <n v="15284.84"/>
    <n v="3169.31"/>
    <n v="0"/>
  </r>
  <r>
    <x v="2562"/>
    <s v="Peconic Bay Medical Center"/>
    <n v="2015"/>
    <n v="4"/>
    <s v="Medicaid"/>
    <x v="1"/>
    <s v="Medicaid"/>
    <n v="20971.38"/>
    <n v="5847.71"/>
    <n v="0"/>
  </r>
  <r>
    <x v="2563"/>
    <s v="Peconic Bay Medical Center"/>
    <n v="2015"/>
    <n v="4"/>
    <s v="Medicaid"/>
    <x v="1"/>
    <s v="Medicaid"/>
    <n v="28733.88"/>
    <n v="12449.86"/>
    <n v="0"/>
  </r>
  <r>
    <x v="2564"/>
    <s v="Peconic Bay Medical Center"/>
    <n v="2015"/>
    <n v="4"/>
    <s v="Medicaid"/>
    <x v="1"/>
    <s v="Medicaid"/>
    <n v="25136.560000000001"/>
    <n v="7354.05"/>
    <n v="0"/>
  </r>
  <r>
    <x v="2565"/>
    <s v="Peconic Bay Medical Center"/>
    <n v="2015"/>
    <n v="4"/>
    <s v="Medicaid"/>
    <x v="1"/>
    <s v="Medicaid"/>
    <n v="18442.98"/>
    <n v="3977.48"/>
    <n v="0"/>
  </r>
  <r>
    <x v="2566"/>
    <s v="Peconic Bay Medical Center"/>
    <n v="2015"/>
    <n v="4"/>
    <s v="Medicaid"/>
    <x v="1"/>
    <s v="Medicaid"/>
    <n v="49926.46"/>
    <n v="14257.88"/>
    <n v="0"/>
  </r>
  <r>
    <x v="2567"/>
    <s v="Peconic Bay Medical Center"/>
    <n v="2015"/>
    <n v="4"/>
    <s v="Medicaid"/>
    <x v="1"/>
    <s v="Medicaid"/>
    <n v="44734.42"/>
    <n v="14421.19"/>
    <n v="0"/>
  </r>
  <r>
    <x v="2568"/>
    <s v="Peconic Bay Medical Center"/>
    <n v="2015"/>
    <n v="4"/>
    <s v="Medicaid"/>
    <x v="1"/>
    <s v="Medicaid"/>
    <n v="76155.520000000004"/>
    <n v="35515.699999999997"/>
    <n v="0"/>
  </r>
  <r>
    <x v="2569"/>
    <s v="Peconic Bay Medical Center"/>
    <n v="2015"/>
    <n v="4"/>
    <s v="Medicaid"/>
    <x v="1"/>
    <s v="Medicaid"/>
    <n v="46039.44"/>
    <n v="13035.91"/>
    <n v="0"/>
  </r>
  <r>
    <x v="2570"/>
    <s v="Peconic Bay Medical Center"/>
    <n v="2015"/>
    <n v="4"/>
    <s v="Medicaid"/>
    <x v="1"/>
    <s v="Medicaid"/>
    <n v="43284.76"/>
    <n v="10375.25"/>
    <n v="0"/>
  </r>
  <r>
    <x v="2571"/>
    <s v="Peconic Bay Medical Center"/>
    <n v="2015"/>
    <n v="4"/>
    <s v="Medicaid"/>
    <x v="1"/>
    <s v="Medicaid"/>
    <n v="62138.3"/>
    <n v="23347.53"/>
    <n v="0"/>
  </r>
  <r>
    <x v="2572"/>
    <s v="Peconic Bay Medical Center"/>
    <n v="2015"/>
    <n v="4"/>
    <s v="Medicaid"/>
    <x v="1"/>
    <s v="Medicaid"/>
    <n v="25065.24"/>
    <n v="6582.68"/>
    <n v="0"/>
  </r>
  <r>
    <x v="2573"/>
    <s v="Peconic Bay Medical Center"/>
    <n v="2015"/>
    <n v="4"/>
    <s v="Medicaid"/>
    <x v="1"/>
    <s v="Medicaid"/>
    <n v="23293.38"/>
    <n v="7442.85"/>
    <n v="0"/>
  </r>
  <r>
    <x v="2574"/>
    <s v="Peconic Bay Medical Center"/>
    <n v="2015"/>
    <n v="4"/>
    <s v="Medicaid"/>
    <x v="1"/>
    <s v="Medicaid"/>
    <n v="25051.88"/>
    <n v="6270.22"/>
    <n v="0"/>
  </r>
  <r>
    <x v="2575"/>
    <s v="Peconic Bay Medical Center"/>
    <n v="2015"/>
    <n v="4"/>
    <s v="Medicaid"/>
    <x v="1"/>
    <s v="Medicaid"/>
    <n v="23468.84"/>
    <n v="6267.71"/>
    <n v="0"/>
  </r>
  <r>
    <x v="2576"/>
    <s v="Peconic Bay Medical Center"/>
    <n v="2015"/>
    <n v="4"/>
    <s v="Medicaid"/>
    <x v="1"/>
    <s v="Medicaid"/>
    <n v="55282.080000000002"/>
    <n v="31920.49"/>
    <n v="0"/>
  </r>
  <r>
    <x v="2577"/>
    <s v="Peconic Bay Medical Center"/>
    <n v="2015"/>
    <n v="4"/>
    <s v="Medicaid"/>
    <x v="1"/>
    <s v="Medicaid"/>
    <n v="22030.78"/>
    <n v="5549.83"/>
    <n v="0"/>
  </r>
  <r>
    <x v="2578"/>
    <s v="Peconic Bay Medical Center"/>
    <n v="2015"/>
    <n v="4"/>
    <s v="Medicaid"/>
    <x v="1"/>
    <s v="Medicaid"/>
    <n v="32071.919999999998"/>
    <n v="15023.39"/>
    <n v="0"/>
  </r>
  <r>
    <x v="2579"/>
    <s v="Peconic Bay Medical Center"/>
    <n v="2015"/>
    <n v="4"/>
    <s v="Medicaid"/>
    <x v="1"/>
    <s v="Medicaid"/>
    <n v="12331.56"/>
    <n v="3453.88"/>
    <n v="0"/>
  </r>
  <r>
    <x v="2580"/>
    <s v="Peconic Bay Medical Center"/>
    <n v="2015"/>
    <n v="4"/>
    <s v="Medicaid"/>
    <x v="1"/>
    <s v="Medicaid"/>
    <n v="11207.36"/>
    <n v="2506.19"/>
    <n v="0"/>
  </r>
  <r>
    <x v="2581"/>
    <s v="Peconic Bay Medical Center"/>
    <n v="2015"/>
    <n v="4"/>
    <s v="Medicaid"/>
    <x v="1"/>
    <s v="Medicaid"/>
    <n v="68533.179999999993"/>
    <n v="30864.71"/>
    <n v="0"/>
  </r>
  <r>
    <x v="2582"/>
    <s v="Peconic Bay Medical Center"/>
    <n v="2015"/>
    <n v="4"/>
    <s v="Medicaid"/>
    <x v="1"/>
    <s v="Medicaid"/>
    <n v="21312.7"/>
    <n v="6477.68"/>
    <n v="0"/>
  </r>
  <r>
    <x v="2583"/>
    <s v="Peconic Bay Medical Center"/>
    <n v="2015"/>
    <n v="4"/>
    <s v="Medicaid"/>
    <x v="1"/>
    <s v="Medicaid"/>
    <n v="25257.5"/>
    <n v="12905.98"/>
    <n v="0"/>
  </r>
  <r>
    <x v="2584"/>
    <s v="Peconic Bay Medical Center"/>
    <n v="2015"/>
    <n v="4"/>
    <s v="Medicaid"/>
    <x v="1"/>
    <s v="Medicaid"/>
    <n v="26859.84"/>
    <n v="8215.9"/>
    <n v="0"/>
  </r>
  <r>
    <x v="2585"/>
    <s v="Peconic Bay Medical Center"/>
    <n v="2015"/>
    <n v="4"/>
    <s v="Medicaid"/>
    <x v="1"/>
    <s v="Medicaid"/>
    <n v="70661.14"/>
    <n v="19817.740000000002"/>
    <n v="0"/>
  </r>
  <r>
    <x v="2586"/>
    <s v="Peconic Bay Medical Center"/>
    <n v="2015"/>
    <n v="4"/>
    <s v="Medicaid"/>
    <x v="1"/>
    <s v="Medicaid"/>
    <n v="31184.639999999999"/>
    <n v="9699.2099999999991"/>
    <n v="0"/>
  </r>
  <r>
    <x v="2587"/>
    <s v="Peconic Bay Medical Center"/>
    <n v="2015"/>
    <n v="4"/>
    <s v="Medicaid"/>
    <x v="1"/>
    <s v="Medicaid"/>
    <n v="19186.66"/>
    <n v="5387.24"/>
    <n v="0"/>
  </r>
  <r>
    <x v="2588"/>
    <s v="Peconic Bay Medical Center"/>
    <n v="2015"/>
    <n v="4"/>
    <s v="Medicaid"/>
    <x v="1"/>
    <s v="Medicaid"/>
    <n v="27539.279999999999"/>
    <n v="7479.04"/>
    <n v="0"/>
  </r>
  <r>
    <x v="2589"/>
    <s v="Peconic Bay Medical Center"/>
    <n v="2015"/>
    <n v="4"/>
    <s v="Medicaid"/>
    <x v="1"/>
    <s v="Medicaid"/>
    <n v="57006.44"/>
    <n v="17208.03"/>
    <n v="0"/>
  </r>
  <r>
    <x v="2590"/>
    <s v="Peconic Bay Medical Center"/>
    <n v="2015"/>
    <n v="4"/>
    <s v="Medicaid"/>
    <x v="1"/>
    <s v="Medicaid"/>
    <n v="18408.259999999998"/>
    <n v="4789.07"/>
    <n v="0"/>
  </r>
  <r>
    <x v="2591"/>
    <s v="Peconic Bay Medical Center"/>
    <n v="2015"/>
    <n v="4"/>
    <s v="Medicaid"/>
    <x v="1"/>
    <s v="Medicaid"/>
    <n v="32198.18"/>
    <n v="10206.879999999999"/>
    <n v="0"/>
  </r>
  <r>
    <x v="2592"/>
    <s v="Peconic Bay Medical Center"/>
    <n v="2015"/>
    <n v="4"/>
    <s v="Medicaid"/>
    <x v="1"/>
    <s v="Medicaid"/>
    <n v="28621.02"/>
    <n v="13938.36"/>
    <n v="0"/>
  </r>
  <r>
    <x v="2593"/>
    <s v="Peconic Bay Medical Center"/>
    <n v="2015"/>
    <n v="4"/>
    <s v="Medicaid"/>
    <x v="1"/>
    <s v="Medicaid"/>
    <n v="84292.98"/>
    <n v="27339.73"/>
    <n v="0"/>
  </r>
  <r>
    <x v="2594"/>
    <s v="Peconic Bay Medical Center"/>
    <n v="2015"/>
    <n v="4"/>
    <s v="Medicaid"/>
    <x v="1"/>
    <s v="Medicaid"/>
    <n v="28735.64"/>
    <n v="9362.77"/>
    <n v="0"/>
  </r>
  <r>
    <x v="2595"/>
    <s v="Peconic Bay Medical Center"/>
    <n v="2015"/>
    <n v="4"/>
    <s v="Medicaid"/>
    <x v="1"/>
    <s v="Medicaid"/>
    <n v="22306.22"/>
    <n v="4998.79"/>
    <n v="0"/>
  </r>
  <r>
    <x v="2596"/>
    <s v="Peconic Bay Medical Center"/>
    <n v="2015"/>
    <n v="4"/>
    <s v="Medicaid"/>
    <x v="1"/>
    <s v="Medicaid"/>
    <n v="66924.800000000003"/>
    <n v="21520.42"/>
    <n v="0"/>
  </r>
  <r>
    <x v="2597"/>
    <s v="Peconic Bay Medical Center"/>
    <n v="2015"/>
    <n v="4"/>
    <s v="Medicaid"/>
    <x v="1"/>
    <s v="Medicaid"/>
    <n v="11578.9"/>
    <n v="2675.93"/>
    <n v="0"/>
  </r>
  <r>
    <x v="2598"/>
    <s v="Peconic Bay Medical Center"/>
    <n v="2015"/>
    <n v="4"/>
    <s v="Medicaid"/>
    <x v="1"/>
    <s v="Medicaid"/>
    <n v="9968.6200000000008"/>
    <n v="2767.11"/>
    <n v="0"/>
  </r>
  <r>
    <x v="2599"/>
    <s v="Peconic Bay Medical Center"/>
    <n v="2015"/>
    <n v="4"/>
    <s v="Medicaid"/>
    <x v="1"/>
    <s v="Medicaid"/>
    <n v="27118.880000000001"/>
    <n v="7788.74"/>
    <n v="0"/>
  </r>
  <r>
    <x v="2600"/>
    <s v="Peconic Bay Medical Center"/>
    <n v="2015"/>
    <n v="4"/>
    <s v="Medicaid"/>
    <x v="1"/>
    <s v="Medicaid"/>
    <n v="88875.5"/>
    <n v="46407.17"/>
    <n v="0"/>
  </r>
  <r>
    <x v="2601"/>
    <s v="Peconic Bay Medical Center"/>
    <n v="2015"/>
    <n v="4"/>
    <s v="Medicaid"/>
    <x v="1"/>
    <s v="Medicaid"/>
    <n v="13339.1"/>
    <n v="4198.5600000000004"/>
    <n v="0"/>
  </r>
  <r>
    <x v="2602"/>
    <s v="Peconic Bay Medical Center"/>
    <n v="2015"/>
    <n v="4"/>
    <s v="Medicaid"/>
    <x v="1"/>
    <s v="Medicaid"/>
    <n v="29044.32"/>
    <n v="7762.45"/>
    <n v="0"/>
  </r>
  <r>
    <x v="2603"/>
    <s v="Peconic Bay Medical Center"/>
    <n v="2015"/>
    <n v="4"/>
    <s v="Medicaid"/>
    <x v="1"/>
    <s v="Medicaid"/>
    <n v="14994.46"/>
    <n v="2611.04"/>
    <n v="0"/>
  </r>
  <r>
    <x v="2604"/>
    <s v="Peconic Bay Medical Center"/>
    <n v="2015"/>
    <n v="4"/>
    <s v="Medicaid"/>
    <x v="1"/>
    <s v="Medicaid"/>
    <n v="14373.16"/>
    <n v="2963.13"/>
    <n v="0"/>
  </r>
  <r>
    <x v="2605"/>
    <s v="Peconic Bay Medical Center"/>
    <n v="2015"/>
    <n v="4"/>
    <s v="Medicaid"/>
    <x v="1"/>
    <s v="Medicaid"/>
    <n v="18635.419999999998"/>
    <n v="5428.12"/>
    <n v="0"/>
  </r>
  <r>
    <x v="2606"/>
    <s v="Peconic Bay Medical Center"/>
    <n v="2015"/>
    <n v="4"/>
    <s v="Medicaid"/>
    <x v="1"/>
    <s v="Medicaid"/>
    <n v="40253.08"/>
    <n v="17946.810000000001"/>
    <n v="0"/>
  </r>
  <r>
    <x v="2607"/>
    <s v="Peconic Bay Medical Center"/>
    <n v="2015"/>
    <n v="4"/>
    <s v="Medicaid"/>
    <x v="1"/>
    <s v="Medicaid"/>
    <n v="23337.24"/>
    <n v="7343.43"/>
    <n v="0"/>
  </r>
  <r>
    <x v="2608"/>
    <s v="Peconic Bay Medical Center"/>
    <n v="2015"/>
    <n v="4"/>
    <s v="Medicaid"/>
    <x v="1"/>
    <s v="Medicaid"/>
    <n v="26660.92"/>
    <n v="10053.58"/>
    <n v="0"/>
  </r>
  <r>
    <x v="2609"/>
    <s v="Peconic Bay Medical Center"/>
    <n v="2015"/>
    <n v="4"/>
    <s v="Medicaid"/>
    <x v="1"/>
    <s v="Medicaid"/>
    <n v="69995.28"/>
    <n v="26259.42"/>
    <n v="0"/>
  </r>
  <r>
    <x v="2610"/>
    <s v="Peconic Bay Medical Center"/>
    <n v="2015"/>
    <n v="4"/>
    <s v="Medicaid"/>
    <x v="1"/>
    <s v="Medicaid"/>
    <n v="39159.360000000001"/>
    <n v="13923.88"/>
    <n v="0"/>
  </r>
  <r>
    <x v="2611"/>
    <s v="Peconic Bay Medical Center"/>
    <n v="2015"/>
    <n v="4"/>
    <s v="Medicaid"/>
    <x v="1"/>
    <s v="Medicaid"/>
    <n v="21088.5"/>
    <n v="9924.07"/>
    <n v="0"/>
  </r>
  <r>
    <x v="2612"/>
    <s v="Peconic Bay Medical Center"/>
    <n v="2015"/>
    <n v="4"/>
    <s v="Medicaid"/>
    <x v="1"/>
    <s v="Medicaid"/>
    <n v="25551.46"/>
    <n v="10710.79"/>
    <n v="0"/>
  </r>
  <r>
    <x v="2613"/>
    <s v="Peconic Bay Medical Center"/>
    <n v="2015"/>
    <n v="4"/>
    <s v="Medicaid"/>
    <x v="1"/>
    <s v="Medicaid"/>
    <n v="41921.64"/>
    <n v="11371.34"/>
    <n v="0"/>
  </r>
  <r>
    <x v="2614"/>
    <s v="Peconic Bay Medical Center"/>
    <n v="2015"/>
    <n v="4"/>
    <s v="Medicaid"/>
    <x v="1"/>
    <s v="Medicaid"/>
    <n v="27585.4"/>
    <n v="9023.7199999999993"/>
    <n v="0"/>
  </r>
  <r>
    <x v="2615"/>
    <s v="Peconic Bay Medical Center"/>
    <n v="2015"/>
    <n v="4"/>
    <s v="Medicaid"/>
    <x v="1"/>
    <s v="Medicaid"/>
    <n v="16255.26"/>
    <n v="4250.74"/>
    <n v="0"/>
  </r>
  <r>
    <x v="2616"/>
    <s v="Peconic Bay Medical Center"/>
    <n v="2015"/>
    <n v="4"/>
    <s v="Medicaid"/>
    <x v="1"/>
    <s v="Medicaid"/>
    <n v="20641.8"/>
    <n v="8758.3700000000008"/>
    <n v="0"/>
  </r>
  <r>
    <x v="2617"/>
    <s v="Peconic Bay Medical Center"/>
    <n v="2015"/>
    <n v="4"/>
    <s v="Medicaid"/>
    <x v="1"/>
    <s v="Medicaid"/>
    <n v="39228.86"/>
    <n v="11598.71"/>
    <n v="0"/>
  </r>
  <r>
    <x v="2618"/>
    <s v="Peconic Bay Medical Center"/>
    <n v="2015"/>
    <n v="4"/>
    <s v="Medicaid"/>
    <x v="1"/>
    <s v="Medicaid"/>
    <n v="17056.759999999998"/>
    <n v="4439.1899999999996"/>
    <n v="0"/>
  </r>
  <r>
    <x v="2619"/>
    <s v="Peconic Bay Medical Center"/>
    <n v="2015"/>
    <n v="4"/>
    <s v="Medicaid"/>
    <x v="1"/>
    <s v="Medicaid"/>
    <n v="20023.78"/>
    <n v="5588.51"/>
    <n v="0"/>
  </r>
  <r>
    <x v="2620"/>
    <s v="Peconic Bay Medical Center"/>
    <n v="2015"/>
    <n v="4"/>
    <s v="Medicaid"/>
    <x v="1"/>
    <s v="Medicaid"/>
    <n v="17311.54"/>
    <n v="4971.32"/>
    <n v="0"/>
  </r>
  <r>
    <x v="2621"/>
    <s v="Peconic Bay Medical Center"/>
    <n v="2015"/>
    <n v="4"/>
    <s v="Medicaid"/>
    <x v="1"/>
    <s v="Medicaid"/>
    <n v="20701.78"/>
    <n v="12190.46"/>
    <n v="0"/>
  </r>
  <r>
    <x v="2622"/>
    <s v="Peconic Bay Medical Center"/>
    <n v="2015"/>
    <n v="4"/>
    <s v="Medicaid"/>
    <x v="1"/>
    <s v="Medicaid"/>
    <n v="19034.88"/>
    <n v="5536.98"/>
    <n v="0"/>
  </r>
  <r>
    <x v="2623"/>
    <s v="Peconic Bay Medical Center"/>
    <n v="2015"/>
    <n v="4"/>
    <s v="Medicaid"/>
    <x v="1"/>
    <s v="Medicaid"/>
    <n v="15986.66"/>
    <n v="3085.24"/>
    <n v="0"/>
  </r>
  <r>
    <x v="2624"/>
    <s v="Peconic Bay Medical Center"/>
    <n v="2015"/>
    <n v="4"/>
    <s v="Medicaid"/>
    <x v="1"/>
    <s v="Medicaid"/>
    <n v="11323.58"/>
    <n v="2654.24"/>
    <n v="0"/>
  </r>
  <r>
    <x v="2625"/>
    <s v="Peconic Bay Medical Center"/>
    <n v="2015"/>
    <n v="4"/>
    <s v="Medicaid"/>
    <x v="1"/>
    <s v="Medicaid"/>
    <n v="16200.84"/>
    <n v="4794.04"/>
    <n v="0"/>
  </r>
  <r>
    <x v="2626"/>
    <s v="Peconic Bay Medical Center"/>
    <n v="2015"/>
    <n v="4"/>
    <s v="Medicaid"/>
    <x v="1"/>
    <s v="Medicaid"/>
    <n v="28425.58"/>
    <n v="8594.91"/>
    <n v="0"/>
  </r>
  <r>
    <x v="2627"/>
    <s v="Peconic Bay Medical Center"/>
    <n v="2015"/>
    <n v="4"/>
    <s v="Medicaid"/>
    <x v="1"/>
    <s v="Medicaid"/>
    <n v="28189.66"/>
    <n v="6637.76"/>
    <n v="0"/>
  </r>
  <r>
    <x v="2628"/>
    <s v="Peconic Bay Medical Center"/>
    <n v="2015"/>
    <n v="4"/>
    <s v="Medicaid"/>
    <x v="1"/>
    <s v="Medicaid"/>
    <n v="45535.78"/>
    <n v="10200.799999999999"/>
    <n v="0"/>
  </r>
  <r>
    <x v="2629"/>
    <s v="Peconic Bay Medical Center"/>
    <n v="2015"/>
    <n v="4"/>
    <s v="Medicaid"/>
    <x v="1"/>
    <s v="Medicaid"/>
    <n v="37627.980000000003"/>
    <n v="11174.74"/>
    <n v="0"/>
  </r>
  <r>
    <x v="2630"/>
    <s v="Peconic Bay Medical Center"/>
    <n v="2015"/>
    <n v="4"/>
    <s v="Medicaid"/>
    <x v="1"/>
    <s v="Medicaid"/>
    <n v="18432.04"/>
    <n v="3709.63"/>
    <n v="0"/>
  </r>
  <r>
    <x v="2631"/>
    <s v="Peconic Bay Medical Center"/>
    <n v="2015"/>
    <n v="4"/>
    <s v="Medicaid"/>
    <x v="1"/>
    <s v="Medicaid"/>
    <n v="21075.32"/>
    <n v="9077.3700000000008"/>
    <n v="0"/>
  </r>
  <r>
    <x v="2632"/>
    <s v="Peconic Bay Medical Center"/>
    <n v="2015"/>
    <n v="4"/>
    <s v="Medicaid"/>
    <x v="1"/>
    <s v="Medicaid"/>
    <n v="20686.98"/>
    <n v="5227.41"/>
    <n v="0"/>
  </r>
  <r>
    <x v="2633"/>
    <s v="Peconic Bay Medical Center"/>
    <n v="2015"/>
    <n v="4"/>
    <s v="Medicaid"/>
    <x v="1"/>
    <s v="Medicaid"/>
    <n v="29340.58"/>
    <n v="7981.46"/>
    <n v="0"/>
  </r>
  <r>
    <x v="2634"/>
    <s v="Peconic Bay Medical Center"/>
    <n v="2015"/>
    <n v="4"/>
    <s v="Medicaid"/>
    <x v="1"/>
    <s v="Medicaid"/>
    <n v="12214.82"/>
    <n v="2936.07"/>
    <n v="0"/>
  </r>
  <r>
    <x v="2635"/>
    <s v="Peconic Bay Medical Center"/>
    <n v="2015"/>
    <n v="4"/>
    <s v="Medicaid"/>
    <x v="1"/>
    <s v="Medicaid"/>
    <n v="59180.6"/>
    <n v="16354.23"/>
    <n v="0"/>
  </r>
  <r>
    <x v="2636"/>
    <s v="Peconic Bay Medical Center"/>
    <n v="2015"/>
    <n v="4"/>
    <s v="Medicaid"/>
    <x v="1"/>
    <s v="Medicaid"/>
    <n v="21405.4"/>
    <n v="9236.0400000000009"/>
    <n v="0"/>
  </r>
  <r>
    <x v="2637"/>
    <s v="Peconic Bay Medical Center"/>
    <n v="2015"/>
    <n v="4"/>
    <s v="Medicaid"/>
    <x v="1"/>
    <s v="Medicaid"/>
    <n v="24481.360000000001"/>
    <n v="7208.31"/>
    <n v="0"/>
  </r>
  <r>
    <x v="2638"/>
    <s v="Peconic Bay Medical Center"/>
    <n v="2015"/>
    <n v="4"/>
    <s v="Medicaid"/>
    <x v="1"/>
    <s v="Medicaid"/>
    <n v="34174.68"/>
    <n v="16146.85"/>
    <n v="0"/>
  </r>
  <r>
    <x v="2639"/>
    <s v="Peconic Bay Medical Center"/>
    <n v="2015"/>
    <n v="4"/>
    <s v="Medicaid"/>
    <x v="1"/>
    <s v="Medicaid"/>
    <n v="24047.46"/>
    <n v="7264.81"/>
    <n v="0"/>
  </r>
  <r>
    <x v="2640"/>
    <s v="Peconic Bay Medical Center"/>
    <n v="2015"/>
    <n v="4"/>
    <s v="Medicaid"/>
    <x v="1"/>
    <s v="Medicaid"/>
    <n v="30746.82"/>
    <n v="8573.42"/>
    <n v="0"/>
  </r>
  <r>
    <x v="2641"/>
    <s v="Peconic Bay Medical Center"/>
    <n v="2015"/>
    <n v="4"/>
    <s v="Medicaid"/>
    <x v="1"/>
    <s v="Medicaid"/>
    <n v="32648.46"/>
    <n v="8373.7000000000007"/>
    <n v="0"/>
  </r>
  <r>
    <x v="2642"/>
    <s v="Peconic Bay Medical Center"/>
    <n v="2015"/>
    <n v="4"/>
    <s v="Medicaid"/>
    <x v="1"/>
    <s v="Medicaid"/>
    <n v="12874.9"/>
    <n v="4197.99"/>
    <n v="0"/>
  </r>
  <r>
    <x v="2643"/>
    <s v="Peconic Bay Medical Center"/>
    <n v="2015"/>
    <n v="4"/>
    <s v="Medicaid"/>
    <x v="1"/>
    <s v="Medicaid"/>
    <n v="27181.42"/>
    <n v="8346.42"/>
    <n v="0"/>
  </r>
  <r>
    <x v="2644"/>
    <s v="Peconic Bay Medical Center"/>
    <n v="2015"/>
    <n v="4"/>
    <s v="Medicaid"/>
    <x v="1"/>
    <s v="Medicaid"/>
    <n v="12953.64"/>
    <n v="4339.96"/>
    <n v="0"/>
  </r>
  <r>
    <x v="2645"/>
    <s v="Peconic Bay Medical Center"/>
    <n v="2015"/>
    <n v="4"/>
    <s v="Medicaid"/>
    <x v="1"/>
    <s v="Medicaid"/>
    <n v="23124.66"/>
    <n v="5965.43"/>
    <n v="0"/>
  </r>
  <r>
    <x v="2646"/>
    <s v="Peconic Bay Medical Center"/>
    <n v="2015"/>
    <n v="4"/>
    <s v="Medicaid"/>
    <x v="1"/>
    <s v="Medicaid"/>
    <n v="29096.66"/>
    <n v="9050.64"/>
    <n v="0"/>
  </r>
  <r>
    <x v="2647"/>
    <s v="Peconic Bay Medical Center"/>
    <n v="2015"/>
    <n v="4"/>
    <s v="Medicaid"/>
    <x v="1"/>
    <s v="Medicaid"/>
    <n v="40290.26"/>
    <n v="20895.43"/>
    <n v="0"/>
  </r>
  <r>
    <x v="2648"/>
    <s v="Peconic Bay Medical Center"/>
    <n v="2015"/>
    <n v="4"/>
    <s v="Medicaid"/>
    <x v="1"/>
    <s v="Medicaid"/>
    <n v="11268.94"/>
    <n v="3470.26"/>
    <n v="0"/>
  </r>
  <r>
    <x v="2649"/>
    <s v="Peconic Bay Medical Center"/>
    <n v="2015"/>
    <n v="4"/>
    <s v="Medicaid"/>
    <x v="1"/>
    <s v="Medicaid"/>
    <n v="11390.98"/>
    <n v="3040.22"/>
    <n v="0"/>
  </r>
  <r>
    <x v="2650"/>
    <s v="Peconic Bay Medical Center"/>
    <n v="2015"/>
    <n v="4"/>
    <s v="Medicaid"/>
    <x v="1"/>
    <s v="Medicaid"/>
    <n v="10075.56"/>
    <n v="2821.12"/>
    <n v="0"/>
  </r>
  <r>
    <x v="2651"/>
    <s v="Peconic Bay Medical Center"/>
    <n v="2015"/>
    <n v="4"/>
    <s v="Medicaid"/>
    <x v="1"/>
    <s v="Medicaid"/>
    <n v="18683.18"/>
    <n v="4697.05"/>
    <n v="0"/>
  </r>
  <r>
    <x v="2652"/>
    <s v="Peconic Bay Medical Center"/>
    <n v="2015"/>
    <n v="4"/>
    <s v="Medicaid"/>
    <x v="1"/>
    <s v="Medicaid"/>
    <n v="156215.20000000001"/>
    <n v="66952.09"/>
    <n v="0"/>
  </r>
  <r>
    <x v="2653"/>
    <s v="Peconic Bay Medical Center"/>
    <n v="2015"/>
    <n v="4"/>
    <s v="Medicaid"/>
    <x v="1"/>
    <s v="Medicaid"/>
    <n v="16832.740000000002"/>
    <n v="4478.13"/>
    <n v="0"/>
  </r>
  <r>
    <x v="2654"/>
    <s v="Peconic Bay Medical Center"/>
    <n v="2015"/>
    <n v="4"/>
    <s v="Medicaid"/>
    <x v="1"/>
    <s v="Medicaid"/>
    <n v="23519.78"/>
    <n v="7026.83"/>
    <n v="0"/>
  </r>
  <r>
    <x v="2655"/>
    <s v="Peconic Bay Medical Center"/>
    <n v="2015"/>
    <n v="4"/>
    <s v="Medicaid"/>
    <x v="1"/>
    <s v="Medicaid"/>
    <n v="8434.94"/>
    <n v="2515.0500000000002"/>
    <n v="0"/>
  </r>
  <r>
    <x v="2656"/>
    <s v="Peconic Bay Medical Center"/>
    <n v="2015"/>
    <n v="4"/>
    <s v="Medicaid"/>
    <x v="1"/>
    <s v="Medicaid"/>
    <n v="44436.480000000003"/>
    <n v="13524.78"/>
    <n v="0"/>
  </r>
  <r>
    <x v="2657"/>
    <s v="Peconic Bay Medical Center"/>
    <n v="2015"/>
    <n v="4"/>
    <s v="Medicaid"/>
    <x v="1"/>
    <s v="Medicaid"/>
    <n v="25547.66"/>
    <n v="14374.89"/>
    <n v="0"/>
  </r>
  <r>
    <x v="2658"/>
    <s v="Peconic Bay Medical Center"/>
    <n v="2015"/>
    <n v="4"/>
    <s v="Medicaid"/>
    <x v="1"/>
    <s v="Medicaid"/>
    <n v="26482.66"/>
    <n v="12584.8"/>
    <n v="0"/>
  </r>
  <r>
    <x v="2659"/>
    <s v="Peconic Bay Medical Center"/>
    <n v="2015"/>
    <n v="4"/>
    <s v="Medicaid"/>
    <x v="1"/>
    <s v="Medicaid"/>
    <n v="30204.84"/>
    <n v="9471.69"/>
    <n v="0"/>
  </r>
  <r>
    <x v="2660"/>
    <s v="Peconic Bay Medical Center"/>
    <n v="2015"/>
    <n v="4"/>
    <s v="Medicaid"/>
    <x v="1"/>
    <s v="Medicaid"/>
    <n v="21436.560000000001"/>
    <n v="5228.99"/>
    <n v="0"/>
  </r>
  <r>
    <x v="2661"/>
    <s v="Peconic Bay Medical Center"/>
    <n v="2015"/>
    <n v="4"/>
    <s v="Medicaid"/>
    <x v="1"/>
    <s v="Medicaid"/>
    <n v="46543.62"/>
    <n v="24496.55"/>
    <n v="0"/>
  </r>
  <r>
    <x v="2662"/>
    <s v="Peconic Bay Medical Center"/>
    <n v="2015"/>
    <n v="4"/>
    <s v="Medicaid"/>
    <x v="1"/>
    <s v="Medicaid"/>
    <n v="33274.800000000003"/>
    <n v="18346.91"/>
    <n v="0"/>
  </r>
  <r>
    <x v="2663"/>
    <s v="Peconic Bay Medical Center"/>
    <n v="2015"/>
    <n v="4"/>
    <s v="Medicaid"/>
    <x v="1"/>
    <s v="Medicaid"/>
    <n v="24924.52"/>
    <n v="13253.96"/>
    <n v="0"/>
  </r>
  <r>
    <x v="2664"/>
    <s v="Peconic Bay Medical Center"/>
    <n v="2015"/>
    <n v="4"/>
    <s v="Medicaid"/>
    <x v="1"/>
    <s v="Medicaid"/>
    <n v="40515.96"/>
    <n v="20097.25"/>
    <n v="0"/>
  </r>
  <r>
    <x v="2665"/>
    <s v="Peconic Bay Medical Center"/>
    <n v="2015"/>
    <n v="4"/>
    <s v="Medicaid"/>
    <x v="1"/>
    <s v="Medicaid"/>
    <n v="35973.26"/>
    <n v="11066.71"/>
    <n v="0"/>
  </r>
  <r>
    <x v="2666"/>
    <s v="Peconic Bay Medical Center"/>
    <n v="2015"/>
    <n v="4"/>
    <s v="Medicaid"/>
    <x v="1"/>
    <s v="Medicaid"/>
    <n v="15813.44"/>
    <n v="4230.26"/>
    <n v="0"/>
  </r>
  <r>
    <x v="2667"/>
    <s v="Peconic Bay Medical Center"/>
    <n v="2015"/>
    <n v="4"/>
    <s v="Medicaid"/>
    <x v="1"/>
    <s v="Medicaid"/>
    <n v="21044.84"/>
    <n v="5067.13"/>
    <n v="0"/>
  </r>
  <r>
    <x v="2668"/>
    <s v="Peconic Bay Medical Center"/>
    <n v="2015"/>
    <n v="4"/>
    <s v="Medicaid"/>
    <x v="1"/>
    <s v="Medicaid"/>
    <n v="21052.799999999999"/>
    <n v="5074.4399999999996"/>
    <n v="0"/>
  </r>
  <r>
    <x v="2669"/>
    <s v="Peconic Bay Medical Center"/>
    <n v="2015"/>
    <n v="4"/>
    <s v="Medicaid"/>
    <x v="1"/>
    <s v="Medicaid"/>
    <n v="37373.980000000003"/>
    <n v="11012.13"/>
    <n v="0"/>
  </r>
  <r>
    <x v="2670"/>
    <s v="Peconic Bay Medical Center"/>
    <n v="2015"/>
    <n v="4"/>
    <s v="Medicaid"/>
    <x v="1"/>
    <s v="Medicaid"/>
    <n v="25116.34"/>
    <n v="9965.84"/>
    <n v="0"/>
  </r>
  <r>
    <x v="2671"/>
    <s v="Peconic Bay Medical Center"/>
    <n v="2015"/>
    <n v="4"/>
    <s v="Medicaid"/>
    <x v="1"/>
    <s v="Medicaid"/>
    <n v="68086.38"/>
    <n v="21177.58"/>
    <n v="0"/>
  </r>
  <r>
    <x v="2672"/>
    <s v="Peconic Bay Medical Center"/>
    <n v="2015"/>
    <n v="4"/>
    <s v="Medicaid"/>
    <x v="1"/>
    <s v="Medicaid"/>
    <n v="11143.7"/>
    <n v="3266.69"/>
    <n v="0"/>
  </r>
  <r>
    <x v="2673"/>
    <s v="Peconic Bay Medical Center"/>
    <n v="2015"/>
    <n v="4"/>
    <s v="Medicaid"/>
    <x v="1"/>
    <s v="Medicaid"/>
    <n v="47993.04"/>
    <n v="15138.13"/>
    <n v="0"/>
  </r>
  <r>
    <x v="2674"/>
    <s v="Peconic Bay Medical Center"/>
    <n v="2015"/>
    <n v="4"/>
    <s v="Medicaid"/>
    <x v="1"/>
    <s v="Medicaid"/>
    <n v="19376.54"/>
    <n v="4760.93"/>
    <n v="0"/>
  </r>
  <r>
    <x v="2675"/>
    <s v="Peconic Bay Medical Center"/>
    <n v="2015"/>
    <n v="4"/>
    <s v="Medicaid"/>
    <x v="1"/>
    <s v="Medicaid"/>
    <n v="16301.6"/>
    <n v="6713.84"/>
    <n v="0"/>
  </r>
  <r>
    <x v="2676"/>
    <s v="Peconic Bay Medical Center"/>
    <n v="2015"/>
    <n v="4"/>
    <s v="Medicaid"/>
    <x v="1"/>
    <s v="Medicaid"/>
    <n v="41258.660000000003"/>
    <n v="12625.01"/>
    <n v="0"/>
  </r>
  <r>
    <x v="2677"/>
    <s v="Peconic Bay Medical Center"/>
    <n v="2015"/>
    <n v="4"/>
    <s v="Medicaid"/>
    <x v="1"/>
    <s v="Medicaid"/>
    <n v="55967.28"/>
    <n v="37241.599999999999"/>
    <n v="0"/>
  </r>
  <r>
    <x v="2678"/>
    <s v="Peconic Bay Medical Center"/>
    <n v="2015"/>
    <n v="4"/>
    <s v="Medicaid"/>
    <x v="1"/>
    <s v="Medicaid"/>
    <n v="26141.7"/>
    <n v="8934.27"/>
    <n v="0"/>
  </r>
  <r>
    <x v="2679"/>
    <s v="Peconic Bay Medical Center"/>
    <n v="2015"/>
    <n v="4"/>
    <s v="Medicaid"/>
    <x v="1"/>
    <s v="Medicaid"/>
    <n v="26740.959999999999"/>
    <n v="7159.07"/>
    <n v="0"/>
  </r>
  <r>
    <x v="2680"/>
    <s v="Peconic Bay Medical Center"/>
    <n v="2015"/>
    <n v="4"/>
    <s v="Medicaid"/>
    <x v="1"/>
    <s v="Medicaid"/>
    <n v="69499.259999999995"/>
    <n v="23059.59"/>
    <n v="0"/>
  </r>
  <r>
    <x v="2681"/>
    <s v="Peconic Bay Medical Center"/>
    <n v="2015"/>
    <n v="4"/>
    <s v="Medicaid"/>
    <x v="1"/>
    <s v="Medicaid"/>
    <n v="40159.86"/>
    <n v="13723.46"/>
    <n v="0"/>
  </r>
  <r>
    <x v="2682"/>
    <s v="Peconic Bay Medical Center"/>
    <n v="2015"/>
    <n v="4"/>
    <s v="Medicaid"/>
    <x v="1"/>
    <s v="Medicaid"/>
    <n v="20715.060000000001"/>
    <n v="6805.75"/>
    <n v="0"/>
  </r>
  <r>
    <x v="2683"/>
    <s v="Peconic Bay Medical Center"/>
    <n v="2015"/>
    <n v="4"/>
    <s v="Medicaid"/>
    <x v="1"/>
    <s v="Medicaid"/>
    <n v="30406.78"/>
    <n v="10078.52"/>
    <n v="0"/>
  </r>
  <r>
    <x v="2684"/>
    <s v="Peconic Bay Medical Center"/>
    <n v="2015"/>
    <n v="4"/>
    <s v="Medicaid"/>
    <x v="1"/>
    <s v="Medicaid"/>
    <n v="8265.74"/>
    <n v="2242.5700000000002"/>
    <n v="0"/>
  </r>
  <r>
    <x v="2685"/>
    <s v="Peconic Bay Medical Center"/>
    <n v="2015"/>
    <n v="4"/>
    <s v="Medicaid"/>
    <x v="1"/>
    <s v="Medicaid"/>
    <n v="15764.92"/>
    <n v="3424.43"/>
    <n v="0"/>
  </r>
  <r>
    <x v="2686"/>
    <s v="Peconic Bay Medical Center"/>
    <n v="2015"/>
    <n v="4"/>
    <s v="Medicaid"/>
    <x v="1"/>
    <s v="Medicaid"/>
    <n v="50644.07"/>
    <n v="22495.55"/>
    <n v="0"/>
  </r>
  <r>
    <x v="2687"/>
    <s v="Peconic Bay Medical Center"/>
    <n v="2015"/>
    <n v="4"/>
    <s v="Medicaid"/>
    <x v="1"/>
    <s v="Medicaid"/>
    <n v="8769.48"/>
    <n v="2447.39"/>
    <n v="0"/>
  </r>
  <r>
    <x v="2688"/>
    <s v="Peconic Bay Medical Center"/>
    <n v="2015"/>
    <n v="4"/>
    <s v="Medicaid"/>
    <x v="1"/>
    <s v="Medicaid"/>
    <n v="28293.95"/>
    <n v="14183.02"/>
    <n v="0"/>
  </r>
  <r>
    <x v="2689"/>
    <s v="Peconic Bay Medical Center"/>
    <n v="2015"/>
    <n v="4"/>
    <s v="Medicaid"/>
    <x v="1"/>
    <s v="Medicaid"/>
    <n v="51886.02"/>
    <n v="14284.87"/>
    <n v="0"/>
  </r>
  <r>
    <x v="2690"/>
    <s v="Peconic Bay Medical Center"/>
    <n v="2015"/>
    <n v="4"/>
    <s v="Medicaid"/>
    <x v="1"/>
    <s v="Medicaid"/>
    <n v="16160.88"/>
    <n v="6500.77"/>
    <n v="0"/>
  </r>
  <r>
    <x v="2691"/>
    <s v="Peconic Bay Medical Center"/>
    <n v="2015"/>
    <n v="4"/>
    <s v="Medicaid"/>
    <x v="1"/>
    <s v="Medicaid"/>
    <n v="9499.2800000000007"/>
    <n v="2574.59"/>
    <n v="0"/>
  </r>
  <r>
    <x v="2692"/>
    <s v="Peconic Bay Medical Center"/>
    <n v="2015"/>
    <n v="4"/>
    <s v="Medicaid"/>
    <x v="1"/>
    <s v="Medicaid"/>
    <n v="23728.080000000002"/>
    <n v="6546.48"/>
    <n v="0"/>
  </r>
  <r>
    <x v="2693"/>
    <s v="Peconic Bay Medical Center"/>
    <n v="2015"/>
    <n v="4"/>
    <s v="Medicaid"/>
    <x v="1"/>
    <s v="Medicaid"/>
    <n v="10625.02"/>
    <n v="2954.69"/>
    <n v="0"/>
  </r>
  <r>
    <x v="2694"/>
    <s v="Peconic Bay Medical Center"/>
    <n v="2015"/>
    <n v="4"/>
    <s v="Medicaid"/>
    <x v="1"/>
    <s v="Medicaid"/>
    <n v="16991.7"/>
    <n v="4993.38"/>
    <n v="0"/>
  </r>
  <r>
    <x v="2695"/>
    <s v="Peconic Bay Medical Center"/>
    <n v="2015"/>
    <n v="4"/>
    <s v="Medicaid"/>
    <x v="1"/>
    <s v="Medicaid"/>
    <n v="61023.22"/>
    <n v="27411.97"/>
    <n v="0"/>
  </r>
  <r>
    <x v="2696"/>
    <s v="Peconic Bay Medical Center"/>
    <n v="2015"/>
    <n v="4"/>
    <s v="Medicaid"/>
    <x v="1"/>
    <s v="Medicaid"/>
    <n v="12572.32"/>
    <n v="3718.14"/>
    <n v="0"/>
  </r>
  <r>
    <x v="2697"/>
    <s v="Peconic Bay Medical Center"/>
    <n v="2015"/>
    <n v="4"/>
    <s v="Medicaid"/>
    <x v="1"/>
    <s v="Medicaid"/>
    <n v="96726.06"/>
    <n v="41668.85"/>
    <n v="0"/>
  </r>
  <r>
    <x v="2698"/>
    <s v="Peconic Bay Medical Center"/>
    <n v="2015"/>
    <n v="4"/>
    <s v="Medicaid"/>
    <x v="1"/>
    <s v="Medicaid"/>
    <n v="29813.5"/>
    <n v="9242.4500000000007"/>
    <n v="0"/>
  </r>
  <r>
    <x v="2699"/>
    <s v="Peconic Bay Medical Center"/>
    <n v="2015"/>
    <n v="4"/>
    <s v="Medicaid"/>
    <x v="1"/>
    <s v="Medicaid"/>
    <n v="63646.69"/>
    <n v="40012.230000000003"/>
    <n v="0"/>
  </r>
  <r>
    <x v="2700"/>
    <s v="Peconic Bay Medical Center"/>
    <n v="2015"/>
    <n v="4"/>
    <s v="Medicaid"/>
    <x v="1"/>
    <s v="Medicaid"/>
    <n v="14272.42"/>
    <n v="5063.12"/>
    <n v="0"/>
  </r>
  <r>
    <x v="2701"/>
    <s v="Peconic Bay Medical Center"/>
    <n v="2015"/>
    <n v="4"/>
    <s v="Medicaid"/>
    <x v="1"/>
    <s v="Medicaid"/>
    <n v="34444.65"/>
    <n v="23839.03"/>
    <n v="0"/>
  </r>
  <r>
    <x v="2702"/>
    <s v="Peconic Bay Medical Center"/>
    <n v="2015"/>
    <n v="4"/>
    <s v="Medicaid"/>
    <x v="1"/>
    <s v="Medicaid"/>
    <n v="252466.28"/>
    <n v="123359.5"/>
    <n v="0"/>
  </r>
  <r>
    <x v="2703"/>
    <s v="Peconic Bay Medical Center"/>
    <n v="2015"/>
    <n v="4"/>
    <s v="Medicaid"/>
    <x v="1"/>
    <s v="Medicaid"/>
    <n v="25686.54"/>
    <n v="8626.56"/>
    <n v="0"/>
  </r>
  <r>
    <x v="2704"/>
    <s v="Peconic Bay Medical Center"/>
    <n v="2015"/>
    <n v="4"/>
    <s v="Medicaid"/>
    <x v="1"/>
    <s v="Medicaid"/>
    <n v="156025.06"/>
    <n v="68545.75"/>
    <n v="0"/>
  </r>
  <r>
    <x v="2705"/>
    <s v="Peconic Bay Medical Center"/>
    <n v="2015"/>
    <n v="4"/>
    <s v="Medicaid"/>
    <x v="1"/>
    <s v="Medicaid"/>
    <n v="17260.900000000001"/>
    <n v="5608.24"/>
    <n v="0"/>
  </r>
  <r>
    <x v="2706"/>
    <s v="Peconic Bay Medical Center"/>
    <n v="2015"/>
    <n v="4"/>
    <s v="Medicaid"/>
    <x v="1"/>
    <s v="Medicaid"/>
    <n v="14527.1"/>
    <n v="3322.49"/>
    <n v="0"/>
  </r>
  <r>
    <x v="2707"/>
    <s v="Peconic Bay Medical Center"/>
    <n v="2015"/>
    <n v="4"/>
    <s v="Medicaid"/>
    <x v="1"/>
    <s v="Medicaid"/>
    <n v="25082.74"/>
    <n v="8470.64"/>
    <n v="0"/>
  </r>
  <r>
    <x v="2708"/>
    <s v="Peconic Bay Medical Center"/>
    <n v="2015"/>
    <n v="4"/>
    <s v="Medicaid"/>
    <x v="1"/>
    <s v="Medicaid"/>
    <n v="34874.559999999998"/>
    <n v="6733.84"/>
    <n v="0"/>
  </r>
  <r>
    <x v="2709"/>
    <s v="Peconic Bay Medical Center"/>
    <n v="2015"/>
    <n v="4"/>
    <s v="Medicaid"/>
    <x v="1"/>
    <s v="Medicaid"/>
    <n v="12015.36"/>
    <n v="4370.71"/>
    <n v="0"/>
  </r>
  <r>
    <x v="2710"/>
    <s v="Peconic Bay Medical Center"/>
    <n v="2015"/>
    <n v="4"/>
    <s v="Medicaid"/>
    <x v="1"/>
    <s v="Medicaid"/>
    <n v="9245.92"/>
    <n v="2052.4299999999998"/>
    <n v="0"/>
  </r>
  <r>
    <x v="2711"/>
    <s v="Peconic Bay Medical Center"/>
    <n v="2015"/>
    <n v="4"/>
    <s v="Medicaid"/>
    <x v="1"/>
    <s v="Medicaid"/>
    <n v="13910.5"/>
    <n v="4837.9799999999996"/>
    <n v="0"/>
  </r>
  <r>
    <x v="2712"/>
    <s v="Peconic Bay Medical Center"/>
    <n v="2015"/>
    <n v="4"/>
    <s v="Medicaid"/>
    <x v="1"/>
    <s v="Medicaid"/>
    <n v="52598.559999999998"/>
    <n v="15799.51"/>
    <n v="0"/>
  </r>
  <r>
    <x v="2713"/>
    <s v="Peconic Bay Medical Center"/>
    <n v="2015"/>
    <n v="4"/>
    <s v="Medicaid"/>
    <x v="1"/>
    <s v="Medicaid"/>
    <n v="80562.92"/>
    <n v="68021.27"/>
    <n v="0"/>
  </r>
  <r>
    <x v="2714"/>
    <s v="Peconic Bay Medical Center"/>
    <n v="2015"/>
    <n v="4"/>
    <s v="Medicaid"/>
    <x v="1"/>
    <s v="Medicaid"/>
    <n v="41359.96"/>
    <n v="12446.86"/>
    <n v="0"/>
  </r>
  <r>
    <x v="2715"/>
    <s v="Peconic Bay Medical Center"/>
    <n v="2015"/>
    <n v="4"/>
    <s v="Medicaid"/>
    <x v="1"/>
    <s v="Medicaid"/>
    <n v="26151.88"/>
    <n v="7091.9"/>
    <n v="0"/>
  </r>
  <r>
    <x v="2716"/>
    <s v="Peconic Bay Medical Center"/>
    <n v="2015"/>
    <n v="4"/>
    <s v="Medicaid"/>
    <x v="1"/>
    <s v="Medicaid"/>
    <n v="21215.48"/>
    <n v="6363.75"/>
    <n v="0"/>
  </r>
  <r>
    <x v="2717"/>
    <s v="Peconic Bay Medical Center"/>
    <n v="2015"/>
    <n v="4"/>
    <s v="Medicaid"/>
    <x v="1"/>
    <s v="Medicaid"/>
    <n v="46503.74"/>
    <n v="11171.35"/>
    <n v="0"/>
  </r>
  <r>
    <x v="2718"/>
    <s v="Peconic Bay Medical Center"/>
    <n v="2015"/>
    <n v="4"/>
    <s v="Medicaid"/>
    <x v="1"/>
    <s v="Medicaid"/>
    <n v="16357.46"/>
    <n v="6297.82"/>
    <n v="0"/>
  </r>
  <r>
    <x v="2719"/>
    <s v="Peconic Bay Medical Center"/>
    <n v="2015"/>
    <n v="4"/>
    <s v="Medicaid"/>
    <x v="1"/>
    <s v="Medicaid"/>
    <n v="9902.68"/>
    <n v="3334.72"/>
    <n v="0"/>
  </r>
  <r>
    <x v="2720"/>
    <s v="Peconic Bay Medical Center"/>
    <n v="2015"/>
    <n v="4"/>
    <s v="Medicaid"/>
    <x v="1"/>
    <s v="Medicaid"/>
    <n v="25023.58"/>
    <n v="3993.6"/>
    <n v="0"/>
  </r>
  <r>
    <x v="2721"/>
    <s v="Peconic Bay Medical Center"/>
    <n v="2015"/>
    <n v="4"/>
    <s v="Medicaid"/>
    <x v="1"/>
    <s v="Medicaid"/>
    <n v="28699.82"/>
    <n v="9836.2999999999993"/>
    <n v="0"/>
  </r>
  <r>
    <x v="2722"/>
    <s v="Peconic Bay Medical Center"/>
    <n v="2015"/>
    <n v="4"/>
    <s v="Medicaid"/>
    <x v="1"/>
    <s v="Medicaid"/>
    <n v="28336.54"/>
    <n v="9786.33"/>
    <n v="0"/>
  </r>
  <r>
    <x v="2723"/>
    <s v="Peconic Bay Medical Center"/>
    <n v="2015"/>
    <n v="4"/>
    <s v="Medicaid"/>
    <x v="1"/>
    <s v="Medicaid"/>
    <n v="15329.32"/>
    <n v="5899.17"/>
    <n v="0"/>
  </r>
  <r>
    <x v="2724"/>
    <s v="Peconic Bay Medical Center"/>
    <n v="2015"/>
    <n v="4"/>
    <s v="Medicaid"/>
    <x v="1"/>
    <s v="Medicaid"/>
    <n v="11267.96"/>
    <n v="3980.64"/>
    <n v="0"/>
  </r>
  <r>
    <x v="2725"/>
    <s v="Peconic Bay Medical Center"/>
    <n v="2015"/>
    <n v="4"/>
    <s v="Medicaid"/>
    <x v="1"/>
    <s v="Medicaid"/>
    <n v="26588.62"/>
    <n v="8844.19"/>
    <n v="0"/>
  </r>
  <r>
    <x v="2726"/>
    <s v="Peconic Bay Medical Center"/>
    <n v="2015"/>
    <n v="4"/>
    <s v="Medicaid"/>
    <x v="1"/>
    <s v="Medicaid"/>
    <n v="46959.46"/>
    <n v="19346.98"/>
    <n v="0"/>
  </r>
  <r>
    <x v="2727"/>
    <s v="Peconic Bay Medical Center"/>
    <n v="2015"/>
    <n v="4"/>
    <s v="Medicaid"/>
    <x v="1"/>
    <s v="Medicaid"/>
    <n v="20910.16"/>
    <n v="8492.74"/>
    <n v="0"/>
  </r>
  <r>
    <x v="2728"/>
    <s v="Peconic Bay Medical Center"/>
    <n v="2015"/>
    <n v="4"/>
    <s v="Medicaid"/>
    <x v="1"/>
    <s v="Medicaid"/>
    <n v="14775.46"/>
    <n v="5560.58"/>
    <n v="0"/>
  </r>
  <r>
    <x v="2729"/>
    <s v="Peconic Bay Medical Center"/>
    <n v="2015"/>
    <n v="4"/>
    <s v="Medicaid"/>
    <x v="1"/>
    <s v="Medicaid"/>
    <n v="17689.16"/>
    <n v="5630.53"/>
    <n v="0"/>
  </r>
  <r>
    <x v="2730"/>
    <s v="Peconic Bay Medical Center"/>
    <n v="2015"/>
    <n v="4"/>
    <s v="Medicaid"/>
    <x v="1"/>
    <s v="Medicaid"/>
    <n v="11119.6"/>
    <n v="4125.4399999999996"/>
    <n v="0"/>
  </r>
  <r>
    <x v="2731"/>
    <s v="Peconic Bay Medical Center"/>
    <n v="2015"/>
    <n v="4"/>
    <s v="Medicaid"/>
    <x v="1"/>
    <s v="Medicaid"/>
    <n v="13735.72"/>
    <n v="4181.32"/>
    <n v="0"/>
  </r>
  <r>
    <x v="2732"/>
    <s v="Peconic Bay Medical Center"/>
    <n v="2015"/>
    <n v="4"/>
    <s v="Medicaid"/>
    <x v="1"/>
    <s v="Medicaid"/>
    <n v="96971.46"/>
    <n v="29555.18"/>
    <n v="0"/>
  </r>
  <r>
    <x v="2733"/>
    <s v="Peconic Bay Medical Center"/>
    <n v="2015"/>
    <n v="4"/>
    <s v="Medicaid"/>
    <x v="1"/>
    <s v="Medicaid"/>
    <n v="9293.64"/>
    <n v="3180.51"/>
    <n v="0"/>
  </r>
  <r>
    <x v="2734"/>
    <s v="Peconic Bay Medical Center"/>
    <n v="2015"/>
    <n v="4"/>
    <s v="Medicaid"/>
    <x v="1"/>
    <s v="Medicaid"/>
    <n v="10661.04"/>
    <n v="3383.36"/>
    <n v="0"/>
  </r>
  <r>
    <x v="2735"/>
    <s v="Peconic Bay Medical Center"/>
    <n v="2015"/>
    <n v="4"/>
    <s v="Medicaid"/>
    <x v="1"/>
    <s v="Medicaid"/>
    <n v="44975.68"/>
    <n v="13619.87"/>
    <n v="0"/>
  </r>
  <r>
    <x v="2736"/>
    <s v="Peconic Bay Medical Center"/>
    <n v="2015"/>
    <n v="4"/>
    <s v="Medicaid"/>
    <x v="1"/>
    <s v="Medicaid"/>
    <n v="21182.28"/>
    <n v="6335.53"/>
    <n v="0"/>
  </r>
  <r>
    <x v="2737"/>
    <s v="Peconic Bay Medical Center"/>
    <n v="2015"/>
    <n v="4"/>
    <s v="Medicaid"/>
    <x v="1"/>
    <s v="Medicaid"/>
    <n v="15687.42"/>
    <n v="5863.38"/>
    <n v="0"/>
  </r>
  <r>
    <x v="2738"/>
    <s v="Peconic Bay Medical Center"/>
    <n v="2015"/>
    <n v="4"/>
    <s v="Medicaid"/>
    <x v="1"/>
    <s v="Medicaid"/>
    <n v="48683.88"/>
    <n v="22763.26"/>
    <n v="0"/>
  </r>
  <r>
    <x v="2739"/>
    <s v="Peconic Bay Medical Center"/>
    <n v="2015"/>
    <n v="4"/>
    <s v="Medicaid"/>
    <x v="1"/>
    <s v="Medicaid"/>
    <n v="24720.92"/>
    <n v="8380.15"/>
    <n v="0"/>
  </r>
  <r>
    <x v="2740"/>
    <s v="Peconic Bay Medical Center"/>
    <n v="2015"/>
    <n v="4"/>
    <s v="Medicaid"/>
    <x v="1"/>
    <s v="Medicaid"/>
    <n v="24266.68"/>
    <n v="5964.92"/>
    <n v="0"/>
  </r>
  <r>
    <x v="2741"/>
    <s v="Peconic Bay Medical Center"/>
    <n v="2015"/>
    <n v="4"/>
    <s v="Medicaid"/>
    <x v="1"/>
    <s v="Medicaid"/>
    <n v="19114.580000000002"/>
    <n v="7580.77"/>
    <n v="0"/>
  </r>
  <r>
    <x v="2742"/>
    <s v="Peconic Bay Medical Center"/>
    <n v="2015"/>
    <n v="4"/>
    <s v="Medicaid"/>
    <x v="1"/>
    <s v="Medicaid"/>
    <n v="32891.46"/>
    <n v="15293.1"/>
    <n v="0"/>
  </r>
  <r>
    <x v="2743"/>
    <s v="Peconic Bay Medical Center"/>
    <n v="2015"/>
    <n v="4"/>
    <s v="Medicaid"/>
    <x v="1"/>
    <s v="Medicaid"/>
    <n v="26861.5"/>
    <n v="7721.55"/>
    <n v="0"/>
  </r>
  <r>
    <x v="2744"/>
    <s v="Peconic Bay Medical Center"/>
    <n v="2015"/>
    <n v="4"/>
    <s v="Medicaid"/>
    <x v="1"/>
    <s v="Medicaid"/>
    <n v="20557.64"/>
    <n v="7285.96"/>
    <n v="0"/>
  </r>
  <r>
    <x v="2745"/>
    <s v="Peconic Bay Medical Center"/>
    <n v="2015"/>
    <n v="4"/>
    <s v="Medicaid"/>
    <x v="1"/>
    <s v="Medicaid"/>
    <n v="65724.28"/>
    <n v="32020.21"/>
    <n v="0"/>
  </r>
  <r>
    <x v="2746"/>
    <s v="Peconic Bay Medical Center"/>
    <n v="2015"/>
    <n v="4"/>
    <s v="Medicaid"/>
    <x v="1"/>
    <s v="Medicaid"/>
    <n v="11859.6"/>
    <n v="4464.72"/>
    <n v="0"/>
  </r>
  <r>
    <x v="2747"/>
    <s v="Peconic Bay Medical Center"/>
    <n v="2015"/>
    <n v="4"/>
    <s v="Medicaid"/>
    <x v="1"/>
    <s v="Medicaid"/>
    <n v="15026.48"/>
    <n v="5764.5"/>
    <n v="0"/>
  </r>
  <r>
    <x v="2748"/>
    <s v="Peconic Bay Medical Center"/>
    <n v="2015"/>
    <n v="4"/>
    <s v="Medicaid"/>
    <x v="1"/>
    <s v="Medicaid"/>
    <n v="41231.379999999997"/>
    <n v="12373.95"/>
    <n v="0"/>
  </r>
  <r>
    <x v="2749"/>
    <s v="Peconic Bay Medical Center"/>
    <n v="2015"/>
    <n v="4"/>
    <s v="Medicaid"/>
    <x v="1"/>
    <s v="Medicaid"/>
    <n v="35020.35"/>
    <n v="11084.53"/>
    <n v="0"/>
  </r>
  <r>
    <x v="2750"/>
    <s v="Peconic Bay Medical Center"/>
    <n v="2015"/>
    <n v="4"/>
    <s v="Medicaid"/>
    <x v="1"/>
    <s v="Medicaid"/>
    <n v="13748.26"/>
    <n v="5103.47"/>
    <n v="0"/>
  </r>
  <r>
    <x v="2751"/>
    <s v="Peconic Bay Medical Center"/>
    <n v="2015"/>
    <n v="4"/>
    <s v="Medicaid"/>
    <x v="1"/>
    <s v="Medicaid"/>
    <n v="16032.08"/>
    <n v="4910.72"/>
    <n v="0"/>
  </r>
  <r>
    <x v="2752"/>
    <s v="Peconic Bay Medical Center"/>
    <n v="2015"/>
    <n v="4"/>
    <s v="Medicaid"/>
    <x v="1"/>
    <s v="Medicaid"/>
    <n v="67969.399999999994"/>
    <n v="26934.77"/>
    <n v="0"/>
  </r>
  <r>
    <x v="2753"/>
    <s v="Peconic Bay Medical Center"/>
    <n v="2015"/>
    <n v="4"/>
    <s v="Medicaid"/>
    <x v="1"/>
    <s v="Medicaid"/>
    <n v="14473.7"/>
    <n v="5638.17"/>
    <n v="0"/>
  </r>
  <r>
    <x v="2754"/>
    <s v="Peconic Bay Medical Center"/>
    <n v="2015"/>
    <n v="4"/>
    <s v="Medicaid"/>
    <x v="1"/>
    <s v="Medicaid"/>
    <n v="11194.44"/>
    <n v="3696.77"/>
    <n v="0"/>
  </r>
  <r>
    <x v="2755"/>
    <s v="Peconic Bay Medical Center"/>
    <n v="2015"/>
    <n v="4"/>
    <s v="Medicaid"/>
    <x v="1"/>
    <s v="Medicaid"/>
    <n v="33833.94"/>
    <n v="11642.91"/>
    <n v="0"/>
  </r>
  <r>
    <x v="2756"/>
    <s v="Peconic Bay Medical Center"/>
    <n v="2015"/>
    <n v="4"/>
    <s v="Medicaid"/>
    <x v="1"/>
    <s v="Medicaid"/>
    <n v="13464.9"/>
    <n v="4058.85"/>
    <n v="0"/>
  </r>
  <r>
    <x v="2757"/>
    <s v="Peconic Bay Medical Center"/>
    <n v="2015"/>
    <n v="4"/>
    <s v="Medicaid"/>
    <x v="1"/>
    <s v="Medicaid"/>
    <n v="16854.98"/>
    <n v="5127.76"/>
    <n v="0"/>
  </r>
  <r>
    <x v="2758"/>
    <s v="Peconic Bay Medical Center"/>
    <n v="2015"/>
    <n v="4"/>
    <s v="Medicaid"/>
    <x v="1"/>
    <s v="Medicaid"/>
    <n v="10733.5"/>
    <n v="3524.18"/>
    <n v="0"/>
  </r>
  <r>
    <x v="2759"/>
    <s v="Peconic Bay Medical Center"/>
    <n v="2015"/>
    <n v="4"/>
    <s v="Medicaid"/>
    <x v="1"/>
    <s v="Medicaid"/>
    <n v="18524"/>
    <n v="3292.74"/>
    <n v="0"/>
  </r>
  <r>
    <x v="2760"/>
    <s v="Peconic Bay Medical Center"/>
    <n v="2015"/>
    <n v="4"/>
    <s v="Medicaid"/>
    <x v="1"/>
    <s v="Medicaid"/>
    <n v="44126.64"/>
    <n v="12599.24"/>
    <n v="0"/>
  </r>
  <r>
    <x v="2761"/>
    <s v="Peconic Bay Medical Center"/>
    <n v="2015"/>
    <n v="4"/>
    <s v="Medicaid"/>
    <x v="1"/>
    <s v="Medicaid"/>
    <n v="19948.240000000002"/>
    <n v="7268.69"/>
    <n v="0"/>
  </r>
  <r>
    <x v="2762"/>
    <s v="Peconic Bay Medical Center"/>
    <n v="2015"/>
    <n v="4"/>
    <s v="Medicaid"/>
    <x v="1"/>
    <s v="Medicaid"/>
    <n v="85696.9"/>
    <n v="32229.18"/>
    <n v="0"/>
  </r>
  <r>
    <x v="2763"/>
    <s v="Peconic Bay Medical Center"/>
    <n v="2015"/>
    <n v="4"/>
    <s v="Medicaid"/>
    <x v="1"/>
    <s v="Medicaid"/>
    <n v="189948.84"/>
    <n v="105247.06"/>
    <n v="0"/>
  </r>
  <r>
    <x v="2764"/>
    <s v="Peconic Bay Medical Center"/>
    <n v="2015"/>
    <n v="4"/>
    <s v="Medicaid"/>
    <x v="1"/>
    <s v="Medicaid"/>
    <n v="21619.599999999999"/>
    <n v="8804.65"/>
    <n v="0"/>
  </r>
  <r>
    <x v="2765"/>
    <s v="Peconic Bay Medical Center"/>
    <n v="2015"/>
    <n v="4"/>
    <s v="Medicaid"/>
    <x v="1"/>
    <s v="Medicaid"/>
    <n v="15941.88"/>
    <n v="6273.19"/>
    <n v="0"/>
  </r>
  <r>
    <x v="2766"/>
    <s v="Peconic Bay Medical Center"/>
    <n v="2015"/>
    <n v="4"/>
    <s v="Medicaid"/>
    <x v="1"/>
    <s v="Medicaid"/>
    <n v="35874.699999999997"/>
    <n v="10596.51"/>
    <n v="0"/>
  </r>
  <r>
    <x v="2767"/>
    <s v="Peconic Bay Medical Center"/>
    <n v="2015"/>
    <n v="4"/>
    <s v="Medicaid"/>
    <x v="1"/>
    <s v="Medicaid"/>
    <n v="14527.9"/>
    <n v="4724.6099999999997"/>
    <n v="0"/>
  </r>
  <r>
    <x v="2768"/>
    <s v="Peconic Bay Medical Center"/>
    <n v="2015"/>
    <n v="4"/>
    <s v="Medicaid"/>
    <x v="1"/>
    <s v="Medicaid"/>
    <n v="14042.78"/>
    <n v="5175.8599999999997"/>
    <n v="0"/>
  </r>
  <r>
    <x v="2769"/>
    <s v="Peconic Bay Medical Center"/>
    <n v="2015"/>
    <n v="4"/>
    <s v="Medicaid"/>
    <x v="1"/>
    <s v="Medicaid"/>
    <n v="19478.68"/>
    <n v="6963.16"/>
    <n v="0"/>
  </r>
  <r>
    <x v="2770"/>
    <s v="Peconic Bay Medical Center"/>
    <n v="2015"/>
    <n v="4"/>
    <s v="Medicaid"/>
    <x v="1"/>
    <s v="Medicaid"/>
    <n v="9141.3799999999992"/>
    <n v="2372.54"/>
    <n v="0"/>
  </r>
  <r>
    <x v="2771"/>
    <s v="Peconic Bay Medical Center"/>
    <n v="2015"/>
    <n v="4"/>
    <s v="Medicaid"/>
    <x v="1"/>
    <s v="Medicaid"/>
    <n v="14079.32"/>
    <n v="3073.59"/>
    <n v="0"/>
  </r>
  <r>
    <x v="2772"/>
    <s v="Peconic Bay Medical Center"/>
    <n v="2015"/>
    <n v="4"/>
    <s v="Medicaid"/>
    <x v="1"/>
    <s v="Medicaid"/>
    <n v="30676"/>
    <n v="10733.53"/>
    <n v="0"/>
  </r>
  <r>
    <x v="2773"/>
    <s v="Peconic Bay Medical Center"/>
    <n v="2015"/>
    <n v="4"/>
    <s v="Medicaid"/>
    <x v="1"/>
    <s v="Medicaid"/>
    <n v="18329.82"/>
    <n v="4920.43"/>
    <n v="0"/>
  </r>
  <r>
    <x v="2774"/>
    <s v="Peconic Bay Medical Center"/>
    <n v="2015"/>
    <n v="4"/>
    <s v="Medicaid"/>
    <x v="1"/>
    <s v="Medicaid"/>
    <n v="9683.2199999999993"/>
    <n v="3652.25"/>
    <n v="0"/>
  </r>
  <r>
    <x v="2775"/>
    <s v="Peconic Bay Medical Center"/>
    <n v="2015"/>
    <n v="4"/>
    <s v="Medicaid"/>
    <x v="1"/>
    <s v="Medicaid"/>
    <n v="38728.879999999997"/>
    <n v="8220.7999999999993"/>
    <n v="0"/>
  </r>
  <r>
    <x v="2776"/>
    <s v="Peconic Bay Medical Center"/>
    <n v="2015"/>
    <n v="4"/>
    <s v="Medicaid"/>
    <x v="1"/>
    <s v="Medicaid"/>
    <n v="19728.259999999998"/>
    <n v="4934.09"/>
    <n v="0"/>
  </r>
  <r>
    <x v="2777"/>
    <s v="Peconic Bay Medical Center"/>
    <n v="2015"/>
    <n v="4"/>
    <s v="Medicaid"/>
    <x v="1"/>
    <s v="Medicaid"/>
    <n v="12284.7"/>
    <n v="3286.16"/>
    <n v="0"/>
  </r>
  <r>
    <x v="2778"/>
    <s v="Peconic Bay Medical Center"/>
    <n v="2015"/>
    <n v="4"/>
    <s v="Medicaid"/>
    <x v="1"/>
    <s v="Medicaid"/>
    <n v="48075.86"/>
    <n v="15024.51"/>
    <n v="0"/>
  </r>
  <r>
    <x v="2779"/>
    <s v="Peconic Bay Medical Center"/>
    <n v="2015"/>
    <n v="4"/>
    <s v="Medicaid"/>
    <x v="1"/>
    <s v="Medicaid"/>
    <n v="11510.06"/>
    <n v="3967.54"/>
    <n v="0"/>
  </r>
  <r>
    <x v="2780"/>
    <s v="Peconic Bay Medical Center"/>
    <n v="2015"/>
    <n v="4"/>
    <s v="Medicaid"/>
    <x v="1"/>
    <s v="Medicaid"/>
    <n v="11310.1"/>
    <n v="4034.38"/>
    <n v="0"/>
  </r>
  <r>
    <x v="2781"/>
    <s v="Peconic Bay Medical Center"/>
    <n v="2015"/>
    <n v="4"/>
    <s v="Medicaid"/>
    <x v="1"/>
    <s v="Medicaid"/>
    <n v="11141.54"/>
    <n v="2701.87"/>
    <n v="0"/>
  </r>
  <r>
    <x v="2782"/>
    <s v="Peconic Bay Medical Center"/>
    <n v="2015"/>
    <n v="4"/>
    <s v="Medicaid"/>
    <x v="1"/>
    <s v="Medicaid"/>
    <n v="24817.88"/>
    <n v="8751.57"/>
    <n v="0"/>
  </r>
  <r>
    <x v="2783"/>
    <s v="Peconic Bay Medical Center"/>
    <n v="2015"/>
    <n v="4"/>
    <s v="Medicaid"/>
    <x v="1"/>
    <s v="Medicaid"/>
    <n v="21031.46"/>
    <n v="6697.56"/>
    <n v="0"/>
  </r>
  <r>
    <x v="2784"/>
    <s v="Peconic Bay Medical Center"/>
    <n v="2015"/>
    <n v="4"/>
    <s v="Medicaid"/>
    <x v="1"/>
    <s v="Medicaid"/>
    <n v="50187"/>
    <n v="22297.99"/>
    <n v="0"/>
  </r>
  <r>
    <x v="2785"/>
    <s v="Peconic Bay Medical Center"/>
    <n v="2015"/>
    <n v="4"/>
    <s v="Medicaid"/>
    <x v="1"/>
    <s v="Medicaid"/>
    <n v="23118.98"/>
    <n v="3290.12"/>
    <n v="0"/>
  </r>
  <r>
    <x v="2786"/>
    <s v="Peconic Bay Medical Center"/>
    <n v="2015"/>
    <n v="4"/>
    <s v="Medicaid"/>
    <x v="1"/>
    <s v="Medicaid"/>
    <n v="17266.68"/>
    <n v="5529.75"/>
    <n v="0"/>
  </r>
  <r>
    <x v="2787"/>
    <s v="Peconic Bay Medical Center"/>
    <n v="2015"/>
    <n v="4"/>
    <s v="Medicaid"/>
    <x v="1"/>
    <s v="Medicaid"/>
    <n v="17980.02"/>
    <n v="6486.14"/>
    <n v="0"/>
  </r>
  <r>
    <x v="2788"/>
    <s v="Peconic Bay Medical Center"/>
    <n v="2015"/>
    <n v="4"/>
    <s v="Medicaid"/>
    <x v="1"/>
    <s v="Medicaid"/>
    <n v="24592.42"/>
    <n v="7651.83"/>
    <n v="0"/>
  </r>
  <r>
    <x v="2789"/>
    <s v="Peconic Bay Medical Center"/>
    <n v="2015"/>
    <n v="4"/>
    <s v="Medicaid"/>
    <x v="1"/>
    <s v="Medicaid"/>
    <n v="27090.080000000002"/>
    <n v="14607.14"/>
    <n v="0"/>
  </r>
  <r>
    <x v="2790"/>
    <s v="Peconic Bay Medical Center"/>
    <n v="2015"/>
    <n v="4"/>
    <s v="Medicaid"/>
    <x v="1"/>
    <s v="Medicaid"/>
    <n v="26748.82"/>
    <n v="6027.77"/>
    <n v="0"/>
  </r>
  <r>
    <x v="2791"/>
    <s v="Peconic Bay Medical Center"/>
    <n v="2015"/>
    <n v="4"/>
    <s v="Medicaid"/>
    <x v="1"/>
    <s v="Medicaid"/>
    <n v="14297.32"/>
    <n v="4666.41"/>
    <n v="0"/>
  </r>
  <r>
    <x v="2792"/>
    <s v="Peconic Bay Medical Center"/>
    <n v="2015"/>
    <n v="4"/>
    <s v="Medicaid"/>
    <x v="1"/>
    <s v="Medicaid"/>
    <n v="18000.82"/>
    <n v="4674.21"/>
    <n v="0"/>
  </r>
  <r>
    <x v="2793"/>
    <s v="Peconic Bay Medical Center"/>
    <n v="2015"/>
    <n v="4"/>
    <s v="Medicaid"/>
    <x v="1"/>
    <s v="Medicaid"/>
    <n v="36998.58"/>
    <n v="11806.91"/>
    <n v="0"/>
  </r>
  <r>
    <x v="2794"/>
    <s v="Peconic Bay Medical Center"/>
    <n v="2015"/>
    <n v="4"/>
    <s v="Medicaid"/>
    <x v="1"/>
    <s v="Medicaid"/>
    <n v="22038.18"/>
    <n v="5561.87"/>
    <n v="0"/>
  </r>
  <r>
    <x v="2795"/>
    <s v="Peconic Bay Medical Center"/>
    <n v="2015"/>
    <n v="4"/>
    <s v="Medicaid"/>
    <x v="1"/>
    <s v="Medicaid"/>
    <n v="38192.26"/>
    <n v="17206.97"/>
    <n v="0"/>
  </r>
  <r>
    <x v="2796"/>
    <s v="Peconic Bay Medical Center"/>
    <n v="2015"/>
    <n v="4"/>
    <s v="Medicaid"/>
    <x v="1"/>
    <s v="Medicaid"/>
    <n v="16490.5"/>
    <n v="5753.65"/>
    <n v="0"/>
  </r>
  <r>
    <x v="2797"/>
    <s v="Peconic Bay Medical Center"/>
    <n v="2015"/>
    <n v="4"/>
    <s v="Medicaid"/>
    <x v="1"/>
    <s v="Medicaid"/>
    <n v="15620.9"/>
    <n v="5364.55"/>
    <n v="0"/>
  </r>
  <r>
    <x v="2798"/>
    <s v="Peconic Bay Medical Center"/>
    <n v="2015"/>
    <n v="4"/>
    <s v="Medicaid"/>
    <x v="1"/>
    <s v="Medicaid"/>
    <n v="11304.08"/>
    <n v="3148.08"/>
    <n v="0"/>
  </r>
  <r>
    <x v="2799"/>
    <s v="Peconic Bay Medical Center"/>
    <n v="2015"/>
    <n v="4"/>
    <s v="Medicaid"/>
    <x v="1"/>
    <s v="Medicaid"/>
    <n v="14747.4"/>
    <n v="5218.6499999999996"/>
    <n v="0"/>
  </r>
  <r>
    <x v="2800"/>
    <s v="Peconic Bay Medical Center"/>
    <n v="2015"/>
    <n v="4"/>
    <s v="Medicaid"/>
    <x v="1"/>
    <s v="Medicaid"/>
    <n v="29283.200000000001"/>
    <n v="11271.67"/>
    <n v="0"/>
  </r>
  <r>
    <x v="2801"/>
    <s v="Peconic Bay Medical Center"/>
    <n v="2015"/>
    <n v="4"/>
    <s v="Medicaid"/>
    <x v="1"/>
    <s v="Medicaid"/>
    <n v="11802.18"/>
    <n v="4657.95"/>
    <n v="0"/>
  </r>
  <r>
    <x v="2802"/>
    <s v="Peconic Bay Medical Center"/>
    <n v="2015"/>
    <n v="4"/>
    <s v="Medicaid"/>
    <x v="1"/>
    <s v="Medicaid"/>
    <n v="21313.42"/>
    <n v="5196.38"/>
    <n v="0"/>
  </r>
  <r>
    <x v="2803"/>
    <s v="Peconic Bay Medical Center"/>
    <n v="2015"/>
    <n v="4"/>
    <s v="Medicaid"/>
    <x v="1"/>
    <s v="Medicaid"/>
    <n v="24953.34"/>
    <n v="8571.1299999999992"/>
    <n v="0"/>
  </r>
  <r>
    <x v="2804"/>
    <s v="Peconic Bay Medical Center"/>
    <n v="2015"/>
    <n v="4"/>
    <s v="Medicaid"/>
    <x v="1"/>
    <s v="Medicaid"/>
    <n v="20760.48"/>
    <n v="6340.07"/>
    <n v="0"/>
  </r>
  <r>
    <x v="2805"/>
    <s v="Peconic Bay Medical Center"/>
    <n v="2015"/>
    <n v="4"/>
    <s v="Medicaid"/>
    <x v="1"/>
    <s v="Medicaid"/>
    <n v="15837.9"/>
    <n v="5830.7"/>
    <n v="0"/>
  </r>
  <r>
    <x v="2806"/>
    <s v="Peconic Bay Medical Center"/>
    <n v="2015"/>
    <n v="4"/>
    <s v="Medicaid"/>
    <x v="1"/>
    <s v="Medicaid"/>
    <n v="45512.74"/>
    <n v="21065.95"/>
    <n v="0"/>
  </r>
  <r>
    <x v="2807"/>
    <s v="Peconic Bay Medical Center"/>
    <n v="2015"/>
    <n v="4"/>
    <s v="Medicaid"/>
    <x v="1"/>
    <s v="Medicaid"/>
    <n v="17423.52"/>
    <n v="7263.87"/>
    <n v="0"/>
  </r>
  <r>
    <x v="2808"/>
    <s v="Peconic Bay Medical Center"/>
    <n v="2015"/>
    <n v="4"/>
    <s v="Medicaid"/>
    <x v="1"/>
    <s v="Medicaid"/>
    <n v="19961.52"/>
    <n v="4864.87"/>
    <n v="0"/>
  </r>
  <r>
    <x v="2809"/>
    <s v="Peconic Bay Medical Center"/>
    <n v="2015"/>
    <n v="4"/>
    <s v="Medicaid"/>
    <x v="1"/>
    <s v="Medicaid"/>
    <n v="18493.759999999998"/>
    <n v="4839.24"/>
    <n v="0"/>
  </r>
  <r>
    <x v="2810"/>
    <s v="Peconic Bay Medical Center"/>
    <n v="2015"/>
    <n v="4"/>
    <s v="Medicaid"/>
    <x v="1"/>
    <s v="Medicaid"/>
    <n v="18732.84"/>
    <n v="4488.43"/>
    <n v="0"/>
  </r>
  <r>
    <x v="2811"/>
    <s v="Peconic Bay Medical Center"/>
    <n v="2015"/>
    <n v="4"/>
    <s v="Medicaid"/>
    <x v="1"/>
    <s v="Medicaid"/>
    <n v="19526.439999999999"/>
    <n v="7450.4"/>
    <n v="0"/>
  </r>
  <r>
    <x v="2812"/>
    <s v="Peconic Bay Medical Center"/>
    <n v="2015"/>
    <n v="4"/>
    <s v="Medicaid"/>
    <x v="1"/>
    <s v="Medicaid"/>
    <n v="35245.879999999997"/>
    <n v="18282.2"/>
    <n v="0"/>
  </r>
  <r>
    <x v="2813"/>
    <s v="Peconic Bay Medical Center"/>
    <n v="2015"/>
    <n v="4"/>
    <s v="Medicaid"/>
    <x v="1"/>
    <s v="Medicaid"/>
    <n v="23694.959999999999"/>
    <n v="8259.2199999999993"/>
    <n v="0"/>
  </r>
  <r>
    <x v="2814"/>
    <s v="Peconic Bay Medical Center"/>
    <n v="2015"/>
    <n v="4"/>
    <s v="Medicaid"/>
    <x v="1"/>
    <s v="Medicaid"/>
    <n v="9806.2000000000007"/>
    <n v="2857.24"/>
    <n v="0"/>
  </r>
  <r>
    <x v="2815"/>
    <s v="Peconic Bay Medical Center"/>
    <n v="2015"/>
    <n v="4"/>
    <s v="Medicaid"/>
    <x v="1"/>
    <s v="Medicaid"/>
    <n v="73289.279999999999"/>
    <n v="21646.93"/>
    <n v="0"/>
  </r>
  <r>
    <x v="2816"/>
    <s v="Peconic Bay Medical Center"/>
    <n v="2015"/>
    <n v="4"/>
    <s v="Medicaid"/>
    <x v="1"/>
    <s v="Medicaid"/>
    <n v="64670.82"/>
    <n v="17774.919999999998"/>
    <n v="0"/>
  </r>
  <r>
    <x v="2817"/>
    <s v="Peconic Bay Medical Center"/>
    <n v="2015"/>
    <n v="4"/>
    <s v="Medicaid"/>
    <x v="1"/>
    <s v="Medicaid"/>
    <n v="29324.32"/>
    <n v="9899.7000000000007"/>
    <n v="0"/>
  </r>
  <r>
    <x v="2818"/>
    <s v="Peconic Bay Medical Center"/>
    <n v="2015"/>
    <n v="4"/>
    <s v="Medicaid"/>
    <x v="1"/>
    <s v="Medicaid"/>
    <n v="10492.72"/>
    <n v="2469.7800000000002"/>
    <n v="0"/>
  </r>
  <r>
    <x v="2819"/>
    <s v="Peconic Bay Medical Center"/>
    <n v="2015"/>
    <n v="4"/>
    <s v="Medicaid"/>
    <x v="1"/>
    <s v="Medicaid"/>
    <n v="10895.34"/>
    <n v="3577.2"/>
    <n v="0"/>
  </r>
  <r>
    <x v="2820"/>
    <s v="Peconic Bay Medical Center"/>
    <n v="2015"/>
    <n v="4"/>
    <s v="Medicaid"/>
    <x v="1"/>
    <s v="Medicaid"/>
    <n v="112040.88"/>
    <n v="31305.66"/>
    <n v="0"/>
  </r>
  <r>
    <x v="2821"/>
    <s v="Peconic Bay Medical Center"/>
    <n v="2015"/>
    <n v="4"/>
    <s v="Medicaid"/>
    <x v="1"/>
    <s v="Medicaid"/>
    <n v="17709.12"/>
    <n v="5158.26"/>
    <n v="0"/>
  </r>
  <r>
    <x v="2822"/>
    <s v="Peconic Bay Medical Center"/>
    <n v="2015"/>
    <n v="4"/>
    <s v="Medicaid"/>
    <x v="1"/>
    <s v="Medicaid"/>
    <n v="15554.48"/>
    <n v="5420.13"/>
    <n v="0"/>
  </r>
  <r>
    <x v="2823"/>
    <s v="Peconic Bay Medical Center"/>
    <n v="2015"/>
    <n v="4"/>
    <s v="Medicaid"/>
    <x v="1"/>
    <s v="Medicaid"/>
    <n v="10051.16"/>
    <n v="4082.49"/>
    <n v="0"/>
  </r>
  <r>
    <x v="2824"/>
    <s v="Peconic Bay Medical Center"/>
    <n v="2015"/>
    <n v="4"/>
    <s v="Medicaid"/>
    <x v="1"/>
    <s v="Medicaid"/>
    <n v="27063.200000000001"/>
    <n v="7525.69"/>
    <n v="0"/>
  </r>
  <r>
    <x v="2825"/>
    <s v="Peconic Bay Medical Center"/>
    <n v="2015"/>
    <n v="4"/>
    <s v="Medicaid"/>
    <x v="1"/>
    <s v="Medicaid"/>
    <n v="25510.400000000001"/>
    <n v="8917.2900000000009"/>
    <n v="0"/>
  </r>
  <r>
    <x v="2826"/>
    <s v="Peconic Bay Medical Center"/>
    <n v="2015"/>
    <n v="4"/>
    <s v="Medicaid"/>
    <x v="1"/>
    <s v="Medicaid"/>
    <n v="11037.3"/>
    <n v="2921.72"/>
    <n v="0"/>
  </r>
  <r>
    <x v="2827"/>
    <s v="Peconic Bay Medical Center"/>
    <n v="2015"/>
    <n v="4"/>
    <s v="Medicaid"/>
    <x v="1"/>
    <s v="Medicaid"/>
    <n v="26206.32"/>
    <n v="9090.23"/>
    <n v="0"/>
  </r>
  <r>
    <x v="2828"/>
    <s v="Peconic Bay Medical Center"/>
    <n v="2015"/>
    <n v="4"/>
    <s v="Medicaid"/>
    <x v="1"/>
    <s v="Medicaid"/>
    <n v="14645.08"/>
    <n v="5862.62"/>
    <n v="0"/>
  </r>
  <r>
    <x v="2829"/>
    <s v="Peconic Bay Medical Center"/>
    <n v="2015"/>
    <n v="4"/>
    <s v="Medicaid"/>
    <x v="1"/>
    <s v="Medicaid"/>
    <n v="30358.66"/>
    <n v="7592.69"/>
    <n v="0"/>
  </r>
  <r>
    <x v="2830"/>
    <s v="Peconic Bay Medical Center"/>
    <n v="2015"/>
    <n v="4"/>
    <s v="Medicaid"/>
    <x v="1"/>
    <s v="Medicaid"/>
    <n v="41749.620000000003"/>
    <n v="19804.560000000001"/>
    <n v="0"/>
  </r>
  <r>
    <x v="2831"/>
    <s v="Peconic Bay Medical Center"/>
    <n v="2015"/>
    <n v="4"/>
    <s v="Medicaid"/>
    <x v="1"/>
    <s v="Medicaid"/>
    <n v="14241.1"/>
    <n v="5637.36"/>
    <n v="0"/>
  </r>
  <r>
    <x v="2832"/>
    <s v="Peconic Bay Medical Center"/>
    <n v="2015"/>
    <n v="4"/>
    <s v="Medicaid"/>
    <x v="1"/>
    <s v="Medicaid"/>
    <n v="43029.440000000002"/>
    <n v="18552.080000000002"/>
    <n v="0"/>
  </r>
  <r>
    <x v="2833"/>
    <s v="Peconic Bay Medical Center"/>
    <n v="2015"/>
    <n v="4"/>
    <s v="Medicaid"/>
    <x v="1"/>
    <s v="Medicaid"/>
    <n v="36077.480000000003"/>
    <n v="11465.58"/>
    <n v="0"/>
  </r>
  <r>
    <x v="2834"/>
    <s v="Peconic Bay Medical Center"/>
    <n v="2015"/>
    <n v="4"/>
    <s v="Medicaid"/>
    <x v="1"/>
    <s v="Medicaid"/>
    <n v="15509.52"/>
    <n v="5473.55"/>
    <n v="0"/>
  </r>
  <r>
    <x v="2835"/>
    <s v="Peconic Bay Medical Center"/>
    <n v="2015"/>
    <n v="4"/>
    <s v="Medicaid"/>
    <x v="1"/>
    <s v="Medicaid"/>
    <n v="71693.179999999993"/>
    <n v="23471.5"/>
    <n v="0"/>
  </r>
  <r>
    <x v="2836"/>
    <s v="Peconic Bay Medical Center"/>
    <n v="2015"/>
    <n v="4"/>
    <s v="Medicaid"/>
    <x v="1"/>
    <s v="Medicaid"/>
    <n v="27751.98"/>
    <n v="14167.66"/>
    <n v="0"/>
  </r>
  <r>
    <x v="2837"/>
    <s v="Peconic Bay Medical Center"/>
    <n v="2015"/>
    <n v="4"/>
    <s v="Medicaid"/>
    <x v="1"/>
    <s v="Medicaid"/>
    <n v="75140.37"/>
    <n v="45553.87"/>
    <n v="0"/>
  </r>
  <r>
    <x v="2838"/>
    <s v="Peconic Bay Medical Center"/>
    <n v="2015"/>
    <n v="4"/>
    <s v="Medicaid"/>
    <x v="1"/>
    <s v="Medicaid"/>
    <n v="18710.759999999998"/>
    <n v="5747.27"/>
    <n v="0"/>
  </r>
  <r>
    <x v="2839"/>
    <s v="Peconic Bay Medical Center"/>
    <n v="2015"/>
    <n v="4"/>
    <s v="Medicaid"/>
    <x v="1"/>
    <s v="Medicaid"/>
    <n v="17146.580000000002"/>
    <n v="6548.17"/>
    <n v="0"/>
  </r>
  <r>
    <x v="2840"/>
    <s v="Peconic Bay Medical Center"/>
    <n v="2015"/>
    <n v="4"/>
    <s v="Medicaid"/>
    <x v="1"/>
    <s v="Medicaid"/>
    <n v="40596.660000000003"/>
    <n v="15826.22"/>
    <n v="0"/>
  </r>
  <r>
    <x v="2841"/>
    <s v="Peconic Bay Medical Center"/>
    <n v="2015"/>
    <n v="4"/>
    <s v="Medicaid"/>
    <x v="1"/>
    <s v="Medicaid"/>
    <n v="31524.3"/>
    <n v="10443.209999999999"/>
    <n v="0"/>
  </r>
  <r>
    <x v="2842"/>
    <s v="Peconic Bay Medical Center"/>
    <n v="2015"/>
    <n v="4"/>
    <s v="Medicaid"/>
    <x v="1"/>
    <s v="Medicaid"/>
    <n v="27299.96"/>
    <n v="9913.31"/>
    <n v="0"/>
  </r>
  <r>
    <x v="2843"/>
    <s v="Peconic Bay Medical Center"/>
    <n v="2015"/>
    <n v="4"/>
    <s v="Medicaid"/>
    <x v="1"/>
    <s v="Medicaid"/>
    <n v="11669.52"/>
    <n v="4349.76"/>
    <n v="0"/>
  </r>
  <r>
    <x v="2844"/>
    <s v="Peconic Bay Medical Center"/>
    <n v="2015"/>
    <n v="4"/>
    <s v="Medicaid"/>
    <x v="1"/>
    <s v="Medicaid"/>
    <n v="17681.400000000001"/>
    <n v="5223.3"/>
    <n v="0"/>
  </r>
  <r>
    <x v="2845"/>
    <s v="Peconic Bay Medical Center"/>
    <n v="2015"/>
    <n v="4"/>
    <s v="Medicaid"/>
    <x v="1"/>
    <s v="Medicaid"/>
    <n v="19925.34"/>
    <n v="7218.1"/>
    <n v="0"/>
  </r>
  <r>
    <x v="2846"/>
    <s v="Peconic Bay Medical Center"/>
    <n v="2015"/>
    <n v="4"/>
    <s v="Medicaid"/>
    <x v="1"/>
    <s v="Medicaid"/>
    <n v="12986"/>
    <n v="2626.8"/>
    <n v="0"/>
  </r>
  <r>
    <x v="2847"/>
    <s v="Peconic Bay Medical Center"/>
    <n v="2015"/>
    <n v="4"/>
    <s v="Medicaid"/>
    <x v="1"/>
    <s v="Medicaid"/>
    <n v="10784.88"/>
    <n v="3663.62"/>
    <n v="0"/>
  </r>
  <r>
    <x v="2848"/>
    <s v="Peconic Bay Medical Center"/>
    <n v="2015"/>
    <n v="4"/>
    <s v="Medicaid"/>
    <x v="1"/>
    <s v="Medicaid"/>
    <n v="26834.9"/>
    <n v="8536.57"/>
    <n v="0"/>
  </r>
  <r>
    <x v="2849"/>
    <s v="Peconic Bay Medical Center"/>
    <n v="2015"/>
    <n v="4"/>
    <s v="Medicaid"/>
    <x v="1"/>
    <s v="Medicaid"/>
    <n v="51550.18"/>
    <n v="14790.37"/>
    <n v="0"/>
  </r>
  <r>
    <x v="2850"/>
    <s v="Peconic Bay Medical Center"/>
    <n v="2015"/>
    <n v="4"/>
    <s v="Medicaid"/>
    <x v="1"/>
    <s v="Medicaid"/>
    <n v="65242.1"/>
    <n v="58341"/>
    <n v="0"/>
  </r>
  <r>
    <x v="2851"/>
    <s v="Peconic Bay Medical Center"/>
    <n v="2015"/>
    <n v="4"/>
    <s v="Medicaid"/>
    <x v="1"/>
    <s v="Medicaid"/>
    <n v="14810.26"/>
    <n v="5181.24"/>
    <n v="0"/>
  </r>
  <r>
    <x v="2852"/>
    <s v="Peconic Bay Medical Center"/>
    <n v="2015"/>
    <n v="4"/>
    <s v="Medicaid"/>
    <x v="1"/>
    <s v="Medicaid"/>
    <n v="21896.04"/>
    <n v="6198.66"/>
    <n v="0"/>
  </r>
  <r>
    <x v="2853"/>
    <s v="Peconic Bay Medical Center"/>
    <n v="2015"/>
    <n v="4"/>
    <s v="Medicaid"/>
    <x v="1"/>
    <s v="Medicaid"/>
    <n v="12100.5"/>
    <n v="3682.85"/>
    <n v="0"/>
  </r>
  <r>
    <x v="2854"/>
    <s v="Peconic Bay Medical Center"/>
    <n v="2015"/>
    <n v="4"/>
    <s v="Medicaid"/>
    <x v="1"/>
    <s v="Medicaid"/>
    <n v="24207.96"/>
    <n v="7821.34"/>
    <n v="0"/>
  </r>
  <r>
    <x v="2855"/>
    <s v="Peconic Bay Medical Center"/>
    <n v="2015"/>
    <n v="4"/>
    <s v="Medicaid"/>
    <x v="1"/>
    <s v="Medicaid"/>
    <n v="10518"/>
    <n v="2796.87"/>
    <n v="0"/>
  </r>
  <r>
    <x v="2856"/>
    <s v="Peconic Bay Medical Center"/>
    <n v="2015"/>
    <n v="4"/>
    <s v="Medicaid"/>
    <x v="1"/>
    <s v="Medicaid"/>
    <n v="32395.38"/>
    <n v="10781.08"/>
    <n v="0"/>
  </r>
  <r>
    <x v="2857"/>
    <s v="Peconic Bay Medical Center"/>
    <n v="2015"/>
    <n v="4"/>
    <s v="Medicaid"/>
    <x v="1"/>
    <s v="Medicaid"/>
    <n v="20910.82"/>
    <n v="5093.33"/>
    <n v="0"/>
  </r>
  <r>
    <x v="2858"/>
    <s v="Peconic Bay Medical Center"/>
    <n v="2015"/>
    <n v="4"/>
    <s v="Medicaid"/>
    <x v="1"/>
    <s v="Medicaid"/>
    <n v="11639.5"/>
    <n v="3192.19"/>
    <n v="0"/>
  </r>
  <r>
    <x v="2859"/>
    <s v="Peconic Bay Medical Center"/>
    <n v="2015"/>
    <n v="4"/>
    <s v="Medicaid"/>
    <x v="1"/>
    <s v="Medicaid"/>
    <n v="35962.68"/>
    <n v="10868.72"/>
    <n v="0"/>
  </r>
  <r>
    <x v="2860"/>
    <s v="Peconic Bay Medical Center"/>
    <n v="2015"/>
    <n v="4"/>
    <s v="Medicaid"/>
    <x v="1"/>
    <s v="Medicaid"/>
    <n v="12451.72"/>
    <n v="2926.99"/>
    <n v="0"/>
  </r>
  <r>
    <x v="2861"/>
    <s v="Peconic Bay Medical Center"/>
    <n v="2015"/>
    <n v="4"/>
    <s v="Medicaid"/>
    <x v="1"/>
    <s v="Medicaid"/>
    <n v="29203.360000000001"/>
    <n v="10110.65"/>
    <n v="0"/>
  </r>
  <r>
    <x v="2862"/>
    <s v="Peconic Bay Medical Center"/>
    <n v="2015"/>
    <n v="4"/>
    <s v="Medicaid"/>
    <x v="1"/>
    <s v="Medicaid"/>
    <n v="20404.04"/>
    <n v="7430.29"/>
    <n v="0"/>
  </r>
  <r>
    <x v="2863"/>
    <s v="Peconic Bay Medical Center"/>
    <n v="2015"/>
    <n v="4"/>
    <s v="Medicaid"/>
    <x v="1"/>
    <s v="Medicaid"/>
    <n v="11063.5"/>
    <n v="3955.97"/>
    <n v="0"/>
  </r>
  <r>
    <x v="2864"/>
    <s v="Peconic Bay Medical Center"/>
    <n v="2015"/>
    <n v="4"/>
    <s v="Medicaid"/>
    <x v="1"/>
    <s v="Medicaid"/>
    <n v="34876.699999999997"/>
    <n v="10711.44"/>
    <n v="0"/>
  </r>
  <r>
    <x v="2865"/>
    <s v="Peconic Bay Medical Center"/>
    <n v="2015"/>
    <n v="4"/>
    <s v="Medicaid"/>
    <x v="1"/>
    <s v="Medicaid"/>
    <n v="14055.4"/>
    <n v="3624.1"/>
    <n v="0"/>
  </r>
  <r>
    <x v="2866"/>
    <s v="Peconic Bay Medical Center"/>
    <n v="2015"/>
    <n v="4"/>
    <s v="Medicaid"/>
    <x v="1"/>
    <s v="Medicaid"/>
    <n v="15270.18"/>
    <n v="5447.52"/>
    <n v="0"/>
  </r>
  <r>
    <x v="2867"/>
    <s v="Peconic Bay Medical Center"/>
    <n v="2015"/>
    <n v="4"/>
    <s v="Medicaid"/>
    <x v="1"/>
    <s v="Medicaid"/>
    <n v="15615.3"/>
    <n v="5461.37"/>
    <n v="0"/>
  </r>
  <r>
    <x v="2868"/>
    <s v="Peconic Bay Medical Center"/>
    <n v="2015"/>
    <n v="4"/>
    <s v="Medicaid"/>
    <x v="1"/>
    <s v="Medicaid"/>
    <n v="24197.32"/>
    <n v="7071.72"/>
    <n v="0"/>
  </r>
  <r>
    <x v="2869"/>
    <s v="Peconic Bay Medical Center"/>
    <n v="2015"/>
    <n v="4"/>
    <s v="Medicaid"/>
    <x v="1"/>
    <s v="Medicaid"/>
    <n v="26823.32"/>
    <n v="7268.11"/>
    <n v="0"/>
  </r>
  <r>
    <x v="2870"/>
    <s v="Peconic Bay Medical Center"/>
    <n v="2015"/>
    <n v="4"/>
    <s v="Medicaid"/>
    <x v="1"/>
    <s v="Medicaid"/>
    <n v="16319.46"/>
    <n v="5992.35"/>
    <n v="0"/>
  </r>
  <r>
    <x v="2871"/>
    <s v="Peconic Bay Medical Center"/>
    <n v="2015"/>
    <n v="4"/>
    <s v="Medicaid"/>
    <x v="1"/>
    <s v="Medicaid"/>
    <n v="36631.24"/>
    <n v="12415.78"/>
    <n v="0"/>
  </r>
  <r>
    <x v="2872"/>
    <s v="Peconic Bay Medical Center"/>
    <n v="2015"/>
    <n v="4"/>
    <s v="Medicaid"/>
    <x v="1"/>
    <s v="Medicaid"/>
    <n v="27416.799999999999"/>
    <n v="7161.78"/>
    <n v="0"/>
  </r>
  <r>
    <x v="2873"/>
    <s v="Peconic Bay Medical Center"/>
    <n v="2015"/>
    <n v="4"/>
    <s v="Medicaid"/>
    <x v="1"/>
    <s v="Medicaid"/>
    <n v="15595.8"/>
    <n v="5732.8"/>
    <n v="0"/>
  </r>
  <r>
    <x v="2874"/>
    <s v="Peconic Bay Medical Center"/>
    <n v="2015"/>
    <n v="4"/>
    <s v="Medicaid"/>
    <x v="1"/>
    <s v="Medicaid"/>
    <n v="13174.56"/>
    <n v="3938.55"/>
    <n v="0"/>
  </r>
  <r>
    <x v="2875"/>
    <s v="Peconic Bay Medical Center"/>
    <n v="2015"/>
    <n v="4"/>
    <s v="Medicaid"/>
    <x v="1"/>
    <s v="Medicaid"/>
    <n v="15726.54"/>
    <n v="5704"/>
    <n v="0"/>
  </r>
  <r>
    <x v="2876"/>
    <s v="Peconic Bay Medical Center"/>
    <n v="2015"/>
    <n v="4"/>
    <s v="Medicaid"/>
    <x v="1"/>
    <s v="Medicaid"/>
    <n v="28071.54"/>
    <n v="8226.76"/>
    <n v="0"/>
  </r>
  <r>
    <x v="2877"/>
    <s v="Peconic Bay Medical Center"/>
    <n v="2015"/>
    <n v="4"/>
    <s v="Medicaid"/>
    <x v="1"/>
    <s v="Medicaid"/>
    <n v="12258.84"/>
    <n v="2585.2199999999998"/>
    <n v="0"/>
  </r>
  <r>
    <x v="2878"/>
    <s v="Peconic Bay Medical Center"/>
    <n v="2015"/>
    <n v="4"/>
    <s v="Medicaid"/>
    <x v="1"/>
    <s v="Medicaid"/>
    <n v="29537.64"/>
    <n v="8269.07"/>
    <n v="0"/>
  </r>
  <r>
    <x v="2879"/>
    <s v="Peconic Bay Medical Center"/>
    <n v="2015"/>
    <n v="4"/>
    <s v="Medicaid"/>
    <x v="1"/>
    <s v="Medicaid"/>
    <n v="30800.7"/>
    <n v="10298.629999999999"/>
    <n v="0"/>
  </r>
  <r>
    <x v="2880"/>
    <s v="Peconic Bay Medical Center"/>
    <n v="2015"/>
    <n v="4"/>
    <s v="Medicaid"/>
    <x v="1"/>
    <s v="Medicaid"/>
    <n v="29715.74"/>
    <n v="10988.5"/>
    <n v="0"/>
  </r>
  <r>
    <x v="2881"/>
    <s v="Peconic Bay Medical Center"/>
    <n v="2015"/>
    <n v="4"/>
    <s v="Medicaid"/>
    <x v="1"/>
    <s v="Medicaid"/>
    <n v="8203.24"/>
    <n v="2281.5"/>
    <n v="0"/>
  </r>
  <r>
    <x v="2882"/>
    <s v="Peconic Bay Medical Center"/>
    <n v="2015"/>
    <n v="4"/>
    <s v="Medicaid"/>
    <x v="1"/>
    <s v="Medicaid"/>
    <n v="26242.92"/>
    <n v="8786.3799999999992"/>
    <n v="0"/>
  </r>
  <r>
    <x v="2883"/>
    <s v="Peconic Bay Medical Center"/>
    <n v="2015"/>
    <n v="4"/>
    <s v="Medicaid"/>
    <x v="1"/>
    <s v="Medicaid"/>
    <n v="33732.32"/>
    <n v="11594.3"/>
    <n v="0"/>
  </r>
  <r>
    <x v="2884"/>
    <s v="Peconic Bay Medical Center"/>
    <n v="2015"/>
    <n v="4"/>
    <s v="Medicaid"/>
    <x v="1"/>
    <s v="Medicaid"/>
    <n v="8919.7000000000007"/>
    <n v="2488.6799999999998"/>
    <n v="0"/>
  </r>
  <r>
    <x v="2885"/>
    <s v="Peconic Bay Medical Center"/>
    <n v="2015"/>
    <n v="4"/>
    <s v="Medicaid"/>
    <x v="1"/>
    <s v="Medicaid"/>
    <n v="47720.94"/>
    <n v="14772.76"/>
    <n v="0"/>
  </r>
  <r>
    <x v="2886"/>
    <s v="Peconic Bay Medical Center"/>
    <n v="2015"/>
    <n v="4"/>
    <s v="Medicaid"/>
    <x v="1"/>
    <s v="Medicaid"/>
    <n v="20325.919999999998"/>
    <n v="7305.11"/>
    <n v="0"/>
  </r>
  <r>
    <x v="2887"/>
    <s v="Peconic Bay Medical Center"/>
    <n v="2015"/>
    <n v="4"/>
    <s v="Medicaid"/>
    <x v="1"/>
    <s v="Medicaid"/>
    <n v="35746.800000000003"/>
    <n v="14107.86"/>
    <n v="0"/>
  </r>
  <r>
    <x v="2888"/>
    <s v="Peconic Bay Medical Center"/>
    <n v="2015"/>
    <n v="4"/>
    <s v="Medicaid"/>
    <x v="1"/>
    <s v="Medicaid"/>
    <n v="30664.38"/>
    <n v="10679.8"/>
    <n v="0"/>
  </r>
  <r>
    <x v="2889"/>
    <s v="Peconic Bay Medical Center"/>
    <n v="2015"/>
    <n v="4"/>
    <s v="Medicaid"/>
    <x v="1"/>
    <s v="Medicaid"/>
    <n v="25561.68"/>
    <n v="8620.3700000000008"/>
    <n v="0"/>
  </r>
  <r>
    <x v="2890"/>
    <s v="Peconic Bay Medical Center"/>
    <n v="2015"/>
    <n v="4"/>
    <s v="Medicaid"/>
    <x v="1"/>
    <s v="Medicaid"/>
    <n v="164415.5"/>
    <n v="74763.27"/>
    <n v="0"/>
  </r>
  <r>
    <x v="2891"/>
    <s v="Peconic Bay Medical Center"/>
    <n v="2015"/>
    <n v="4"/>
    <s v="Medicaid"/>
    <x v="1"/>
    <s v="Medicaid"/>
    <n v="12174.75"/>
    <n v="4661.4399999999996"/>
    <n v="0"/>
  </r>
  <r>
    <x v="2892"/>
    <s v="Peconic Bay Medical Center"/>
    <n v="2015"/>
    <n v="4"/>
    <s v="Medicaid"/>
    <x v="1"/>
    <s v="Medicaid"/>
    <n v="27924.959999999999"/>
    <n v="8073.44"/>
    <n v="0"/>
  </r>
  <r>
    <x v="2893"/>
    <s v="Peconic Bay Medical Center"/>
    <n v="2015"/>
    <n v="4"/>
    <s v="Medicaid"/>
    <x v="1"/>
    <s v="Medicaid"/>
    <n v="10450.44"/>
    <n v="3291.42"/>
    <n v="0"/>
  </r>
  <r>
    <x v="2894"/>
    <s v="Peconic Bay Medical Center"/>
    <n v="2015"/>
    <n v="4"/>
    <s v="Medicaid"/>
    <x v="1"/>
    <s v="Medicaid"/>
    <n v="10577.16"/>
    <n v="3495.27"/>
    <n v="0"/>
  </r>
  <r>
    <x v="2895"/>
    <s v="Peconic Bay Medical Center"/>
    <n v="2015"/>
    <n v="4"/>
    <s v="Medicaid"/>
    <x v="1"/>
    <s v="Medicaid"/>
    <n v="26499.02"/>
    <n v="8417.27"/>
    <n v="0"/>
  </r>
  <r>
    <x v="2896"/>
    <s v="Peconic Bay Medical Center"/>
    <n v="2015"/>
    <n v="4"/>
    <s v="Medicaid"/>
    <x v="1"/>
    <s v="Medicaid"/>
    <n v="68441.759999999995"/>
    <n v="21623.78"/>
    <n v="0"/>
  </r>
  <r>
    <x v="2897"/>
    <s v="Peconic Bay Medical Center"/>
    <n v="2015"/>
    <n v="4"/>
    <s v="Medicaid"/>
    <x v="1"/>
    <s v="Medicaid"/>
    <n v="16207.06"/>
    <n v="6118.91"/>
    <n v="0"/>
  </r>
  <r>
    <x v="2898"/>
    <s v="Peconic Bay Medical Center"/>
    <n v="2015"/>
    <n v="4"/>
    <s v="Medicaid"/>
    <x v="1"/>
    <s v="Medicaid"/>
    <n v="29041.22"/>
    <n v="10004.459999999999"/>
    <n v="0"/>
  </r>
  <r>
    <x v="2899"/>
    <s v="Peconic Bay Medical Center"/>
    <n v="2015"/>
    <n v="4"/>
    <s v="Medicaid"/>
    <x v="1"/>
    <s v="Medicaid"/>
    <n v="24128.400000000001"/>
    <n v="8470.11"/>
    <n v="0"/>
  </r>
  <r>
    <x v="2900"/>
    <s v="Peconic Bay Medical Center"/>
    <n v="2015"/>
    <n v="4"/>
    <s v="Medicaid"/>
    <x v="1"/>
    <s v="Medicaid"/>
    <n v="19433.080000000002"/>
    <n v="6929.03"/>
    <n v="0"/>
  </r>
  <r>
    <x v="2901"/>
    <s v="Peconic Bay Medical Center"/>
    <n v="2015"/>
    <n v="4"/>
    <s v="Medicaid"/>
    <x v="1"/>
    <s v="Medicaid"/>
    <n v="26537.599999999999"/>
    <n v="8855.14"/>
    <n v="0"/>
  </r>
  <r>
    <x v="2902"/>
    <s v="Peconic Bay Medical Center"/>
    <n v="2015"/>
    <n v="4"/>
    <s v="Medicaid"/>
    <x v="1"/>
    <s v="Medicaid"/>
    <n v="24594.560000000001"/>
    <n v="8518.66"/>
    <n v="0"/>
  </r>
  <r>
    <x v="2903"/>
    <s v="Peconic Bay Medical Center"/>
    <n v="2015"/>
    <n v="4"/>
    <s v="Medicaid"/>
    <x v="1"/>
    <s v="Medicaid"/>
    <n v="9903.98"/>
    <n v="2605.5300000000002"/>
    <n v="0"/>
  </r>
  <r>
    <x v="2904"/>
    <s v="Peconic Bay Medical Center"/>
    <n v="2015"/>
    <n v="4"/>
    <s v="Medicaid"/>
    <x v="1"/>
    <s v="Medicaid"/>
    <n v="15997.72"/>
    <n v="5902.31"/>
    <n v="0"/>
  </r>
  <r>
    <x v="2905"/>
    <s v="Peconic Bay Medical Center"/>
    <n v="2015"/>
    <n v="4"/>
    <s v="Medicaid"/>
    <x v="1"/>
    <s v="Medicaid"/>
    <n v="13309.9"/>
    <n v="3481.89"/>
    <n v="0"/>
  </r>
  <r>
    <x v="2906"/>
    <s v="Peconic Bay Medical Center"/>
    <n v="2015"/>
    <n v="4"/>
    <s v="Medicaid"/>
    <x v="1"/>
    <s v="Medicaid"/>
    <n v="23715.08"/>
    <n v="8365.9500000000007"/>
    <n v="0"/>
  </r>
  <r>
    <x v="2907"/>
    <s v="Peconic Bay Medical Center"/>
    <n v="2015"/>
    <n v="4"/>
    <s v="Medicaid"/>
    <x v="1"/>
    <s v="Medicaid"/>
    <n v="8288.68"/>
    <n v="2317.23"/>
    <n v="0"/>
  </r>
  <r>
    <x v="2908"/>
    <s v="Peconic Bay Medical Center"/>
    <n v="2015"/>
    <n v="4"/>
    <s v="Medicaid"/>
    <x v="1"/>
    <s v="Medicaid"/>
    <n v="8808.98"/>
    <n v="2397.62"/>
    <n v="0"/>
  </r>
  <r>
    <x v="2909"/>
    <s v="Peconic Bay Medical Center"/>
    <n v="2015"/>
    <n v="4"/>
    <s v="Medicaid"/>
    <x v="1"/>
    <s v="Medicaid"/>
    <n v="19369.18"/>
    <n v="6952.79"/>
    <n v="0"/>
  </r>
  <r>
    <x v="2910"/>
    <s v="Peconic Bay Medical Center"/>
    <n v="2015"/>
    <n v="4"/>
    <s v="Medicaid"/>
    <x v="1"/>
    <s v="Medicaid"/>
    <n v="11053.4"/>
    <n v="2997.93"/>
    <n v="0"/>
  </r>
  <r>
    <x v="2911"/>
    <s v="Peconic Bay Medical Center"/>
    <n v="2015"/>
    <n v="4"/>
    <s v="Medicaid"/>
    <x v="1"/>
    <s v="Medicaid"/>
    <n v="15491.7"/>
    <n v="5429.96"/>
    <n v="0"/>
  </r>
  <r>
    <x v="2912"/>
    <s v="Peconic Bay Medical Center"/>
    <n v="2015"/>
    <n v="4"/>
    <s v="Medicaid"/>
    <x v="1"/>
    <s v="Medicaid"/>
    <n v="28894.84"/>
    <n v="9963.5"/>
    <n v="0"/>
  </r>
  <r>
    <x v="2913"/>
    <s v="Peconic Bay Medical Center"/>
    <n v="2015"/>
    <n v="4"/>
    <s v="Medicaid"/>
    <x v="1"/>
    <s v="Medicaid"/>
    <n v="24685.24"/>
    <n v="8675.8700000000008"/>
    <n v="0"/>
  </r>
  <r>
    <x v="2914"/>
    <s v="Peconic Bay Medical Center"/>
    <n v="2015"/>
    <n v="4"/>
    <s v="Medicaid"/>
    <x v="1"/>
    <s v="Medicaid"/>
    <n v="213073.9"/>
    <n v="123446.09"/>
    <n v="0"/>
  </r>
  <r>
    <x v="2915"/>
    <s v="Peconic Bay Medical Center"/>
    <n v="2015"/>
    <n v="4"/>
    <s v="Medicaid"/>
    <x v="1"/>
    <s v="Medicaid"/>
    <n v="20544.7"/>
    <n v="7140.62"/>
    <n v="0"/>
  </r>
  <r>
    <x v="2916"/>
    <s v="Peconic Bay Medical Center"/>
    <n v="2015"/>
    <n v="4"/>
    <s v="Medicaid"/>
    <x v="1"/>
    <s v="Medicaid"/>
    <n v="9303"/>
    <n v="2549.46"/>
    <n v="0"/>
  </r>
  <r>
    <x v="2917"/>
    <s v="Peconic Bay Medical Center"/>
    <n v="2015"/>
    <n v="4"/>
    <s v="Medicaid"/>
    <x v="1"/>
    <s v="Medicaid"/>
    <n v="26331.52"/>
    <n v="8811.7199999999993"/>
    <n v="0"/>
  </r>
  <r>
    <x v="2918"/>
    <s v="Peconic Bay Medical Center"/>
    <n v="2015"/>
    <n v="4"/>
    <s v="Medicaid"/>
    <x v="1"/>
    <s v="Medicaid"/>
    <n v="17081.57"/>
    <n v="6405.09"/>
    <n v="0"/>
  </r>
  <r>
    <x v="2919"/>
    <s v="Peconic Bay Medical Center"/>
    <n v="2015"/>
    <n v="4"/>
    <s v="Medicaid"/>
    <x v="1"/>
    <s v="Medicaid"/>
    <n v="17405.580000000002"/>
    <n v="5413.3"/>
    <n v="0"/>
  </r>
  <r>
    <x v="2920"/>
    <s v="Peconic Bay Medical Center"/>
    <n v="2015"/>
    <n v="4"/>
    <s v="Medicaid"/>
    <x v="1"/>
    <s v="Medicaid"/>
    <n v="20241.28"/>
    <n v="6327.3"/>
    <n v="0"/>
  </r>
  <r>
    <x v="2921"/>
    <s v="Peconic Bay Medical Center"/>
    <n v="2015"/>
    <n v="4"/>
    <s v="Medicaid"/>
    <x v="1"/>
    <s v="Medicaid"/>
    <n v="50082.04"/>
    <n v="15488.28"/>
    <n v="0"/>
  </r>
  <r>
    <x v="2922"/>
    <s v="Peconic Bay Medical Center"/>
    <n v="2015"/>
    <n v="4"/>
    <s v="Medicaid"/>
    <x v="1"/>
    <s v="Medicaid"/>
    <n v="25353.4"/>
    <n v="7103.27"/>
    <n v="0"/>
  </r>
  <r>
    <x v="2923"/>
    <s v="Peconic Bay Medical Center"/>
    <n v="2015"/>
    <n v="4"/>
    <s v="Medicaid"/>
    <x v="1"/>
    <s v="Medicaid"/>
    <n v="12026.1"/>
    <n v="4195.29"/>
    <n v="0"/>
  </r>
  <r>
    <x v="2924"/>
    <s v="Peconic Bay Medical Center"/>
    <n v="2015"/>
    <n v="4"/>
    <s v="Medicaid"/>
    <x v="1"/>
    <s v="Medicaid"/>
    <n v="30356.12"/>
    <n v="15355.9"/>
    <n v="0"/>
  </r>
  <r>
    <x v="2925"/>
    <s v="Peconic Bay Medical Center"/>
    <n v="2015"/>
    <n v="4"/>
    <s v="Medicaid"/>
    <x v="1"/>
    <s v="Medicaid"/>
    <n v="68537.02"/>
    <n v="22299.759999999998"/>
    <n v="0"/>
  </r>
  <r>
    <x v="2926"/>
    <s v="Peconic Bay Medical Center"/>
    <n v="2015"/>
    <n v="4"/>
    <s v="Medicaid"/>
    <x v="1"/>
    <s v="Medicaid"/>
    <n v="16215.52"/>
    <n v="5992.96"/>
    <n v="0"/>
  </r>
  <r>
    <x v="2927"/>
    <s v="Peconic Bay Medical Center"/>
    <n v="2015"/>
    <n v="4"/>
    <s v="Medicaid"/>
    <x v="1"/>
    <s v="Medicaid"/>
    <n v="15076.76"/>
    <n v="4411.2700000000004"/>
    <n v="0"/>
  </r>
  <r>
    <x v="2928"/>
    <s v="Peconic Bay Medical Center"/>
    <n v="2015"/>
    <n v="4"/>
    <s v="Medicaid"/>
    <x v="1"/>
    <s v="Medicaid"/>
    <n v="27075.46"/>
    <n v="7959"/>
    <n v="0"/>
  </r>
  <r>
    <x v="2929"/>
    <s v="Peconic Bay Medical Center"/>
    <n v="2015"/>
    <n v="4"/>
    <s v="Medicaid"/>
    <x v="1"/>
    <s v="Medicaid"/>
    <n v="27435.26"/>
    <n v="15088.35"/>
    <n v="0"/>
  </r>
  <r>
    <x v="2930"/>
    <s v="Peconic Bay Medical Center"/>
    <n v="2015"/>
    <n v="4"/>
    <s v="Medicaid"/>
    <x v="1"/>
    <s v="Medicaid"/>
    <n v="15580.48"/>
    <n v="5525.52"/>
    <n v="0"/>
  </r>
  <r>
    <x v="2931"/>
    <s v="Peconic Bay Medical Center"/>
    <n v="2015"/>
    <n v="4"/>
    <s v="Medicaid"/>
    <x v="1"/>
    <s v="Medicaid"/>
    <n v="117870.74"/>
    <n v="44036.82"/>
    <n v="0"/>
  </r>
  <r>
    <x v="2932"/>
    <s v="Peconic Bay Medical Center"/>
    <n v="2015"/>
    <n v="4"/>
    <s v="Medicaid"/>
    <x v="1"/>
    <s v="Medicaid"/>
    <n v="25611.16"/>
    <n v="8633.3700000000008"/>
    <n v="0"/>
  </r>
  <r>
    <x v="2933"/>
    <s v="Peconic Bay Medical Center"/>
    <n v="2015"/>
    <n v="4"/>
    <s v="Medicaid"/>
    <x v="1"/>
    <s v="Medicaid"/>
    <n v="11679.26"/>
    <n v="4179.7299999999996"/>
    <n v="0"/>
  </r>
  <r>
    <x v="2934"/>
    <s v="Peconic Bay Medical Center"/>
    <n v="2015"/>
    <n v="4"/>
    <s v="Medicaid"/>
    <x v="1"/>
    <s v="Medicaid"/>
    <n v="19426.18"/>
    <n v="4772.38"/>
    <n v="0"/>
  </r>
  <r>
    <x v="2935"/>
    <s v="Peconic Bay Medical Center"/>
    <n v="2015"/>
    <n v="4"/>
    <s v="Medicaid"/>
    <x v="1"/>
    <s v="Medicaid"/>
    <n v="98765.94"/>
    <n v="32652.93"/>
    <n v="0"/>
  </r>
  <r>
    <x v="2936"/>
    <s v="Peconic Bay Medical Center"/>
    <n v="2015"/>
    <n v="4"/>
    <s v="Medicaid"/>
    <x v="1"/>
    <s v="Medicaid"/>
    <n v="11387.12"/>
    <n v="4034.67"/>
    <n v="0"/>
  </r>
  <r>
    <x v="2937"/>
    <s v="Peconic Bay Medical Center"/>
    <n v="2015"/>
    <n v="4"/>
    <s v="Medicaid"/>
    <x v="1"/>
    <s v="Medicaid"/>
    <n v="15038.5"/>
    <n v="5246.19"/>
    <n v="0"/>
  </r>
  <r>
    <x v="2938"/>
    <s v="Peconic Bay Medical Center"/>
    <n v="2015"/>
    <n v="4"/>
    <s v="Medicaid"/>
    <x v="1"/>
    <s v="Medicaid"/>
    <n v="27824.42"/>
    <n v="9278.2999999999993"/>
    <n v="0"/>
  </r>
  <r>
    <x v="2939"/>
    <s v="Peconic Bay Medical Center"/>
    <n v="2015"/>
    <n v="4"/>
    <s v="Medicaid"/>
    <x v="1"/>
    <s v="Medicaid"/>
    <n v="29376.34"/>
    <n v="9941.09"/>
    <n v="0"/>
  </r>
  <r>
    <x v="2940"/>
    <s v="Peconic Bay Medical Center"/>
    <n v="2015"/>
    <n v="4"/>
    <s v="Medicaid"/>
    <x v="1"/>
    <s v="Medicaid"/>
    <n v="29745.78"/>
    <n v="10033.98"/>
    <n v="0"/>
  </r>
  <r>
    <x v="2941"/>
    <s v="Peconic Bay Medical Center"/>
    <n v="2015"/>
    <n v="4"/>
    <s v="Medicaid"/>
    <x v="1"/>
    <s v="Medicaid"/>
    <n v="14218.02"/>
    <n v="5396.69"/>
    <n v="0"/>
  </r>
  <r>
    <x v="2942"/>
    <s v="Peconic Bay Medical Center"/>
    <n v="2015"/>
    <n v="4"/>
    <s v="Medicaid"/>
    <x v="1"/>
    <s v="Medicaid"/>
    <n v="14507"/>
    <n v="5089.96"/>
    <n v="0"/>
  </r>
  <r>
    <x v="2943"/>
    <s v="Peconic Bay Medical Center"/>
    <n v="2015"/>
    <n v="4"/>
    <s v="Medicaid"/>
    <x v="1"/>
    <s v="Medicaid"/>
    <n v="30048.38"/>
    <n v="10244.459999999999"/>
    <n v="0"/>
  </r>
  <r>
    <x v="2944"/>
    <s v="Peconic Bay Medical Center"/>
    <n v="2015"/>
    <n v="4"/>
    <s v="Medicaid"/>
    <x v="1"/>
    <s v="Medicaid"/>
    <n v="12346.54"/>
    <n v="2758.69"/>
    <n v="0"/>
  </r>
  <r>
    <x v="2945"/>
    <s v="Peconic Bay Medical Center"/>
    <n v="2015"/>
    <n v="4"/>
    <s v="Medicaid"/>
    <x v="1"/>
    <s v="Medicaid"/>
    <n v="27009.4"/>
    <n v="9322.2000000000007"/>
    <n v="0"/>
  </r>
  <r>
    <x v="2946"/>
    <s v="Peconic Bay Medical Center"/>
    <n v="2015"/>
    <n v="4"/>
    <s v="Medicaid"/>
    <x v="1"/>
    <s v="Medicaid"/>
    <n v="15911.6"/>
    <n v="5680.73"/>
    <n v="0"/>
  </r>
  <r>
    <x v="2947"/>
    <s v="Peconic Bay Medical Center"/>
    <n v="2015"/>
    <n v="4"/>
    <s v="Medicaid"/>
    <x v="1"/>
    <s v="Medicaid"/>
    <n v="31831.94"/>
    <n v="12696.96"/>
    <n v="0"/>
  </r>
  <r>
    <x v="2948"/>
    <s v="Peconic Bay Medical Center"/>
    <n v="2015"/>
    <n v="4"/>
    <s v="Medicaid"/>
    <x v="1"/>
    <s v="Medicaid"/>
    <n v="20686.080000000002"/>
    <n v="7631.49"/>
    <n v="0"/>
  </r>
  <r>
    <x v="2949"/>
    <s v="Peconic Bay Medical Center"/>
    <n v="2015"/>
    <n v="4"/>
    <s v="Medicaid"/>
    <x v="1"/>
    <s v="Medicaid"/>
    <n v="24501.24"/>
    <n v="7190.78"/>
    <n v="0"/>
  </r>
  <r>
    <x v="2950"/>
    <s v="Peconic Bay Medical Center"/>
    <n v="2015"/>
    <n v="4"/>
    <s v="Medicaid"/>
    <x v="1"/>
    <s v="Medicaid"/>
    <n v="15380.76"/>
    <n v="5331.04"/>
    <n v="0"/>
  </r>
  <r>
    <x v="2951"/>
    <s v="Peconic Bay Medical Center"/>
    <n v="2015"/>
    <n v="4"/>
    <s v="Medicaid"/>
    <x v="1"/>
    <s v="Medicaid"/>
    <n v="37611.9"/>
    <n v="12099.13"/>
    <n v="0"/>
  </r>
  <r>
    <x v="2952"/>
    <s v="Peconic Bay Medical Center"/>
    <n v="2015"/>
    <n v="4"/>
    <s v="Medicaid"/>
    <x v="1"/>
    <s v="Medicaid"/>
    <n v="25125.86"/>
    <n v="9220.32"/>
    <n v="0"/>
  </r>
  <r>
    <x v="2953"/>
    <s v="Peconic Bay Medical Center"/>
    <n v="2015"/>
    <n v="4"/>
    <s v="Medicaid"/>
    <x v="1"/>
    <s v="Medicaid"/>
    <n v="32241.62"/>
    <n v="12575"/>
    <n v="0"/>
  </r>
  <r>
    <x v="2954"/>
    <s v="Peconic Bay Medical Center"/>
    <n v="2015"/>
    <n v="4"/>
    <s v="Medicaid"/>
    <x v="1"/>
    <s v="Medicaid"/>
    <n v="12019.74"/>
    <n v="3139.64"/>
    <n v="0"/>
  </r>
  <r>
    <x v="2955"/>
    <s v="Peconic Bay Medical Center"/>
    <n v="2015"/>
    <n v="4"/>
    <s v="Medicaid"/>
    <x v="1"/>
    <s v="Medicaid"/>
    <n v="74206.240000000005"/>
    <n v="32264.74"/>
    <n v="0"/>
  </r>
  <r>
    <x v="2956"/>
    <s v="Peconic Bay Medical Center"/>
    <n v="2015"/>
    <n v="4"/>
    <s v="Medicaid"/>
    <x v="1"/>
    <s v="Medicaid"/>
    <n v="15867.94"/>
    <n v="6385.12"/>
    <n v="0"/>
  </r>
  <r>
    <x v="2957"/>
    <s v="Peconic Bay Medical Center"/>
    <n v="2015"/>
    <n v="4"/>
    <s v="Medicaid"/>
    <x v="1"/>
    <s v="Medicaid"/>
    <n v="10140.98"/>
    <n v="2706.91"/>
    <n v="0"/>
  </r>
  <r>
    <x v="2958"/>
    <s v="Peconic Bay Medical Center"/>
    <n v="2015"/>
    <n v="4"/>
    <s v="Medicaid"/>
    <x v="1"/>
    <s v="Medicaid"/>
    <n v="34446.480000000003"/>
    <n v="11578.66"/>
    <n v="0"/>
  </r>
  <r>
    <x v="2959"/>
    <s v="Peconic Bay Medical Center"/>
    <n v="2015"/>
    <n v="4"/>
    <s v="Medicaid"/>
    <x v="1"/>
    <s v="Medicaid"/>
    <n v="22026.959999999999"/>
    <n v="9078.25"/>
    <n v="0"/>
  </r>
  <r>
    <x v="2960"/>
    <s v="Peconic Bay Medical Center"/>
    <n v="2015"/>
    <n v="4"/>
    <s v="Medicaid"/>
    <x v="1"/>
    <s v="Medicaid"/>
    <n v="9399.74"/>
    <n v="2499.81"/>
    <n v="0"/>
  </r>
  <r>
    <x v="2961"/>
    <s v="Peconic Bay Medical Center"/>
    <n v="2015"/>
    <n v="4"/>
    <s v="Medicaid"/>
    <x v="1"/>
    <s v="Medicaid"/>
    <n v="10322.620000000001"/>
    <n v="4347.8500000000004"/>
    <n v="0"/>
  </r>
  <r>
    <x v="2962"/>
    <s v="Peconic Bay Medical Center"/>
    <n v="2015"/>
    <n v="4"/>
    <s v="Medicaid"/>
    <x v="1"/>
    <s v="Medicaid"/>
    <n v="33223.4"/>
    <n v="11213.32"/>
    <n v="0"/>
  </r>
  <r>
    <x v="2963"/>
    <s v="Peconic Bay Medical Center"/>
    <n v="2015"/>
    <n v="4"/>
    <s v="Medicaid"/>
    <x v="1"/>
    <s v="Medicaid"/>
    <n v="11702.04"/>
    <n v="4110.7"/>
    <n v="0"/>
  </r>
  <r>
    <x v="2964"/>
    <s v="Peconic Bay Medical Center"/>
    <n v="2015"/>
    <n v="4"/>
    <s v="Medicaid"/>
    <x v="1"/>
    <s v="Medicaid"/>
    <n v="16573.88"/>
    <n v="6357.22"/>
    <n v="0"/>
  </r>
  <r>
    <x v="2965"/>
    <s v="Peconic Bay Medical Center"/>
    <n v="2015"/>
    <n v="4"/>
    <s v="Medicaid"/>
    <x v="1"/>
    <s v="Medicaid"/>
    <n v="26204.58"/>
    <n v="7374.37"/>
    <n v="0"/>
  </r>
  <r>
    <x v="2966"/>
    <s v="Peconic Bay Medical Center"/>
    <n v="2015"/>
    <n v="4"/>
    <s v="Medicaid"/>
    <x v="1"/>
    <s v="Medicaid"/>
    <n v="11830.54"/>
    <n v="3666.88"/>
    <n v="0"/>
  </r>
  <r>
    <x v="2967"/>
    <s v="Peconic Bay Medical Center"/>
    <n v="2015"/>
    <n v="4"/>
    <s v="Medicaid"/>
    <x v="1"/>
    <s v="Medicaid"/>
    <n v="24977.7"/>
    <n v="8615.19"/>
    <n v="0"/>
  </r>
  <r>
    <x v="2968"/>
    <s v="Peconic Bay Medical Center"/>
    <n v="2015"/>
    <n v="4"/>
    <s v="Medicaid"/>
    <x v="1"/>
    <s v="Medicaid"/>
    <n v="16134.16"/>
    <n v="6299.7"/>
    <n v="0"/>
  </r>
  <r>
    <x v="2969"/>
    <s v="Peconic Bay Medical Center"/>
    <n v="2015"/>
    <n v="4"/>
    <s v="Medicaid"/>
    <x v="1"/>
    <s v="Medicaid"/>
    <n v="18917.2"/>
    <n v="5963.57"/>
    <n v="0"/>
  </r>
  <r>
    <x v="2970"/>
    <s v="Peconic Bay Medical Center"/>
    <n v="2015"/>
    <n v="4"/>
    <s v="Medicaid"/>
    <x v="1"/>
    <s v="Medicaid"/>
    <n v="17010.02"/>
    <n v="6021.5"/>
    <n v="0"/>
  </r>
  <r>
    <x v="2971"/>
    <s v="Peconic Bay Medical Center"/>
    <n v="2015"/>
    <n v="4"/>
    <s v="Medicaid"/>
    <x v="1"/>
    <s v="Medicaid"/>
    <n v="175371.86"/>
    <n v="84842.01"/>
    <n v="0"/>
  </r>
  <r>
    <x v="2972"/>
    <s v="Peconic Bay Medical Center"/>
    <n v="2015"/>
    <n v="4"/>
    <s v="Medicaid"/>
    <x v="1"/>
    <s v="Medicaid"/>
    <n v="14042.72"/>
    <n v="5282.17"/>
    <n v="0"/>
  </r>
  <r>
    <x v="2973"/>
    <s v="Peconic Bay Medical Center"/>
    <n v="2015"/>
    <n v="4"/>
    <s v="Medicaid"/>
    <x v="1"/>
    <s v="Medicaid"/>
    <n v="20303.62"/>
    <n v="6198.42"/>
    <n v="0"/>
  </r>
  <r>
    <x v="2974"/>
    <s v="Peconic Bay Medical Center"/>
    <n v="2015"/>
    <n v="4"/>
    <s v="Medicaid"/>
    <x v="1"/>
    <s v="Medicaid"/>
    <n v="25883.040000000001"/>
    <n v="8699.94"/>
    <n v="0"/>
  </r>
  <r>
    <x v="2975"/>
    <s v="Peconic Bay Medical Center"/>
    <n v="2015"/>
    <n v="4"/>
    <s v="Medicaid"/>
    <x v="1"/>
    <s v="Medicaid"/>
    <n v="10443.94"/>
    <n v="3196.38"/>
    <n v="0"/>
  </r>
  <r>
    <x v="2976"/>
    <s v="Peconic Bay Medical Center"/>
    <n v="2015"/>
    <n v="4"/>
    <s v="Medicaid"/>
    <x v="1"/>
    <s v="Medicaid"/>
    <n v="67557.119999999995"/>
    <n v="22984.240000000002"/>
    <n v="0"/>
  </r>
  <r>
    <x v="2977"/>
    <s v="Peconic Bay Medical Center"/>
    <n v="2015"/>
    <n v="4"/>
    <s v="Medicaid"/>
    <x v="1"/>
    <s v="Medicaid"/>
    <n v="102340.35"/>
    <n v="46316.53"/>
    <n v="0"/>
  </r>
  <r>
    <x v="2978"/>
    <s v="Peconic Bay Medical Center"/>
    <n v="2015"/>
    <n v="4"/>
    <s v="Medicaid"/>
    <x v="1"/>
    <s v="Medicaid"/>
    <n v="26268.42"/>
    <n v="7053.35"/>
    <n v="0"/>
  </r>
  <r>
    <x v="2979"/>
    <s v="Peconic Bay Medical Center"/>
    <n v="2015"/>
    <n v="4"/>
    <s v="Medicaid"/>
    <x v="1"/>
    <s v="Medicaid"/>
    <n v="22926.38"/>
    <n v="7026.31"/>
    <n v="0"/>
  </r>
  <r>
    <x v="2980"/>
    <s v="Peconic Bay Medical Center"/>
    <n v="2015"/>
    <n v="4"/>
    <s v="Medicaid"/>
    <x v="1"/>
    <s v="Medicaid"/>
    <n v="11095.02"/>
    <n v="6397.15"/>
    <n v="0"/>
  </r>
  <r>
    <x v="2981"/>
    <s v="Peconic Bay Medical Center"/>
    <n v="2015"/>
    <n v="4"/>
    <s v="Medicaid"/>
    <x v="1"/>
    <s v="Medicaid"/>
    <n v="13276.5"/>
    <n v="3442.06"/>
    <n v="0"/>
  </r>
  <r>
    <x v="2982"/>
    <s v="Peconic Bay Medical Center"/>
    <n v="2015"/>
    <n v="4"/>
    <s v="Medicaid"/>
    <x v="1"/>
    <s v="Medicaid"/>
    <n v="10763.6"/>
    <n v="3051.39"/>
    <n v="0"/>
  </r>
  <r>
    <x v="2983"/>
    <s v="Peconic Bay Medical Center"/>
    <n v="2015"/>
    <n v="4"/>
    <s v="Medicaid"/>
    <x v="1"/>
    <s v="Medicaid"/>
    <n v="28918.42"/>
    <n v="11673.17"/>
    <n v="0"/>
  </r>
  <r>
    <x v="2984"/>
    <s v="Peconic Bay Medical Center"/>
    <n v="2015"/>
    <n v="4"/>
    <s v="Medicaid"/>
    <x v="1"/>
    <s v="Medicaid"/>
    <n v="26299.72"/>
    <n v="8759.89"/>
    <n v="0"/>
  </r>
  <r>
    <x v="2985"/>
    <s v="Peconic Bay Medical Center"/>
    <n v="2015"/>
    <n v="4"/>
    <s v="Medicaid"/>
    <x v="1"/>
    <s v="Medicaid"/>
    <n v="13526.88"/>
    <n v="3289.84"/>
    <n v="0"/>
  </r>
  <r>
    <x v="2986"/>
    <s v="Peconic Bay Medical Center"/>
    <n v="2015"/>
    <n v="4"/>
    <s v="Medicaid"/>
    <x v="1"/>
    <s v="Medicaid"/>
    <n v="17432.52"/>
    <n v="5957.63"/>
    <n v="0"/>
  </r>
  <r>
    <x v="2987"/>
    <s v="Peconic Bay Medical Center"/>
    <n v="2015"/>
    <n v="4"/>
    <s v="Medicaid"/>
    <x v="1"/>
    <s v="Medicaid"/>
    <n v="34666.160000000003"/>
    <n v="11994.17"/>
    <n v="0"/>
  </r>
  <r>
    <x v="2988"/>
    <s v="Peconic Bay Medical Center"/>
    <n v="2015"/>
    <n v="4"/>
    <s v="Medicaid"/>
    <x v="1"/>
    <s v="Medicaid"/>
    <n v="23879.72"/>
    <n v="7003.73"/>
    <n v="0"/>
  </r>
  <r>
    <x v="2989"/>
    <s v="Peconic Bay Medical Center"/>
    <n v="2015"/>
    <n v="4"/>
    <s v="Medicaid"/>
    <x v="1"/>
    <s v="Medicaid"/>
    <n v="16312.1"/>
    <n v="6285.07"/>
    <n v="0"/>
  </r>
  <r>
    <x v="2990"/>
    <s v="Peconic Bay Medical Center"/>
    <n v="2015"/>
    <n v="4"/>
    <s v="Medicaid"/>
    <x v="1"/>
    <s v="Medicaid"/>
    <n v="29754.87"/>
    <n v="10038.299999999999"/>
    <n v="0"/>
  </r>
  <r>
    <x v="2991"/>
    <s v="Peconic Bay Medical Center"/>
    <n v="2015"/>
    <n v="4"/>
    <s v="Medicaid"/>
    <x v="1"/>
    <s v="Medicaid"/>
    <n v="110443.52"/>
    <n v="43931.22"/>
    <n v="0"/>
  </r>
  <r>
    <x v="2992"/>
    <s v="Peconic Bay Medical Center"/>
    <n v="2015"/>
    <n v="4"/>
    <s v="Medicaid"/>
    <x v="1"/>
    <s v="Medicaid"/>
    <n v="31680.04"/>
    <n v="22597.63"/>
    <n v="0"/>
  </r>
  <r>
    <x v="2993"/>
    <s v="Peconic Bay Medical Center"/>
    <n v="2015"/>
    <n v="4"/>
    <s v="Medicaid"/>
    <x v="1"/>
    <s v="Medicaid"/>
    <n v="30928.06"/>
    <n v="11112.63"/>
    <n v="0"/>
  </r>
  <r>
    <x v="2994"/>
    <s v="Peconic Bay Medical Center"/>
    <n v="2015"/>
    <n v="4"/>
    <s v="Medicaid"/>
    <x v="1"/>
    <s v="Medicaid"/>
    <n v="10237.799999999999"/>
    <n v="4038.27"/>
    <n v="0"/>
  </r>
  <r>
    <x v="2995"/>
    <s v="Peconic Bay Medical Center"/>
    <n v="2015"/>
    <n v="4"/>
    <s v="Medicaid"/>
    <x v="1"/>
    <s v="Medicaid"/>
    <n v="78944.820000000007"/>
    <n v="23502.29"/>
    <n v="0"/>
  </r>
  <r>
    <x v="2996"/>
    <s v="Peconic Bay Medical Center"/>
    <n v="2015"/>
    <n v="4"/>
    <s v="Medicaid"/>
    <x v="1"/>
    <s v="Medicaid"/>
    <n v="51719.32"/>
    <n v="11808.07"/>
    <n v="0"/>
  </r>
  <r>
    <x v="2997"/>
    <s v="Peconic Bay Medical Center"/>
    <n v="2015"/>
    <n v="4"/>
    <s v="Medicaid"/>
    <x v="1"/>
    <s v="Medicaid"/>
    <n v="23748.880000000001"/>
    <n v="8085.37"/>
    <n v="0"/>
  </r>
  <r>
    <x v="2998"/>
    <s v="Peconic Bay Medical Center"/>
    <n v="2015"/>
    <n v="4"/>
    <s v="Medicaid"/>
    <x v="1"/>
    <s v="Medicaid"/>
    <n v="29531.4"/>
    <n v="9978.92"/>
    <n v="0"/>
  </r>
  <r>
    <x v="2999"/>
    <s v="Peconic Bay Medical Center"/>
    <n v="2015"/>
    <n v="4"/>
    <s v="Medicaid"/>
    <x v="1"/>
    <s v="Medicaid"/>
    <n v="16653.580000000002"/>
    <n v="4936.5600000000004"/>
    <n v="0"/>
  </r>
  <r>
    <x v="3000"/>
    <s v="Peconic Bay Medical Center"/>
    <n v="2015"/>
    <n v="4"/>
    <s v="Medicaid"/>
    <x v="1"/>
    <s v="Medicaid"/>
    <n v="11448.9"/>
    <n v="4121.93"/>
    <n v="0"/>
  </r>
  <r>
    <x v="3001"/>
    <s v="Peconic Bay Medical Center"/>
    <n v="2015"/>
    <n v="4"/>
    <s v="Medicaid"/>
    <x v="1"/>
    <s v="Medicaid"/>
    <n v="14256.5"/>
    <n v="4265.09"/>
    <n v="0"/>
  </r>
  <r>
    <x v="3002"/>
    <s v="Peconic Bay Medical Center"/>
    <n v="2015"/>
    <n v="4"/>
    <s v="Medicaid"/>
    <x v="1"/>
    <s v="Medicaid"/>
    <n v="12818.74"/>
    <n v="3779.66"/>
    <n v="0"/>
  </r>
  <r>
    <x v="3003"/>
    <s v="Peconic Bay Medical Center"/>
    <n v="2015"/>
    <n v="4"/>
    <s v="Medicaid"/>
    <x v="1"/>
    <s v="Medicaid"/>
    <n v="27298.18"/>
    <n v="8013.37"/>
    <n v="0"/>
  </r>
  <r>
    <x v="3004"/>
    <s v="Peconic Bay Medical Center"/>
    <n v="2015"/>
    <n v="4"/>
    <s v="Medicaid"/>
    <x v="1"/>
    <s v="Medicaid"/>
    <n v="33650.800000000003"/>
    <n v="12491.94"/>
    <n v="0"/>
  </r>
  <r>
    <x v="3005"/>
    <s v="Peconic Bay Medical Center"/>
    <n v="2015"/>
    <n v="4"/>
    <s v="Medicaid"/>
    <x v="1"/>
    <s v="Medicaid"/>
    <n v="19152.28"/>
    <n v="4462.74"/>
    <n v="0"/>
  </r>
  <r>
    <x v="3006"/>
    <s v="Peconic Bay Medical Center"/>
    <n v="2015"/>
    <n v="4"/>
    <s v="Medicaid"/>
    <x v="1"/>
    <s v="Medicaid"/>
    <n v="11815.56"/>
    <n v="3666.47"/>
    <n v="0"/>
  </r>
  <r>
    <x v="3007"/>
    <s v="Peconic Bay Medical Center"/>
    <n v="2015"/>
    <n v="4"/>
    <s v="Medicaid"/>
    <x v="1"/>
    <s v="Medicaid"/>
    <n v="16443.52"/>
    <n v="6204.35"/>
    <n v="0"/>
  </r>
  <r>
    <x v="3008"/>
    <s v="Peconic Bay Medical Center"/>
    <n v="2015"/>
    <n v="4"/>
    <s v="Medicaid"/>
    <x v="1"/>
    <s v="Medicaid"/>
    <n v="45981.42"/>
    <n v="14954.19"/>
    <n v="0"/>
  </r>
  <r>
    <x v="3009"/>
    <s v="Peconic Bay Medical Center"/>
    <n v="2015"/>
    <n v="4"/>
    <s v="Medicaid"/>
    <x v="1"/>
    <s v="Medicaid"/>
    <n v="28714.98"/>
    <n v="10089.83"/>
    <n v="0"/>
  </r>
  <r>
    <x v="3010"/>
    <s v="Peconic Bay Medical Center"/>
    <n v="2015"/>
    <n v="4"/>
    <s v="Medicaid"/>
    <x v="1"/>
    <s v="Medicaid"/>
    <n v="15307.94"/>
    <n v="5456.94"/>
    <n v="0"/>
  </r>
  <r>
    <x v="3011"/>
    <s v="Peconic Bay Medical Center"/>
    <n v="2015"/>
    <n v="4"/>
    <s v="Medicaid"/>
    <x v="1"/>
    <s v="Medicaid"/>
    <n v="11046.36"/>
    <n v="3344.65"/>
    <n v="0"/>
  </r>
  <r>
    <x v="3012"/>
    <s v="Peconic Bay Medical Center"/>
    <n v="2015"/>
    <n v="4"/>
    <s v="Medicaid"/>
    <x v="1"/>
    <s v="Medicaid"/>
    <n v="26731.22"/>
    <n v="9077.3700000000008"/>
    <n v="0"/>
  </r>
  <r>
    <x v="3013"/>
    <s v="Peconic Bay Medical Center"/>
    <n v="2015"/>
    <n v="4"/>
    <s v="Medicaid"/>
    <x v="1"/>
    <s v="Medicaid"/>
    <n v="19996.32"/>
    <n v="7356.04"/>
    <n v="0"/>
  </r>
  <r>
    <x v="3014"/>
    <s v="Peconic Bay Medical Center"/>
    <n v="2015"/>
    <n v="4"/>
    <s v="Medicaid"/>
    <x v="1"/>
    <s v="Medicaid"/>
    <n v="24359.4"/>
    <n v="8469.11"/>
    <n v="0"/>
  </r>
  <r>
    <x v="3015"/>
    <s v="Peconic Bay Medical Center"/>
    <n v="2015"/>
    <n v="4"/>
    <s v="Medicaid"/>
    <x v="1"/>
    <s v="Medicaid"/>
    <n v="68235"/>
    <n v="21716.03"/>
    <n v="0"/>
  </r>
  <r>
    <x v="3016"/>
    <s v="Peconic Bay Medical Center"/>
    <n v="2015"/>
    <n v="4"/>
    <s v="Medicaid"/>
    <x v="1"/>
    <s v="Medicaid"/>
    <n v="15488.56"/>
    <n v="5646.62"/>
    <n v="0"/>
  </r>
  <r>
    <x v="3017"/>
    <s v="Peconic Bay Medical Center"/>
    <n v="2015"/>
    <n v="4"/>
    <s v="Medicaid"/>
    <x v="1"/>
    <s v="Medicaid"/>
    <n v="17430.86"/>
    <n v="5031.96"/>
    <n v="0"/>
  </r>
  <r>
    <x v="3018"/>
    <s v="Peconic Bay Medical Center"/>
    <n v="2015"/>
    <n v="4"/>
    <s v="Medicaid"/>
    <x v="1"/>
    <s v="Medicaid"/>
    <n v="25669.64"/>
    <n v="8651.2099999999991"/>
    <n v="0"/>
  </r>
  <r>
    <x v="3019"/>
    <s v="Peconic Bay Medical Center"/>
    <n v="2015"/>
    <n v="4"/>
    <s v="Medicaid"/>
    <x v="1"/>
    <s v="Medicaid"/>
    <n v="15726.42"/>
    <n v="5763.88"/>
    <n v="0"/>
  </r>
  <r>
    <x v="3020"/>
    <s v="Peconic Bay Medical Center"/>
    <n v="2015"/>
    <n v="4"/>
    <s v="Medicaid"/>
    <x v="1"/>
    <s v="Medicaid"/>
    <n v="78901.42"/>
    <n v="60915.41"/>
    <n v="0"/>
  </r>
  <r>
    <x v="3021"/>
    <s v="Peconic Bay Medical Center"/>
    <n v="2015"/>
    <n v="4"/>
    <s v="Medicaid"/>
    <x v="1"/>
    <s v="Medicaid"/>
    <n v="17576.560000000001"/>
    <n v="4621.72"/>
    <n v="0"/>
  </r>
  <r>
    <x v="3022"/>
    <s v="Peconic Bay Medical Center"/>
    <n v="2015"/>
    <n v="4"/>
    <s v="Medicaid"/>
    <x v="1"/>
    <s v="Medicaid"/>
    <n v="11216.16"/>
    <n v="4065.73"/>
    <n v="0"/>
  </r>
  <r>
    <x v="3023"/>
    <s v="Peconic Bay Medical Center"/>
    <n v="2015"/>
    <n v="4"/>
    <s v="Medicaid"/>
    <x v="1"/>
    <s v="Medicaid"/>
    <n v="13078.2"/>
    <n v="3846.19"/>
    <n v="0"/>
  </r>
  <r>
    <x v="3024"/>
    <s v="Peconic Bay Medical Center"/>
    <n v="2015"/>
    <n v="4"/>
    <s v="Medicaid"/>
    <x v="1"/>
    <s v="Medicaid"/>
    <n v="14909.16"/>
    <n v="3508.31"/>
    <n v="0"/>
  </r>
  <r>
    <x v="3025"/>
    <s v="Peconic Bay Medical Center"/>
    <n v="2015"/>
    <n v="4"/>
    <s v="Medicaid"/>
    <x v="1"/>
    <s v="Medicaid"/>
    <n v="31494.84"/>
    <n v="11591.87"/>
    <n v="0"/>
  </r>
  <r>
    <x v="3026"/>
    <s v="Peconic Bay Medical Center"/>
    <n v="2015"/>
    <n v="4"/>
    <s v="Medicaid"/>
    <x v="1"/>
    <s v="Medicaid"/>
    <n v="29604.3"/>
    <n v="10089.19"/>
    <n v="0"/>
  </r>
  <r>
    <x v="3027"/>
    <s v="Peconic Bay Medical Center"/>
    <n v="2015"/>
    <n v="4"/>
    <s v="Medicaid"/>
    <x v="1"/>
    <s v="Medicaid"/>
    <n v="11208.08"/>
    <n v="3919.95"/>
    <n v="0"/>
  </r>
  <r>
    <x v="3028"/>
    <s v="Peconic Bay Medical Center"/>
    <n v="2015"/>
    <n v="4"/>
    <s v="Medicaid"/>
    <x v="1"/>
    <s v="Medicaid"/>
    <n v="22411.08"/>
    <n v="5338.37"/>
    <n v="0"/>
  </r>
  <r>
    <x v="3029"/>
    <s v="Peconic Bay Medical Center"/>
    <n v="2015"/>
    <n v="4"/>
    <s v="Medicaid"/>
    <x v="1"/>
    <s v="Medicaid"/>
    <n v="30524.06"/>
    <n v="10325.19"/>
    <n v="0"/>
  </r>
  <r>
    <x v="3030"/>
    <s v="Peconic Bay Medical Center"/>
    <n v="2015"/>
    <n v="4"/>
    <s v="Medicaid"/>
    <x v="1"/>
    <s v="Medicaid"/>
    <n v="25151.94"/>
    <n v="8657.08"/>
    <n v="0"/>
  </r>
  <r>
    <x v="3031"/>
    <s v="Peconic Bay Medical Center"/>
    <n v="2015"/>
    <n v="4"/>
    <s v="Medicaid"/>
    <x v="1"/>
    <s v="Medicaid"/>
    <n v="8337.64"/>
    <n v="2426.7600000000002"/>
    <n v="0"/>
  </r>
  <r>
    <x v="3032"/>
    <s v="Peconic Bay Medical Center"/>
    <n v="2015"/>
    <n v="4"/>
    <s v="Medicaid"/>
    <x v="1"/>
    <s v="Medicaid"/>
    <n v="14938.72"/>
    <n v="5721.23"/>
    <n v="0"/>
  </r>
  <r>
    <x v="3033"/>
    <s v="Peconic Bay Medical Center"/>
    <n v="2015"/>
    <n v="4"/>
    <s v="Medicaid"/>
    <x v="1"/>
    <s v="Medicaid"/>
    <n v="32138.28"/>
    <n v="10001.19"/>
    <n v="0"/>
  </r>
  <r>
    <x v="3034"/>
    <s v="Peconic Bay Medical Center"/>
    <n v="2015"/>
    <n v="4"/>
    <s v="Medicaid"/>
    <x v="1"/>
    <s v="Medicaid"/>
    <n v="31478.5"/>
    <n v="12016.03"/>
    <n v="0"/>
  </r>
  <r>
    <x v="3035"/>
    <s v="Peconic Bay Medical Center"/>
    <n v="2015"/>
    <n v="4"/>
    <s v="Medicaid"/>
    <x v="1"/>
    <s v="Medicaid"/>
    <n v="16948.96"/>
    <n v="6546.85"/>
    <n v="0"/>
  </r>
  <r>
    <x v="3036"/>
    <s v="Peconic Bay Medical Center"/>
    <n v="2015"/>
    <n v="4"/>
    <s v="Medicaid"/>
    <x v="1"/>
    <s v="Medicaid"/>
    <n v="23087.96"/>
    <n v="9991.99"/>
    <n v="0"/>
  </r>
  <r>
    <x v="3037"/>
    <s v="Peconic Bay Medical Center"/>
    <n v="2015"/>
    <n v="4"/>
    <s v="Medicaid"/>
    <x v="1"/>
    <s v="Medicaid"/>
    <n v="15753.84"/>
    <n v="5783.32"/>
    <n v="0"/>
  </r>
  <r>
    <x v="3038"/>
    <s v="Peconic Bay Medical Center"/>
    <n v="2015"/>
    <n v="4"/>
    <s v="Medicaid"/>
    <x v="1"/>
    <s v="Medicaid"/>
    <n v="71034.73"/>
    <n v="28209.63"/>
    <n v="0"/>
  </r>
  <r>
    <x v="3039"/>
    <s v="Peconic Bay Medical Center"/>
    <n v="2015"/>
    <n v="4"/>
    <s v="Medicaid"/>
    <x v="1"/>
    <s v="Medicaid"/>
    <n v="103400.72"/>
    <n v="38010.15"/>
    <n v="0"/>
  </r>
  <r>
    <x v="3040"/>
    <s v="Peconic Bay Medical Center"/>
    <n v="2015"/>
    <n v="4"/>
    <s v="Medicaid"/>
    <x v="1"/>
    <s v="Medicaid"/>
    <n v="14985.74"/>
    <n v="4968.74"/>
    <n v="0"/>
  </r>
  <r>
    <x v="3041"/>
    <s v="Peconic Bay Medical Center"/>
    <n v="2015"/>
    <n v="4"/>
    <s v="Medicaid"/>
    <x v="1"/>
    <s v="Medicaid"/>
    <n v="19293.68"/>
    <n v="5945.53"/>
    <n v="0"/>
  </r>
  <r>
    <x v="3042"/>
    <s v="Peconic Bay Medical Center"/>
    <n v="2015"/>
    <n v="4"/>
    <s v="Medicaid"/>
    <x v="1"/>
    <s v="Medicaid"/>
    <n v="15631.04"/>
    <n v="5583.35"/>
    <n v="0"/>
  </r>
  <r>
    <x v="3043"/>
    <s v="Peconic Bay Medical Center"/>
    <n v="2015"/>
    <n v="4"/>
    <s v="Medicaid"/>
    <x v="1"/>
    <s v="Medicaid"/>
    <n v="11837.78"/>
    <n v="3668.82"/>
    <n v="0"/>
  </r>
  <r>
    <x v="3044"/>
    <s v="Peconic Bay Medical Center"/>
    <n v="2015"/>
    <n v="4"/>
    <s v="Medicaid"/>
    <x v="1"/>
    <s v="Medicaid"/>
    <n v="9224.5400000000009"/>
    <n v="2612.63"/>
    <n v="0"/>
  </r>
  <r>
    <x v="3045"/>
    <s v="Peconic Bay Medical Center"/>
    <n v="2015"/>
    <n v="4"/>
    <s v="Medicaid"/>
    <x v="1"/>
    <s v="Medicaid"/>
    <n v="11592.72"/>
    <n v="4448.41"/>
    <n v="0"/>
  </r>
  <r>
    <x v="3046"/>
    <s v="Peconic Bay Medical Center"/>
    <n v="2015"/>
    <n v="4"/>
    <s v="Medicaid"/>
    <x v="1"/>
    <s v="Medicaid"/>
    <n v="11419.44"/>
    <n v="2948.93"/>
    <n v="0"/>
  </r>
  <r>
    <x v="3047"/>
    <s v="Peconic Bay Medical Center"/>
    <n v="2015"/>
    <n v="4"/>
    <s v="Medicaid"/>
    <x v="1"/>
    <s v="Medicaid"/>
    <n v="34143.08"/>
    <n v="12321.8"/>
    <n v="0"/>
  </r>
  <r>
    <x v="3048"/>
    <s v="Peconic Bay Medical Center"/>
    <n v="2015"/>
    <n v="4"/>
    <s v="Medicaid"/>
    <x v="1"/>
    <s v="Medicaid"/>
    <n v="15851.76"/>
    <n v="5447.67"/>
    <n v="0"/>
  </r>
  <r>
    <x v="3049"/>
    <s v="Peconic Bay Medical Center"/>
    <n v="2015"/>
    <n v="4"/>
    <s v="Medicaid"/>
    <x v="1"/>
    <s v="Medicaid"/>
    <n v="13816.42"/>
    <n v="3650.23"/>
    <n v="0"/>
  </r>
  <r>
    <x v="3050"/>
    <s v="Peconic Bay Medical Center"/>
    <n v="2015"/>
    <n v="4"/>
    <s v="Medicaid"/>
    <x v="1"/>
    <s v="Medicaid"/>
    <n v="15627.1"/>
    <n v="5755.05"/>
    <n v="0"/>
  </r>
  <r>
    <x v="3051"/>
    <s v="Peconic Bay Medical Center"/>
    <n v="2015"/>
    <n v="4"/>
    <s v="Medicaid"/>
    <x v="1"/>
    <s v="Medicaid"/>
    <n v="59969.98"/>
    <n v="17734.189999999999"/>
    <n v="0"/>
  </r>
  <r>
    <x v="3052"/>
    <s v="Peconic Bay Medical Center"/>
    <n v="2015"/>
    <n v="4"/>
    <s v="Medicaid"/>
    <x v="1"/>
    <s v="Medicaid"/>
    <n v="80830.66"/>
    <n v="35724.22"/>
    <n v="0"/>
  </r>
  <r>
    <x v="3053"/>
    <s v="Peconic Bay Medical Center"/>
    <n v="2015"/>
    <n v="4"/>
    <s v="Medicaid"/>
    <x v="1"/>
    <s v="Medicaid"/>
    <n v="32596.78"/>
    <n v="12418.58"/>
    <n v="0"/>
  </r>
  <r>
    <x v="3054"/>
    <s v="Peconic Bay Medical Center"/>
    <n v="2015"/>
    <n v="4"/>
    <s v="Medicaid"/>
    <x v="1"/>
    <s v="Medicaid"/>
    <n v="36010.839999999997"/>
    <n v="10144.19"/>
    <n v="0"/>
  </r>
  <r>
    <x v="3055"/>
    <s v="Peconic Bay Medical Center"/>
    <n v="2015"/>
    <n v="4"/>
    <s v="Medicaid"/>
    <x v="1"/>
    <s v="Medicaid"/>
    <n v="11033.9"/>
    <n v="3804.54"/>
    <n v="0"/>
  </r>
  <r>
    <x v="3056"/>
    <s v="Peconic Bay Medical Center"/>
    <n v="2015"/>
    <n v="4"/>
    <s v="Medicaid"/>
    <x v="1"/>
    <s v="Medicaid"/>
    <n v="23580.080000000002"/>
    <n v="8269.86"/>
    <n v="0"/>
  </r>
  <r>
    <x v="3057"/>
    <s v="Peconic Bay Medical Center"/>
    <n v="2015"/>
    <n v="4"/>
    <s v="Medicaid"/>
    <x v="1"/>
    <s v="Medicaid"/>
    <n v="11555.24"/>
    <n v="3601.73"/>
    <n v="0"/>
  </r>
  <r>
    <x v="3058"/>
    <s v="Peconic Bay Medical Center"/>
    <n v="2015"/>
    <n v="4"/>
    <s v="Medicaid"/>
    <x v="1"/>
    <s v="Medicaid"/>
    <n v="12278.98"/>
    <n v="3583.27"/>
    <n v="0"/>
  </r>
  <r>
    <x v="3059"/>
    <s v="Peconic Bay Medical Center"/>
    <n v="2015"/>
    <n v="4"/>
    <s v="Medicaid"/>
    <x v="1"/>
    <s v="Medicaid"/>
    <n v="15689.38"/>
    <n v="5767.27"/>
    <n v="0"/>
  </r>
  <r>
    <x v="3060"/>
    <s v="Peconic Bay Medical Center"/>
    <n v="2015"/>
    <n v="4"/>
    <s v="Medicaid"/>
    <x v="1"/>
    <s v="Medicaid"/>
    <n v="14771.78"/>
    <n v="5683.6"/>
    <n v="0"/>
  </r>
  <r>
    <x v="3061"/>
    <s v="Peconic Bay Medical Center"/>
    <n v="2015"/>
    <n v="4"/>
    <s v="Medicaid"/>
    <x v="1"/>
    <s v="Medicaid"/>
    <n v="11364.16"/>
    <n v="4174.79"/>
    <n v="0"/>
  </r>
  <r>
    <x v="3062"/>
    <s v="Peconic Bay Medical Center"/>
    <n v="2015"/>
    <n v="4"/>
    <s v="Medicaid"/>
    <x v="1"/>
    <s v="Medicaid"/>
    <n v="16519.68"/>
    <n v="6258.98"/>
    <n v="0"/>
  </r>
  <r>
    <x v="3063"/>
    <s v="Peconic Bay Medical Center"/>
    <n v="2015"/>
    <n v="4"/>
    <s v="Medicaid"/>
    <x v="1"/>
    <s v="Medicaid"/>
    <n v="17878.72"/>
    <n v="5452.45"/>
    <n v="0"/>
  </r>
  <r>
    <x v="3064"/>
    <s v="Peconic Bay Medical Center"/>
    <n v="2015"/>
    <n v="4"/>
    <s v="Medicaid"/>
    <x v="1"/>
    <s v="Medicaid"/>
    <n v="35441.120000000003"/>
    <n v="10621.22"/>
    <n v="0"/>
  </r>
  <r>
    <x v="3065"/>
    <s v="Peconic Bay Medical Center"/>
    <n v="2015"/>
    <n v="4"/>
    <s v="Medicaid"/>
    <x v="1"/>
    <s v="Medicaid"/>
    <n v="15938.08"/>
    <n v="5829.8"/>
    <n v="0"/>
  </r>
  <r>
    <x v="3066"/>
    <s v="Peconic Bay Medical Center"/>
    <n v="2015"/>
    <n v="4"/>
    <s v="Medicaid"/>
    <x v="1"/>
    <s v="Medicaid"/>
    <n v="20964.36"/>
    <n v="5184.46"/>
    <n v="0"/>
  </r>
  <r>
    <x v="3067"/>
    <s v="Peconic Bay Medical Center"/>
    <n v="2015"/>
    <n v="4"/>
    <s v="Medicaid"/>
    <x v="1"/>
    <s v="Medicaid"/>
    <n v="10942.04"/>
    <n v="3854.01"/>
    <n v="0"/>
  </r>
  <r>
    <x v="3068"/>
    <s v="Peconic Bay Medical Center"/>
    <n v="2015"/>
    <n v="4"/>
    <s v="Medicaid"/>
    <x v="1"/>
    <s v="Medicaid"/>
    <n v="14776.06"/>
    <n v="5537.28"/>
    <n v="0"/>
  </r>
  <r>
    <x v="3069"/>
    <s v="Peconic Bay Medical Center"/>
    <n v="2015"/>
    <n v="4"/>
    <s v="Medicaid"/>
    <x v="1"/>
    <s v="Medicaid"/>
    <n v="14736.34"/>
    <n v="5450.55"/>
    <n v="0"/>
  </r>
  <r>
    <x v="3070"/>
    <s v="Peconic Bay Medical Center"/>
    <n v="2015"/>
    <n v="4"/>
    <s v="Medicaid"/>
    <x v="1"/>
    <s v="Medicaid"/>
    <n v="12786.24"/>
    <n v="3778.81"/>
    <n v="0"/>
  </r>
  <r>
    <x v="3071"/>
    <s v="Peconic Bay Medical Center"/>
    <n v="2015"/>
    <n v="4"/>
    <s v="Medicaid"/>
    <x v="1"/>
    <s v="Medicaid"/>
    <n v="37554.04"/>
    <n v="14640.34"/>
    <n v="0"/>
  </r>
  <r>
    <x v="3072"/>
    <s v="Peconic Bay Medical Center"/>
    <n v="2015"/>
    <n v="4"/>
    <s v="Medicaid"/>
    <x v="1"/>
    <s v="Medicaid"/>
    <n v="39672.04"/>
    <n v="11396.49"/>
    <n v="0"/>
  </r>
  <r>
    <x v="3073"/>
    <s v="Peconic Bay Medical Center"/>
    <n v="2015"/>
    <n v="4"/>
    <s v="Medicaid"/>
    <x v="1"/>
    <s v="Medicaid"/>
    <n v="57886.86"/>
    <n v="18597.79"/>
    <n v="0"/>
  </r>
  <r>
    <x v="3074"/>
    <s v="Peconic Bay Medical Center"/>
    <n v="2015"/>
    <n v="4"/>
    <s v="Medicaid"/>
    <x v="1"/>
    <s v="Medicaid"/>
    <n v="28791.66"/>
    <n v="9938.25"/>
    <n v="0"/>
  </r>
  <r>
    <x v="3075"/>
    <s v="Peconic Bay Medical Center"/>
    <n v="2015"/>
    <n v="4"/>
    <s v="Medicaid"/>
    <x v="1"/>
    <s v="Medicaid"/>
    <n v="15030.52"/>
    <n v="5738.45"/>
    <n v="0"/>
  </r>
  <r>
    <x v="3076"/>
    <s v="Peconic Bay Medical Center"/>
    <n v="2015"/>
    <n v="4"/>
    <s v="Medicaid"/>
    <x v="1"/>
    <s v="Medicaid"/>
    <n v="34819.72"/>
    <n v="10568.09"/>
    <n v="0"/>
  </r>
  <r>
    <x v="3077"/>
    <s v="Peconic Bay Medical Center"/>
    <n v="2015"/>
    <n v="4"/>
    <s v="Medicaid"/>
    <x v="1"/>
    <s v="Medicaid"/>
    <n v="9273.5"/>
    <n v="2520.52"/>
    <n v="0"/>
  </r>
  <r>
    <x v="3078"/>
    <s v="Peconic Bay Medical Center"/>
    <n v="2015"/>
    <n v="4"/>
    <s v="Medicaid"/>
    <x v="1"/>
    <s v="Medicaid"/>
    <n v="14169.94"/>
    <n v="5533.57"/>
    <n v="0"/>
  </r>
  <r>
    <x v="3079"/>
    <s v="Peconic Bay Medical Center"/>
    <n v="2015"/>
    <n v="4"/>
    <s v="Medicaid"/>
    <x v="1"/>
    <s v="Medicaid"/>
    <n v="19345.38"/>
    <n v="3458.14"/>
    <n v="0"/>
  </r>
  <r>
    <x v="3080"/>
    <s v="Peconic Bay Medical Center"/>
    <n v="2015"/>
    <n v="4"/>
    <s v="Medicaid"/>
    <x v="1"/>
    <s v="Medicaid"/>
    <n v="17413.62"/>
    <n v="7297.23"/>
    <n v="0"/>
  </r>
  <r>
    <x v="3081"/>
    <s v="Peconic Bay Medical Center"/>
    <n v="2015"/>
    <n v="4"/>
    <s v="Medicaid"/>
    <x v="1"/>
    <s v="Medicaid"/>
    <n v="54164.38"/>
    <n v="27760.19"/>
    <n v="0"/>
  </r>
  <r>
    <x v="3082"/>
    <s v="Peconic Bay Medical Center"/>
    <n v="2015"/>
    <n v="4"/>
    <s v="Medicaid"/>
    <x v="1"/>
    <s v="Medicaid"/>
    <n v="12038.16"/>
    <n v="3677.66"/>
    <n v="0"/>
  </r>
  <r>
    <x v="3083"/>
    <s v="Peconic Bay Medical Center"/>
    <n v="2015"/>
    <n v="4"/>
    <s v="Medicaid"/>
    <x v="1"/>
    <s v="Medicaid"/>
    <n v="11795.68"/>
    <n v="4574.6099999999997"/>
    <n v="0"/>
  </r>
  <r>
    <x v="3084"/>
    <s v="Peconic Bay Medical Center"/>
    <n v="2015"/>
    <n v="4"/>
    <s v="Medicaid"/>
    <x v="1"/>
    <s v="Medicaid"/>
    <n v="39982.82"/>
    <n v="12899.18"/>
    <n v="0"/>
  </r>
  <r>
    <x v="3085"/>
    <s v="Peconic Bay Medical Center"/>
    <n v="2015"/>
    <n v="4"/>
    <s v="Medicaid"/>
    <x v="1"/>
    <s v="Medicaid"/>
    <n v="21541.08"/>
    <n v="8593.39"/>
    <n v="0"/>
  </r>
  <r>
    <x v="3086"/>
    <s v="Peconic Bay Medical Center"/>
    <n v="2015"/>
    <n v="4"/>
    <s v="Medicaid"/>
    <x v="1"/>
    <s v="Medicaid"/>
    <n v="16459.68"/>
    <n v="5672.07"/>
    <n v="0"/>
  </r>
  <r>
    <x v="3087"/>
    <s v="Peconic Bay Medical Center"/>
    <n v="2015"/>
    <n v="4"/>
    <s v="Medicaid"/>
    <x v="1"/>
    <s v="Medicaid"/>
    <n v="16060.22"/>
    <n v="5861.71"/>
    <n v="0"/>
  </r>
  <r>
    <x v="3088"/>
    <s v="Peconic Bay Medical Center"/>
    <n v="2015"/>
    <n v="4"/>
    <s v="Medicaid"/>
    <x v="1"/>
    <s v="Medicaid"/>
    <n v="67478"/>
    <n v="32494.81"/>
    <n v="0"/>
  </r>
  <r>
    <x v="3089"/>
    <s v="Peconic Bay Medical Center"/>
    <n v="2015"/>
    <n v="4"/>
    <s v="Medicaid"/>
    <x v="1"/>
    <s v="Medicaid"/>
    <n v="24431.58"/>
    <n v="8477.56"/>
    <n v="0"/>
  </r>
  <r>
    <x v="3090"/>
    <s v="Peconic Bay Medical Center"/>
    <n v="2015"/>
    <n v="4"/>
    <s v="Medicaid"/>
    <x v="1"/>
    <s v="Medicaid"/>
    <n v="17104.48"/>
    <n v="6112.62"/>
    <n v="0"/>
  </r>
  <r>
    <x v="3091"/>
    <s v="Peconic Bay Medical Center"/>
    <n v="2015"/>
    <n v="4"/>
    <s v="Medicaid"/>
    <x v="1"/>
    <s v="Medicaid"/>
    <n v="20002"/>
    <n v="6993.85"/>
    <n v="0"/>
  </r>
  <r>
    <x v="3092"/>
    <s v="Peconic Bay Medical Center"/>
    <n v="2015"/>
    <n v="4"/>
    <s v="Medicaid"/>
    <x v="1"/>
    <s v="Medicaid"/>
    <n v="18726.5"/>
    <n v="5700.49"/>
    <n v="0"/>
  </r>
  <r>
    <x v="3093"/>
    <s v="Peconic Bay Medical Center"/>
    <n v="2015"/>
    <n v="4"/>
    <s v="Medicaid"/>
    <x v="1"/>
    <s v="Medicaid"/>
    <n v="22844.1"/>
    <n v="8536.4500000000007"/>
    <n v="0"/>
  </r>
  <r>
    <x v="3094"/>
    <s v="Peconic Bay Medical Center"/>
    <n v="2015"/>
    <n v="4"/>
    <s v="Medicaid"/>
    <x v="1"/>
    <s v="Medicaid"/>
    <n v="14007.16"/>
    <n v="5421.57"/>
    <n v="0"/>
  </r>
  <r>
    <x v="3095"/>
    <s v="Peconic Bay Medical Center"/>
    <n v="2015"/>
    <n v="4"/>
    <s v="Medicaid"/>
    <x v="1"/>
    <s v="Medicaid"/>
    <n v="15430.58"/>
    <n v="5087.49"/>
    <n v="0"/>
  </r>
  <r>
    <x v="3096"/>
    <s v="Peconic Bay Medical Center"/>
    <n v="2015"/>
    <n v="4"/>
    <s v="Medicaid"/>
    <x v="1"/>
    <s v="Medicaid"/>
    <n v="16493.04"/>
    <n v="4776.1000000000004"/>
    <n v="0"/>
  </r>
  <r>
    <x v="3097"/>
    <s v="Peconic Bay Medical Center"/>
    <n v="2015"/>
    <n v="4"/>
    <s v="Medicaid"/>
    <x v="1"/>
    <s v="Medicaid"/>
    <n v="17015.62"/>
    <n v="6455.35"/>
    <n v="0"/>
  </r>
  <r>
    <x v="3098"/>
    <s v="Peconic Bay Medical Center"/>
    <n v="2015"/>
    <n v="4"/>
    <s v="Medicaid"/>
    <x v="1"/>
    <s v="Medicaid"/>
    <n v="14137.1"/>
    <n v="4760.22"/>
    <n v="0"/>
  </r>
  <r>
    <x v="3099"/>
    <s v="Peconic Bay Medical Center"/>
    <n v="2015"/>
    <n v="4"/>
    <s v="Medicaid"/>
    <x v="1"/>
    <s v="Medicaid"/>
    <n v="24639.48"/>
    <n v="8531.7000000000007"/>
    <n v="0"/>
  </r>
  <r>
    <x v="3100"/>
    <s v="Peconic Bay Medical Center"/>
    <n v="2015"/>
    <n v="4"/>
    <s v="Medicaid"/>
    <x v="1"/>
    <s v="Medicaid"/>
    <n v="56178.94"/>
    <n v="27712.07"/>
    <n v="0"/>
  </r>
  <r>
    <x v="3101"/>
    <s v="Peconic Bay Medical Center"/>
    <n v="2015"/>
    <n v="4"/>
    <s v="Medicaid"/>
    <x v="1"/>
    <s v="Medicaid"/>
    <n v="31852.06"/>
    <n v="9990.56"/>
    <n v="0"/>
  </r>
  <r>
    <x v="3102"/>
    <s v="Peconic Bay Medical Center"/>
    <n v="2015"/>
    <n v="4"/>
    <s v="Medicaid"/>
    <x v="1"/>
    <s v="Medicaid"/>
    <n v="20439.96"/>
    <n v="7037.18"/>
    <n v="0"/>
  </r>
  <r>
    <x v="3103"/>
    <s v="Peconic Bay Medical Center"/>
    <n v="2015"/>
    <n v="4"/>
    <s v="Medicaid"/>
    <x v="1"/>
    <s v="Medicaid"/>
    <n v="18722.400000000001"/>
    <n v="4723.33"/>
    <n v="0"/>
  </r>
  <r>
    <x v="3104"/>
    <s v="Peconic Bay Medical Center"/>
    <n v="2015"/>
    <n v="4"/>
    <s v="Medicaid"/>
    <x v="1"/>
    <s v="Medicaid"/>
    <n v="27867.599999999999"/>
    <n v="11651.68"/>
    <n v="0"/>
  </r>
  <r>
    <x v="3105"/>
    <s v="Peconic Bay Medical Center"/>
    <n v="2015"/>
    <n v="4"/>
    <s v="Medicaid"/>
    <x v="1"/>
    <s v="Medicaid"/>
    <n v="15631.7"/>
    <n v="5464.8"/>
    <n v="0"/>
  </r>
  <r>
    <x v="3106"/>
    <s v="Peconic Bay Medical Center"/>
    <n v="2015"/>
    <n v="4"/>
    <s v="Medicaid"/>
    <x v="1"/>
    <s v="Medicaid"/>
    <n v="25034.12"/>
    <n v="13319.54"/>
    <n v="0"/>
  </r>
  <r>
    <x v="3107"/>
    <s v="Peconic Bay Medical Center"/>
    <n v="2015"/>
    <n v="4"/>
    <s v="Medicaid"/>
    <x v="1"/>
    <s v="Medicaid"/>
    <n v="11266.52"/>
    <n v="3403.39"/>
    <n v="0"/>
  </r>
  <r>
    <x v="3108"/>
    <s v="Peconic Bay Medical Center"/>
    <n v="2015"/>
    <n v="4"/>
    <s v="Medicaid"/>
    <x v="1"/>
    <s v="Medicaid"/>
    <n v="6968.96"/>
    <n v="2090.69"/>
    <n v="0"/>
  </r>
  <r>
    <x v="3109"/>
    <s v="Peconic Bay Medical Center"/>
    <n v="2015"/>
    <n v="4"/>
    <s v="Medicaid"/>
    <x v="1"/>
    <s v="Medicaid"/>
    <n v="42737.48"/>
    <n v="16444.23"/>
    <n v="0"/>
  </r>
  <r>
    <x v="3110"/>
    <s v="Peconic Bay Medical Center"/>
    <n v="2015"/>
    <n v="4"/>
    <s v="Medicaid"/>
    <x v="1"/>
    <s v="Medicaid"/>
    <n v="27210.48"/>
    <n v="8987.26"/>
    <n v="0"/>
  </r>
  <r>
    <x v="3111"/>
    <s v="Peconic Bay Medical Center"/>
    <n v="2015"/>
    <n v="4"/>
    <s v="Medicaid"/>
    <x v="1"/>
    <s v="Medicaid"/>
    <n v="31168.58"/>
    <n v="10595.02"/>
    <n v="0"/>
  </r>
  <r>
    <x v="3112"/>
    <s v="Peconic Bay Medical Center"/>
    <n v="2015"/>
    <n v="4"/>
    <s v="Medicaid"/>
    <x v="1"/>
    <s v="Medicaid"/>
    <n v="39860.54"/>
    <n v="11517.55"/>
    <n v="0"/>
  </r>
  <r>
    <x v="3113"/>
    <s v="Peconic Bay Medical Center"/>
    <n v="2015"/>
    <n v="4"/>
    <s v="Medicaid"/>
    <x v="1"/>
    <s v="Medicaid"/>
    <n v="25426.880000000001"/>
    <n v="8589.35"/>
    <n v="0"/>
  </r>
  <r>
    <x v="3114"/>
    <s v="Peconic Bay Medical Center"/>
    <n v="2015"/>
    <n v="4"/>
    <s v="Medicaid"/>
    <x v="1"/>
    <s v="Medicaid"/>
    <n v="39628.879999999997"/>
    <n v="15872.05"/>
    <n v="0"/>
  </r>
  <r>
    <x v="3115"/>
    <s v="Peconic Bay Medical Center"/>
    <n v="2015"/>
    <n v="4"/>
    <s v="Medicaid"/>
    <x v="1"/>
    <s v="Medicaid"/>
    <n v="30078.880000000001"/>
    <n v="11267.63"/>
    <n v="0"/>
  </r>
  <r>
    <x v="3116"/>
    <s v="Peconic Bay Medical Center"/>
    <n v="2015"/>
    <n v="4"/>
    <s v="Medicaid"/>
    <x v="1"/>
    <s v="Medicaid"/>
    <n v="11412"/>
    <n v="4043.11"/>
    <n v="0"/>
  </r>
  <r>
    <x v="3117"/>
    <s v="Peconic Bay Medical Center"/>
    <n v="2015"/>
    <n v="4"/>
    <s v="Medicaid"/>
    <x v="1"/>
    <s v="Medicaid"/>
    <n v="32063.200000000001"/>
    <n v="11026.2"/>
    <n v="0"/>
  </r>
  <r>
    <x v="3118"/>
    <s v="Peconic Bay Medical Center"/>
    <n v="2015"/>
    <n v="4"/>
    <s v="Medicaid"/>
    <x v="1"/>
    <s v="Medicaid"/>
    <n v="74697.36"/>
    <n v="24147.16"/>
    <n v="0"/>
  </r>
  <r>
    <x v="3119"/>
    <s v="Peconic Bay Medical Center"/>
    <n v="2015"/>
    <n v="4"/>
    <s v="Medicaid"/>
    <x v="1"/>
    <s v="Medicaid"/>
    <n v="17179.28"/>
    <n v="5369.77"/>
    <n v="0"/>
  </r>
  <r>
    <x v="3120"/>
    <s v="Peconic Bay Medical Center"/>
    <n v="2015"/>
    <n v="4"/>
    <s v="Medicaid"/>
    <x v="1"/>
    <s v="Medicaid"/>
    <n v="19898.14"/>
    <n v="5891.05"/>
    <n v="0"/>
  </r>
  <r>
    <x v="3121"/>
    <s v="Peconic Bay Medical Center"/>
    <n v="2015"/>
    <n v="4"/>
    <s v="Medicaid"/>
    <x v="1"/>
    <s v="Medicaid"/>
    <n v="29990.5"/>
    <n v="10093.030000000001"/>
    <n v="0"/>
  </r>
  <r>
    <x v="3122"/>
    <s v="Peconic Bay Medical Center"/>
    <n v="2015"/>
    <n v="4"/>
    <s v="Medicaid"/>
    <x v="1"/>
    <s v="Medicaid"/>
    <n v="15863.78"/>
    <n v="5737.25"/>
    <n v="0"/>
  </r>
  <r>
    <x v="3123"/>
    <s v="Peconic Bay Medical Center"/>
    <n v="2015"/>
    <n v="4"/>
    <s v="Medicaid"/>
    <x v="1"/>
    <s v="Medicaid"/>
    <n v="16260.14"/>
    <n v="4625.6499999999996"/>
    <n v="0"/>
  </r>
  <r>
    <x v="3124"/>
    <s v="Peconic Bay Medical Center"/>
    <n v="2015"/>
    <n v="4"/>
    <s v="Medicaid"/>
    <x v="1"/>
    <s v="Medicaid"/>
    <n v="14929.34"/>
    <n v="5146.95"/>
    <n v="0"/>
  </r>
  <r>
    <x v="3125"/>
    <s v="Peconic Bay Medical Center"/>
    <n v="2015"/>
    <n v="4"/>
    <s v="Medicaid"/>
    <x v="1"/>
    <s v="Medicaid"/>
    <n v="11504.86"/>
    <n v="4283.88"/>
    <n v="0"/>
  </r>
  <r>
    <x v="3126"/>
    <s v="Peconic Bay Medical Center"/>
    <n v="2015"/>
    <n v="4"/>
    <s v="Medicaid"/>
    <x v="1"/>
    <s v="Medicaid"/>
    <n v="32246.94"/>
    <n v="10854.27"/>
    <n v="0"/>
  </r>
  <r>
    <x v="3127"/>
    <s v="Peconic Bay Medical Center"/>
    <n v="2015"/>
    <n v="4"/>
    <s v="Medicaid"/>
    <x v="1"/>
    <s v="Medicaid"/>
    <n v="25673.1"/>
    <n v="8782.19"/>
    <n v="0"/>
  </r>
  <r>
    <x v="3128"/>
    <s v="Peconic Bay Medical Center"/>
    <n v="2015"/>
    <n v="4"/>
    <s v="Medicaid"/>
    <x v="1"/>
    <s v="Medicaid"/>
    <n v="15513.92"/>
    <n v="5449.05"/>
    <n v="0"/>
  </r>
  <r>
    <x v="3129"/>
    <s v="Peconic Bay Medical Center"/>
    <n v="2015"/>
    <n v="4"/>
    <s v="Medicaid"/>
    <x v="1"/>
    <s v="Medicaid"/>
    <n v="20700.8"/>
    <n v="7177.32"/>
    <n v="0"/>
  </r>
  <r>
    <x v="3130"/>
    <s v="Peconic Bay Medical Center"/>
    <n v="2015"/>
    <n v="4"/>
    <s v="Medicaid"/>
    <x v="1"/>
    <s v="Medicaid"/>
    <n v="9466.42"/>
    <n v="2706.55"/>
    <n v="0"/>
  </r>
  <r>
    <x v="3131"/>
    <s v="Peconic Bay Medical Center"/>
    <n v="2015"/>
    <n v="4"/>
    <s v="Medicaid"/>
    <x v="1"/>
    <s v="Medicaid"/>
    <n v="27513.14"/>
    <n v="8552.36"/>
    <n v="0"/>
  </r>
  <r>
    <x v="3132"/>
    <s v="Peconic Bay Medical Center"/>
    <n v="2015"/>
    <n v="4"/>
    <s v="Medicaid"/>
    <x v="1"/>
    <s v="Medicaid"/>
    <n v="15308.18"/>
    <n v="5034.37"/>
    <n v="0"/>
  </r>
  <r>
    <x v="3133"/>
    <s v="Peconic Bay Medical Center"/>
    <n v="2015"/>
    <n v="4"/>
    <s v="Medicaid"/>
    <x v="1"/>
    <s v="Medicaid"/>
    <n v="14712.34"/>
    <n v="4902.6000000000004"/>
    <n v="0"/>
  </r>
  <r>
    <x v="3134"/>
    <s v="Peconic Bay Medical Center"/>
    <n v="2015"/>
    <n v="4"/>
    <s v="Medicaid"/>
    <x v="1"/>
    <s v="Medicaid"/>
    <n v="35223.78"/>
    <n v="8702.67"/>
    <n v="0"/>
  </r>
  <r>
    <x v="3135"/>
    <s v="Peconic Bay Medical Center"/>
    <n v="2015"/>
    <n v="4"/>
    <s v="Medicaid"/>
    <x v="1"/>
    <s v="Medicaid"/>
    <n v="13033.14"/>
    <n v="4494.74"/>
    <n v="0"/>
  </r>
  <r>
    <x v="3136"/>
    <s v="Peconic Bay Medical Center"/>
    <n v="2015"/>
    <n v="4"/>
    <s v="Medicaid"/>
    <x v="1"/>
    <s v="Medicaid"/>
    <n v="15527.72"/>
    <n v="5514.73"/>
    <n v="0"/>
  </r>
  <r>
    <x v="3137"/>
    <s v="Peconic Bay Medical Center"/>
    <n v="2015"/>
    <n v="4"/>
    <s v="Medicaid"/>
    <x v="1"/>
    <s v="Medicaid"/>
    <n v="27219.759999999998"/>
    <n v="7397"/>
    <n v="0"/>
  </r>
  <r>
    <x v="3138"/>
    <s v="Peconic Bay Medical Center"/>
    <n v="2015"/>
    <n v="4"/>
    <s v="Medicaid"/>
    <x v="1"/>
    <s v="Medicaid"/>
    <n v="19694.14"/>
    <n v="7064.19"/>
    <n v="0"/>
  </r>
  <r>
    <x v="3139"/>
    <s v="Peconic Bay Medical Center"/>
    <n v="2015"/>
    <n v="4"/>
    <s v="Medicaid"/>
    <x v="1"/>
    <s v="Medicaid"/>
    <n v="19623.259999999998"/>
    <n v="7532.44"/>
    <n v="0"/>
  </r>
  <r>
    <x v="3140"/>
    <s v="Peconic Bay Medical Center"/>
    <n v="2015"/>
    <n v="4"/>
    <s v="Medicaid"/>
    <x v="1"/>
    <s v="Medicaid"/>
    <n v="15414.68"/>
    <n v="4724.6000000000004"/>
    <n v="0"/>
  </r>
  <r>
    <x v="3141"/>
    <s v="Peconic Bay Medical Center"/>
    <n v="2015"/>
    <n v="4"/>
    <s v="Medicaid"/>
    <x v="1"/>
    <s v="Medicaid"/>
    <n v="15299.56"/>
    <n v="4244.71"/>
    <n v="0"/>
  </r>
  <r>
    <x v="3142"/>
    <s v="Peconic Bay Medical Center"/>
    <n v="2015"/>
    <n v="4"/>
    <s v="Medicaid"/>
    <x v="1"/>
    <s v="Medicaid"/>
    <n v="15586.52"/>
    <n v="4404.4799999999996"/>
    <n v="0"/>
  </r>
  <r>
    <x v="3143"/>
    <s v="Peconic Bay Medical Center"/>
    <n v="2015"/>
    <n v="4"/>
    <s v="Medicaid"/>
    <x v="1"/>
    <s v="Medicaid"/>
    <n v="30288.06"/>
    <n v="9170.15"/>
    <n v="0"/>
  </r>
  <r>
    <x v="3144"/>
    <s v="Peconic Bay Medical Center"/>
    <n v="2015"/>
    <n v="4"/>
    <s v="Medicaid"/>
    <x v="1"/>
    <s v="Medicaid"/>
    <n v="21564.32"/>
    <n v="5355.68"/>
    <n v="0"/>
  </r>
  <r>
    <x v="3145"/>
    <s v="Peconic Bay Medical Center"/>
    <n v="2015"/>
    <n v="4"/>
    <s v="Medicaid"/>
    <x v="1"/>
    <s v="Medicaid"/>
    <n v="12925.44"/>
    <n v="3434.89"/>
    <n v="0"/>
  </r>
  <r>
    <x v="3146"/>
    <s v="Peconic Bay Medical Center"/>
    <n v="2015"/>
    <n v="4"/>
    <s v="Medicaid"/>
    <x v="1"/>
    <s v="Medicaid"/>
    <n v="17623.18"/>
    <n v="4413.16"/>
    <n v="0"/>
  </r>
  <r>
    <x v="3147"/>
    <s v="Peconic Bay Medical Center"/>
    <n v="2015"/>
    <n v="4"/>
    <s v="Medicaid"/>
    <x v="1"/>
    <s v="Medicaid"/>
    <n v="98385.81"/>
    <n v="63409.18"/>
    <n v="0"/>
  </r>
  <r>
    <x v="3148"/>
    <s v="Peconic Bay Medical Center"/>
    <n v="2015"/>
    <n v="4"/>
    <s v="Medicaid"/>
    <x v="1"/>
    <s v="Medicaid"/>
    <n v="24783.78"/>
    <n v="7319.16"/>
    <n v="0"/>
  </r>
  <r>
    <x v="3149"/>
    <s v="Peconic Bay Medical Center"/>
    <n v="2015"/>
    <n v="4"/>
    <s v="Medicaid"/>
    <x v="1"/>
    <s v="Medicaid"/>
    <n v="33500.300000000003"/>
    <n v="9994.9599999999991"/>
    <n v="0"/>
  </r>
  <r>
    <x v="3150"/>
    <s v="Peconic Bay Medical Center"/>
    <n v="2015"/>
    <n v="4"/>
    <s v="Medicaid"/>
    <x v="1"/>
    <s v="Medicaid"/>
    <n v="43408.7"/>
    <n v="23175.63"/>
    <n v="0"/>
  </r>
  <r>
    <x v="3151"/>
    <s v="Peconic Bay Medical Center"/>
    <n v="2015"/>
    <n v="4"/>
    <s v="Medicaid"/>
    <x v="1"/>
    <s v="Medicaid"/>
    <n v="27618.94"/>
    <n v="7819.28"/>
    <n v="0"/>
  </r>
  <r>
    <x v="3152"/>
    <s v="Peconic Bay Medical Center"/>
    <n v="2015"/>
    <n v="4"/>
    <s v="Medicaid"/>
    <x v="1"/>
    <s v="Medicaid"/>
    <n v="27301.98"/>
    <n v="4851.6899999999996"/>
    <n v="0"/>
  </r>
  <r>
    <x v="3153"/>
    <s v="Peconic Bay Medical Center"/>
    <n v="2015"/>
    <n v="4"/>
    <s v="Medicaid"/>
    <x v="1"/>
    <s v="Medicaid"/>
    <n v="67458.12"/>
    <n v="26701.87"/>
    <n v="0"/>
  </r>
  <r>
    <x v="3154"/>
    <s v="Peconic Bay Medical Center"/>
    <n v="2015"/>
    <n v="4"/>
    <s v="Medicaid"/>
    <x v="1"/>
    <s v="Medicaid"/>
    <n v="16571.919999999998"/>
    <n v="2656.83"/>
    <n v="0"/>
  </r>
  <r>
    <x v="3155"/>
    <s v="Peconic Bay Medical Center"/>
    <n v="2015"/>
    <n v="4"/>
    <s v="Medicaid"/>
    <x v="1"/>
    <s v="Medicaid"/>
    <n v="19489.240000000002"/>
    <n v="5329.92"/>
    <n v="0"/>
  </r>
  <r>
    <x v="3156"/>
    <s v="Peconic Bay Medical Center"/>
    <n v="2015"/>
    <n v="4"/>
    <s v="Medicaid"/>
    <x v="1"/>
    <s v="Medicaid"/>
    <n v="33478.620000000003"/>
    <n v="10686.1"/>
    <n v="0"/>
  </r>
  <r>
    <x v="3157"/>
    <s v="Peconic Bay Medical Center"/>
    <n v="2015"/>
    <n v="4"/>
    <s v="Medicaid"/>
    <x v="1"/>
    <s v="Medicaid"/>
    <n v="20930.5"/>
    <n v="6409.58"/>
    <n v="0"/>
  </r>
  <r>
    <x v="3158"/>
    <s v="Peconic Bay Medical Center"/>
    <n v="2015"/>
    <n v="4"/>
    <s v="Medicaid"/>
    <x v="1"/>
    <s v="Medicaid"/>
    <n v="32310.42"/>
    <n v="22930.29"/>
    <n v="0"/>
  </r>
  <r>
    <x v="3159"/>
    <s v="Peconic Bay Medical Center"/>
    <n v="2015"/>
    <n v="4"/>
    <s v="Medicaid"/>
    <x v="1"/>
    <s v="Medicaid"/>
    <n v="25711.279999999999"/>
    <n v="5743.07"/>
    <n v="0"/>
  </r>
  <r>
    <x v="3160"/>
    <s v="Peconic Bay Medical Center"/>
    <n v="2015"/>
    <n v="4"/>
    <s v="Medicaid"/>
    <x v="1"/>
    <s v="Medicaid"/>
    <n v="14510.26"/>
    <n v="2988.39"/>
    <n v="0"/>
  </r>
  <r>
    <x v="3161"/>
    <s v="Peconic Bay Medical Center"/>
    <n v="2015"/>
    <n v="4"/>
    <s v="Medicaid"/>
    <x v="1"/>
    <s v="Medicaid"/>
    <n v="17651.36"/>
    <n v="8532.35"/>
    <n v="0"/>
  </r>
  <r>
    <x v="3162"/>
    <s v="Peconic Bay Medical Center"/>
    <n v="2015"/>
    <n v="4"/>
    <s v="Medicaid"/>
    <x v="1"/>
    <s v="Medicaid"/>
    <n v="13578.18"/>
    <n v="4135.74"/>
    <n v="0"/>
  </r>
  <r>
    <x v="3163"/>
    <s v="Peconic Bay Medical Center"/>
    <n v="2015"/>
    <n v="4"/>
    <s v="Medicaid"/>
    <x v="1"/>
    <s v="Medicaid"/>
    <n v="22771.38"/>
    <n v="6451.76"/>
    <n v="0"/>
  </r>
  <r>
    <x v="3164"/>
    <s v="Peconic Bay Medical Center"/>
    <n v="2015"/>
    <n v="4"/>
    <s v="Medicaid"/>
    <x v="1"/>
    <s v="Medicaid"/>
    <n v="25665.94"/>
    <n v="8210.7000000000007"/>
    <n v="0"/>
  </r>
  <r>
    <x v="3165"/>
    <s v="Peconic Bay Medical Center"/>
    <n v="2015"/>
    <n v="4"/>
    <s v="Medicaid"/>
    <x v="1"/>
    <s v="Medicaid"/>
    <n v="10780.68"/>
    <n v="2970.59"/>
    <n v="0"/>
  </r>
  <r>
    <x v="3166"/>
    <s v="Peconic Bay Medical Center"/>
    <n v="2015"/>
    <n v="4"/>
    <s v="Medicaid"/>
    <x v="1"/>
    <s v="Medicaid"/>
    <n v="46315.76"/>
    <n v="10976.59"/>
    <n v="0"/>
  </r>
  <r>
    <x v="3167"/>
    <s v="Peconic Bay Medical Center"/>
    <n v="2015"/>
    <n v="4"/>
    <s v="Medicaid"/>
    <x v="1"/>
    <s v="Medicaid"/>
    <n v="12428.56"/>
    <n v="3364.53"/>
    <n v="0"/>
  </r>
  <r>
    <x v="3168"/>
    <s v="Peconic Bay Medical Center"/>
    <n v="2015"/>
    <n v="4"/>
    <s v="Medicaid"/>
    <x v="1"/>
    <s v="Medicaid"/>
    <n v="22272.74"/>
    <n v="5564.3"/>
    <n v="0"/>
  </r>
  <r>
    <x v="3169"/>
    <s v="Peconic Bay Medical Center"/>
    <n v="2015"/>
    <n v="4"/>
    <s v="Medicaid"/>
    <x v="1"/>
    <s v="Medicaid"/>
    <n v="7594.5"/>
    <n v="2120.36"/>
    <n v="0"/>
  </r>
  <r>
    <x v="3170"/>
    <s v="Peconic Bay Medical Center"/>
    <n v="2015"/>
    <n v="4"/>
    <s v="Medicaid"/>
    <x v="1"/>
    <s v="Medicaid"/>
    <n v="28518.21"/>
    <n v="18615.63"/>
    <n v="0"/>
  </r>
  <r>
    <x v="3171"/>
    <s v="Peconic Bay Medical Center"/>
    <n v="2015"/>
    <n v="4"/>
    <s v="Medicaid"/>
    <x v="1"/>
    <s v="Medicaid"/>
    <n v="24816.26"/>
    <n v="7040.54"/>
    <n v="0"/>
  </r>
  <r>
    <x v="3172"/>
    <s v="Peconic Bay Medical Center"/>
    <n v="2015"/>
    <n v="4"/>
    <s v="Medicaid"/>
    <x v="1"/>
    <s v="Medicaid"/>
    <n v="34732.160000000003"/>
    <n v="15460.7"/>
    <n v="0"/>
  </r>
  <r>
    <x v="3173"/>
    <s v="Peconic Bay Medical Center"/>
    <n v="2015"/>
    <n v="4"/>
    <s v="Medicaid"/>
    <x v="1"/>
    <s v="Medicaid"/>
    <n v="31334.9"/>
    <n v="8831.85"/>
    <n v="0"/>
  </r>
  <r>
    <x v="3174"/>
    <s v="Peconic Bay Medical Center"/>
    <n v="2015"/>
    <n v="7"/>
    <s v="Medicare"/>
    <x v="2"/>
    <s v="Medicare"/>
    <n v="101920.56"/>
    <n v="30596.3"/>
    <n v="0"/>
  </r>
  <r>
    <x v="3175"/>
    <s v="Peconic Bay Medical Center"/>
    <n v="2015"/>
    <n v="7"/>
    <s v="Medicare"/>
    <x v="2"/>
    <s v="Medicare"/>
    <n v="28271.360000000001"/>
    <n v="7531.23"/>
    <n v="0"/>
  </r>
  <r>
    <x v="3176"/>
    <s v="Peconic Bay Medical Center"/>
    <n v="2015"/>
    <n v="7"/>
    <s v="Medicare"/>
    <x v="2"/>
    <s v="Medicare"/>
    <n v="39884.019999999997"/>
    <n v="11818.65"/>
    <n v="0"/>
  </r>
  <r>
    <x v="3177"/>
    <s v="Peconic Bay Medical Center"/>
    <n v="2015"/>
    <n v="7"/>
    <s v="Medicare"/>
    <x v="2"/>
    <s v="Medicare"/>
    <n v="14501.66"/>
    <n v="3222.28"/>
    <n v="0"/>
  </r>
  <r>
    <x v="3178"/>
    <s v="Peconic Bay Medical Center"/>
    <n v="2015"/>
    <n v="7"/>
    <s v="Medicare"/>
    <x v="2"/>
    <s v="Medicare"/>
    <n v="15394.86"/>
    <n v="4084.99"/>
    <n v="0"/>
  </r>
  <r>
    <x v="3179"/>
    <s v="Peconic Bay Medical Center"/>
    <n v="2015"/>
    <n v="7"/>
    <s v="Medicare"/>
    <x v="2"/>
    <s v="Medicare"/>
    <n v="15798.36"/>
    <n v="2976.84"/>
    <n v="0"/>
  </r>
  <r>
    <x v="3180"/>
    <s v="Peconic Bay Medical Center"/>
    <n v="2015"/>
    <n v="7"/>
    <s v="Medicare"/>
    <x v="2"/>
    <s v="Medicare"/>
    <n v="51426.92"/>
    <n v="14907.51"/>
    <n v="0"/>
  </r>
  <r>
    <x v="3181"/>
    <s v="Peconic Bay Medical Center"/>
    <n v="2015"/>
    <n v="7"/>
    <s v="Medicare"/>
    <x v="2"/>
    <s v="Medicare"/>
    <n v="72081.88"/>
    <n v="55030.87"/>
    <n v="0"/>
  </r>
  <r>
    <x v="3182"/>
    <s v="Peconic Bay Medical Center"/>
    <n v="2015"/>
    <n v="7"/>
    <s v="Medicare"/>
    <x v="2"/>
    <s v="Medicare"/>
    <n v="62186.9"/>
    <n v="44030.78"/>
    <n v="0"/>
  </r>
  <r>
    <x v="3183"/>
    <s v="Peconic Bay Medical Center"/>
    <n v="2015"/>
    <n v="7"/>
    <s v="Medicare"/>
    <x v="2"/>
    <s v="Medicare"/>
    <n v="72043.06"/>
    <n v="50685.59"/>
    <n v="0"/>
  </r>
  <r>
    <x v="3184"/>
    <s v="Peconic Bay Medical Center"/>
    <n v="2015"/>
    <n v="7"/>
    <s v="Medicare"/>
    <x v="2"/>
    <s v="Medicare"/>
    <n v="61347.28"/>
    <n v="42380.32"/>
    <n v="0"/>
  </r>
  <r>
    <x v="3185"/>
    <s v="Peconic Bay Medical Center"/>
    <n v="2015"/>
    <n v="7"/>
    <s v="Medicare"/>
    <x v="2"/>
    <s v="Medicare"/>
    <n v="73658.44"/>
    <n v="57209.09"/>
    <n v="0"/>
  </r>
  <r>
    <x v="3186"/>
    <s v="Peconic Bay Medical Center"/>
    <n v="2015"/>
    <n v="7"/>
    <s v="Medicare"/>
    <x v="2"/>
    <s v="Medicare"/>
    <n v="60963.74"/>
    <n v="42202.9"/>
    <n v="0"/>
  </r>
  <r>
    <x v="3187"/>
    <s v="Peconic Bay Medical Center"/>
    <n v="2015"/>
    <n v="7"/>
    <s v="Medicare"/>
    <x v="2"/>
    <s v="Medicare"/>
    <n v="64560.74"/>
    <n v="48072"/>
    <n v="0"/>
  </r>
  <r>
    <x v="3188"/>
    <s v="Peconic Bay Medical Center"/>
    <n v="2015"/>
    <n v="7"/>
    <s v="Medicare"/>
    <x v="2"/>
    <s v="Medicare"/>
    <n v="63891.22"/>
    <n v="47937.19"/>
    <n v="0"/>
  </r>
  <r>
    <x v="3189"/>
    <s v="Peconic Bay Medical Center"/>
    <n v="2015"/>
    <n v="7"/>
    <s v="Medicare"/>
    <x v="2"/>
    <s v="Medicare"/>
    <n v="62257.38"/>
    <n v="45347.75"/>
    <n v="0"/>
  </r>
  <r>
    <x v="3190"/>
    <s v="Peconic Bay Medical Center"/>
    <n v="2015"/>
    <n v="7"/>
    <s v="Medicare"/>
    <x v="2"/>
    <s v="Medicare"/>
    <n v="60892.42"/>
    <n v="46199.66"/>
    <n v="0"/>
  </r>
  <r>
    <x v="3191"/>
    <s v="Peconic Bay Medical Center"/>
    <n v="2015"/>
    <n v="7"/>
    <s v="Medicare"/>
    <x v="2"/>
    <s v="Medicare"/>
    <n v="26934.98"/>
    <n v="11543.26"/>
    <n v="0"/>
  </r>
  <r>
    <x v="3192"/>
    <s v="Peconic Bay Medical Center"/>
    <n v="2015"/>
    <n v="7"/>
    <s v="Medicare"/>
    <x v="2"/>
    <s v="Medicare"/>
    <n v="98837.72"/>
    <n v="81218.97"/>
    <n v="0"/>
  </r>
  <r>
    <x v="3193"/>
    <s v="Peconic Bay Medical Center"/>
    <n v="2015"/>
    <n v="7"/>
    <s v="Medicare"/>
    <x v="2"/>
    <s v="Medicare"/>
    <n v="72483.72"/>
    <n v="56764.43"/>
    <n v="0"/>
  </r>
  <r>
    <x v="3194"/>
    <s v="Peconic Bay Medical Center"/>
    <n v="2015"/>
    <n v="7"/>
    <s v="Medicare"/>
    <x v="2"/>
    <s v="Medicare"/>
    <n v="77221.960000000006"/>
    <n v="58714.86"/>
    <n v="0"/>
  </r>
  <r>
    <x v="3195"/>
    <s v="Peconic Bay Medical Center"/>
    <n v="2015"/>
    <n v="7"/>
    <s v="Medicare"/>
    <x v="2"/>
    <s v="Medicare"/>
    <n v="75416.22"/>
    <n v="58514.09"/>
    <n v="0"/>
  </r>
  <r>
    <x v="3196"/>
    <s v="Peconic Bay Medical Center"/>
    <n v="2015"/>
    <n v="7"/>
    <s v="Medicare"/>
    <x v="2"/>
    <s v="Medicare"/>
    <n v="63155.74"/>
    <n v="44635.3"/>
    <n v="0"/>
  </r>
  <r>
    <x v="3197"/>
    <s v="Peconic Bay Medical Center"/>
    <n v="2015"/>
    <n v="7"/>
    <s v="Medicare"/>
    <x v="2"/>
    <s v="Medicare"/>
    <n v="74914.960000000006"/>
    <n v="58326.61"/>
    <n v="0"/>
  </r>
  <r>
    <x v="3198"/>
    <s v="Peconic Bay Medical Center"/>
    <n v="2015"/>
    <n v="7"/>
    <s v="Medicare"/>
    <x v="2"/>
    <s v="Medicare"/>
    <n v="50967.86"/>
    <n v="27166.26"/>
    <n v="0"/>
  </r>
  <r>
    <x v="3199"/>
    <s v="Peconic Bay Medical Center"/>
    <n v="2015"/>
    <n v="7"/>
    <s v="Medicare"/>
    <x v="2"/>
    <s v="Medicare"/>
    <n v="72086.559999999998"/>
    <n v="55054.17"/>
    <n v="0"/>
  </r>
  <r>
    <x v="3200"/>
    <s v="Peconic Bay Medical Center"/>
    <n v="2015"/>
    <n v="7"/>
    <s v="Medicare"/>
    <x v="2"/>
    <s v="Medicare"/>
    <n v="67691.539999999994"/>
    <n v="49341.919999999998"/>
    <n v="0"/>
  </r>
  <r>
    <x v="3201"/>
    <s v="Peconic Bay Medical Center"/>
    <n v="2015"/>
    <n v="7"/>
    <s v="Medicare"/>
    <x v="2"/>
    <s v="Medicare"/>
    <n v="65069.42"/>
    <n v="45997.15"/>
    <n v="0"/>
  </r>
  <r>
    <x v="3202"/>
    <s v="Peconic Bay Medical Center"/>
    <n v="2015"/>
    <n v="7"/>
    <s v="Medicare"/>
    <x v="2"/>
    <s v="Medicare"/>
    <n v="67268.320000000007"/>
    <n v="49097.13"/>
    <n v="0"/>
  </r>
  <r>
    <x v="3203"/>
    <s v="Peconic Bay Medical Center"/>
    <n v="2015"/>
    <n v="7"/>
    <s v="Medicare"/>
    <x v="2"/>
    <s v="Medicare"/>
    <n v="122633.64"/>
    <n v="102012.27"/>
    <n v="0"/>
  </r>
  <r>
    <x v="3204"/>
    <s v="Peconic Bay Medical Center"/>
    <n v="2015"/>
    <n v="7"/>
    <s v="Medicare"/>
    <x v="2"/>
    <s v="Medicare"/>
    <n v="18193.599999999999"/>
    <n v="5734.04"/>
    <n v="0"/>
  </r>
  <r>
    <x v="3205"/>
    <s v="Peconic Bay Medical Center"/>
    <n v="2015"/>
    <n v="7"/>
    <s v="Medicare"/>
    <x v="2"/>
    <s v="Medicare"/>
    <n v="66782.899999999994"/>
    <n v="49042.36"/>
    <n v="0"/>
  </r>
  <r>
    <x v="3206"/>
    <s v="Peconic Bay Medical Center"/>
    <n v="2015"/>
    <n v="7"/>
    <s v="Medicare"/>
    <x v="2"/>
    <s v="Medicare"/>
    <n v="24598.62"/>
    <n v="8604.1200000000008"/>
    <n v="0"/>
  </r>
  <r>
    <x v="3207"/>
    <s v="Peconic Bay Medical Center"/>
    <n v="2015"/>
    <n v="7"/>
    <s v="Medicare"/>
    <x v="2"/>
    <s v="Medicare"/>
    <n v="141451.18"/>
    <n v="62299.21"/>
    <n v="0"/>
  </r>
  <r>
    <x v="3208"/>
    <s v="Peconic Bay Medical Center"/>
    <n v="2015"/>
    <n v="7"/>
    <s v="Medicare"/>
    <x v="2"/>
    <s v="Medicare"/>
    <n v="66323.320000000007"/>
    <n v="47358.1"/>
    <n v="0"/>
  </r>
  <r>
    <x v="3209"/>
    <s v="Peconic Bay Medical Center"/>
    <n v="2015"/>
    <n v="7"/>
    <s v="Medicare"/>
    <x v="2"/>
    <s v="Medicare"/>
    <n v="39604"/>
    <n v="14116.17"/>
    <n v="0"/>
  </r>
  <r>
    <x v="3210"/>
    <s v="Peconic Bay Medical Center"/>
    <n v="2015"/>
    <n v="7"/>
    <s v="Medicare"/>
    <x v="2"/>
    <s v="Medicare"/>
    <n v="63387.66"/>
    <n v="45909.78"/>
    <n v="0"/>
  </r>
  <r>
    <x v="3211"/>
    <s v="Peconic Bay Medical Center"/>
    <n v="2015"/>
    <n v="7"/>
    <s v="Medicare"/>
    <x v="2"/>
    <s v="Medicare"/>
    <n v="70751"/>
    <n v="53944.63"/>
    <n v="0"/>
  </r>
  <r>
    <x v="3212"/>
    <s v="Peconic Bay Medical Center"/>
    <n v="2015"/>
    <n v="7"/>
    <s v="Medicare"/>
    <x v="2"/>
    <s v="Medicare"/>
    <n v="129362.55"/>
    <n v="121562.4"/>
    <n v="0"/>
  </r>
  <r>
    <x v="3213"/>
    <s v="Peconic Bay Medical Center"/>
    <n v="2015"/>
    <n v="7"/>
    <s v="Medicare"/>
    <x v="2"/>
    <s v="Medicare"/>
    <n v="99811.44"/>
    <n v="82465.64"/>
    <n v="0"/>
  </r>
  <r>
    <x v="3214"/>
    <s v="Peconic Bay Medical Center"/>
    <n v="2015"/>
    <n v="7"/>
    <s v="Medicare"/>
    <x v="2"/>
    <s v="Medicare"/>
    <n v="64837.3"/>
    <n v="47020.959999999999"/>
    <n v="0"/>
  </r>
  <r>
    <x v="3215"/>
    <s v="Peconic Bay Medical Center"/>
    <n v="2015"/>
    <n v="7"/>
    <s v="Medicare"/>
    <x v="2"/>
    <s v="Medicare"/>
    <n v="67141.22"/>
    <n v="48777.51"/>
    <n v="0"/>
  </r>
  <r>
    <x v="3216"/>
    <s v="Peconic Bay Medical Center"/>
    <n v="2015"/>
    <n v="7"/>
    <s v="Medicare"/>
    <x v="2"/>
    <s v="Medicare"/>
    <n v="16388.88"/>
    <n v="8701.43"/>
    <n v="0"/>
  </r>
  <r>
    <x v="3217"/>
    <s v="Peconic Bay Medical Center"/>
    <n v="2015"/>
    <n v="7"/>
    <s v="Medicare"/>
    <x v="2"/>
    <s v="Medicare"/>
    <n v="65258.37"/>
    <n v="48211.87"/>
    <n v="0"/>
  </r>
  <r>
    <x v="3218"/>
    <s v="Peconic Bay Medical Center"/>
    <n v="2015"/>
    <n v="7"/>
    <s v="Medicare"/>
    <x v="2"/>
    <s v="Medicare"/>
    <n v="79496.02"/>
    <n v="57092.21"/>
    <n v="0"/>
  </r>
  <r>
    <x v="3219"/>
    <s v="Peconic Bay Medical Center"/>
    <n v="2015"/>
    <n v="7"/>
    <s v="Medicare"/>
    <x v="2"/>
    <s v="Medicare"/>
    <n v="30709.14"/>
    <n v="13626.38"/>
    <n v="0"/>
  </r>
  <r>
    <x v="3220"/>
    <s v="Peconic Bay Medical Center"/>
    <n v="2015"/>
    <n v="7"/>
    <s v="Medicare"/>
    <x v="2"/>
    <s v="Medicare"/>
    <n v="70990.02"/>
    <n v="54864.66"/>
    <n v="0"/>
  </r>
  <r>
    <x v="3221"/>
    <s v="Peconic Bay Medical Center"/>
    <n v="2015"/>
    <n v="7"/>
    <s v="Medicare"/>
    <x v="2"/>
    <s v="Medicare"/>
    <n v="55497.82"/>
    <n v="40564.43"/>
    <n v="0"/>
  </r>
  <r>
    <x v="3222"/>
    <s v="Peconic Bay Medical Center"/>
    <n v="2015"/>
    <n v="7"/>
    <s v="Medicare"/>
    <x v="2"/>
    <s v="Medicare"/>
    <n v="222482.16"/>
    <n v="204675.31"/>
    <n v="0"/>
  </r>
  <r>
    <x v="3223"/>
    <s v="Peconic Bay Medical Center"/>
    <n v="2015"/>
    <n v="7"/>
    <s v="Medicare"/>
    <x v="2"/>
    <s v="Medicare"/>
    <n v="64857.72"/>
    <n v="46991.46"/>
    <n v="0"/>
  </r>
  <r>
    <x v="3224"/>
    <s v="Peconic Bay Medical Center"/>
    <n v="2015"/>
    <n v="7"/>
    <s v="Medicare"/>
    <x v="2"/>
    <s v="Medicare"/>
    <n v="39969.730000000003"/>
    <n v="26266.67"/>
    <n v="0"/>
  </r>
  <r>
    <x v="3225"/>
    <s v="Peconic Bay Medical Center"/>
    <n v="2015"/>
    <n v="7"/>
    <s v="Medicare"/>
    <x v="2"/>
    <s v="Medicare"/>
    <n v="65751.42"/>
    <n v="46527.8"/>
    <n v="0"/>
  </r>
  <r>
    <x v="3226"/>
    <s v="Peconic Bay Medical Center"/>
    <n v="2015"/>
    <n v="7"/>
    <s v="Medicare"/>
    <x v="2"/>
    <s v="Medicare"/>
    <n v="73256.58"/>
    <n v="56059.13"/>
    <n v="0"/>
  </r>
  <r>
    <x v="3227"/>
    <s v="Peconic Bay Medical Center"/>
    <n v="2015"/>
    <n v="7"/>
    <s v="Medicare"/>
    <x v="2"/>
    <s v="Medicare"/>
    <n v="33164.5"/>
    <n v="11274.42"/>
    <n v="0"/>
  </r>
  <r>
    <x v="3228"/>
    <s v="Peconic Bay Medical Center"/>
    <n v="2015"/>
    <n v="7"/>
    <s v="Medicare"/>
    <x v="2"/>
    <s v="Medicare"/>
    <n v="67001.820000000007"/>
    <n v="49044.63"/>
    <n v="0"/>
  </r>
  <r>
    <x v="3229"/>
    <s v="Peconic Bay Medical Center"/>
    <n v="2015"/>
    <n v="7"/>
    <s v="Medicare"/>
    <x v="2"/>
    <s v="Medicare"/>
    <n v="201068.36"/>
    <n v="182122.7"/>
    <n v="0"/>
  </r>
  <r>
    <x v="3230"/>
    <s v="Peconic Bay Medical Center"/>
    <n v="2015"/>
    <n v="7"/>
    <s v="Medicare"/>
    <x v="2"/>
    <s v="Medicare"/>
    <n v="57446.2"/>
    <n v="21952.84"/>
    <n v="0"/>
  </r>
  <r>
    <x v="3231"/>
    <s v="Peconic Bay Medical Center"/>
    <n v="2015"/>
    <n v="7"/>
    <s v="Medicare"/>
    <x v="2"/>
    <s v="Medicare"/>
    <n v="62761.5"/>
    <n v="28157.22"/>
    <n v="0"/>
  </r>
  <r>
    <x v="3232"/>
    <s v="Peconic Bay Medical Center"/>
    <n v="2015"/>
    <n v="7"/>
    <s v="Medicare"/>
    <x v="2"/>
    <s v="Medicare"/>
    <n v="89148.86"/>
    <n v="58232.51"/>
    <n v="0"/>
  </r>
  <r>
    <x v="3233"/>
    <s v="Peconic Bay Medical Center"/>
    <n v="2015"/>
    <n v="7"/>
    <s v="Medicare"/>
    <x v="2"/>
    <s v="Medicare"/>
    <n v="23904.799999999999"/>
    <n v="8310.35"/>
    <n v="0"/>
  </r>
  <r>
    <x v="3234"/>
    <s v="Peconic Bay Medical Center"/>
    <n v="2015"/>
    <n v="7"/>
    <s v="Medicare"/>
    <x v="2"/>
    <s v="Medicare"/>
    <n v="69177.22"/>
    <n v="31761.19"/>
    <n v="0"/>
  </r>
  <r>
    <x v="3235"/>
    <s v="Peconic Bay Medical Center"/>
    <n v="2015"/>
    <n v="7"/>
    <s v="Medicare"/>
    <x v="2"/>
    <s v="Medicare"/>
    <n v="76383.38"/>
    <n v="57557.68"/>
    <n v="0"/>
  </r>
  <r>
    <x v="3236"/>
    <s v="Peconic Bay Medical Center"/>
    <n v="2015"/>
    <n v="7"/>
    <s v="Medicare"/>
    <x v="2"/>
    <s v="Medicare"/>
    <n v="163095.6"/>
    <n v="139418.97"/>
    <n v="0"/>
  </r>
  <r>
    <x v="3237"/>
    <s v="Peconic Bay Medical Center"/>
    <n v="2015"/>
    <n v="7"/>
    <s v="Medicare"/>
    <x v="2"/>
    <s v="Medicare"/>
    <n v="28095.040000000001"/>
    <n v="19197.93"/>
    <n v="0"/>
  </r>
  <r>
    <x v="3238"/>
    <s v="Peconic Bay Medical Center"/>
    <n v="2015"/>
    <n v="7"/>
    <s v="Medicare"/>
    <x v="2"/>
    <s v="Medicare"/>
    <n v="66771"/>
    <n v="53496.480000000003"/>
    <n v="0"/>
  </r>
  <r>
    <x v="3239"/>
    <s v="Peconic Bay Medical Center"/>
    <n v="2015"/>
    <n v="7"/>
    <s v="Medicare"/>
    <x v="2"/>
    <s v="Medicare"/>
    <n v="80280.86"/>
    <n v="62199.02"/>
    <n v="0"/>
  </r>
  <r>
    <x v="3240"/>
    <s v="Peconic Bay Medical Center"/>
    <n v="2015"/>
    <n v="7"/>
    <s v="Medicare"/>
    <x v="2"/>
    <s v="Medicare"/>
    <n v="8201.9"/>
    <n v="2280.37"/>
    <n v="0"/>
  </r>
  <r>
    <x v="3241"/>
    <s v="Peconic Bay Medical Center"/>
    <n v="2015"/>
    <n v="7"/>
    <s v="Medicare"/>
    <x v="2"/>
    <s v="Medicare"/>
    <n v="75078.600000000006"/>
    <n v="56315.16"/>
    <n v="0"/>
  </r>
  <r>
    <x v="3242"/>
    <s v="Peconic Bay Medical Center"/>
    <n v="2015"/>
    <n v="7"/>
    <s v="Medicare"/>
    <x v="2"/>
    <s v="Medicare"/>
    <n v="68008.37"/>
    <n v="26944.36"/>
    <n v="0"/>
  </r>
  <r>
    <x v="3243"/>
    <s v="Peconic Bay Medical Center"/>
    <n v="2015"/>
    <n v="7"/>
    <s v="Medicare"/>
    <x v="2"/>
    <s v="Medicare"/>
    <n v="143253.01"/>
    <n v="126961.66"/>
    <n v="0"/>
  </r>
  <r>
    <x v="3244"/>
    <s v="Peconic Bay Medical Center"/>
    <n v="2015"/>
    <n v="7"/>
    <s v="Medicare"/>
    <x v="2"/>
    <s v="Medicare"/>
    <n v="66246.320000000007"/>
    <n v="48702.64"/>
    <n v="0"/>
  </r>
  <r>
    <x v="3245"/>
    <s v="Peconic Bay Medical Center"/>
    <n v="2015"/>
    <n v="7"/>
    <s v="Medicare"/>
    <x v="2"/>
    <s v="Medicare"/>
    <n v="59889.46"/>
    <n v="41847.360000000001"/>
    <n v="0"/>
  </r>
  <r>
    <x v="3246"/>
    <s v="Peconic Bay Medical Center"/>
    <n v="2015"/>
    <n v="7"/>
    <s v="Medicare"/>
    <x v="2"/>
    <s v="Medicare"/>
    <n v="63707.74"/>
    <n v="45207.33"/>
    <n v="0"/>
  </r>
  <r>
    <x v="3247"/>
    <s v="Peconic Bay Medical Center"/>
    <n v="2015"/>
    <n v="7"/>
    <s v="Medicare"/>
    <x v="2"/>
    <s v="Medicare"/>
    <n v="59817.78"/>
    <n v="42107.76"/>
    <n v="0"/>
  </r>
  <r>
    <x v="3248"/>
    <s v="Peconic Bay Medical Center"/>
    <n v="2015"/>
    <n v="7"/>
    <s v="Medicare"/>
    <x v="2"/>
    <s v="Medicare"/>
    <n v="4552.18"/>
    <n v="1587.16"/>
    <n v="0"/>
  </r>
  <r>
    <x v="3249"/>
    <s v="Peconic Bay Medical Center"/>
    <n v="2015"/>
    <n v="7"/>
    <s v="Medicare"/>
    <x v="2"/>
    <s v="Medicare"/>
    <n v="19790.439999999999"/>
    <n v="9931.82"/>
    <n v="0"/>
  </r>
  <r>
    <x v="3250"/>
    <s v="Peconic Bay Medical Center"/>
    <n v="2015"/>
    <n v="7"/>
    <s v="Medicare"/>
    <x v="2"/>
    <s v="Medicare"/>
    <n v="62609.24"/>
    <n v="45773.85"/>
    <n v="0"/>
  </r>
  <r>
    <x v="3251"/>
    <s v="Peconic Bay Medical Center"/>
    <n v="2015"/>
    <n v="7"/>
    <s v="Medicare"/>
    <x v="2"/>
    <s v="Medicare"/>
    <n v="80675.14"/>
    <n v="66536.25"/>
    <n v="0"/>
  </r>
  <r>
    <x v="3252"/>
    <s v="Peconic Bay Medical Center"/>
    <n v="2015"/>
    <n v="7"/>
    <s v="Medicare"/>
    <x v="2"/>
    <s v="Medicare"/>
    <n v="77321.66"/>
    <n v="59011.199999999997"/>
    <n v="0"/>
  </r>
  <r>
    <x v="3253"/>
    <s v="Peconic Bay Medical Center"/>
    <n v="2015"/>
    <n v="7"/>
    <s v="Medicare"/>
    <x v="2"/>
    <s v="Medicare"/>
    <n v="73273.8"/>
    <n v="55568.52"/>
    <n v="0"/>
  </r>
  <r>
    <x v="3254"/>
    <s v="Peconic Bay Medical Center"/>
    <n v="2015"/>
    <n v="7"/>
    <s v="Medicare"/>
    <x v="2"/>
    <s v="Medicare"/>
    <n v="77055.360000000001"/>
    <n v="59080.09"/>
    <n v="0"/>
  </r>
  <r>
    <x v="3255"/>
    <s v="Peconic Bay Medical Center"/>
    <n v="2015"/>
    <n v="7"/>
    <s v="Medicare"/>
    <x v="2"/>
    <s v="Medicare"/>
    <n v="73168.28"/>
    <n v="55887.07"/>
    <n v="0"/>
  </r>
  <r>
    <x v="3256"/>
    <s v="Peconic Bay Medical Center"/>
    <n v="2015"/>
    <n v="7"/>
    <s v="Medicare"/>
    <x v="2"/>
    <s v="Medicare"/>
    <n v="79096.86"/>
    <n v="56728.45"/>
    <n v="0"/>
  </r>
  <r>
    <x v="3257"/>
    <s v="Peconic Bay Medical Center"/>
    <n v="2015"/>
    <n v="7"/>
    <s v="Medicare"/>
    <x v="2"/>
    <s v="Medicare"/>
    <n v="64730.22"/>
    <n v="46211.28"/>
    <n v="0"/>
  </r>
  <r>
    <x v="3258"/>
    <s v="Peconic Bay Medical Center"/>
    <n v="2015"/>
    <n v="7"/>
    <s v="Medicare"/>
    <x v="2"/>
    <s v="Medicare"/>
    <n v="73864.5"/>
    <n v="53854.69"/>
    <n v="0"/>
  </r>
  <r>
    <x v="3259"/>
    <s v="Peconic Bay Medical Center"/>
    <n v="2015"/>
    <n v="7"/>
    <s v="Medicare"/>
    <x v="2"/>
    <s v="Medicare"/>
    <n v="68155.98"/>
    <n v="49289.79"/>
    <n v="0"/>
  </r>
  <r>
    <x v="3260"/>
    <s v="Peconic Bay Medical Center"/>
    <n v="2015"/>
    <n v="7"/>
    <s v="Medicare"/>
    <x v="2"/>
    <s v="Medicare"/>
    <n v="69816.160000000003"/>
    <n v="54324.77"/>
    <n v="0"/>
  </r>
  <r>
    <x v="3261"/>
    <s v="Peconic Bay Medical Center"/>
    <n v="2015"/>
    <n v="7"/>
    <s v="Medicare"/>
    <x v="2"/>
    <s v="Medicare"/>
    <n v="75284.240000000005"/>
    <n v="57511.08"/>
    <n v="0"/>
  </r>
  <r>
    <x v="3262"/>
    <s v="Peconic Bay Medical Center"/>
    <n v="2015"/>
    <n v="7"/>
    <s v="Medicare"/>
    <x v="2"/>
    <s v="Medicare"/>
    <n v="31915.98"/>
    <n v="17243.88"/>
    <n v="0"/>
  </r>
  <r>
    <x v="3263"/>
    <s v="Peconic Bay Medical Center"/>
    <n v="2015"/>
    <n v="7"/>
    <s v="Medicare"/>
    <x v="2"/>
    <s v="Medicare"/>
    <n v="80262.080000000002"/>
    <n v="59583.16"/>
    <n v="0"/>
  </r>
  <r>
    <x v="3264"/>
    <s v="Peconic Bay Medical Center"/>
    <n v="2015"/>
    <n v="7"/>
    <s v="Medicare"/>
    <x v="2"/>
    <s v="Medicare"/>
    <n v="38806.629999999997"/>
    <n v="22996.78"/>
    <n v="0"/>
  </r>
  <r>
    <x v="3265"/>
    <s v="Peconic Bay Medical Center"/>
    <n v="2015"/>
    <n v="7"/>
    <s v="Medicare"/>
    <x v="2"/>
    <s v="Medicare"/>
    <n v="77941.45"/>
    <n v="59842.58"/>
    <n v="0"/>
  </r>
  <r>
    <x v="3266"/>
    <s v="Peconic Bay Medical Center"/>
    <n v="2015"/>
    <n v="7"/>
    <s v="Medicare"/>
    <x v="2"/>
    <s v="Medicare"/>
    <n v="68272.320000000007"/>
    <n v="50223.27"/>
    <n v="0"/>
  </r>
  <r>
    <x v="3267"/>
    <s v="Peconic Bay Medical Center"/>
    <n v="2015"/>
    <n v="7"/>
    <s v="Medicare"/>
    <x v="2"/>
    <s v="Medicare"/>
    <n v="73514.259999999995"/>
    <n v="54651.58"/>
    <n v="0"/>
  </r>
  <r>
    <x v="3268"/>
    <s v="Peconic Bay Medical Center"/>
    <n v="2015"/>
    <n v="7"/>
    <s v="Medicare"/>
    <x v="2"/>
    <s v="Medicare"/>
    <n v="19919.14"/>
    <n v="11095.54"/>
    <n v="0"/>
  </r>
  <r>
    <x v="3269"/>
    <s v="Peconic Bay Medical Center"/>
    <n v="2015"/>
    <n v="7"/>
    <s v="Medicare"/>
    <x v="2"/>
    <s v="Medicare"/>
    <n v="94769.96"/>
    <n v="76255.42"/>
    <n v="0"/>
  </r>
  <r>
    <x v="3270"/>
    <s v="Peconic Bay Medical Center"/>
    <n v="2015"/>
    <n v="7"/>
    <s v="Medicare"/>
    <x v="2"/>
    <s v="Medicare"/>
    <n v="46857"/>
    <n v="33020.550000000003"/>
    <n v="0"/>
  </r>
  <r>
    <x v="3271"/>
    <s v="Peconic Bay Medical Center"/>
    <n v="2015"/>
    <n v="7"/>
    <s v="Medicare"/>
    <x v="2"/>
    <s v="Medicare"/>
    <n v="68328.78"/>
    <n v="53801.61"/>
    <n v="0"/>
  </r>
  <r>
    <x v="3272"/>
    <s v="Peconic Bay Medical Center"/>
    <n v="2015"/>
    <n v="7"/>
    <s v="Medicare"/>
    <x v="2"/>
    <s v="Medicare"/>
    <n v="76919.08"/>
    <n v="54338.91"/>
    <n v="0"/>
  </r>
  <r>
    <x v="3273"/>
    <s v="Peconic Bay Medical Center"/>
    <n v="2015"/>
    <n v="7"/>
    <s v="Medicare"/>
    <x v="2"/>
    <s v="Medicare"/>
    <n v="65273.760000000002"/>
    <n v="46738.63"/>
    <n v="0"/>
  </r>
  <r>
    <x v="3274"/>
    <s v="Peconic Bay Medical Center"/>
    <n v="2015"/>
    <n v="7"/>
    <s v="Medicare"/>
    <x v="2"/>
    <s v="Medicare"/>
    <n v="126571.56"/>
    <n v="95863.79"/>
    <n v="0"/>
  </r>
  <r>
    <x v="3275"/>
    <s v="Peconic Bay Medical Center"/>
    <n v="2015"/>
    <n v="7"/>
    <s v="Medicare"/>
    <x v="2"/>
    <s v="Medicare"/>
    <n v="79732.679999999993"/>
    <n v="59635.61"/>
    <n v="0"/>
  </r>
  <r>
    <x v="3276"/>
    <s v="Peconic Bay Medical Center"/>
    <n v="2015"/>
    <n v="7"/>
    <s v="Medicare"/>
    <x v="2"/>
    <s v="Medicare"/>
    <n v="52956.03"/>
    <n v="38940.58"/>
    <n v="0"/>
  </r>
  <r>
    <x v="3277"/>
    <s v="Peconic Bay Medical Center"/>
    <n v="2015"/>
    <n v="7"/>
    <s v="Medicare"/>
    <x v="2"/>
    <s v="Medicare"/>
    <n v="19575.2"/>
    <n v="7991.27"/>
    <n v="0"/>
  </r>
  <r>
    <x v="3278"/>
    <s v="Peconic Bay Medical Center"/>
    <n v="2015"/>
    <n v="7"/>
    <s v="Medicare"/>
    <x v="2"/>
    <s v="Medicare"/>
    <n v="23476.7"/>
    <n v="12001.8"/>
    <n v="0"/>
  </r>
  <r>
    <x v="3279"/>
    <s v="Peconic Bay Medical Center"/>
    <n v="2015"/>
    <n v="7"/>
    <s v="Medicare"/>
    <x v="2"/>
    <s v="Medicare"/>
    <n v="68207.679999999993"/>
    <n v="47878.34"/>
    <n v="0"/>
  </r>
  <r>
    <x v="3280"/>
    <s v="Peconic Bay Medical Center"/>
    <n v="2015"/>
    <n v="7"/>
    <s v="Medicare"/>
    <x v="2"/>
    <s v="Medicare"/>
    <n v="68303.28"/>
    <n v="49343.15"/>
    <n v="0"/>
  </r>
  <r>
    <x v="3281"/>
    <s v="Peconic Bay Medical Center"/>
    <n v="2015"/>
    <n v="7"/>
    <s v="Medicare"/>
    <x v="2"/>
    <s v="Medicare"/>
    <n v="77983.34"/>
    <n v="59195.08"/>
    <n v="0"/>
  </r>
  <r>
    <x v="3282"/>
    <s v="Peconic Bay Medical Center"/>
    <n v="2015"/>
    <n v="7"/>
    <s v="Medicare"/>
    <x v="2"/>
    <s v="Medicare"/>
    <n v="73895.7"/>
    <n v="56232.99"/>
    <n v="0"/>
  </r>
  <r>
    <x v="3283"/>
    <s v="Peconic Bay Medical Center"/>
    <n v="2015"/>
    <n v="7"/>
    <s v="Medicare"/>
    <x v="2"/>
    <s v="Medicare"/>
    <n v="36387.89"/>
    <n v="22319.1"/>
    <n v="0"/>
  </r>
  <r>
    <x v="3284"/>
    <s v="Peconic Bay Medical Center"/>
    <n v="2015"/>
    <n v="7"/>
    <s v="Medicare"/>
    <x v="2"/>
    <s v="Medicare"/>
    <n v="64222.9"/>
    <n v="46427.81"/>
    <n v="0"/>
  </r>
  <r>
    <x v="3285"/>
    <s v="Peconic Bay Medical Center"/>
    <n v="2015"/>
    <n v="7"/>
    <s v="Medicare"/>
    <x v="2"/>
    <s v="Medicare"/>
    <n v="28618.76"/>
    <n v="9026.09"/>
    <n v="0"/>
  </r>
  <r>
    <x v="3286"/>
    <s v="Peconic Bay Medical Center"/>
    <n v="2015"/>
    <n v="7"/>
    <s v="Medicare"/>
    <x v="2"/>
    <s v="Medicare"/>
    <n v="74861.98"/>
    <n v="56258.61"/>
    <n v="0"/>
  </r>
  <r>
    <x v="3287"/>
    <s v="Peconic Bay Medical Center"/>
    <n v="2015"/>
    <n v="7"/>
    <s v="Medicare"/>
    <x v="2"/>
    <s v="Medicare"/>
    <n v="68758.399999999994"/>
    <n v="49490.64"/>
    <n v="0"/>
  </r>
  <r>
    <x v="3288"/>
    <s v="Peconic Bay Medical Center"/>
    <n v="2015"/>
    <n v="7"/>
    <s v="Medicare"/>
    <x v="2"/>
    <s v="Medicare"/>
    <n v="66072.22"/>
    <n v="48916.04"/>
    <n v="0"/>
  </r>
  <r>
    <x v="3289"/>
    <s v="Peconic Bay Medical Center"/>
    <n v="2015"/>
    <n v="7"/>
    <s v="Medicare"/>
    <x v="2"/>
    <s v="Medicare"/>
    <n v="67485.259999999995"/>
    <n v="49184.03"/>
    <n v="0"/>
  </r>
  <r>
    <x v="3290"/>
    <s v="Peconic Bay Medical Center"/>
    <n v="2015"/>
    <n v="7"/>
    <s v="Medicare"/>
    <x v="2"/>
    <s v="Medicare"/>
    <n v="73163.240000000005"/>
    <n v="55887.66"/>
    <n v="0"/>
  </r>
  <r>
    <x v="3291"/>
    <s v="Peconic Bay Medical Center"/>
    <n v="2015"/>
    <n v="7"/>
    <s v="Medicare"/>
    <x v="2"/>
    <s v="Medicare"/>
    <n v="5187.62"/>
    <n v="1743.12"/>
    <n v="0"/>
  </r>
  <r>
    <x v="3292"/>
    <s v="Peconic Bay Medical Center"/>
    <n v="2015"/>
    <n v="7"/>
    <s v="Medicare"/>
    <x v="2"/>
    <s v="Medicare"/>
    <n v="67113.86"/>
    <n v="49065.45"/>
    <n v="0"/>
  </r>
  <r>
    <x v="3293"/>
    <s v="Peconic Bay Medical Center"/>
    <n v="2015"/>
    <n v="7"/>
    <s v="Medicare"/>
    <x v="2"/>
    <s v="Medicare"/>
    <n v="65860.36"/>
    <n v="48776.92"/>
    <n v="0"/>
  </r>
  <r>
    <x v="3294"/>
    <s v="Peconic Bay Medical Center"/>
    <n v="2015"/>
    <n v="7"/>
    <s v="Medicare"/>
    <x v="2"/>
    <s v="Medicare"/>
    <n v="62964.5"/>
    <n v="45808.15"/>
    <n v="0"/>
  </r>
  <r>
    <x v="3295"/>
    <s v="Peconic Bay Medical Center"/>
    <n v="2015"/>
    <n v="7"/>
    <s v="Medicare"/>
    <x v="2"/>
    <s v="Medicare"/>
    <n v="66891.5"/>
    <n v="46025.01"/>
    <n v="0"/>
  </r>
  <r>
    <x v="3296"/>
    <s v="Peconic Bay Medical Center"/>
    <n v="2015"/>
    <n v="7"/>
    <s v="Medicare"/>
    <x v="2"/>
    <s v="Medicare"/>
    <n v="67872.899999999994"/>
    <n v="46936.26"/>
    <n v="0"/>
  </r>
  <r>
    <x v="3297"/>
    <s v="Peconic Bay Medical Center"/>
    <n v="2015"/>
    <n v="7"/>
    <s v="Medicare"/>
    <x v="2"/>
    <s v="Medicare"/>
    <n v="66605.86"/>
    <n v="48971.74"/>
    <n v="0"/>
  </r>
  <r>
    <x v="3298"/>
    <s v="Peconic Bay Medical Center"/>
    <n v="2015"/>
    <n v="7"/>
    <s v="Medicare"/>
    <x v="2"/>
    <s v="Medicare"/>
    <n v="79378.880000000005"/>
    <n v="55616.42"/>
    <n v="0"/>
  </r>
  <r>
    <x v="3299"/>
    <s v="Peconic Bay Medical Center"/>
    <n v="2015"/>
    <n v="7"/>
    <s v="Medicare"/>
    <x v="2"/>
    <s v="Medicare"/>
    <n v="66363.34"/>
    <n v="48894.81"/>
    <n v="0"/>
  </r>
  <r>
    <x v="3300"/>
    <s v="Peconic Bay Medical Center"/>
    <n v="2015"/>
    <n v="7"/>
    <s v="Medicare"/>
    <x v="2"/>
    <s v="Medicare"/>
    <n v="10013.879999999999"/>
    <n v="7460.62"/>
    <n v="0"/>
  </r>
  <r>
    <x v="3301"/>
    <s v="Peconic Bay Medical Center"/>
    <n v="2015"/>
    <n v="7"/>
    <s v="Medicare"/>
    <x v="2"/>
    <s v="Medicare"/>
    <n v="66048.5"/>
    <n v="48837.88"/>
    <n v="0"/>
  </r>
  <r>
    <x v="3302"/>
    <s v="Peconic Bay Medical Center"/>
    <n v="2015"/>
    <n v="7"/>
    <s v="Medicare"/>
    <x v="2"/>
    <s v="Medicare"/>
    <n v="67410.06"/>
    <n v="46970.96"/>
    <n v="0"/>
  </r>
  <r>
    <x v="3303"/>
    <s v="Peconic Bay Medical Center"/>
    <n v="2015"/>
    <n v="7"/>
    <s v="Medicare"/>
    <x v="2"/>
    <s v="Medicare"/>
    <n v="64642.9"/>
    <n v="49261.67"/>
    <n v="0"/>
  </r>
  <r>
    <x v="3304"/>
    <s v="Peconic Bay Medical Center"/>
    <n v="2015"/>
    <n v="7"/>
    <s v="Medicare"/>
    <x v="2"/>
    <s v="Medicare"/>
    <n v="61208.9"/>
    <n v="44437.61"/>
    <n v="0"/>
  </r>
  <r>
    <x v="3305"/>
    <s v="Peconic Bay Medical Center"/>
    <n v="2015"/>
    <n v="7"/>
    <s v="Medicare"/>
    <x v="2"/>
    <s v="Medicare"/>
    <n v="71936.039999999994"/>
    <n v="53853.72"/>
    <n v="0"/>
  </r>
  <r>
    <x v="3306"/>
    <s v="Peconic Bay Medical Center"/>
    <n v="2015"/>
    <n v="7"/>
    <s v="Medicare"/>
    <x v="2"/>
    <s v="Medicare"/>
    <n v="46194.96"/>
    <n v="19596"/>
    <n v="0"/>
  </r>
  <r>
    <x v="3307"/>
    <s v="Peconic Bay Medical Center"/>
    <n v="2015"/>
    <n v="7"/>
    <s v="Medicare"/>
    <x v="2"/>
    <s v="Medicare"/>
    <n v="66624.12"/>
    <n v="46809.18"/>
    <n v="0"/>
  </r>
  <r>
    <x v="3308"/>
    <s v="Peconic Bay Medical Center"/>
    <n v="2015"/>
    <n v="7"/>
    <s v="Medicare"/>
    <x v="2"/>
    <s v="Medicare"/>
    <n v="73743.679999999993"/>
    <n v="55529.03"/>
    <n v="0"/>
  </r>
  <r>
    <x v="3309"/>
    <s v="Peconic Bay Medical Center"/>
    <n v="2015"/>
    <n v="7"/>
    <s v="Medicare"/>
    <x v="2"/>
    <s v="Medicare"/>
    <n v="66248.12"/>
    <n v="48906.34"/>
    <n v="0"/>
  </r>
  <r>
    <x v="3310"/>
    <s v="Peconic Bay Medical Center"/>
    <n v="2015"/>
    <n v="7"/>
    <s v="Medicare"/>
    <x v="2"/>
    <s v="Medicare"/>
    <n v="76503.399999999994"/>
    <n v="48982.48"/>
    <n v="0"/>
  </r>
  <r>
    <x v="3311"/>
    <s v="Peconic Bay Medical Center"/>
    <n v="2015"/>
    <n v="7"/>
    <s v="Medicare"/>
    <x v="2"/>
    <s v="Medicare"/>
    <n v="31971.27"/>
    <n v="12196.74"/>
    <n v="0"/>
  </r>
  <r>
    <x v="3312"/>
    <s v="Peconic Bay Medical Center"/>
    <n v="2015"/>
    <n v="7"/>
    <s v="Medicare"/>
    <x v="2"/>
    <s v="Medicare"/>
    <n v="81841.88"/>
    <n v="59694.12"/>
    <n v="0"/>
  </r>
  <r>
    <x v="3313"/>
    <s v="Peconic Bay Medical Center"/>
    <n v="2015"/>
    <n v="7"/>
    <s v="Medicare"/>
    <x v="2"/>
    <s v="Medicare"/>
    <n v="60481.68"/>
    <n v="50384.36"/>
    <n v="0"/>
  </r>
  <r>
    <x v="3314"/>
    <s v="Peconic Bay Medical Center"/>
    <n v="2015"/>
    <n v="7"/>
    <s v="Medicare"/>
    <x v="2"/>
    <s v="Medicare"/>
    <n v="76451.679999999993"/>
    <n v="56352.33"/>
    <n v="0"/>
  </r>
  <r>
    <x v="3315"/>
    <s v="Peconic Bay Medical Center"/>
    <n v="2015"/>
    <n v="7"/>
    <s v="Medicare"/>
    <x v="2"/>
    <s v="Medicare"/>
    <n v="193816.26"/>
    <n v="178744.78"/>
    <n v="0"/>
  </r>
  <r>
    <x v="3316"/>
    <s v="Peconic Bay Medical Center"/>
    <n v="2015"/>
    <n v="7"/>
    <s v="Medicare"/>
    <x v="2"/>
    <s v="Medicare"/>
    <n v="65641.14"/>
    <n v="48721.65"/>
    <n v="0"/>
  </r>
  <r>
    <x v="3317"/>
    <s v="Peconic Bay Medical Center"/>
    <n v="2015"/>
    <n v="7"/>
    <s v="Medicare"/>
    <x v="2"/>
    <s v="Medicare"/>
    <n v="64459.54"/>
    <n v="45036.95"/>
    <n v="0"/>
  </r>
  <r>
    <x v="3318"/>
    <s v="Peconic Bay Medical Center"/>
    <n v="2015"/>
    <n v="7"/>
    <s v="Medicare"/>
    <x v="2"/>
    <s v="Medicare"/>
    <n v="149768.13"/>
    <n v="131577.47"/>
    <n v="0"/>
  </r>
  <r>
    <x v="3319"/>
    <s v="Peconic Bay Medical Center"/>
    <n v="2015"/>
    <n v="7"/>
    <s v="Medicare"/>
    <x v="2"/>
    <s v="Medicare"/>
    <n v="74097.66"/>
    <n v="55691.96"/>
    <n v="0"/>
  </r>
  <r>
    <x v="3320"/>
    <s v="Peconic Bay Medical Center"/>
    <n v="2015"/>
    <n v="7"/>
    <s v="Medicare"/>
    <x v="2"/>
    <s v="Medicare"/>
    <n v="73823.179999999993"/>
    <n v="54249.24"/>
    <n v="0"/>
  </r>
  <r>
    <x v="3321"/>
    <s v="Peconic Bay Medical Center"/>
    <n v="2015"/>
    <n v="7"/>
    <s v="Medicare"/>
    <x v="2"/>
    <s v="Medicare"/>
    <n v="126323.02"/>
    <n v="108197.8"/>
    <n v="0"/>
  </r>
  <r>
    <x v="3322"/>
    <s v="Peconic Bay Medical Center"/>
    <n v="2015"/>
    <n v="7"/>
    <s v="Medicare"/>
    <x v="2"/>
    <s v="Medicare"/>
    <n v="27154.22"/>
    <n v="8808.2999999999993"/>
    <n v="0"/>
  </r>
  <r>
    <x v="3323"/>
    <s v="Peconic Bay Medical Center"/>
    <n v="2015"/>
    <n v="7"/>
    <s v="Medicare"/>
    <x v="2"/>
    <s v="Medicare"/>
    <n v="25895.26"/>
    <n v="9619.11"/>
    <n v="0"/>
  </r>
  <r>
    <x v="3324"/>
    <s v="Peconic Bay Medical Center"/>
    <n v="2015"/>
    <n v="7"/>
    <s v="Medicare"/>
    <x v="2"/>
    <s v="Medicare"/>
    <n v="139856.5"/>
    <n v="121649.66"/>
    <n v="0"/>
  </r>
  <r>
    <x v="3325"/>
    <s v="Peconic Bay Medical Center"/>
    <n v="2015"/>
    <n v="7"/>
    <s v="Medicare"/>
    <x v="2"/>
    <s v="Medicare"/>
    <n v="64538.14"/>
    <n v="51713.74"/>
    <n v="0"/>
  </r>
  <r>
    <x v="3326"/>
    <s v="Peconic Bay Medical Center"/>
    <n v="2015"/>
    <n v="7"/>
    <s v="Medicare"/>
    <x v="2"/>
    <s v="Medicare"/>
    <n v="137091.9"/>
    <n v="83183.850000000006"/>
    <n v="0"/>
  </r>
  <r>
    <x v="3327"/>
    <s v="Peconic Bay Medical Center"/>
    <n v="2015"/>
    <n v="7"/>
    <s v="Medicare"/>
    <x v="2"/>
    <s v="Medicare"/>
    <n v="61480.38"/>
    <n v="44202.09"/>
    <n v="0"/>
  </r>
  <r>
    <x v="3328"/>
    <s v="Peconic Bay Medical Center"/>
    <n v="2015"/>
    <n v="7"/>
    <s v="Medicare"/>
    <x v="2"/>
    <s v="Medicare"/>
    <n v="58759.62"/>
    <n v="43933.67"/>
    <n v="0"/>
  </r>
  <r>
    <x v="3329"/>
    <s v="Peconic Bay Medical Center"/>
    <n v="2015"/>
    <n v="7"/>
    <s v="Medicare"/>
    <x v="2"/>
    <s v="Medicare"/>
    <n v="74810.98"/>
    <n v="53896.99"/>
    <n v="0"/>
  </r>
  <r>
    <x v="3330"/>
    <s v="Peconic Bay Medical Center"/>
    <n v="2015"/>
    <n v="7"/>
    <s v="Medicare"/>
    <x v="2"/>
    <s v="Medicare"/>
    <n v="141081.51999999999"/>
    <n v="125302.51"/>
    <n v="0"/>
  </r>
  <r>
    <x v="3331"/>
    <s v="Peconic Bay Medical Center"/>
    <n v="2015"/>
    <n v="7"/>
    <s v="Medicare"/>
    <x v="2"/>
    <s v="Medicare"/>
    <n v="70928.72"/>
    <n v="52423.08"/>
    <n v="0"/>
  </r>
  <r>
    <x v="3332"/>
    <s v="Peconic Bay Medical Center"/>
    <n v="2015"/>
    <n v="7"/>
    <s v="Medicare"/>
    <x v="2"/>
    <s v="Medicare"/>
    <n v="63754.52"/>
    <n v="46033.15"/>
    <n v="0"/>
  </r>
  <r>
    <x v="3333"/>
    <s v="Peconic Bay Medical Center"/>
    <n v="2015"/>
    <n v="7"/>
    <s v="Medicare"/>
    <x v="2"/>
    <s v="Medicare"/>
    <n v="65898.559999999998"/>
    <n v="48786.080000000002"/>
    <n v="0"/>
  </r>
  <r>
    <x v="3334"/>
    <s v="Peconic Bay Medical Center"/>
    <n v="2015"/>
    <n v="7"/>
    <s v="Medicare"/>
    <x v="2"/>
    <s v="Medicare"/>
    <n v="14672.8"/>
    <n v="4558.04"/>
    <n v="0"/>
  </r>
  <r>
    <x v="3335"/>
    <s v="Peconic Bay Medical Center"/>
    <n v="2015"/>
    <n v="7"/>
    <s v="Medicare"/>
    <x v="2"/>
    <s v="Medicare"/>
    <n v="38462.400000000001"/>
    <n v="11314.38"/>
    <n v="0"/>
  </r>
  <r>
    <x v="3336"/>
    <s v="Peconic Bay Medical Center"/>
    <n v="2015"/>
    <n v="7"/>
    <s v="Medicare"/>
    <x v="2"/>
    <s v="Medicare"/>
    <n v="63954.76"/>
    <n v="39547.99"/>
    <n v="0"/>
  </r>
  <r>
    <x v="3337"/>
    <s v="Peconic Bay Medical Center"/>
    <n v="2015"/>
    <n v="7"/>
    <s v="Medicare"/>
    <x v="2"/>
    <s v="Medicare"/>
    <n v="56969.93"/>
    <n v="24691.94"/>
    <n v="0"/>
  </r>
  <r>
    <x v="3338"/>
    <s v="Peconic Bay Medical Center"/>
    <n v="2015"/>
    <n v="7"/>
    <s v="Medicare"/>
    <x v="2"/>
    <s v="Medicare"/>
    <n v="73271.539999999994"/>
    <n v="55451.72"/>
    <n v="0"/>
  </r>
  <r>
    <x v="3339"/>
    <s v="Peconic Bay Medical Center"/>
    <n v="2015"/>
    <n v="7"/>
    <s v="Medicare"/>
    <x v="2"/>
    <s v="Medicare"/>
    <n v="66892.479999999996"/>
    <n v="49076.36"/>
    <n v="0"/>
  </r>
  <r>
    <x v="3340"/>
    <s v="Peconic Bay Medical Center"/>
    <n v="2015"/>
    <n v="7"/>
    <s v="Medicare"/>
    <x v="2"/>
    <s v="Medicare"/>
    <n v="73991.679999999993"/>
    <n v="55667.31"/>
    <n v="0"/>
  </r>
  <r>
    <x v="3341"/>
    <s v="Peconic Bay Medical Center"/>
    <n v="2015"/>
    <n v="7"/>
    <s v="Medicare"/>
    <x v="2"/>
    <s v="Medicare"/>
    <n v="53519.82"/>
    <n v="41787.800000000003"/>
    <n v="0"/>
  </r>
  <r>
    <x v="3342"/>
    <s v="Peconic Bay Medical Center"/>
    <n v="2015"/>
    <n v="7"/>
    <s v="Medicare"/>
    <x v="2"/>
    <s v="Medicare"/>
    <n v="33556.080000000002"/>
    <n v="14729.33"/>
    <n v="0"/>
  </r>
  <r>
    <x v="3343"/>
    <s v="Peconic Bay Medical Center"/>
    <n v="2015"/>
    <n v="7"/>
    <s v="Medicare"/>
    <x v="2"/>
    <s v="Medicare"/>
    <n v="74540.56"/>
    <n v="57232.37"/>
    <n v="0"/>
  </r>
  <r>
    <x v="3344"/>
    <s v="Peconic Bay Medical Center"/>
    <n v="2015"/>
    <n v="7"/>
    <s v="Medicare"/>
    <x v="2"/>
    <s v="Medicare"/>
    <n v="83218.28"/>
    <n v="37030.86"/>
    <n v="0"/>
  </r>
  <r>
    <x v="3345"/>
    <s v="Peconic Bay Medical Center"/>
    <n v="2015"/>
    <n v="7"/>
    <s v="Medicare"/>
    <x v="2"/>
    <s v="Medicare"/>
    <n v="71263.16"/>
    <n v="47598.22"/>
    <n v="0"/>
  </r>
  <r>
    <x v="3346"/>
    <s v="Peconic Bay Medical Center"/>
    <n v="2015"/>
    <n v="7"/>
    <s v="Medicare"/>
    <x v="2"/>
    <s v="Medicare"/>
    <n v="69843.259999999995"/>
    <n v="51157.55"/>
    <n v="0"/>
  </r>
  <r>
    <x v="3347"/>
    <s v="Peconic Bay Medical Center"/>
    <n v="2015"/>
    <n v="7"/>
    <s v="Medicare"/>
    <x v="2"/>
    <s v="Medicare"/>
    <n v="56054.26"/>
    <n v="36891.72"/>
    <n v="0"/>
  </r>
  <r>
    <x v="3348"/>
    <s v="Peconic Bay Medical Center"/>
    <n v="2015"/>
    <n v="7"/>
    <s v="Medicare"/>
    <x v="2"/>
    <s v="Medicare"/>
    <n v="67588.98"/>
    <n v="49196.95"/>
    <n v="0"/>
  </r>
  <r>
    <x v="3349"/>
    <s v="Peconic Bay Medical Center"/>
    <n v="2015"/>
    <n v="7"/>
    <s v="Medicare"/>
    <x v="2"/>
    <s v="Medicare"/>
    <n v="51786.76"/>
    <n v="22249.63"/>
    <n v="0"/>
  </r>
  <r>
    <x v="3350"/>
    <s v="Peconic Bay Medical Center"/>
    <n v="2015"/>
    <n v="7"/>
    <s v="Medicare"/>
    <x v="2"/>
    <s v="Medicare"/>
    <n v="77651.240000000005"/>
    <n v="59180.74"/>
    <n v="0"/>
  </r>
  <r>
    <x v="3351"/>
    <s v="Peconic Bay Medical Center"/>
    <n v="2015"/>
    <n v="7"/>
    <s v="Medicare"/>
    <x v="2"/>
    <s v="Medicare"/>
    <n v="73346.5"/>
    <n v="55399.519999999997"/>
    <n v="0"/>
  </r>
  <r>
    <x v="3352"/>
    <s v="Peconic Bay Medical Center"/>
    <n v="2015"/>
    <n v="7"/>
    <s v="Medicare"/>
    <x v="2"/>
    <s v="Medicare"/>
    <n v="33158.26"/>
    <n v="14487.08"/>
    <n v="0"/>
  </r>
  <r>
    <x v="3353"/>
    <s v="Peconic Bay Medical Center"/>
    <n v="2015"/>
    <n v="7"/>
    <s v="Medicare"/>
    <x v="2"/>
    <s v="Medicare"/>
    <n v="72533.440000000002"/>
    <n v="55705.89"/>
    <n v="0"/>
  </r>
  <r>
    <x v="3354"/>
    <s v="Peconic Bay Medical Center"/>
    <n v="2015"/>
    <n v="7"/>
    <s v="Medicare"/>
    <x v="2"/>
    <s v="Medicare"/>
    <n v="67084.02"/>
    <n v="48857.16"/>
    <n v="0"/>
  </r>
  <r>
    <x v="3355"/>
    <s v="Peconic Bay Medical Center"/>
    <n v="2015"/>
    <n v="7"/>
    <s v="Medicare"/>
    <x v="2"/>
    <s v="Medicare"/>
    <n v="75055.06"/>
    <n v="56537.38"/>
    <n v="0"/>
  </r>
  <r>
    <x v="3356"/>
    <s v="Peconic Bay Medical Center"/>
    <n v="2015"/>
    <n v="7"/>
    <s v="Medicare"/>
    <x v="2"/>
    <s v="Medicare"/>
    <n v="65890.48"/>
    <n v="29056.21"/>
    <n v="0"/>
  </r>
  <r>
    <x v="3357"/>
    <s v="Peconic Bay Medical Center"/>
    <n v="2015"/>
    <n v="7"/>
    <s v="Medicare"/>
    <x v="2"/>
    <s v="Medicare"/>
    <n v="49966.89"/>
    <n v="37626.28"/>
    <n v="0"/>
  </r>
  <r>
    <x v="3358"/>
    <s v="Peconic Bay Medical Center"/>
    <n v="2015"/>
    <n v="7"/>
    <s v="Medicare"/>
    <x v="2"/>
    <s v="Medicare"/>
    <n v="62814.18"/>
    <n v="45772.04"/>
    <n v="0"/>
  </r>
  <r>
    <x v="3359"/>
    <s v="Peconic Bay Medical Center"/>
    <n v="2015"/>
    <n v="7"/>
    <s v="Medicare"/>
    <x v="2"/>
    <s v="Medicare"/>
    <n v="73724.14"/>
    <n v="55602.25"/>
    <n v="0"/>
  </r>
  <r>
    <x v="3360"/>
    <s v="Peconic Bay Medical Center"/>
    <n v="2015"/>
    <n v="7"/>
    <s v="Medicare"/>
    <x v="2"/>
    <s v="Medicare"/>
    <n v="70967.520000000004"/>
    <n v="52510.18"/>
    <n v="0"/>
  </r>
  <r>
    <x v="3361"/>
    <s v="Peconic Bay Medical Center"/>
    <n v="2015"/>
    <n v="7"/>
    <s v="Medicare"/>
    <x v="2"/>
    <s v="Medicare"/>
    <n v="70020.5"/>
    <n v="52203.19"/>
    <n v="0"/>
  </r>
  <r>
    <x v="3362"/>
    <s v="Peconic Bay Medical Center"/>
    <n v="2015"/>
    <n v="7"/>
    <s v="Medicare"/>
    <x v="2"/>
    <s v="Medicare"/>
    <n v="80541.62"/>
    <n v="51936.03"/>
    <n v="0"/>
  </r>
  <r>
    <x v="3363"/>
    <s v="Peconic Bay Medical Center"/>
    <n v="2015"/>
    <n v="7"/>
    <s v="Medicare"/>
    <x v="2"/>
    <s v="Medicare"/>
    <n v="62907.1"/>
    <n v="44742.75"/>
    <n v="0"/>
  </r>
  <r>
    <x v="3364"/>
    <s v="Peconic Bay Medical Center"/>
    <n v="2015"/>
    <n v="7"/>
    <s v="Medicare"/>
    <x v="2"/>
    <s v="Medicare"/>
    <n v="64657.22"/>
    <n v="47262.69"/>
    <n v="0"/>
  </r>
  <r>
    <x v="3365"/>
    <s v="Peconic Bay Medical Center"/>
    <n v="2015"/>
    <n v="7"/>
    <s v="Medicare"/>
    <x v="2"/>
    <s v="Medicare"/>
    <n v="73606.36"/>
    <n v="55651.95"/>
    <n v="0"/>
  </r>
  <r>
    <x v="3366"/>
    <s v="Peconic Bay Medical Center"/>
    <n v="2015"/>
    <n v="7"/>
    <s v="Medicare"/>
    <x v="2"/>
    <s v="Medicare"/>
    <n v="32263.94"/>
    <n v="12589.18"/>
    <n v="0"/>
  </r>
  <r>
    <x v="3367"/>
    <s v="Peconic Bay Medical Center"/>
    <n v="2015"/>
    <n v="7"/>
    <s v="Medicare"/>
    <x v="2"/>
    <s v="Medicare"/>
    <n v="49571.08"/>
    <n v="45128.09"/>
    <n v="0"/>
  </r>
  <r>
    <x v="3368"/>
    <s v="Peconic Bay Medical Center"/>
    <n v="2015"/>
    <n v="7"/>
    <s v="Medicare"/>
    <x v="2"/>
    <s v="Medicare"/>
    <n v="58033.78"/>
    <n v="32621.46"/>
    <n v="0"/>
  </r>
  <r>
    <x v="3369"/>
    <s v="Peconic Bay Medical Center"/>
    <n v="2015"/>
    <n v="7"/>
    <s v="Medicare"/>
    <x v="2"/>
    <s v="Medicare"/>
    <n v="63928.72"/>
    <n v="46390.52"/>
    <n v="0"/>
  </r>
  <r>
    <x v="3370"/>
    <s v="Peconic Bay Medical Center"/>
    <n v="2015"/>
    <n v="7"/>
    <s v="Medicare"/>
    <x v="2"/>
    <s v="Medicare"/>
    <n v="41726.67"/>
    <n v="30694.98"/>
    <n v="0"/>
  </r>
  <r>
    <x v="3371"/>
    <s v="Peconic Bay Medical Center"/>
    <n v="2015"/>
    <n v="7"/>
    <s v="Medicare"/>
    <x v="2"/>
    <s v="Medicare"/>
    <n v="40737.300000000003"/>
    <n v="29341.61"/>
    <n v="0"/>
  </r>
  <r>
    <x v="3372"/>
    <s v="Peconic Bay Medical Center"/>
    <n v="2015"/>
    <n v="7"/>
    <s v="Medicare"/>
    <x v="2"/>
    <s v="Medicare"/>
    <n v="67813.58"/>
    <n v="49327.44"/>
    <n v="0"/>
  </r>
  <r>
    <x v="3373"/>
    <s v="Peconic Bay Medical Center"/>
    <n v="2015"/>
    <n v="7"/>
    <s v="Medicare"/>
    <x v="2"/>
    <s v="Medicare"/>
    <n v="126314.43"/>
    <n v="110996.22"/>
    <n v="0"/>
  </r>
  <r>
    <x v="3374"/>
    <s v="Peconic Bay Medical Center"/>
    <n v="2015"/>
    <n v="7"/>
    <s v="Medicare"/>
    <x v="2"/>
    <s v="Medicare"/>
    <n v="69351.5"/>
    <n v="49650.27"/>
    <n v="0"/>
  </r>
  <r>
    <x v="3375"/>
    <s v="Peconic Bay Medical Center"/>
    <n v="2015"/>
    <n v="7"/>
    <s v="Medicare"/>
    <x v="2"/>
    <s v="Medicare"/>
    <n v="54958.28"/>
    <n v="21503.02"/>
    <n v="0"/>
  </r>
  <r>
    <x v="3376"/>
    <s v="Peconic Bay Medical Center"/>
    <n v="2015"/>
    <n v="7"/>
    <s v="Medicare"/>
    <x v="2"/>
    <s v="Medicare"/>
    <n v="205062.08"/>
    <n v="93105.54"/>
    <n v="0"/>
  </r>
  <r>
    <x v="3377"/>
    <s v="Peconic Bay Medical Center"/>
    <n v="2015"/>
    <n v="7"/>
    <s v="Medicare"/>
    <x v="2"/>
    <s v="Medicare"/>
    <n v="48148.14"/>
    <n v="12575.99"/>
    <n v="0"/>
  </r>
  <r>
    <x v="3378"/>
    <s v="Peconic Bay Medical Center"/>
    <n v="2015"/>
    <n v="7"/>
    <s v="Medicare"/>
    <x v="2"/>
    <s v="Medicare"/>
    <n v="21864.22"/>
    <n v="7661.55"/>
    <n v="0"/>
  </r>
  <r>
    <x v="3379"/>
    <s v="Peconic Bay Medical Center"/>
    <n v="2015"/>
    <n v="7"/>
    <s v="Medicare"/>
    <x v="2"/>
    <s v="Medicare"/>
    <n v="35414.589999999997"/>
    <n v="16075.16"/>
    <n v="0"/>
  </r>
  <r>
    <x v="3380"/>
    <s v="Peconic Bay Medical Center"/>
    <n v="2015"/>
    <n v="7"/>
    <s v="Medicare"/>
    <x v="2"/>
    <s v="Medicare"/>
    <n v="27544.58"/>
    <n v="8088.07"/>
    <n v="0"/>
  </r>
  <r>
    <x v="3381"/>
    <s v="Peconic Bay Medical Center"/>
    <n v="2015"/>
    <n v="7"/>
    <s v="Medicare"/>
    <x v="2"/>
    <s v="Medicare"/>
    <n v="66509.919999999998"/>
    <n v="49023.46"/>
    <n v="0"/>
  </r>
  <r>
    <x v="3382"/>
    <s v="Peconic Bay Medical Center"/>
    <n v="2015"/>
    <n v="7"/>
    <s v="Medicare"/>
    <x v="2"/>
    <s v="Medicare"/>
    <n v="153390.32"/>
    <n v="58359.17"/>
    <n v="0"/>
  </r>
  <r>
    <x v="3383"/>
    <s v="Peconic Bay Medical Center"/>
    <n v="2015"/>
    <n v="7"/>
    <s v="Medicare"/>
    <x v="2"/>
    <s v="Medicare"/>
    <n v="27796.94"/>
    <n v="6126.43"/>
    <n v="0"/>
  </r>
  <r>
    <x v="3384"/>
    <s v="Peconic Bay Medical Center"/>
    <n v="2015"/>
    <n v="7"/>
    <s v="Medicare"/>
    <x v="2"/>
    <s v="Medicare"/>
    <n v="65305.48"/>
    <n v="46855"/>
    <n v="0"/>
  </r>
  <r>
    <x v="3385"/>
    <s v="Peconic Bay Medical Center"/>
    <n v="2015"/>
    <n v="7"/>
    <s v="Medicare"/>
    <x v="2"/>
    <s v="Medicare"/>
    <n v="22951.22"/>
    <n v="6659.45"/>
    <n v="0"/>
  </r>
  <r>
    <x v="3386"/>
    <s v="Peconic Bay Medical Center"/>
    <n v="2015"/>
    <n v="7"/>
    <s v="Medicare"/>
    <x v="2"/>
    <s v="Medicare"/>
    <n v="64791.38"/>
    <n v="46721.73"/>
    <n v="0"/>
  </r>
  <r>
    <x v="3387"/>
    <s v="Peconic Bay Medical Center"/>
    <n v="2015"/>
    <n v="7"/>
    <s v="Medicare"/>
    <x v="2"/>
    <s v="Medicare"/>
    <n v="23701.42"/>
    <n v="6751.18"/>
    <n v="0"/>
  </r>
  <r>
    <x v="3388"/>
    <s v="Peconic Bay Medical Center"/>
    <n v="2015"/>
    <n v="7"/>
    <s v="Medicare"/>
    <x v="2"/>
    <s v="Medicare"/>
    <n v="71738.44"/>
    <n v="48787.02"/>
    <n v="0"/>
  </r>
  <r>
    <x v="3389"/>
    <s v="Peconic Bay Medical Center"/>
    <n v="2015"/>
    <n v="7"/>
    <s v="Medicare"/>
    <x v="2"/>
    <s v="Medicare"/>
    <n v="30373.81"/>
    <n v="13529.29"/>
    <n v="0"/>
  </r>
  <r>
    <x v="3390"/>
    <s v="Peconic Bay Medical Center"/>
    <n v="2015"/>
    <n v="7"/>
    <s v="Medicare"/>
    <x v="2"/>
    <s v="Medicare"/>
    <n v="33476.800000000003"/>
    <n v="9408.51"/>
    <n v="0"/>
  </r>
  <r>
    <x v="3391"/>
    <s v="Peconic Bay Medical Center"/>
    <n v="2015"/>
    <n v="7"/>
    <s v="Medicare"/>
    <x v="2"/>
    <s v="Medicare"/>
    <n v="52545.22"/>
    <n v="35826.28"/>
    <n v="0"/>
  </r>
  <r>
    <x v="3392"/>
    <s v="Peconic Bay Medical Center"/>
    <n v="2015"/>
    <n v="7"/>
    <s v="Medicare"/>
    <x v="2"/>
    <s v="Medicare"/>
    <n v="72020.100000000006"/>
    <n v="53003.81"/>
    <n v="0"/>
  </r>
  <r>
    <x v="3393"/>
    <s v="Peconic Bay Medical Center"/>
    <n v="2015"/>
    <n v="7"/>
    <s v="Medicare"/>
    <x v="2"/>
    <s v="Medicare"/>
    <n v="67185.7"/>
    <n v="46701.35"/>
    <n v="0"/>
  </r>
  <r>
    <x v="3394"/>
    <s v="Peconic Bay Medical Center"/>
    <n v="2015"/>
    <n v="7"/>
    <s v="Medicare"/>
    <x v="2"/>
    <s v="Medicare"/>
    <n v="14870.96"/>
    <n v="4044.02"/>
    <n v="0"/>
  </r>
  <r>
    <x v="3395"/>
    <s v="Peconic Bay Medical Center"/>
    <n v="2015"/>
    <n v="7"/>
    <s v="Medicare"/>
    <x v="2"/>
    <s v="Medicare"/>
    <n v="65928.92"/>
    <n v="46970.81"/>
    <n v="0"/>
  </r>
  <r>
    <x v="3396"/>
    <s v="Peconic Bay Medical Center"/>
    <n v="2015"/>
    <n v="7"/>
    <s v="Medicare"/>
    <x v="2"/>
    <s v="Medicare"/>
    <n v="148165.07999999999"/>
    <n v="47827.12"/>
    <n v="0"/>
  </r>
  <r>
    <x v="3397"/>
    <s v="Peconic Bay Medical Center"/>
    <n v="2015"/>
    <n v="7"/>
    <s v="Medicare"/>
    <x v="2"/>
    <s v="Medicare"/>
    <n v="63949.26"/>
    <n v="46517.85"/>
    <n v="0"/>
  </r>
  <r>
    <x v="3398"/>
    <s v="Peconic Bay Medical Center"/>
    <n v="2015"/>
    <n v="7"/>
    <s v="Medicare"/>
    <x v="2"/>
    <s v="Medicare"/>
    <n v="25136.38"/>
    <n v="6525.87"/>
    <n v="0"/>
  </r>
  <r>
    <x v="3399"/>
    <s v="Peconic Bay Medical Center"/>
    <n v="2015"/>
    <n v="7"/>
    <s v="Medicare"/>
    <x v="2"/>
    <s v="Medicare"/>
    <n v="116893.42"/>
    <n v="60182.35"/>
    <n v="0"/>
  </r>
  <r>
    <x v="3400"/>
    <s v="Peconic Bay Medical Center"/>
    <n v="2015"/>
    <n v="7"/>
    <s v="Medicare"/>
    <x v="2"/>
    <s v="Medicare"/>
    <n v="71559.740000000005"/>
    <n v="52622.81"/>
    <n v="0"/>
  </r>
  <r>
    <x v="3401"/>
    <s v="Peconic Bay Medical Center"/>
    <n v="2015"/>
    <n v="7"/>
    <s v="Medicare"/>
    <x v="2"/>
    <s v="Medicare"/>
    <n v="24807.08"/>
    <n v="6940.79"/>
    <n v="0"/>
  </r>
  <r>
    <x v="3402"/>
    <s v="Peconic Bay Medical Center"/>
    <n v="2015"/>
    <n v="7"/>
    <s v="Medicare"/>
    <x v="2"/>
    <s v="Medicare"/>
    <n v="73115.8"/>
    <n v="48487.56"/>
    <n v="0"/>
  </r>
  <r>
    <x v="3403"/>
    <s v="Peconic Bay Medical Center"/>
    <n v="2015"/>
    <n v="7"/>
    <s v="Medicare"/>
    <x v="2"/>
    <s v="Medicare"/>
    <n v="72794.02"/>
    <n v="49612.63"/>
    <n v="0"/>
  </r>
  <r>
    <x v="3404"/>
    <s v="Peconic Bay Medical Center"/>
    <n v="2015"/>
    <n v="7"/>
    <s v="Medicare"/>
    <x v="2"/>
    <s v="Medicare"/>
    <n v="162511.12"/>
    <n v="74188.539999999994"/>
    <n v="0"/>
  </r>
  <r>
    <x v="3405"/>
    <s v="Peconic Bay Medical Center"/>
    <n v="2015"/>
    <n v="7"/>
    <s v="Medicare"/>
    <x v="2"/>
    <s v="Medicare"/>
    <n v="18893.7"/>
    <n v="4651.37"/>
    <n v="0"/>
  </r>
  <r>
    <x v="3406"/>
    <s v="Peconic Bay Medical Center"/>
    <n v="2015"/>
    <n v="7"/>
    <s v="Medicare"/>
    <x v="2"/>
    <s v="Medicare"/>
    <n v="122575.22"/>
    <n v="66539.69"/>
    <n v="0"/>
  </r>
  <r>
    <x v="3407"/>
    <s v="Peconic Bay Medical Center"/>
    <n v="2015"/>
    <n v="7"/>
    <s v="Medicare"/>
    <x v="2"/>
    <s v="Medicare"/>
    <n v="44630.28"/>
    <n v="16737.919999999998"/>
    <n v="0"/>
  </r>
  <r>
    <x v="3408"/>
    <s v="Peconic Bay Medical Center"/>
    <n v="2015"/>
    <n v="7"/>
    <s v="Medicare"/>
    <x v="2"/>
    <s v="Medicare"/>
    <n v="53312.84"/>
    <n v="16020.65"/>
    <n v="0"/>
  </r>
  <r>
    <x v="3409"/>
    <s v="Peconic Bay Medical Center"/>
    <n v="2015"/>
    <n v="7"/>
    <s v="Medicare"/>
    <x v="2"/>
    <s v="Medicare"/>
    <n v="25085.439999999999"/>
    <n v="7176.91"/>
    <n v="0"/>
  </r>
  <r>
    <x v="3410"/>
    <s v="Peconic Bay Medical Center"/>
    <n v="2015"/>
    <n v="7"/>
    <s v="Medicare"/>
    <x v="2"/>
    <s v="Medicare"/>
    <n v="17958.580000000002"/>
    <n v="9097.64"/>
    <n v="0"/>
  </r>
  <r>
    <x v="3411"/>
    <s v="Peconic Bay Medical Center"/>
    <n v="2015"/>
    <n v="7"/>
    <s v="Medicare"/>
    <x v="2"/>
    <s v="Medicare"/>
    <n v="68218.95"/>
    <n v="47810.53"/>
    <n v="0"/>
  </r>
  <r>
    <x v="3412"/>
    <s v="Peconic Bay Medical Center"/>
    <n v="2015"/>
    <n v="7"/>
    <s v="Medicare"/>
    <x v="2"/>
    <s v="Medicare"/>
    <n v="67929.62"/>
    <n v="19175.419999999998"/>
    <n v="0"/>
  </r>
  <r>
    <x v="3413"/>
    <s v="Peconic Bay Medical Center"/>
    <n v="2015"/>
    <n v="7"/>
    <s v="Medicare"/>
    <x v="2"/>
    <s v="Medicare"/>
    <n v="69428.710000000006"/>
    <n v="48593.41"/>
    <n v="0"/>
  </r>
  <r>
    <x v="3414"/>
    <s v="Peconic Bay Medical Center"/>
    <n v="2015"/>
    <n v="7"/>
    <s v="Medicare"/>
    <x v="2"/>
    <s v="Medicare"/>
    <n v="71112.479999999996"/>
    <n v="51013.29"/>
    <n v="0"/>
  </r>
  <r>
    <x v="3415"/>
    <s v="Peconic Bay Medical Center"/>
    <n v="2015"/>
    <n v="7"/>
    <s v="Medicare"/>
    <x v="2"/>
    <s v="Medicare"/>
    <n v="81801.14"/>
    <n v="26249.67"/>
    <n v="0"/>
  </r>
  <r>
    <x v="3416"/>
    <s v="Peconic Bay Medical Center"/>
    <n v="2015"/>
    <n v="7"/>
    <s v="Medicare"/>
    <x v="2"/>
    <s v="Medicare"/>
    <n v="43236.800000000003"/>
    <n v="18309.349999999999"/>
    <n v="0"/>
  </r>
  <r>
    <x v="3417"/>
    <s v="Peconic Bay Medical Center"/>
    <n v="2015"/>
    <n v="7"/>
    <s v="Medicare"/>
    <x v="2"/>
    <s v="Medicare"/>
    <n v="68614.259999999995"/>
    <n v="21345.79"/>
    <n v="0"/>
  </r>
  <r>
    <x v="3418"/>
    <s v="Peconic Bay Medical Center"/>
    <n v="2015"/>
    <n v="7"/>
    <s v="Medicare"/>
    <x v="2"/>
    <s v="Medicare"/>
    <n v="47707.040000000001"/>
    <n v="14826.61"/>
    <n v="0"/>
  </r>
  <r>
    <x v="3419"/>
    <s v="Peconic Bay Medical Center"/>
    <n v="2015"/>
    <n v="7"/>
    <s v="Medicare"/>
    <x v="2"/>
    <s v="Medicare"/>
    <n v="65668.62"/>
    <n v="46604.18"/>
    <n v="0"/>
  </r>
  <r>
    <x v="3420"/>
    <s v="Peconic Bay Medical Center"/>
    <n v="2015"/>
    <n v="7"/>
    <s v="Medicare"/>
    <x v="2"/>
    <s v="Medicare"/>
    <n v="73608.179999999993"/>
    <n v="21522.26"/>
    <n v="0"/>
  </r>
  <r>
    <x v="3421"/>
    <s v="Peconic Bay Medical Center"/>
    <n v="2015"/>
    <n v="7"/>
    <s v="Medicare"/>
    <x v="2"/>
    <s v="Medicare"/>
    <n v="67568.61"/>
    <n v="49489.34"/>
    <n v="0"/>
  </r>
  <r>
    <x v="3422"/>
    <s v="Peconic Bay Medical Center"/>
    <n v="2015"/>
    <n v="7"/>
    <s v="Medicare"/>
    <x v="2"/>
    <s v="Medicare"/>
    <n v="65154.92"/>
    <n v="19811.419999999998"/>
    <n v="0"/>
  </r>
  <r>
    <x v="3423"/>
    <s v="Peconic Bay Medical Center"/>
    <n v="2015"/>
    <n v="7"/>
    <s v="Medicare"/>
    <x v="2"/>
    <s v="Medicare"/>
    <n v="73958.94"/>
    <n v="56179.66"/>
    <n v="0"/>
  </r>
  <r>
    <x v="3424"/>
    <s v="Peconic Bay Medical Center"/>
    <n v="2015"/>
    <n v="7"/>
    <s v="Medicare"/>
    <x v="2"/>
    <s v="Medicare"/>
    <n v="97327.74"/>
    <n v="52430.26"/>
    <n v="0"/>
  </r>
  <r>
    <x v="3425"/>
    <s v="Peconic Bay Medical Center"/>
    <n v="2015"/>
    <n v="7"/>
    <s v="Medicare"/>
    <x v="2"/>
    <s v="Medicare"/>
    <n v="64252.29"/>
    <n v="46368.25"/>
    <n v="0"/>
  </r>
  <r>
    <x v="3426"/>
    <s v="Peconic Bay Medical Center"/>
    <n v="2015"/>
    <n v="7"/>
    <s v="Medicare"/>
    <x v="2"/>
    <s v="Medicare"/>
    <n v="45811.12"/>
    <n v="14912.43"/>
    <n v="0"/>
  </r>
  <r>
    <x v="3427"/>
    <s v="Peconic Bay Medical Center"/>
    <n v="2015"/>
    <n v="7"/>
    <s v="Medicare"/>
    <x v="2"/>
    <s v="Medicare"/>
    <n v="67104.460000000006"/>
    <n v="53442.27"/>
    <n v="0"/>
  </r>
  <r>
    <x v="3428"/>
    <s v="Peconic Bay Medical Center"/>
    <n v="2015"/>
    <n v="7"/>
    <s v="Medicare"/>
    <x v="2"/>
    <s v="Medicare"/>
    <n v="44720.78"/>
    <n v="13082.71"/>
    <n v="0"/>
  </r>
  <r>
    <x v="3429"/>
    <s v="Peconic Bay Medical Center"/>
    <n v="2015"/>
    <n v="7"/>
    <s v="Medicare"/>
    <x v="2"/>
    <s v="Medicare"/>
    <n v="30504.16"/>
    <n v="9135.35"/>
    <n v="0"/>
  </r>
  <r>
    <x v="3430"/>
    <s v="Peconic Bay Medical Center"/>
    <n v="2015"/>
    <n v="7"/>
    <s v="Medicare"/>
    <x v="2"/>
    <s v="Medicare"/>
    <n v="19186.740000000002"/>
    <n v="5952.47"/>
    <n v="0"/>
  </r>
  <r>
    <x v="3431"/>
    <s v="Peconic Bay Medical Center"/>
    <n v="2015"/>
    <n v="7"/>
    <s v="Medicare"/>
    <x v="2"/>
    <s v="Medicare"/>
    <n v="42340.36"/>
    <n v="13404.18"/>
    <n v="0"/>
  </r>
  <r>
    <x v="3432"/>
    <s v="Peconic Bay Medical Center"/>
    <n v="2015"/>
    <n v="7"/>
    <s v="Medicare"/>
    <x v="2"/>
    <s v="Medicare"/>
    <n v="23619.48"/>
    <n v="6522.48"/>
    <n v="0"/>
  </r>
  <r>
    <x v="3433"/>
    <s v="Peconic Bay Medical Center"/>
    <n v="2015"/>
    <n v="7"/>
    <s v="Medicare"/>
    <x v="2"/>
    <s v="Medicare"/>
    <n v="10041.9"/>
    <n v="2230.64"/>
    <n v="0"/>
  </r>
  <r>
    <x v="3434"/>
    <s v="Peconic Bay Medical Center"/>
    <n v="2015"/>
    <n v="7"/>
    <s v="Medicare"/>
    <x v="2"/>
    <s v="Medicare"/>
    <n v="78992.78"/>
    <n v="59329.47"/>
    <n v="0"/>
  </r>
  <r>
    <x v="3435"/>
    <s v="Peconic Bay Medical Center"/>
    <n v="2015"/>
    <n v="7"/>
    <s v="Medicare"/>
    <x v="2"/>
    <s v="Medicare"/>
    <n v="88876.479999999996"/>
    <n v="33490.42"/>
    <n v="0"/>
  </r>
  <r>
    <x v="3436"/>
    <s v="Peconic Bay Medical Center"/>
    <n v="2015"/>
    <n v="7"/>
    <s v="Medicare"/>
    <x v="2"/>
    <s v="Medicare"/>
    <n v="76992.679999999993"/>
    <n v="40539.07"/>
    <n v="0"/>
  </r>
  <r>
    <x v="3437"/>
    <s v="Peconic Bay Medical Center"/>
    <n v="2015"/>
    <n v="7"/>
    <s v="Medicare"/>
    <x v="2"/>
    <s v="Medicare"/>
    <n v="76700.58"/>
    <n v="57727.54"/>
    <n v="0"/>
  </r>
  <r>
    <x v="3438"/>
    <s v="Peconic Bay Medical Center"/>
    <n v="2015"/>
    <n v="7"/>
    <s v="Medicare"/>
    <x v="2"/>
    <s v="Medicare"/>
    <n v="89641.3"/>
    <n v="25804.5"/>
    <n v="0"/>
  </r>
  <r>
    <x v="3439"/>
    <s v="Peconic Bay Medical Center"/>
    <n v="2015"/>
    <n v="7"/>
    <s v="Medicare"/>
    <x v="2"/>
    <s v="Medicare"/>
    <n v="31790.240000000002"/>
    <n v="13866.11"/>
    <n v="0"/>
  </r>
  <r>
    <x v="3440"/>
    <s v="Peconic Bay Medical Center"/>
    <n v="2015"/>
    <n v="7"/>
    <s v="Medicare"/>
    <x v="2"/>
    <s v="Medicare"/>
    <n v="71834.600000000006"/>
    <n v="57189.04"/>
    <n v="0"/>
  </r>
  <r>
    <x v="3441"/>
    <s v="Peconic Bay Medical Center"/>
    <n v="2015"/>
    <n v="7"/>
    <s v="Medicare"/>
    <x v="2"/>
    <s v="Medicare"/>
    <n v="102308.24"/>
    <n v="66159.95"/>
    <n v="0"/>
  </r>
  <r>
    <x v="3442"/>
    <s v="Peconic Bay Medical Center"/>
    <n v="2015"/>
    <n v="7"/>
    <s v="Medicare"/>
    <x v="2"/>
    <s v="Medicare"/>
    <n v="73098.3"/>
    <n v="21366.080000000002"/>
    <n v="0"/>
  </r>
  <r>
    <x v="3443"/>
    <s v="Peconic Bay Medical Center"/>
    <n v="2015"/>
    <n v="7"/>
    <s v="Medicare"/>
    <x v="2"/>
    <s v="Medicare"/>
    <n v="70669.72"/>
    <n v="53550.8"/>
    <n v="0"/>
  </r>
  <r>
    <x v="3444"/>
    <s v="Peconic Bay Medical Center"/>
    <n v="2015"/>
    <n v="7"/>
    <s v="Medicare"/>
    <x v="2"/>
    <s v="Medicare"/>
    <n v="60135.040000000001"/>
    <n v="17916.91"/>
    <n v="0"/>
  </r>
  <r>
    <x v="3445"/>
    <s v="Peconic Bay Medical Center"/>
    <n v="2015"/>
    <n v="7"/>
    <s v="Medicare"/>
    <x v="2"/>
    <s v="Medicare"/>
    <n v="77571.759999999995"/>
    <n v="59203.68"/>
    <n v="0"/>
  </r>
  <r>
    <x v="3446"/>
    <s v="Peconic Bay Medical Center"/>
    <n v="2015"/>
    <n v="7"/>
    <s v="Medicare"/>
    <x v="2"/>
    <s v="Medicare"/>
    <n v="21508.080000000002"/>
    <n v="6892.39"/>
    <n v="0"/>
  </r>
  <r>
    <x v="3447"/>
    <s v="Peconic Bay Medical Center"/>
    <n v="2015"/>
    <n v="7"/>
    <s v="Medicare"/>
    <x v="2"/>
    <s v="Medicare"/>
    <n v="19462.14"/>
    <n v="4716.72"/>
    <n v="0"/>
  </r>
  <r>
    <x v="3448"/>
    <s v="Peconic Bay Medical Center"/>
    <n v="2015"/>
    <n v="7"/>
    <s v="Medicare"/>
    <x v="2"/>
    <s v="Medicare"/>
    <n v="17060.34"/>
    <n v="4010.36"/>
    <n v="0"/>
  </r>
  <r>
    <x v="3449"/>
    <s v="Peconic Bay Medical Center"/>
    <n v="2015"/>
    <n v="7"/>
    <s v="Medicare"/>
    <x v="2"/>
    <s v="Medicare"/>
    <n v="49472.76"/>
    <n v="13050.93"/>
    <n v="0"/>
  </r>
  <r>
    <x v="3450"/>
    <s v="Peconic Bay Medical Center"/>
    <n v="2015"/>
    <n v="7"/>
    <s v="Medicare"/>
    <x v="2"/>
    <s v="Medicare"/>
    <n v="78407.100000000006"/>
    <n v="52276.41"/>
    <n v="0"/>
  </r>
  <r>
    <x v="3451"/>
    <s v="Peconic Bay Medical Center"/>
    <n v="2015"/>
    <n v="7"/>
    <s v="Medicare"/>
    <x v="2"/>
    <s v="Medicare"/>
    <n v="61784.74"/>
    <n v="18038.400000000001"/>
    <n v="0"/>
  </r>
  <r>
    <x v="3452"/>
    <s v="Peconic Bay Medical Center"/>
    <n v="2015"/>
    <n v="7"/>
    <s v="Medicare"/>
    <x v="2"/>
    <s v="Medicare"/>
    <n v="62262.86"/>
    <n v="43884.47"/>
    <n v="0"/>
  </r>
  <r>
    <x v="3453"/>
    <s v="Peconic Bay Medical Center"/>
    <n v="2015"/>
    <n v="7"/>
    <s v="Medicare"/>
    <x v="2"/>
    <s v="Medicare"/>
    <n v="61020.4"/>
    <n v="18229.95"/>
    <n v="0"/>
  </r>
  <r>
    <x v="3454"/>
    <s v="Peconic Bay Medical Center"/>
    <n v="2015"/>
    <n v="7"/>
    <s v="Medicare"/>
    <x v="2"/>
    <s v="Medicare"/>
    <n v="70142.899999999994"/>
    <n v="54169.39"/>
    <n v="0"/>
  </r>
  <r>
    <x v="3455"/>
    <s v="Peconic Bay Medical Center"/>
    <n v="2015"/>
    <n v="7"/>
    <s v="Medicare"/>
    <x v="2"/>
    <s v="Medicare"/>
    <n v="29036.18"/>
    <n v="9079.26"/>
    <n v="0"/>
  </r>
  <r>
    <x v="3456"/>
    <s v="Peconic Bay Medical Center"/>
    <n v="2015"/>
    <n v="7"/>
    <s v="Medicare"/>
    <x v="2"/>
    <s v="Medicare"/>
    <n v="66987.8"/>
    <n v="47012.61"/>
    <n v="0"/>
  </r>
  <r>
    <x v="3457"/>
    <s v="Peconic Bay Medical Center"/>
    <n v="2015"/>
    <n v="7"/>
    <s v="Medicare"/>
    <x v="2"/>
    <s v="Medicare"/>
    <n v="77157.919999999998"/>
    <n v="59084.26"/>
    <n v="0"/>
  </r>
  <r>
    <x v="3458"/>
    <s v="Peconic Bay Medical Center"/>
    <n v="2015"/>
    <n v="7"/>
    <s v="Medicare"/>
    <x v="2"/>
    <s v="Medicare"/>
    <n v="79545.38"/>
    <n v="62073"/>
    <n v="0"/>
  </r>
  <r>
    <x v="3459"/>
    <s v="Peconic Bay Medical Center"/>
    <n v="2015"/>
    <n v="7"/>
    <s v="Medicare"/>
    <x v="2"/>
    <s v="Medicare"/>
    <n v="19175.64"/>
    <n v="5689.54"/>
    <n v="0"/>
  </r>
  <r>
    <x v="3460"/>
    <s v="Peconic Bay Medical Center"/>
    <n v="2015"/>
    <n v="7"/>
    <s v="Medicare"/>
    <x v="2"/>
    <s v="Medicare"/>
    <n v="72390.47"/>
    <n v="53689.73"/>
    <n v="0"/>
  </r>
  <r>
    <x v="3461"/>
    <s v="Peconic Bay Medical Center"/>
    <n v="2015"/>
    <n v="7"/>
    <s v="Medicare"/>
    <x v="2"/>
    <s v="Medicare"/>
    <n v="58918.52"/>
    <n v="17399.689999999999"/>
    <n v="0"/>
  </r>
  <r>
    <x v="3462"/>
    <s v="Peconic Bay Medical Center"/>
    <n v="2015"/>
    <n v="7"/>
    <s v="Medicare"/>
    <x v="2"/>
    <s v="Medicare"/>
    <n v="39145.78"/>
    <n v="28481.71"/>
    <n v="0"/>
  </r>
  <r>
    <x v="3463"/>
    <s v="Peconic Bay Medical Center"/>
    <n v="2015"/>
    <n v="7"/>
    <s v="Medicare"/>
    <x v="2"/>
    <s v="Medicare"/>
    <n v="25227.42"/>
    <n v="6350.14"/>
    <n v="0"/>
  </r>
  <r>
    <x v="3464"/>
    <s v="Peconic Bay Medical Center"/>
    <n v="2015"/>
    <n v="7"/>
    <s v="Medicare"/>
    <x v="2"/>
    <s v="Medicare"/>
    <n v="100096.48"/>
    <n v="53528.26"/>
    <n v="0"/>
  </r>
  <r>
    <x v="3465"/>
    <s v="Peconic Bay Medical Center"/>
    <n v="2015"/>
    <n v="7"/>
    <s v="Medicare"/>
    <x v="2"/>
    <s v="Medicare"/>
    <n v="16595.599999999999"/>
    <n v="8763.1200000000008"/>
    <n v="0"/>
  </r>
  <r>
    <x v="3466"/>
    <s v="Peconic Bay Medical Center"/>
    <n v="2015"/>
    <n v="7"/>
    <s v="Medicare"/>
    <x v="2"/>
    <s v="Medicare"/>
    <n v="31551.1"/>
    <n v="10051.299999999999"/>
    <n v="0"/>
  </r>
  <r>
    <x v="3467"/>
    <s v="Peconic Bay Medical Center"/>
    <n v="2015"/>
    <n v="7"/>
    <s v="Medicare"/>
    <x v="2"/>
    <s v="Medicare"/>
    <n v="24771.48"/>
    <n v="7467.03"/>
    <n v="0"/>
  </r>
  <r>
    <x v="3468"/>
    <s v="Peconic Bay Medical Center"/>
    <n v="2015"/>
    <n v="7"/>
    <s v="Medicare"/>
    <x v="2"/>
    <s v="Medicare"/>
    <n v="37978.660000000003"/>
    <n v="10124.67"/>
    <n v="0"/>
  </r>
  <r>
    <x v="3469"/>
    <s v="Peconic Bay Medical Center"/>
    <n v="2015"/>
    <n v="7"/>
    <s v="Medicare"/>
    <x v="2"/>
    <s v="Medicare"/>
    <n v="79654.22"/>
    <n v="25789.99"/>
    <n v="0"/>
  </r>
  <r>
    <x v="3470"/>
    <s v="Peconic Bay Medical Center"/>
    <n v="2015"/>
    <n v="7"/>
    <s v="Medicare"/>
    <x v="2"/>
    <s v="Medicare"/>
    <n v="38420.300000000003"/>
    <n v="11957.76"/>
    <n v="0"/>
  </r>
  <r>
    <x v="3471"/>
    <s v="Peconic Bay Medical Center"/>
    <n v="2015"/>
    <n v="7"/>
    <s v="Medicare"/>
    <x v="2"/>
    <s v="Medicare"/>
    <n v="77670.16"/>
    <n v="59290.3"/>
    <n v="0"/>
  </r>
  <r>
    <x v="3472"/>
    <s v="Peconic Bay Medical Center"/>
    <n v="2015"/>
    <n v="7"/>
    <s v="Medicare"/>
    <x v="2"/>
    <s v="Medicare"/>
    <n v="54425.42"/>
    <n v="15304.78"/>
    <n v="0"/>
  </r>
  <r>
    <x v="3473"/>
    <s v="Peconic Bay Medical Center"/>
    <n v="2015"/>
    <n v="7"/>
    <s v="Medicare"/>
    <x v="2"/>
    <s v="Medicare"/>
    <n v="67414.740000000005"/>
    <n v="49075.14"/>
    <n v="0"/>
  </r>
  <r>
    <x v="3474"/>
    <s v="Peconic Bay Medical Center"/>
    <n v="2015"/>
    <n v="7"/>
    <s v="Medicare"/>
    <x v="2"/>
    <s v="Medicare"/>
    <n v="39076.89"/>
    <n v="25544.93"/>
    <n v="0"/>
  </r>
  <r>
    <x v="3475"/>
    <s v="Peconic Bay Medical Center"/>
    <n v="2015"/>
    <n v="7"/>
    <s v="Medicare"/>
    <x v="2"/>
    <s v="Medicare"/>
    <n v="54144.72"/>
    <n v="17028.68"/>
    <n v="0"/>
  </r>
  <r>
    <x v="3476"/>
    <s v="Peconic Bay Medical Center"/>
    <n v="2015"/>
    <n v="7"/>
    <s v="Medicare"/>
    <x v="2"/>
    <s v="Medicare"/>
    <n v="62586.28"/>
    <n v="47250.23"/>
    <n v="0"/>
  </r>
  <r>
    <x v="3477"/>
    <s v="Peconic Bay Medical Center"/>
    <n v="2015"/>
    <n v="7"/>
    <s v="Medicare"/>
    <x v="2"/>
    <s v="Medicare"/>
    <n v="26895.360000000001"/>
    <n v="7567.23"/>
    <n v="0"/>
  </r>
  <r>
    <x v="3478"/>
    <s v="Peconic Bay Medical Center"/>
    <n v="2015"/>
    <n v="7"/>
    <s v="Medicare"/>
    <x v="2"/>
    <s v="Medicare"/>
    <n v="79732.72"/>
    <n v="60118.07"/>
    <n v="0"/>
  </r>
  <r>
    <x v="3479"/>
    <s v="Peconic Bay Medical Center"/>
    <n v="2015"/>
    <n v="7"/>
    <s v="Medicare"/>
    <x v="2"/>
    <s v="Medicare"/>
    <n v="80161.56"/>
    <n v="23786.73"/>
    <n v="0"/>
  </r>
  <r>
    <x v="3480"/>
    <s v="Peconic Bay Medical Center"/>
    <n v="2015"/>
    <n v="7"/>
    <s v="Medicare"/>
    <x v="2"/>
    <s v="Medicare"/>
    <n v="67999.5"/>
    <n v="49365.79"/>
    <n v="0"/>
  </r>
  <r>
    <x v="3481"/>
    <s v="Peconic Bay Medical Center"/>
    <n v="2015"/>
    <n v="7"/>
    <s v="Medicare"/>
    <x v="2"/>
    <s v="Medicare"/>
    <n v="21103.74"/>
    <n v="6625.98"/>
    <n v="0"/>
  </r>
  <r>
    <x v="3482"/>
    <s v="Peconic Bay Medical Center"/>
    <n v="2015"/>
    <n v="7"/>
    <s v="Medicare"/>
    <x v="2"/>
    <s v="Medicare"/>
    <n v="65819.12"/>
    <n v="46975.14"/>
    <n v="0"/>
  </r>
  <r>
    <x v="3483"/>
    <s v="Peconic Bay Medical Center"/>
    <n v="2015"/>
    <n v="7"/>
    <s v="Medicare"/>
    <x v="2"/>
    <s v="Medicare"/>
    <n v="76244.039999999994"/>
    <n v="57697.65"/>
    <n v="0"/>
  </r>
  <r>
    <x v="3484"/>
    <s v="Peconic Bay Medical Center"/>
    <n v="2015"/>
    <n v="7"/>
    <s v="Medicare"/>
    <x v="2"/>
    <s v="Medicare"/>
    <n v="43902.94"/>
    <n v="31562.799999999999"/>
    <n v="0"/>
  </r>
  <r>
    <x v="3485"/>
    <s v="Peconic Bay Medical Center"/>
    <n v="2015"/>
    <n v="7"/>
    <s v="Medicare"/>
    <x v="2"/>
    <s v="Medicare"/>
    <n v="80653.06"/>
    <n v="62241.62"/>
    <n v="0"/>
  </r>
  <r>
    <x v="3486"/>
    <s v="Peconic Bay Medical Center"/>
    <n v="2015"/>
    <n v="7"/>
    <s v="Medicare"/>
    <x v="2"/>
    <s v="Medicare"/>
    <n v="25016.2"/>
    <n v="6154.51"/>
    <n v="0"/>
  </r>
  <r>
    <x v="3487"/>
    <s v="Peconic Bay Medical Center"/>
    <n v="2015"/>
    <n v="7"/>
    <s v="Medicare"/>
    <x v="2"/>
    <s v="Medicare"/>
    <n v="67467.94"/>
    <n v="53593.64"/>
    <n v="0"/>
  </r>
  <r>
    <x v="3488"/>
    <s v="Peconic Bay Medical Center"/>
    <n v="2015"/>
    <n v="7"/>
    <s v="Medicare"/>
    <x v="2"/>
    <s v="Medicare"/>
    <n v="30776.84"/>
    <n v="8199.94"/>
    <n v="0"/>
  </r>
  <r>
    <x v="3489"/>
    <s v="Peconic Bay Medical Center"/>
    <n v="2015"/>
    <n v="7"/>
    <s v="Medicare"/>
    <x v="2"/>
    <s v="Medicare"/>
    <n v="18001.64"/>
    <n v="5080.7700000000004"/>
    <n v="0"/>
  </r>
  <r>
    <x v="3490"/>
    <s v="Peconic Bay Medical Center"/>
    <n v="2015"/>
    <n v="7"/>
    <s v="Medicare"/>
    <x v="2"/>
    <s v="Medicare"/>
    <n v="16036.82"/>
    <n v="4518.28"/>
    <n v="0"/>
  </r>
  <r>
    <x v="3491"/>
    <s v="Peconic Bay Medical Center"/>
    <n v="2015"/>
    <n v="7"/>
    <s v="Medicare"/>
    <x v="2"/>
    <s v="Medicare"/>
    <n v="43912.52"/>
    <n v="14405.58"/>
    <n v="0"/>
  </r>
  <r>
    <x v="3492"/>
    <s v="Peconic Bay Medical Center"/>
    <n v="2015"/>
    <n v="7"/>
    <s v="Medicare"/>
    <x v="2"/>
    <s v="Medicare"/>
    <n v="36169.839999999997"/>
    <n v="21147.18"/>
    <n v="0"/>
  </r>
  <r>
    <x v="3493"/>
    <s v="Peconic Bay Medical Center"/>
    <n v="2015"/>
    <n v="7"/>
    <s v="Medicare"/>
    <x v="2"/>
    <s v="Medicare"/>
    <n v="50385.56"/>
    <n v="28900.2"/>
    <n v="0"/>
  </r>
  <r>
    <x v="3494"/>
    <s v="Peconic Bay Medical Center"/>
    <n v="2015"/>
    <n v="7"/>
    <s v="Medicare"/>
    <x v="2"/>
    <s v="Medicare"/>
    <n v="27343.94"/>
    <n v="7869.22"/>
    <n v="0"/>
  </r>
  <r>
    <x v="3495"/>
    <s v="Peconic Bay Medical Center"/>
    <n v="2015"/>
    <n v="7"/>
    <s v="Medicare"/>
    <x v="2"/>
    <s v="Medicare"/>
    <n v="22113.62"/>
    <n v="9785.7800000000007"/>
    <n v="0"/>
  </r>
  <r>
    <x v="3496"/>
    <s v="Peconic Bay Medical Center"/>
    <n v="2015"/>
    <n v="7"/>
    <s v="Medicare"/>
    <x v="2"/>
    <s v="Medicare"/>
    <n v="77617.820000000007"/>
    <n v="59605.49"/>
    <n v="0"/>
  </r>
  <r>
    <x v="3497"/>
    <s v="Peconic Bay Medical Center"/>
    <n v="2015"/>
    <n v="7"/>
    <s v="Medicare"/>
    <x v="2"/>
    <s v="Medicare"/>
    <n v="19272.2"/>
    <n v="5696.97"/>
    <n v="0"/>
  </r>
  <r>
    <x v="3498"/>
    <s v="Peconic Bay Medical Center"/>
    <n v="2015"/>
    <n v="7"/>
    <s v="Medicare"/>
    <x v="2"/>
    <s v="Medicare"/>
    <n v="34855.74"/>
    <n v="8907.3700000000008"/>
    <n v="0"/>
  </r>
  <r>
    <x v="3499"/>
    <s v="Peconic Bay Medical Center"/>
    <n v="2015"/>
    <n v="7"/>
    <s v="Medicare"/>
    <x v="2"/>
    <s v="Medicare"/>
    <n v="34536.120000000003"/>
    <n v="8083.94"/>
    <n v="0"/>
  </r>
  <r>
    <x v="3500"/>
    <s v="Peconic Bay Medical Center"/>
    <n v="2015"/>
    <n v="7"/>
    <s v="Medicare"/>
    <x v="2"/>
    <s v="Medicare"/>
    <n v="67034.649999999994"/>
    <n v="48709.08"/>
    <n v="0"/>
  </r>
  <r>
    <x v="3501"/>
    <s v="Peconic Bay Medical Center"/>
    <n v="2015"/>
    <n v="7"/>
    <s v="Medicare"/>
    <x v="2"/>
    <s v="Medicare"/>
    <n v="41226.1"/>
    <n v="13009.59"/>
    <n v="0"/>
  </r>
  <r>
    <x v="3502"/>
    <s v="Peconic Bay Medical Center"/>
    <n v="2015"/>
    <n v="7"/>
    <s v="Medicare"/>
    <x v="2"/>
    <s v="Medicare"/>
    <n v="62447.68"/>
    <n v="44801.440000000002"/>
    <n v="0"/>
  </r>
  <r>
    <x v="3503"/>
    <s v="Peconic Bay Medical Center"/>
    <n v="2015"/>
    <n v="7"/>
    <s v="Medicare"/>
    <x v="2"/>
    <s v="Medicare"/>
    <n v="90528.94"/>
    <n v="46340.56"/>
    <n v="0"/>
  </r>
  <r>
    <x v="3504"/>
    <s v="Peconic Bay Medical Center"/>
    <n v="2015"/>
    <n v="7"/>
    <s v="Medicare"/>
    <x v="2"/>
    <s v="Medicare"/>
    <n v="17133.52"/>
    <n v="5076.74"/>
    <n v="0"/>
  </r>
  <r>
    <x v="3505"/>
    <s v="Peconic Bay Medical Center"/>
    <n v="2015"/>
    <n v="7"/>
    <s v="Medicare"/>
    <x v="2"/>
    <s v="Medicare"/>
    <n v="96685.07"/>
    <n v="56296.76"/>
    <n v="0"/>
  </r>
  <r>
    <x v="3506"/>
    <s v="Peconic Bay Medical Center"/>
    <n v="2015"/>
    <n v="7"/>
    <s v="Medicare"/>
    <x v="2"/>
    <s v="Medicare"/>
    <n v="43715.18"/>
    <n v="11793.86"/>
    <n v="0"/>
  </r>
  <r>
    <x v="3507"/>
    <s v="Peconic Bay Medical Center"/>
    <n v="2015"/>
    <n v="7"/>
    <s v="Medicare"/>
    <x v="2"/>
    <s v="Medicare"/>
    <n v="41351.08"/>
    <n v="8253.7099999999991"/>
    <n v="0"/>
  </r>
  <r>
    <x v="3508"/>
    <s v="Peconic Bay Medical Center"/>
    <n v="2015"/>
    <n v="7"/>
    <s v="Medicare"/>
    <x v="2"/>
    <s v="Medicare"/>
    <n v="21567.439999999999"/>
    <n v="4159.99"/>
    <n v="0"/>
  </r>
  <r>
    <x v="3509"/>
    <s v="Peconic Bay Medical Center"/>
    <n v="2015"/>
    <n v="7"/>
    <s v="Medicare"/>
    <x v="2"/>
    <s v="Medicare"/>
    <n v="68986.880000000005"/>
    <n v="21964.1"/>
    <n v="0"/>
  </r>
  <r>
    <x v="3510"/>
    <s v="Peconic Bay Medical Center"/>
    <n v="2015"/>
    <n v="7"/>
    <s v="Medicare"/>
    <x v="2"/>
    <s v="Medicare"/>
    <n v="69067.179999999993"/>
    <n v="50569.34"/>
    <n v="0"/>
  </r>
  <r>
    <x v="3511"/>
    <s v="Peconic Bay Medical Center"/>
    <n v="2015"/>
    <n v="7"/>
    <s v="Medicare"/>
    <x v="2"/>
    <s v="Medicare"/>
    <n v="25113.7"/>
    <n v="7350.05"/>
    <n v="0"/>
  </r>
  <r>
    <x v="3512"/>
    <s v="Peconic Bay Medical Center"/>
    <n v="2015"/>
    <n v="7"/>
    <s v="Medicare"/>
    <x v="2"/>
    <s v="Medicare"/>
    <n v="73448.92"/>
    <n v="55924.38"/>
    <n v="0"/>
  </r>
  <r>
    <x v="3513"/>
    <s v="Peconic Bay Medical Center"/>
    <n v="2015"/>
    <n v="7"/>
    <s v="Medicare"/>
    <x v="2"/>
    <s v="Medicare"/>
    <n v="41297.06"/>
    <n v="12588.56"/>
    <n v="0"/>
  </r>
  <r>
    <x v="3514"/>
    <s v="Peconic Bay Medical Center"/>
    <n v="2015"/>
    <n v="7"/>
    <s v="Medicare"/>
    <x v="2"/>
    <s v="Medicare"/>
    <n v="59295.16"/>
    <n v="41683.07"/>
    <n v="0"/>
  </r>
  <r>
    <x v="3515"/>
    <s v="Peconic Bay Medical Center"/>
    <n v="2015"/>
    <n v="7"/>
    <s v="Medicare"/>
    <x v="2"/>
    <s v="Medicare"/>
    <n v="11366.46"/>
    <n v="3100.84"/>
    <n v="0"/>
  </r>
  <r>
    <x v="3516"/>
    <s v="Peconic Bay Medical Center"/>
    <n v="2015"/>
    <n v="7"/>
    <s v="Medicare"/>
    <x v="2"/>
    <s v="Medicare"/>
    <n v="60404.98"/>
    <n v="31279"/>
    <n v="0"/>
  </r>
  <r>
    <x v="3517"/>
    <s v="Peconic Bay Medical Center"/>
    <n v="2015"/>
    <n v="7"/>
    <s v="Medicare"/>
    <x v="2"/>
    <s v="Medicare"/>
    <n v="67349.98"/>
    <n v="48319.23"/>
    <n v="0"/>
  </r>
  <r>
    <x v="3518"/>
    <s v="Peconic Bay Medical Center"/>
    <n v="2015"/>
    <n v="7"/>
    <s v="Medicare"/>
    <x v="2"/>
    <s v="Medicare"/>
    <n v="30220.16"/>
    <n v="8786.2900000000009"/>
    <n v="0"/>
  </r>
  <r>
    <x v="3519"/>
    <s v="Peconic Bay Medical Center"/>
    <n v="2015"/>
    <n v="7"/>
    <s v="Medicare"/>
    <x v="2"/>
    <s v="Medicare"/>
    <n v="22851.62"/>
    <n v="7006.76"/>
    <n v="0"/>
  </r>
  <r>
    <x v="3520"/>
    <s v="Peconic Bay Medical Center"/>
    <n v="2015"/>
    <n v="7"/>
    <s v="Medicare"/>
    <x v="2"/>
    <s v="Medicare"/>
    <n v="44661"/>
    <n v="13879.14"/>
    <n v="0"/>
  </r>
  <r>
    <x v="3521"/>
    <s v="Peconic Bay Medical Center"/>
    <n v="2015"/>
    <n v="7"/>
    <s v="Medicare"/>
    <x v="2"/>
    <s v="Medicare"/>
    <n v="22380.240000000002"/>
    <n v="6909.53"/>
    <n v="0"/>
  </r>
  <r>
    <x v="3522"/>
    <s v="Peconic Bay Medical Center"/>
    <n v="2015"/>
    <n v="7"/>
    <s v="Medicare"/>
    <x v="2"/>
    <s v="Medicare"/>
    <n v="78070.22"/>
    <n v="37233.050000000003"/>
    <n v="0"/>
  </r>
  <r>
    <x v="3523"/>
    <s v="Peconic Bay Medical Center"/>
    <n v="2015"/>
    <n v="7"/>
    <s v="Medicare"/>
    <x v="2"/>
    <s v="Medicare"/>
    <n v="57428.72"/>
    <n v="42783.5"/>
    <n v="0"/>
  </r>
  <r>
    <x v="3524"/>
    <s v="Peconic Bay Medical Center"/>
    <n v="2015"/>
    <n v="7"/>
    <s v="Medicare"/>
    <x v="2"/>
    <s v="Medicare"/>
    <n v="63506.12"/>
    <n v="46702.61"/>
    <n v="0"/>
  </r>
  <r>
    <x v="3525"/>
    <s v="Peconic Bay Medical Center"/>
    <n v="2015"/>
    <n v="7"/>
    <s v="Medicare"/>
    <x v="2"/>
    <s v="Medicare"/>
    <n v="43351.4"/>
    <n v="29744.86"/>
    <n v="0"/>
  </r>
  <r>
    <x v="3526"/>
    <s v="Peconic Bay Medical Center"/>
    <n v="2015"/>
    <n v="7"/>
    <s v="Medicare"/>
    <x v="2"/>
    <s v="Medicare"/>
    <n v="18710.62"/>
    <n v="7058.64"/>
    <n v="0"/>
  </r>
  <r>
    <x v="3527"/>
    <s v="Peconic Bay Medical Center"/>
    <n v="2015"/>
    <n v="7"/>
    <s v="Medicare"/>
    <x v="2"/>
    <s v="Medicare"/>
    <n v="60132.72"/>
    <n v="18545.82"/>
    <n v="0"/>
  </r>
  <r>
    <x v="3528"/>
    <s v="Peconic Bay Medical Center"/>
    <n v="2015"/>
    <n v="7"/>
    <s v="Medicare"/>
    <x v="2"/>
    <s v="Medicare"/>
    <n v="168676.13"/>
    <n v="150271.96"/>
    <n v="0"/>
  </r>
  <r>
    <x v="3529"/>
    <s v="Peconic Bay Medical Center"/>
    <n v="2015"/>
    <n v="7"/>
    <s v="Medicare"/>
    <x v="2"/>
    <s v="Medicare"/>
    <n v="22402.74"/>
    <n v="8924.5300000000007"/>
    <n v="0"/>
  </r>
  <r>
    <x v="3530"/>
    <s v="Peconic Bay Medical Center"/>
    <n v="2015"/>
    <n v="7"/>
    <s v="Medicare"/>
    <x v="2"/>
    <s v="Medicare"/>
    <n v="18938.22"/>
    <n v="9696.56"/>
    <n v="0"/>
  </r>
  <r>
    <x v="3531"/>
    <s v="Peconic Bay Medical Center"/>
    <n v="2015"/>
    <n v="7"/>
    <s v="Medicare"/>
    <x v="2"/>
    <s v="Medicare"/>
    <n v="38257.14"/>
    <n v="28733.18"/>
    <n v="0"/>
  </r>
  <r>
    <x v="3532"/>
    <s v="Peconic Bay Medical Center"/>
    <n v="2015"/>
    <n v="7"/>
    <s v="Medicare"/>
    <x v="2"/>
    <s v="Medicare"/>
    <n v="42290.1"/>
    <n v="13153.22"/>
    <n v="0"/>
  </r>
  <r>
    <x v="3533"/>
    <s v="Peconic Bay Medical Center"/>
    <n v="2015"/>
    <n v="7"/>
    <s v="Medicare"/>
    <x v="2"/>
    <s v="Medicare"/>
    <n v="18681.419999999998"/>
    <n v="5787.8"/>
    <n v="0"/>
  </r>
  <r>
    <x v="3534"/>
    <s v="Peconic Bay Medical Center"/>
    <n v="2015"/>
    <n v="7"/>
    <s v="Medicare"/>
    <x v="2"/>
    <s v="Medicare"/>
    <n v="192323"/>
    <n v="99576.69"/>
    <n v="0"/>
  </r>
  <r>
    <x v="3535"/>
    <s v="Peconic Bay Medical Center"/>
    <n v="2015"/>
    <n v="7"/>
    <s v="Medicare"/>
    <x v="2"/>
    <s v="Medicare"/>
    <n v="37996.58"/>
    <n v="12585.13"/>
    <n v="0"/>
  </r>
  <r>
    <x v="3536"/>
    <s v="Peconic Bay Medical Center"/>
    <n v="2015"/>
    <n v="7"/>
    <s v="Medicare"/>
    <x v="2"/>
    <s v="Medicare"/>
    <n v="11599.98"/>
    <n v="2207.5300000000002"/>
    <n v="0"/>
  </r>
  <r>
    <x v="3537"/>
    <s v="Peconic Bay Medical Center"/>
    <n v="2015"/>
    <n v="7"/>
    <s v="Medicare"/>
    <x v="2"/>
    <s v="Medicare"/>
    <n v="64758.66"/>
    <n v="46965.58"/>
    <n v="0"/>
  </r>
  <r>
    <x v="3538"/>
    <s v="Peconic Bay Medical Center"/>
    <n v="2015"/>
    <n v="7"/>
    <s v="Medicare"/>
    <x v="2"/>
    <s v="Medicare"/>
    <n v="40554.28"/>
    <n v="12119.73"/>
    <n v="0"/>
  </r>
  <r>
    <x v="3539"/>
    <s v="Peconic Bay Medical Center"/>
    <n v="2015"/>
    <n v="7"/>
    <s v="Medicare"/>
    <x v="2"/>
    <s v="Medicare"/>
    <n v="64903.28"/>
    <n v="46242.05"/>
    <n v="0"/>
  </r>
  <r>
    <x v="3540"/>
    <s v="Peconic Bay Medical Center"/>
    <n v="2015"/>
    <n v="7"/>
    <s v="Medicare"/>
    <x v="2"/>
    <s v="Medicare"/>
    <n v="48960.38"/>
    <n v="26084.85"/>
    <n v="0"/>
  </r>
  <r>
    <x v="3541"/>
    <s v="Peconic Bay Medical Center"/>
    <n v="2015"/>
    <n v="7"/>
    <s v="Medicare"/>
    <x v="2"/>
    <s v="Medicare"/>
    <n v="16347.72"/>
    <n v="4695.8599999999997"/>
    <n v="0"/>
  </r>
  <r>
    <x v="3542"/>
    <s v="Peconic Bay Medical Center"/>
    <n v="2015"/>
    <n v="7"/>
    <s v="Medicare"/>
    <x v="2"/>
    <s v="Medicare"/>
    <n v="29745.72"/>
    <n v="7592.39"/>
    <n v="0"/>
  </r>
  <r>
    <x v="3543"/>
    <s v="Peconic Bay Medical Center"/>
    <n v="2015"/>
    <n v="7"/>
    <s v="Medicare"/>
    <x v="2"/>
    <s v="Medicare"/>
    <n v="52386.48"/>
    <n v="16001.62"/>
    <n v="0"/>
  </r>
  <r>
    <x v="3544"/>
    <s v="Peconic Bay Medical Center"/>
    <n v="2015"/>
    <n v="7"/>
    <s v="Medicare"/>
    <x v="2"/>
    <s v="Medicare"/>
    <n v="39586.26"/>
    <n v="11090.55"/>
    <n v="0"/>
  </r>
  <r>
    <x v="3545"/>
    <s v="Peconic Bay Medical Center"/>
    <n v="2015"/>
    <n v="7"/>
    <s v="Medicare"/>
    <x v="2"/>
    <s v="Medicare"/>
    <n v="154440.29"/>
    <n v="131331"/>
    <n v="0"/>
  </r>
  <r>
    <x v="3546"/>
    <s v="Peconic Bay Medical Center"/>
    <n v="2015"/>
    <n v="7"/>
    <s v="Medicare"/>
    <x v="2"/>
    <s v="Medicare"/>
    <n v="19612.16"/>
    <n v="10422.64"/>
    <n v="0"/>
  </r>
  <r>
    <x v="3547"/>
    <s v="Peconic Bay Medical Center"/>
    <n v="2015"/>
    <n v="7"/>
    <s v="Medicare"/>
    <x v="2"/>
    <s v="Medicare"/>
    <n v="43201.64"/>
    <n v="10942.63"/>
    <n v="0"/>
  </r>
  <r>
    <x v="3548"/>
    <s v="Peconic Bay Medical Center"/>
    <n v="2015"/>
    <n v="7"/>
    <s v="Medicare"/>
    <x v="2"/>
    <s v="Medicare"/>
    <n v="81021.279999999999"/>
    <n v="24382.01"/>
    <n v="0"/>
  </r>
  <r>
    <x v="3549"/>
    <s v="Peconic Bay Medical Center"/>
    <n v="2015"/>
    <n v="7"/>
    <s v="Medicare"/>
    <x v="2"/>
    <s v="Medicare"/>
    <n v="66163.7"/>
    <n v="48865.55"/>
    <n v="0"/>
  </r>
  <r>
    <x v="3550"/>
    <s v="Peconic Bay Medical Center"/>
    <n v="2015"/>
    <n v="7"/>
    <s v="Medicare"/>
    <x v="2"/>
    <s v="Medicare"/>
    <n v="23004.13"/>
    <n v="9296.7099999999991"/>
    <n v="0"/>
  </r>
  <r>
    <x v="3551"/>
    <s v="Peconic Bay Medical Center"/>
    <n v="2015"/>
    <n v="7"/>
    <s v="Medicare"/>
    <x v="2"/>
    <s v="Medicare"/>
    <n v="18406.38"/>
    <n v="4518.12"/>
    <n v="0"/>
  </r>
  <r>
    <x v="3552"/>
    <s v="Peconic Bay Medical Center"/>
    <n v="2015"/>
    <n v="7"/>
    <s v="Medicare"/>
    <x v="2"/>
    <s v="Medicare"/>
    <n v="28194.080000000002"/>
    <n v="5131.08"/>
    <n v="0"/>
  </r>
  <r>
    <x v="3553"/>
    <s v="Peconic Bay Medical Center"/>
    <n v="2015"/>
    <n v="7"/>
    <s v="Medicare"/>
    <x v="2"/>
    <s v="Medicare"/>
    <n v="14784.36"/>
    <n v="4391.43"/>
    <n v="0"/>
  </r>
  <r>
    <x v="3554"/>
    <s v="Peconic Bay Medical Center"/>
    <n v="2015"/>
    <n v="7"/>
    <s v="Medicare"/>
    <x v="2"/>
    <s v="Medicare"/>
    <n v="68627.14"/>
    <n v="49533.94"/>
    <n v="0"/>
  </r>
  <r>
    <x v="3555"/>
    <s v="Peconic Bay Medical Center"/>
    <n v="2015"/>
    <n v="7"/>
    <s v="Medicare"/>
    <x v="2"/>
    <s v="Medicare"/>
    <n v="31110.3"/>
    <n v="9063.24"/>
    <n v="0"/>
  </r>
  <r>
    <x v="3556"/>
    <s v="Peconic Bay Medical Center"/>
    <n v="2015"/>
    <n v="7"/>
    <s v="Medicare"/>
    <x v="2"/>
    <s v="Medicare"/>
    <n v="32472.94"/>
    <n v="10406.31"/>
    <n v="0"/>
  </r>
  <r>
    <x v="3557"/>
    <s v="Peconic Bay Medical Center"/>
    <n v="2015"/>
    <n v="7"/>
    <s v="Medicare"/>
    <x v="2"/>
    <s v="Medicare"/>
    <n v="18239.04"/>
    <n v="4972.6400000000003"/>
    <n v="0"/>
  </r>
  <r>
    <x v="3558"/>
    <s v="Peconic Bay Medical Center"/>
    <n v="2015"/>
    <n v="7"/>
    <s v="Medicare"/>
    <x v="2"/>
    <s v="Medicare"/>
    <n v="26752.94"/>
    <n v="8900.09"/>
    <n v="0"/>
  </r>
  <r>
    <x v="3559"/>
    <s v="Peconic Bay Medical Center"/>
    <n v="2015"/>
    <n v="7"/>
    <s v="Medicare"/>
    <x v="2"/>
    <s v="Medicare"/>
    <n v="84387.18"/>
    <n v="59069.33"/>
    <n v="0"/>
  </r>
  <r>
    <x v="3560"/>
    <s v="Peconic Bay Medical Center"/>
    <n v="2015"/>
    <n v="7"/>
    <s v="Medicare"/>
    <x v="2"/>
    <s v="Medicare"/>
    <n v="17571.16"/>
    <n v="4378.3599999999997"/>
    <n v="0"/>
  </r>
  <r>
    <x v="3561"/>
    <s v="Peconic Bay Medical Center"/>
    <n v="2015"/>
    <n v="7"/>
    <s v="Medicare"/>
    <x v="2"/>
    <s v="Medicare"/>
    <n v="66804.98"/>
    <n v="48314.12"/>
    <n v="0"/>
  </r>
  <r>
    <x v="3562"/>
    <s v="Peconic Bay Medical Center"/>
    <n v="2015"/>
    <n v="7"/>
    <s v="Medicare"/>
    <x v="2"/>
    <s v="Medicare"/>
    <n v="74350.28"/>
    <n v="21003.46"/>
    <n v="0"/>
  </r>
  <r>
    <x v="3563"/>
    <s v="Peconic Bay Medical Center"/>
    <n v="2015"/>
    <n v="7"/>
    <s v="Medicare"/>
    <x v="2"/>
    <s v="Medicare"/>
    <n v="37047.120000000003"/>
    <n v="12525.89"/>
    <n v="0"/>
  </r>
  <r>
    <x v="3564"/>
    <s v="Peconic Bay Medical Center"/>
    <n v="2015"/>
    <n v="7"/>
    <s v="Medicare"/>
    <x v="2"/>
    <s v="Medicare"/>
    <n v="64747.8"/>
    <n v="45199.29"/>
    <n v="0"/>
  </r>
  <r>
    <x v="3565"/>
    <s v="Peconic Bay Medical Center"/>
    <n v="2015"/>
    <n v="7"/>
    <s v="Medicare"/>
    <x v="2"/>
    <s v="Medicare"/>
    <n v="23597.200000000001"/>
    <n v="5035.75"/>
    <n v="0"/>
  </r>
  <r>
    <x v="3566"/>
    <s v="Peconic Bay Medical Center"/>
    <n v="2015"/>
    <n v="7"/>
    <s v="Medicare"/>
    <x v="2"/>
    <s v="Medicare"/>
    <n v="75901.960000000006"/>
    <n v="57788.36"/>
    <n v="0"/>
  </r>
  <r>
    <x v="3567"/>
    <s v="Peconic Bay Medical Center"/>
    <n v="2015"/>
    <n v="7"/>
    <s v="Medicare"/>
    <x v="2"/>
    <s v="Medicare"/>
    <n v="76192.539999999994"/>
    <n v="59308.85"/>
    <n v="0"/>
  </r>
  <r>
    <x v="3568"/>
    <s v="Peconic Bay Medical Center"/>
    <n v="2015"/>
    <n v="7"/>
    <s v="Medicare"/>
    <x v="2"/>
    <s v="Medicare"/>
    <n v="84803.5"/>
    <n v="60631.82"/>
    <n v="0"/>
  </r>
  <r>
    <x v="3569"/>
    <s v="Peconic Bay Medical Center"/>
    <n v="2015"/>
    <n v="7"/>
    <s v="Medicare"/>
    <x v="2"/>
    <s v="Medicare"/>
    <n v="45995.34"/>
    <n v="34373.480000000003"/>
    <n v="0"/>
  </r>
  <r>
    <x v="3570"/>
    <s v="Peconic Bay Medical Center"/>
    <n v="2015"/>
    <n v="7"/>
    <s v="Medicare"/>
    <x v="2"/>
    <s v="Medicare"/>
    <n v="88139.76"/>
    <n v="52970.400000000001"/>
    <n v="0"/>
  </r>
  <r>
    <x v="3571"/>
    <s v="Peconic Bay Medical Center"/>
    <n v="2015"/>
    <n v="7"/>
    <s v="Medicare"/>
    <x v="2"/>
    <s v="Medicare"/>
    <n v="41984.57"/>
    <n v="20249.97"/>
    <n v="0"/>
  </r>
  <r>
    <x v="3572"/>
    <s v="Peconic Bay Medical Center"/>
    <n v="2015"/>
    <n v="7"/>
    <s v="Medicare"/>
    <x v="2"/>
    <s v="Medicare"/>
    <n v="146581.82999999999"/>
    <n v="113301.16"/>
    <n v="0"/>
  </r>
  <r>
    <x v="3573"/>
    <s v="Peconic Bay Medical Center"/>
    <n v="2015"/>
    <n v="7"/>
    <s v="Medicare"/>
    <x v="2"/>
    <s v="Medicare"/>
    <n v="43060.14"/>
    <n v="25873.49"/>
    <n v="0"/>
  </r>
  <r>
    <x v="3574"/>
    <s v="Peconic Bay Medical Center"/>
    <n v="2015"/>
    <n v="7"/>
    <s v="Medicare"/>
    <x v="2"/>
    <s v="Medicare"/>
    <n v="33564.94"/>
    <n v="20797.59"/>
    <n v="0"/>
  </r>
  <r>
    <x v="3575"/>
    <s v="Peconic Bay Medical Center"/>
    <n v="2015"/>
    <n v="7"/>
    <s v="Medicare"/>
    <x v="2"/>
    <s v="Medicare"/>
    <n v="155329.25"/>
    <n v="83041.7"/>
    <n v="0"/>
  </r>
  <r>
    <x v="3576"/>
    <s v="Peconic Bay Medical Center"/>
    <n v="2015"/>
    <n v="7"/>
    <s v="Medicare"/>
    <x v="2"/>
    <s v="Medicare"/>
    <n v="71471.179999999993"/>
    <n v="57099.7"/>
    <n v="0"/>
  </r>
  <r>
    <x v="3577"/>
    <s v="Peconic Bay Medical Center"/>
    <n v="2015"/>
    <n v="7"/>
    <s v="Medicare"/>
    <x v="2"/>
    <s v="Medicare"/>
    <n v="21751.360000000001"/>
    <n v="6481.04"/>
    <n v="0"/>
  </r>
  <r>
    <x v="3578"/>
    <s v="Peconic Bay Medical Center"/>
    <n v="2015"/>
    <n v="7"/>
    <s v="Medicare"/>
    <x v="2"/>
    <s v="Medicare"/>
    <n v="72671.679999999993"/>
    <n v="53602.720000000001"/>
    <n v="0"/>
  </r>
  <r>
    <x v="3579"/>
    <s v="Peconic Bay Medical Center"/>
    <n v="2015"/>
    <n v="7"/>
    <s v="Medicare"/>
    <x v="2"/>
    <s v="Medicare"/>
    <n v="39631.58"/>
    <n v="11857.76"/>
    <n v="0"/>
  </r>
  <r>
    <x v="3580"/>
    <s v="Peconic Bay Medical Center"/>
    <n v="2015"/>
    <n v="7"/>
    <s v="Medicare"/>
    <x v="2"/>
    <s v="Medicare"/>
    <n v="53224.12"/>
    <n v="16066.04"/>
    <n v="0"/>
  </r>
  <r>
    <x v="3581"/>
    <s v="Peconic Bay Medical Center"/>
    <n v="2015"/>
    <n v="7"/>
    <s v="Medicare"/>
    <x v="2"/>
    <s v="Medicare"/>
    <n v="9431.18"/>
    <n v="2508.16"/>
    <n v="0"/>
  </r>
  <r>
    <x v="3582"/>
    <s v="Peconic Bay Medical Center"/>
    <n v="2015"/>
    <n v="7"/>
    <s v="Medicare"/>
    <x v="2"/>
    <s v="Medicare"/>
    <n v="117050.9"/>
    <n v="35404.720000000001"/>
    <n v="0"/>
  </r>
  <r>
    <x v="3583"/>
    <s v="Peconic Bay Medical Center"/>
    <n v="2015"/>
    <n v="7"/>
    <s v="Medicare"/>
    <x v="2"/>
    <s v="Medicare"/>
    <n v="65017.22"/>
    <n v="46819.44"/>
    <n v="0"/>
  </r>
  <r>
    <x v="3584"/>
    <s v="Peconic Bay Medical Center"/>
    <n v="2015"/>
    <n v="7"/>
    <s v="Medicare"/>
    <x v="2"/>
    <s v="Medicare"/>
    <n v="27018.94"/>
    <n v="8555.5300000000007"/>
    <n v="0"/>
  </r>
  <r>
    <x v="3585"/>
    <s v="Peconic Bay Medical Center"/>
    <n v="2015"/>
    <n v="7"/>
    <s v="Medicare"/>
    <x v="2"/>
    <s v="Medicare"/>
    <n v="65580.320000000007"/>
    <n v="46402.22"/>
    <n v="0"/>
  </r>
  <r>
    <x v="3586"/>
    <s v="Peconic Bay Medical Center"/>
    <n v="2015"/>
    <n v="7"/>
    <s v="Medicare"/>
    <x v="2"/>
    <s v="Medicare"/>
    <n v="58990.96"/>
    <n v="18841.13"/>
    <n v="0"/>
  </r>
  <r>
    <x v="3587"/>
    <s v="Peconic Bay Medical Center"/>
    <n v="2015"/>
    <n v="7"/>
    <s v="Medicare"/>
    <x v="2"/>
    <s v="Medicare"/>
    <n v="27867.279999999999"/>
    <n v="8453.15"/>
    <n v="0"/>
  </r>
  <r>
    <x v="3588"/>
    <s v="Peconic Bay Medical Center"/>
    <n v="2015"/>
    <n v="7"/>
    <s v="Medicare"/>
    <x v="2"/>
    <s v="Medicare"/>
    <n v="68985.320000000007"/>
    <n v="49733.03"/>
    <n v="0"/>
  </r>
  <r>
    <x v="3589"/>
    <s v="Peconic Bay Medical Center"/>
    <n v="2015"/>
    <n v="7"/>
    <s v="Medicare"/>
    <x v="2"/>
    <s v="Medicare"/>
    <n v="47916.26"/>
    <n v="15094.13"/>
    <n v="0"/>
  </r>
  <r>
    <x v="3590"/>
    <s v="Peconic Bay Medical Center"/>
    <n v="2015"/>
    <n v="7"/>
    <s v="Medicare"/>
    <x v="2"/>
    <s v="Medicare"/>
    <n v="131031.98"/>
    <n v="61584.94"/>
    <n v="0"/>
  </r>
  <r>
    <x v="3591"/>
    <s v="Peconic Bay Medical Center"/>
    <n v="2015"/>
    <n v="7"/>
    <s v="Medicare"/>
    <x v="2"/>
    <s v="Medicare"/>
    <n v="67169.66"/>
    <n v="49092.25"/>
    <n v="0"/>
  </r>
  <r>
    <x v="3592"/>
    <s v="Peconic Bay Medical Center"/>
    <n v="2015"/>
    <n v="7"/>
    <s v="Medicare"/>
    <x v="2"/>
    <s v="Medicare"/>
    <n v="57770.36"/>
    <n v="18609.43"/>
    <n v="0"/>
  </r>
  <r>
    <x v="3593"/>
    <s v="Peconic Bay Medical Center"/>
    <n v="2015"/>
    <n v="7"/>
    <s v="Medicare"/>
    <x v="2"/>
    <s v="Medicare"/>
    <n v="42675.64"/>
    <n v="20920.3"/>
    <n v="0"/>
  </r>
  <r>
    <x v="3594"/>
    <s v="Peconic Bay Medical Center"/>
    <n v="2015"/>
    <n v="7"/>
    <s v="Medicare"/>
    <x v="2"/>
    <s v="Medicare"/>
    <n v="46349.42"/>
    <n v="15661.23"/>
    <n v="0"/>
  </r>
  <r>
    <x v="3595"/>
    <s v="Peconic Bay Medical Center"/>
    <n v="2015"/>
    <n v="7"/>
    <s v="Medicare"/>
    <x v="2"/>
    <s v="Medicare"/>
    <n v="43084.04"/>
    <n v="13114.45"/>
    <n v="0"/>
  </r>
  <r>
    <x v="3596"/>
    <s v="Peconic Bay Medical Center"/>
    <n v="2015"/>
    <n v="7"/>
    <s v="Medicare"/>
    <x v="2"/>
    <s v="Medicare"/>
    <n v="13560.26"/>
    <n v="4036.26"/>
    <n v="0"/>
  </r>
  <r>
    <x v="3597"/>
    <s v="Peconic Bay Medical Center"/>
    <n v="2015"/>
    <n v="7"/>
    <s v="Medicare"/>
    <x v="2"/>
    <s v="Medicare"/>
    <n v="40540.800000000003"/>
    <n v="12436.08"/>
    <n v="0"/>
  </r>
  <r>
    <x v="3598"/>
    <s v="Peconic Bay Medical Center"/>
    <n v="2015"/>
    <n v="7"/>
    <s v="Medicare"/>
    <x v="2"/>
    <s v="Medicare"/>
    <n v="35290.42"/>
    <n v="9200.7099999999991"/>
    <n v="0"/>
  </r>
  <r>
    <x v="3599"/>
    <s v="Peconic Bay Medical Center"/>
    <n v="2015"/>
    <n v="7"/>
    <s v="Medicare"/>
    <x v="2"/>
    <s v="Medicare"/>
    <n v="33650.400000000001"/>
    <n v="10747.05"/>
    <n v="0"/>
  </r>
  <r>
    <x v="3600"/>
    <s v="Peconic Bay Medical Center"/>
    <n v="2015"/>
    <n v="7"/>
    <s v="Medicare"/>
    <x v="2"/>
    <s v="Medicare"/>
    <n v="108329.37"/>
    <n v="86573.94"/>
    <n v="0"/>
  </r>
  <r>
    <x v="3601"/>
    <s v="Peconic Bay Medical Center"/>
    <n v="2015"/>
    <n v="7"/>
    <s v="Medicare"/>
    <x v="2"/>
    <s v="Medicare"/>
    <n v="63768.24"/>
    <n v="30934.78"/>
    <n v="0"/>
  </r>
  <r>
    <x v="3602"/>
    <s v="Peconic Bay Medical Center"/>
    <n v="2015"/>
    <n v="7"/>
    <s v="Medicare"/>
    <x v="2"/>
    <s v="Medicare"/>
    <n v="38757.24"/>
    <n v="13142.27"/>
    <n v="0"/>
  </r>
  <r>
    <x v="3603"/>
    <s v="Peconic Bay Medical Center"/>
    <n v="2015"/>
    <n v="7"/>
    <s v="Medicare"/>
    <x v="2"/>
    <s v="Medicare"/>
    <n v="69188.44"/>
    <n v="51575.23"/>
    <n v="0"/>
  </r>
  <r>
    <x v="3604"/>
    <s v="Peconic Bay Medical Center"/>
    <n v="2015"/>
    <n v="7"/>
    <s v="Medicare"/>
    <x v="2"/>
    <s v="Medicare"/>
    <n v="34038.019999999997"/>
    <n v="10569.25"/>
    <n v="0"/>
  </r>
  <r>
    <x v="3605"/>
    <s v="Peconic Bay Medical Center"/>
    <n v="2015"/>
    <n v="7"/>
    <s v="Medicare"/>
    <x v="2"/>
    <s v="Medicare"/>
    <n v="78876.78"/>
    <n v="57768"/>
    <n v="0"/>
  </r>
  <r>
    <x v="3606"/>
    <s v="Peconic Bay Medical Center"/>
    <n v="2015"/>
    <n v="7"/>
    <s v="Medicare"/>
    <x v="2"/>
    <s v="Medicare"/>
    <n v="38380.92"/>
    <n v="11848.81"/>
    <n v="0"/>
  </r>
  <r>
    <x v="3607"/>
    <s v="Peconic Bay Medical Center"/>
    <n v="2015"/>
    <n v="7"/>
    <s v="Medicare"/>
    <x v="2"/>
    <s v="Medicare"/>
    <n v="60696.76"/>
    <n v="42338.69"/>
    <n v="0"/>
  </r>
  <r>
    <x v="3608"/>
    <s v="Peconic Bay Medical Center"/>
    <n v="2015"/>
    <n v="7"/>
    <s v="Medicare"/>
    <x v="2"/>
    <s v="Medicare"/>
    <n v="52280.34"/>
    <n v="17939.77"/>
    <n v="0"/>
  </r>
  <r>
    <x v="3609"/>
    <s v="Peconic Bay Medical Center"/>
    <n v="2015"/>
    <n v="7"/>
    <s v="Medicare"/>
    <x v="2"/>
    <s v="Medicare"/>
    <n v="27271.9"/>
    <n v="7563.18"/>
    <n v="0"/>
  </r>
  <r>
    <x v="3610"/>
    <s v="Peconic Bay Medical Center"/>
    <n v="2015"/>
    <n v="7"/>
    <s v="Medicare"/>
    <x v="2"/>
    <s v="Medicare"/>
    <n v="25654.9"/>
    <n v="5470.14"/>
    <n v="0"/>
  </r>
  <r>
    <x v="3611"/>
    <s v="Peconic Bay Medical Center"/>
    <n v="2015"/>
    <n v="7"/>
    <s v="Medicare"/>
    <x v="2"/>
    <s v="Medicare"/>
    <n v="69218.28"/>
    <n v="50465.120000000003"/>
    <n v="0"/>
  </r>
  <r>
    <x v="3612"/>
    <s v="Peconic Bay Medical Center"/>
    <n v="2015"/>
    <n v="7"/>
    <s v="Medicare"/>
    <x v="2"/>
    <s v="Medicare"/>
    <n v="71707.8"/>
    <n v="57131.59"/>
    <n v="0"/>
  </r>
  <r>
    <x v="3613"/>
    <s v="Peconic Bay Medical Center"/>
    <n v="2015"/>
    <n v="7"/>
    <s v="Medicare"/>
    <x v="2"/>
    <s v="Medicare"/>
    <n v="71970.399999999994"/>
    <n v="50606.34"/>
    <n v="0"/>
  </r>
  <r>
    <x v="3614"/>
    <s v="Peconic Bay Medical Center"/>
    <n v="2015"/>
    <n v="7"/>
    <s v="Medicare"/>
    <x v="2"/>
    <s v="Medicare"/>
    <n v="80078.16"/>
    <n v="62759.31"/>
    <n v="0"/>
  </r>
  <r>
    <x v="3615"/>
    <s v="Peconic Bay Medical Center"/>
    <n v="2015"/>
    <n v="7"/>
    <s v="Medicare"/>
    <x v="2"/>
    <s v="Medicare"/>
    <n v="77348.58"/>
    <n v="59094.36"/>
    <n v="0"/>
  </r>
  <r>
    <x v="3616"/>
    <s v="Peconic Bay Medical Center"/>
    <n v="2015"/>
    <n v="7"/>
    <s v="Medicare"/>
    <x v="2"/>
    <s v="Medicare"/>
    <n v="36013.26"/>
    <n v="11020.32"/>
    <n v="0"/>
  </r>
  <r>
    <x v="3617"/>
    <s v="Peconic Bay Medical Center"/>
    <n v="2015"/>
    <n v="7"/>
    <s v="Medicare"/>
    <x v="2"/>
    <s v="Medicare"/>
    <n v="12780.34"/>
    <n v="3731.91"/>
    <n v="0"/>
  </r>
  <r>
    <x v="3618"/>
    <s v="Peconic Bay Medical Center"/>
    <n v="2015"/>
    <n v="7"/>
    <s v="Medicare"/>
    <x v="2"/>
    <s v="Medicare"/>
    <n v="136956.73000000001"/>
    <n v="124031.73"/>
    <n v="0"/>
  </r>
  <r>
    <x v="3619"/>
    <s v="Peconic Bay Medical Center"/>
    <n v="2015"/>
    <n v="7"/>
    <s v="Medicare"/>
    <x v="2"/>
    <s v="Medicare"/>
    <n v="36962.14"/>
    <n v="10698.94"/>
    <n v="0"/>
  </r>
  <r>
    <x v="3620"/>
    <s v="Peconic Bay Medical Center"/>
    <n v="2015"/>
    <n v="7"/>
    <s v="Medicare"/>
    <x v="2"/>
    <s v="Medicare"/>
    <n v="66964.240000000005"/>
    <n v="49023.63"/>
    <n v="0"/>
  </r>
  <r>
    <x v="3621"/>
    <s v="Peconic Bay Medical Center"/>
    <n v="2015"/>
    <n v="7"/>
    <s v="Medicare"/>
    <x v="2"/>
    <s v="Medicare"/>
    <n v="45827.89"/>
    <n v="11330.53"/>
    <n v="0"/>
  </r>
  <r>
    <x v="3622"/>
    <s v="Peconic Bay Medical Center"/>
    <n v="2015"/>
    <n v="7"/>
    <s v="Medicare"/>
    <x v="2"/>
    <s v="Medicare"/>
    <n v="45003.76"/>
    <n v="14687.56"/>
    <n v="0"/>
  </r>
  <r>
    <x v="3623"/>
    <s v="Peconic Bay Medical Center"/>
    <n v="2015"/>
    <n v="7"/>
    <s v="Medicare"/>
    <x v="2"/>
    <s v="Medicare"/>
    <n v="64947.34"/>
    <n v="46225.24"/>
    <n v="0"/>
  </r>
  <r>
    <x v="3624"/>
    <s v="Peconic Bay Medical Center"/>
    <n v="2015"/>
    <n v="7"/>
    <s v="Medicare"/>
    <x v="2"/>
    <s v="Medicare"/>
    <n v="90301.94"/>
    <n v="44324.94"/>
    <n v="0"/>
  </r>
  <r>
    <x v="3625"/>
    <s v="Peconic Bay Medical Center"/>
    <n v="2015"/>
    <n v="7"/>
    <s v="Medicare"/>
    <x v="2"/>
    <s v="Medicare"/>
    <n v="23655.78"/>
    <n v="6098.96"/>
    <n v="0"/>
  </r>
  <r>
    <x v="3626"/>
    <s v="Peconic Bay Medical Center"/>
    <n v="2015"/>
    <n v="7"/>
    <s v="Medicare"/>
    <x v="2"/>
    <s v="Medicare"/>
    <n v="78886.759999999995"/>
    <n v="61608.1"/>
    <n v="0"/>
  </r>
  <r>
    <x v="3627"/>
    <s v="Peconic Bay Medical Center"/>
    <n v="2015"/>
    <n v="7"/>
    <s v="Medicare"/>
    <x v="2"/>
    <s v="Medicare"/>
    <n v="37126.839999999997"/>
    <n v="11931.97"/>
    <n v="0"/>
  </r>
  <r>
    <x v="3628"/>
    <s v="Peconic Bay Medical Center"/>
    <n v="2015"/>
    <n v="7"/>
    <s v="Medicare"/>
    <x v="2"/>
    <s v="Medicare"/>
    <n v="72799.86"/>
    <n v="55352.82"/>
    <n v="0"/>
  </r>
  <r>
    <x v="3629"/>
    <s v="Peconic Bay Medical Center"/>
    <n v="2015"/>
    <n v="7"/>
    <s v="Medicare"/>
    <x v="2"/>
    <s v="Medicare"/>
    <n v="7684.74"/>
    <n v="2116.4699999999998"/>
    <n v="0"/>
  </r>
  <r>
    <x v="3630"/>
    <s v="Peconic Bay Medical Center"/>
    <n v="2015"/>
    <n v="7"/>
    <s v="Medicare"/>
    <x v="2"/>
    <s v="Medicare"/>
    <n v="75831.44"/>
    <n v="56341.08"/>
    <n v="0"/>
  </r>
  <r>
    <x v="3631"/>
    <s v="Peconic Bay Medical Center"/>
    <n v="2015"/>
    <n v="7"/>
    <s v="Medicare"/>
    <x v="2"/>
    <s v="Medicare"/>
    <n v="30380.69"/>
    <n v="12869.26"/>
    <n v="0"/>
  </r>
  <r>
    <x v="3632"/>
    <s v="Peconic Bay Medical Center"/>
    <n v="2015"/>
    <n v="7"/>
    <s v="Medicare"/>
    <x v="2"/>
    <s v="Medicare"/>
    <n v="16069.38"/>
    <n v="4442.1099999999997"/>
    <n v="0"/>
  </r>
  <r>
    <x v="3633"/>
    <s v="Peconic Bay Medical Center"/>
    <n v="2015"/>
    <n v="7"/>
    <s v="Medicare"/>
    <x v="2"/>
    <s v="Medicare"/>
    <n v="67274.22"/>
    <n v="35257.199999999997"/>
    <n v="0"/>
  </r>
  <r>
    <x v="3634"/>
    <s v="Peconic Bay Medical Center"/>
    <n v="2015"/>
    <n v="7"/>
    <s v="Medicare"/>
    <x v="2"/>
    <s v="Medicare"/>
    <n v="62689.9"/>
    <n v="45628.41"/>
    <n v="0"/>
  </r>
  <r>
    <x v="3635"/>
    <s v="Peconic Bay Medical Center"/>
    <n v="2015"/>
    <n v="7"/>
    <s v="Medicare"/>
    <x v="2"/>
    <s v="Medicare"/>
    <n v="25849.16"/>
    <n v="7854.46"/>
    <n v="0"/>
  </r>
  <r>
    <x v="3636"/>
    <s v="Peconic Bay Medical Center"/>
    <n v="2015"/>
    <n v="7"/>
    <s v="Medicare"/>
    <x v="2"/>
    <s v="Medicare"/>
    <n v="64120.18"/>
    <n v="45798.73"/>
    <n v="0"/>
  </r>
  <r>
    <x v="3637"/>
    <s v="Peconic Bay Medical Center"/>
    <n v="2015"/>
    <n v="7"/>
    <s v="Medicare"/>
    <x v="2"/>
    <s v="Medicare"/>
    <n v="79114.44"/>
    <n v="29583.66"/>
    <n v="0"/>
  </r>
  <r>
    <x v="3638"/>
    <s v="Peconic Bay Medical Center"/>
    <n v="2015"/>
    <n v="7"/>
    <s v="Medicare"/>
    <x v="2"/>
    <s v="Medicare"/>
    <n v="52257.16"/>
    <n v="15942.62"/>
    <n v="0"/>
  </r>
  <r>
    <x v="3639"/>
    <s v="Peconic Bay Medical Center"/>
    <n v="2015"/>
    <n v="7"/>
    <s v="Medicare"/>
    <x v="2"/>
    <s v="Medicare"/>
    <n v="25028.74"/>
    <n v="6716.26"/>
    <n v="0"/>
  </r>
  <r>
    <x v="3640"/>
    <s v="Peconic Bay Medical Center"/>
    <n v="2015"/>
    <n v="7"/>
    <s v="Medicare"/>
    <x v="2"/>
    <s v="Medicare"/>
    <n v="75119.38"/>
    <n v="57635.46"/>
    <n v="0"/>
  </r>
  <r>
    <x v="3641"/>
    <s v="Peconic Bay Medical Center"/>
    <n v="2015"/>
    <n v="7"/>
    <s v="Medicare"/>
    <x v="2"/>
    <s v="Medicare"/>
    <n v="79127.66"/>
    <n v="40301.42"/>
    <n v="0"/>
  </r>
  <r>
    <x v="3642"/>
    <s v="Peconic Bay Medical Center"/>
    <n v="2015"/>
    <n v="7"/>
    <s v="Medicare"/>
    <x v="2"/>
    <s v="Medicare"/>
    <n v="62194.34"/>
    <n v="44540.84"/>
    <n v="0"/>
  </r>
  <r>
    <x v="3643"/>
    <s v="Peconic Bay Medical Center"/>
    <n v="2015"/>
    <n v="7"/>
    <s v="Medicare"/>
    <x v="2"/>
    <s v="Medicare"/>
    <n v="42847.26"/>
    <n v="8581.99"/>
    <n v="0"/>
  </r>
  <r>
    <x v="3644"/>
    <s v="Peconic Bay Medical Center"/>
    <n v="2015"/>
    <n v="7"/>
    <s v="Medicare"/>
    <x v="2"/>
    <s v="Medicare"/>
    <n v="80553.320000000007"/>
    <n v="61234.44"/>
    <n v="0"/>
  </r>
  <r>
    <x v="3645"/>
    <s v="Peconic Bay Medical Center"/>
    <n v="2015"/>
    <n v="7"/>
    <s v="Medicare"/>
    <x v="2"/>
    <s v="Medicare"/>
    <n v="10249.700000000001"/>
    <n v="2363.5"/>
    <n v="0"/>
  </r>
  <r>
    <x v="3646"/>
    <s v="Peconic Bay Medical Center"/>
    <n v="2015"/>
    <n v="7"/>
    <s v="Medicare"/>
    <x v="2"/>
    <s v="Medicare"/>
    <n v="72738.52"/>
    <n v="55785.91"/>
    <n v="0"/>
  </r>
  <r>
    <x v="3647"/>
    <s v="Peconic Bay Medical Center"/>
    <n v="2015"/>
    <n v="7"/>
    <s v="Medicare"/>
    <x v="2"/>
    <s v="Medicare"/>
    <n v="22065.56"/>
    <n v="6078.28"/>
    <n v="0"/>
  </r>
  <r>
    <x v="3648"/>
    <s v="Peconic Bay Medical Center"/>
    <n v="2015"/>
    <n v="7"/>
    <s v="Medicare"/>
    <x v="2"/>
    <s v="Medicare"/>
    <n v="31249.040000000001"/>
    <n v="7934.67"/>
    <n v="0"/>
  </r>
  <r>
    <x v="3649"/>
    <s v="Peconic Bay Medical Center"/>
    <n v="2015"/>
    <n v="7"/>
    <s v="Medicare"/>
    <x v="2"/>
    <s v="Medicare"/>
    <n v="34352.94"/>
    <n v="10356.36"/>
    <n v="0"/>
  </r>
  <r>
    <x v="3650"/>
    <s v="Peconic Bay Medical Center"/>
    <n v="2015"/>
    <n v="7"/>
    <s v="Medicare"/>
    <x v="2"/>
    <s v="Medicare"/>
    <n v="83462.240000000005"/>
    <n v="58755.53"/>
    <n v="0"/>
  </r>
  <r>
    <x v="3651"/>
    <s v="Peconic Bay Medical Center"/>
    <n v="2015"/>
    <n v="7"/>
    <s v="Medicare"/>
    <x v="2"/>
    <s v="Medicare"/>
    <n v="31601.74"/>
    <n v="8816.32"/>
    <n v="0"/>
  </r>
  <r>
    <x v="3652"/>
    <s v="Peconic Bay Medical Center"/>
    <n v="2015"/>
    <n v="7"/>
    <s v="Medicare"/>
    <x v="2"/>
    <s v="Medicare"/>
    <n v="64783.48"/>
    <n v="50533.11"/>
    <n v="0"/>
  </r>
  <r>
    <x v="3653"/>
    <s v="Peconic Bay Medical Center"/>
    <n v="2015"/>
    <n v="7"/>
    <s v="Medicare"/>
    <x v="2"/>
    <s v="Medicare"/>
    <n v="14651.98"/>
    <n v="4379.95"/>
    <n v="0"/>
  </r>
  <r>
    <x v="3654"/>
    <s v="Peconic Bay Medical Center"/>
    <n v="2015"/>
    <n v="7"/>
    <s v="Medicare"/>
    <x v="2"/>
    <s v="Medicare"/>
    <n v="129293.51"/>
    <n v="123107.23"/>
    <n v="0"/>
  </r>
  <r>
    <x v="3655"/>
    <s v="Peconic Bay Medical Center"/>
    <n v="2015"/>
    <n v="7"/>
    <s v="Medicare"/>
    <x v="2"/>
    <s v="Medicare"/>
    <n v="27094.080000000002"/>
    <n v="8257.27"/>
    <n v="0"/>
  </r>
  <r>
    <x v="3656"/>
    <s v="Peconic Bay Medical Center"/>
    <n v="2015"/>
    <n v="7"/>
    <s v="Medicare"/>
    <x v="2"/>
    <s v="Medicare"/>
    <n v="23554.38"/>
    <n v="6472.83"/>
    <n v="0"/>
  </r>
  <r>
    <x v="3657"/>
    <s v="Peconic Bay Medical Center"/>
    <n v="2015"/>
    <n v="7"/>
    <s v="Medicare"/>
    <x v="2"/>
    <s v="Medicare"/>
    <n v="56042.2"/>
    <n v="13854.8"/>
    <n v="0"/>
  </r>
  <r>
    <x v="3658"/>
    <s v="Peconic Bay Medical Center"/>
    <n v="2015"/>
    <n v="7"/>
    <s v="Medicare"/>
    <x v="2"/>
    <s v="Medicare"/>
    <n v="71215.3"/>
    <n v="54397.96"/>
    <n v="0"/>
  </r>
  <r>
    <x v="3659"/>
    <s v="Peconic Bay Medical Center"/>
    <n v="2015"/>
    <n v="7"/>
    <s v="Medicare"/>
    <x v="2"/>
    <s v="Medicare"/>
    <n v="49362.28"/>
    <n v="23212.65"/>
    <n v="0"/>
  </r>
  <r>
    <x v="3660"/>
    <s v="Peconic Bay Medical Center"/>
    <n v="2015"/>
    <n v="7"/>
    <s v="Medicare"/>
    <x v="2"/>
    <s v="Medicare"/>
    <n v="86078.88"/>
    <n v="32752.27"/>
    <n v="0"/>
  </r>
  <r>
    <x v="3661"/>
    <s v="Peconic Bay Medical Center"/>
    <n v="2015"/>
    <n v="7"/>
    <s v="Medicare"/>
    <x v="2"/>
    <s v="Medicare"/>
    <n v="65255.96"/>
    <n v="48351.88"/>
    <n v="0"/>
  </r>
  <r>
    <x v="3662"/>
    <s v="Peconic Bay Medical Center"/>
    <n v="2015"/>
    <n v="7"/>
    <s v="Medicare"/>
    <x v="2"/>
    <s v="Medicare"/>
    <n v="66630.179999999993"/>
    <n v="48942.94"/>
    <n v="0"/>
  </r>
  <r>
    <x v="3663"/>
    <s v="Peconic Bay Medical Center"/>
    <n v="2015"/>
    <n v="7"/>
    <s v="Medicare"/>
    <x v="2"/>
    <s v="Medicare"/>
    <n v="66660.070000000007"/>
    <n v="46952.9"/>
    <n v="0"/>
  </r>
  <r>
    <x v="3664"/>
    <s v="Peconic Bay Medical Center"/>
    <n v="2015"/>
    <n v="7"/>
    <s v="Medicare"/>
    <x v="2"/>
    <s v="Medicare"/>
    <n v="22515.7"/>
    <n v="6487.71"/>
    <n v="0"/>
  </r>
  <r>
    <x v="3665"/>
    <s v="Peconic Bay Medical Center"/>
    <n v="2015"/>
    <n v="7"/>
    <s v="Medicare"/>
    <x v="2"/>
    <s v="Medicare"/>
    <n v="79518.98"/>
    <n v="53943.94"/>
    <n v="0"/>
  </r>
  <r>
    <x v="3666"/>
    <s v="Peconic Bay Medical Center"/>
    <n v="2015"/>
    <n v="7"/>
    <s v="Medicare"/>
    <x v="2"/>
    <s v="Medicare"/>
    <n v="20167.3"/>
    <n v="4857.8"/>
    <n v="0"/>
  </r>
  <r>
    <x v="3667"/>
    <s v="Peconic Bay Medical Center"/>
    <n v="2015"/>
    <n v="7"/>
    <s v="Medicare"/>
    <x v="2"/>
    <s v="Medicare"/>
    <n v="72082.039999999994"/>
    <n v="34659.980000000003"/>
    <n v="0"/>
  </r>
  <r>
    <x v="3668"/>
    <s v="Peconic Bay Medical Center"/>
    <n v="2015"/>
    <n v="7"/>
    <s v="Medicare"/>
    <x v="2"/>
    <s v="Medicare"/>
    <n v="88205.94"/>
    <n v="62397.57"/>
    <n v="0"/>
  </r>
  <r>
    <x v="3669"/>
    <s v="Peconic Bay Medical Center"/>
    <n v="2015"/>
    <n v="7"/>
    <s v="Medicare"/>
    <x v="2"/>
    <s v="Medicare"/>
    <n v="41157.22"/>
    <n v="11998.17"/>
    <n v="0"/>
  </r>
  <r>
    <x v="3670"/>
    <s v="Peconic Bay Medical Center"/>
    <n v="2015"/>
    <n v="7"/>
    <s v="Medicare"/>
    <x v="2"/>
    <s v="Medicare"/>
    <n v="71391.22"/>
    <n v="57080.5"/>
    <n v="0"/>
  </r>
  <r>
    <x v="3671"/>
    <s v="Peconic Bay Medical Center"/>
    <n v="2015"/>
    <n v="7"/>
    <s v="Medicare"/>
    <x v="2"/>
    <s v="Medicare"/>
    <n v="66384.800000000003"/>
    <n v="48623"/>
    <n v="0"/>
  </r>
  <r>
    <x v="3672"/>
    <s v="Peconic Bay Medical Center"/>
    <n v="2015"/>
    <n v="7"/>
    <s v="Medicare"/>
    <x v="2"/>
    <s v="Medicare"/>
    <n v="32774.559999999998"/>
    <n v="9905.99"/>
    <n v="0"/>
  </r>
  <r>
    <x v="3673"/>
    <s v="Peconic Bay Medical Center"/>
    <n v="2015"/>
    <n v="7"/>
    <s v="Medicare"/>
    <x v="2"/>
    <s v="Medicare"/>
    <n v="30706.74"/>
    <n v="10369.56"/>
    <n v="0"/>
  </r>
  <r>
    <x v="3674"/>
    <s v="Peconic Bay Medical Center"/>
    <n v="2015"/>
    <n v="7"/>
    <s v="Medicare"/>
    <x v="2"/>
    <s v="Medicare"/>
    <n v="21531.56"/>
    <n v="5649.81"/>
    <n v="0"/>
  </r>
  <r>
    <x v="3675"/>
    <s v="Peconic Bay Medical Center"/>
    <n v="2015"/>
    <n v="7"/>
    <s v="Medicare"/>
    <x v="2"/>
    <s v="Medicare"/>
    <n v="77737.8"/>
    <n v="59138.66"/>
    <n v="0"/>
  </r>
  <r>
    <x v="3676"/>
    <s v="Peconic Bay Medical Center"/>
    <n v="2015"/>
    <n v="7"/>
    <s v="Medicare"/>
    <x v="2"/>
    <s v="Medicare"/>
    <n v="45001.78"/>
    <n v="14216.28"/>
    <n v="0"/>
  </r>
  <r>
    <x v="3677"/>
    <s v="Peconic Bay Medical Center"/>
    <n v="2015"/>
    <n v="7"/>
    <s v="Medicare"/>
    <x v="2"/>
    <s v="Medicare"/>
    <n v="76618.600000000006"/>
    <n v="27185.05"/>
    <n v="0"/>
  </r>
  <r>
    <x v="3678"/>
    <s v="Peconic Bay Medical Center"/>
    <n v="2015"/>
    <n v="7"/>
    <s v="Medicare"/>
    <x v="2"/>
    <s v="Medicare"/>
    <n v="84788.6"/>
    <n v="59355.88"/>
    <n v="0"/>
  </r>
  <r>
    <x v="3679"/>
    <s v="Peconic Bay Medical Center"/>
    <n v="2015"/>
    <n v="7"/>
    <s v="Medicare"/>
    <x v="2"/>
    <s v="Medicare"/>
    <n v="54501.64"/>
    <n v="21892.43"/>
    <n v="0"/>
  </r>
  <r>
    <x v="3680"/>
    <s v="Peconic Bay Medical Center"/>
    <n v="2015"/>
    <n v="7"/>
    <s v="Medicare"/>
    <x v="2"/>
    <s v="Medicare"/>
    <n v="34904.959999999999"/>
    <n v="8360.1"/>
    <n v="0"/>
  </r>
  <r>
    <x v="3681"/>
    <s v="Peconic Bay Medical Center"/>
    <n v="2015"/>
    <n v="7"/>
    <s v="Medicare"/>
    <x v="2"/>
    <s v="Medicare"/>
    <n v="62307.98"/>
    <n v="45291.51"/>
    <n v="0"/>
  </r>
  <r>
    <x v="3682"/>
    <s v="Peconic Bay Medical Center"/>
    <n v="2015"/>
    <n v="7"/>
    <s v="Medicare"/>
    <x v="2"/>
    <s v="Medicare"/>
    <n v="46222.12"/>
    <n v="13202.17"/>
    <n v="0"/>
  </r>
  <r>
    <x v="3683"/>
    <s v="Peconic Bay Medical Center"/>
    <n v="2015"/>
    <n v="7"/>
    <s v="Medicare"/>
    <x v="2"/>
    <s v="Medicare"/>
    <n v="18393.34"/>
    <n v="5509.11"/>
    <n v="0"/>
  </r>
  <r>
    <x v="3684"/>
    <s v="Peconic Bay Medical Center"/>
    <n v="2015"/>
    <n v="7"/>
    <s v="Medicare"/>
    <x v="2"/>
    <s v="Medicare"/>
    <n v="82505.259999999995"/>
    <n v="52334.96"/>
    <n v="0"/>
  </r>
  <r>
    <x v="3685"/>
    <s v="Peconic Bay Medical Center"/>
    <n v="2015"/>
    <n v="7"/>
    <s v="Medicare"/>
    <x v="2"/>
    <s v="Medicare"/>
    <n v="71923.48"/>
    <n v="54585.49"/>
    <n v="0"/>
  </r>
  <r>
    <x v="3686"/>
    <s v="Peconic Bay Medical Center"/>
    <n v="2015"/>
    <n v="7"/>
    <s v="Medicare"/>
    <x v="2"/>
    <s v="Medicare"/>
    <n v="31207.8"/>
    <n v="14618.18"/>
    <n v="0"/>
  </r>
  <r>
    <x v="3687"/>
    <s v="Peconic Bay Medical Center"/>
    <n v="2015"/>
    <n v="7"/>
    <s v="Medicare"/>
    <x v="2"/>
    <s v="Medicare"/>
    <n v="62561.04"/>
    <n v="18449.12"/>
    <n v="0"/>
  </r>
  <r>
    <x v="3688"/>
    <s v="Peconic Bay Medical Center"/>
    <n v="2015"/>
    <n v="7"/>
    <s v="Medicare"/>
    <x v="2"/>
    <s v="Medicare"/>
    <n v="62987.040000000001"/>
    <n v="42759.17"/>
    <n v="0"/>
  </r>
  <r>
    <x v="3689"/>
    <s v="Peconic Bay Medical Center"/>
    <n v="2015"/>
    <n v="7"/>
    <s v="Medicare"/>
    <x v="2"/>
    <s v="Medicare"/>
    <n v="45635.18"/>
    <n v="12980.75"/>
    <n v="0"/>
  </r>
  <r>
    <x v="3690"/>
    <s v="Peconic Bay Medical Center"/>
    <n v="2015"/>
    <n v="7"/>
    <s v="Medicare"/>
    <x v="2"/>
    <s v="Medicare"/>
    <n v="34021.4"/>
    <n v="18994.009999999998"/>
    <n v="0"/>
  </r>
  <r>
    <x v="3691"/>
    <s v="Peconic Bay Medical Center"/>
    <n v="2015"/>
    <n v="7"/>
    <s v="Medicare"/>
    <x v="2"/>
    <s v="Medicare"/>
    <n v="10864.72"/>
    <n v="3555.71"/>
    <n v="0"/>
  </r>
  <r>
    <x v="3692"/>
    <s v="Peconic Bay Medical Center"/>
    <n v="2015"/>
    <n v="7"/>
    <s v="Medicare"/>
    <x v="2"/>
    <s v="Medicare"/>
    <n v="16227.5"/>
    <n v="3088.26"/>
    <n v="0"/>
  </r>
  <r>
    <x v="3693"/>
    <s v="Peconic Bay Medical Center"/>
    <n v="2015"/>
    <n v="7"/>
    <s v="Medicare"/>
    <x v="2"/>
    <s v="Medicare"/>
    <n v="26874.799999999999"/>
    <n v="7631.43"/>
    <n v="0"/>
  </r>
  <r>
    <x v="3694"/>
    <s v="Peconic Bay Medical Center"/>
    <n v="2015"/>
    <n v="7"/>
    <s v="Medicare"/>
    <x v="2"/>
    <s v="Medicare"/>
    <n v="45986.1"/>
    <n v="13781.15"/>
    <n v="0"/>
  </r>
  <r>
    <x v="3695"/>
    <s v="Peconic Bay Medical Center"/>
    <n v="2015"/>
    <n v="7"/>
    <s v="Medicare"/>
    <x v="2"/>
    <s v="Medicare"/>
    <n v="64454.02"/>
    <n v="45813.25"/>
    <n v="0"/>
  </r>
  <r>
    <x v="3696"/>
    <s v="Peconic Bay Medical Center"/>
    <n v="2015"/>
    <n v="7"/>
    <s v="Medicare"/>
    <x v="2"/>
    <s v="Medicare"/>
    <n v="30301.98"/>
    <n v="9258.8700000000008"/>
    <n v="0"/>
  </r>
  <r>
    <x v="3697"/>
    <s v="Peconic Bay Medical Center"/>
    <n v="2015"/>
    <n v="7"/>
    <s v="Medicare"/>
    <x v="2"/>
    <s v="Medicare"/>
    <n v="16375.88"/>
    <n v="3616.46"/>
    <n v="0"/>
  </r>
  <r>
    <x v="3698"/>
    <s v="Peconic Bay Medical Center"/>
    <n v="2015"/>
    <n v="7"/>
    <s v="Medicare"/>
    <x v="2"/>
    <s v="Medicare"/>
    <n v="61337.5"/>
    <n v="42396.7"/>
    <n v="0"/>
  </r>
  <r>
    <x v="3699"/>
    <s v="Peconic Bay Medical Center"/>
    <n v="2015"/>
    <n v="7"/>
    <s v="Medicare"/>
    <x v="2"/>
    <s v="Medicare"/>
    <n v="18265.05"/>
    <n v="10373.15"/>
    <n v="0"/>
  </r>
  <r>
    <x v="3700"/>
    <s v="Peconic Bay Medical Center"/>
    <n v="2015"/>
    <n v="7"/>
    <s v="Medicare"/>
    <x v="2"/>
    <s v="Medicare"/>
    <n v="46349.7"/>
    <n v="17436.22"/>
    <n v="0"/>
  </r>
  <r>
    <x v="3701"/>
    <s v="Peconic Bay Medical Center"/>
    <n v="2015"/>
    <n v="7"/>
    <s v="Medicare"/>
    <x v="2"/>
    <s v="Medicare"/>
    <n v="41627"/>
    <n v="10221.549999999999"/>
    <n v="0"/>
  </r>
  <r>
    <x v="3702"/>
    <s v="Peconic Bay Medical Center"/>
    <n v="2015"/>
    <n v="7"/>
    <s v="Medicare"/>
    <x v="2"/>
    <s v="Medicare"/>
    <n v="40779.599999999999"/>
    <n v="18681.95"/>
    <n v="0"/>
  </r>
  <r>
    <x v="3703"/>
    <s v="Peconic Bay Medical Center"/>
    <n v="2015"/>
    <n v="7"/>
    <s v="Medicare"/>
    <x v="2"/>
    <s v="Medicare"/>
    <n v="63784.82"/>
    <n v="45032.56"/>
    <n v="0"/>
  </r>
  <r>
    <x v="3704"/>
    <s v="Peconic Bay Medical Center"/>
    <n v="2015"/>
    <n v="7"/>
    <s v="Medicare"/>
    <x v="2"/>
    <s v="Medicare"/>
    <n v="26660.16"/>
    <n v="7543.16"/>
    <n v="0"/>
  </r>
  <r>
    <x v="3705"/>
    <s v="Peconic Bay Medical Center"/>
    <n v="2015"/>
    <n v="7"/>
    <s v="Medicare"/>
    <x v="2"/>
    <s v="Medicare"/>
    <n v="27434.1"/>
    <n v="6267.53"/>
    <n v="0"/>
  </r>
  <r>
    <x v="3706"/>
    <s v="Peconic Bay Medical Center"/>
    <n v="2015"/>
    <n v="7"/>
    <s v="Medicare"/>
    <x v="2"/>
    <s v="Medicare"/>
    <n v="80892.66"/>
    <n v="43785.87"/>
    <n v="0"/>
  </r>
  <r>
    <x v="3707"/>
    <s v="Peconic Bay Medical Center"/>
    <n v="2015"/>
    <n v="7"/>
    <s v="Medicare"/>
    <x v="2"/>
    <s v="Medicare"/>
    <n v="16461.080000000002"/>
    <n v="4197.2299999999996"/>
    <n v="0"/>
  </r>
  <r>
    <x v="3708"/>
    <s v="Peconic Bay Medical Center"/>
    <n v="2015"/>
    <n v="7"/>
    <s v="Medicare"/>
    <x v="2"/>
    <s v="Medicare"/>
    <n v="43468.62"/>
    <n v="10336.959999999999"/>
    <n v="0"/>
  </r>
  <r>
    <x v="3709"/>
    <s v="Peconic Bay Medical Center"/>
    <n v="2015"/>
    <n v="7"/>
    <s v="Medicare"/>
    <x v="2"/>
    <s v="Medicare"/>
    <n v="59455.519999999997"/>
    <n v="41942.46"/>
    <n v="0"/>
  </r>
  <r>
    <x v="3710"/>
    <s v="Peconic Bay Medical Center"/>
    <n v="2015"/>
    <n v="7"/>
    <s v="Medicare"/>
    <x v="2"/>
    <s v="Medicare"/>
    <n v="25354.16"/>
    <n v="13601.01"/>
    <n v="0"/>
  </r>
  <r>
    <x v="3711"/>
    <s v="Peconic Bay Medical Center"/>
    <n v="2015"/>
    <n v="7"/>
    <s v="Medicare"/>
    <x v="2"/>
    <s v="Medicare"/>
    <n v="29087.52"/>
    <n v="8706.7999999999993"/>
    <n v="0"/>
  </r>
  <r>
    <x v="3712"/>
    <s v="Peconic Bay Medical Center"/>
    <n v="2015"/>
    <n v="7"/>
    <s v="Medicare"/>
    <x v="2"/>
    <s v="Medicare"/>
    <n v="17032.86"/>
    <n v="5388.09"/>
    <n v="0"/>
  </r>
  <r>
    <x v="3713"/>
    <s v="Peconic Bay Medical Center"/>
    <n v="2015"/>
    <n v="7"/>
    <s v="Medicare"/>
    <x v="2"/>
    <s v="Medicare"/>
    <n v="62533.54"/>
    <n v="42596.36"/>
    <n v="0"/>
  </r>
  <r>
    <x v="3714"/>
    <s v="Peconic Bay Medical Center"/>
    <n v="2015"/>
    <n v="7"/>
    <s v="Medicare"/>
    <x v="2"/>
    <s v="Medicare"/>
    <n v="57910.080000000002"/>
    <n v="34796.35"/>
    <n v="0"/>
  </r>
  <r>
    <x v="3715"/>
    <s v="Peconic Bay Medical Center"/>
    <n v="2015"/>
    <n v="7"/>
    <s v="Medicare"/>
    <x v="2"/>
    <s v="Medicare"/>
    <n v="8993.8799999999992"/>
    <n v="2545.84"/>
    <n v="0"/>
  </r>
  <r>
    <x v="3716"/>
    <s v="Peconic Bay Medical Center"/>
    <n v="2015"/>
    <n v="7"/>
    <s v="Medicare"/>
    <x v="2"/>
    <s v="Medicare"/>
    <n v="61335.91"/>
    <n v="48161.21"/>
    <n v="0"/>
  </r>
  <r>
    <x v="3717"/>
    <s v="Peconic Bay Medical Center"/>
    <n v="2015"/>
    <n v="7"/>
    <s v="Medicare"/>
    <x v="2"/>
    <s v="Medicare"/>
    <n v="61881.74"/>
    <n v="47580.67"/>
    <n v="0"/>
  </r>
  <r>
    <x v="3718"/>
    <s v="Peconic Bay Medical Center"/>
    <n v="2015"/>
    <n v="7"/>
    <s v="Medicare"/>
    <x v="2"/>
    <s v="Medicare"/>
    <n v="23905.16"/>
    <n v="3599.82"/>
    <n v="0"/>
  </r>
  <r>
    <x v="3719"/>
    <s v="Peconic Bay Medical Center"/>
    <n v="2015"/>
    <n v="7"/>
    <s v="Medicare"/>
    <x v="2"/>
    <s v="Medicare"/>
    <n v="97912.58"/>
    <n v="31598.11"/>
    <n v="0"/>
  </r>
  <r>
    <x v="3720"/>
    <s v="Peconic Bay Medical Center"/>
    <n v="2015"/>
    <n v="7"/>
    <s v="Medicare"/>
    <x v="2"/>
    <s v="Medicare"/>
    <n v="19057.46"/>
    <n v="4885.47"/>
    <n v="0"/>
  </r>
  <r>
    <x v="3721"/>
    <s v="Peconic Bay Medical Center"/>
    <n v="2015"/>
    <n v="7"/>
    <s v="Medicare"/>
    <x v="2"/>
    <s v="Medicare"/>
    <n v="41773.300000000003"/>
    <n v="11659.52"/>
    <n v="0"/>
  </r>
  <r>
    <x v="3722"/>
    <s v="Peconic Bay Medical Center"/>
    <n v="2015"/>
    <n v="7"/>
    <s v="Medicare"/>
    <x v="2"/>
    <s v="Medicare"/>
    <n v="42669.88"/>
    <n v="13527.46"/>
    <n v="0"/>
  </r>
  <r>
    <x v="3723"/>
    <s v="Peconic Bay Medical Center"/>
    <n v="2015"/>
    <n v="7"/>
    <s v="Medicare"/>
    <x v="2"/>
    <s v="Medicare"/>
    <n v="9533.92"/>
    <n v="2552.14"/>
    <n v="0"/>
  </r>
  <r>
    <x v="3724"/>
    <s v="Peconic Bay Medical Center"/>
    <n v="2015"/>
    <n v="7"/>
    <s v="Medicare"/>
    <x v="2"/>
    <s v="Medicare"/>
    <n v="18562.86"/>
    <n v="5041.5600000000004"/>
    <n v="0"/>
  </r>
  <r>
    <x v="3725"/>
    <s v="Peconic Bay Medical Center"/>
    <n v="2015"/>
    <n v="7"/>
    <s v="Medicare"/>
    <x v="2"/>
    <s v="Medicare"/>
    <n v="67181"/>
    <n v="49069.15"/>
    <n v="0"/>
  </r>
  <r>
    <x v="3726"/>
    <s v="Peconic Bay Medical Center"/>
    <n v="2015"/>
    <n v="7"/>
    <s v="Medicare"/>
    <x v="2"/>
    <s v="Medicare"/>
    <n v="25173.08"/>
    <n v="7277.73"/>
    <n v="0"/>
  </r>
  <r>
    <x v="3727"/>
    <s v="Peconic Bay Medical Center"/>
    <n v="2015"/>
    <n v="7"/>
    <s v="Medicare"/>
    <x v="2"/>
    <s v="Medicare"/>
    <n v="15334.92"/>
    <n v="4632.3599999999997"/>
    <n v="0"/>
  </r>
  <r>
    <x v="3728"/>
    <s v="Peconic Bay Medical Center"/>
    <n v="2015"/>
    <n v="7"/>
    <s v="Medicare"/>
    <x v="2"/>
    <s v="Medicare"/>
    <n v="25104.86"/>
    <n v="13298.17"/>
    <n v="0"/>
  </r>
  <r>
    <x v="3729"/>
    <s v="Peconic Bay Medical Center"/>
    <n v="2015"/>
    <n v="7"/>
    <s v="Medicare"/>
    <x v="2"/>
    <s v="Medicare"/>
    <n v="32002.78"/>
    <n v="10191.86"/>
    <n v="0"/>
  </r>
  <r>
    <x v="3730"/>
    <s v="Peconic Bay Medical Center"/>
    <n v="2015"/>
    <n v="7"/>
    <s v="Medicare"/>
    <x v="2"/>
    <s v="Medicare"/>
    <n v="48821.26"/>
    <n v="12782.25"/>
    <n v="0"/>
  </r>
  <r>
    <x v="3731"/>
    <s v="Peconic Bay Medical Center"/>
    <n v="2015"/>
    <n v="7"/>
    <s v="Medicare"/>
    <x v="2"/>
    <s v="Medicare"/>
    <n v="58519.38"/>
    <n v="44710.14"/>
    <n v="0"/>
  </r>
  <r>
    <x v="3732"/>
    <s v="Peconic Bay Medical Center"/>
    <n v="2015"/>
    <n v="7"/>
    <s v="Medicare"/>
    <x v="2"/>
    <s v="Medicare"/>
    <n v="42234.879999999997"/>
    <n v="11344.15"/>
    <n v="0"/>
  </r>
  <r>
    <x v="3733"/>
    <s v="Peconic Bay Medical Center"/>
    <n v="2015"/>
    <n v="7"/>
    <s v="Medicare"/>
    <x v="2"/>
    <s v="Medicare"/>
    <n v="19636.8"/>
    <n v="3466.6"/>
    <n v="0"/>
  </r>
  <r>
    <x v="3734"/>
    <s v="Peconic Bay Medical Center"/>
    <n v="2015"/>
    <n v="7"/>
    <s v="Medicare"/>
    <x v="2"/>
    <s v="Medicare"/>
    <n v="32405.200000000001"/>
    <n v="10459.280000000001"/>
    <n v="0"/>
  </r>
  <r>
    <x v="3735"/>
    <s v="Peconic Bay Medical Center"/>
    <n v="2015"/>
    <n v="7"/>
    <s v="Medicare"/>
    <x v="2"/>
    <s v="Medicare"/>
    <n v="37786.42"/>
    <n v="11223.2"/>
    <n v="0"/>
  </r>
  <r>
    <x v="3736"/>
    <s v="Peconic Bay Medical Center"/>
    <n v="2015"/>
    <n v="7"/>
    <s v="Medicare"/>
    <x v="2"/>
    <s v="Medicare"/>
    <n v="20834.919999999998"/>
    <n v="9524.65"/>
    <n v="0"/>
  </r>
  <r>
    <x v="3737"/>
    <s v="Peconic Bay Medical Center"/>
    <n v="2015"/>
    <n v="7"/>
    <s v="Medicare"/>
    <x v="2"/>
    <s v="Medicare"/>
    <n v="18847"/>
    <n v="5681"/>
    <n v="0"/>
  </r>
  <r>
    <x v="3738"/>
    <s v="Peconic Bay Medical Center"/>
    <n v="2015"/>
    <n v="7"/>
    <s v="Medicare"/>
    <x v="2"/>
    <s v="Medicare"/>
    <n v="74951.100000000006"/>
    <n v="57587.14"/>
    <n v="0"/>
  </r>
  <r>
    <x v="3739"/>
    <s v="Peconic Bay Medical Center"/>
    <n v="2015"/>
    <n v="7"/>
    <s v="Medicare"/>
    <x v="2"/>
    <s v="Medicare"/>
    <n v="19196.54"/>
    <n v="5832.46"/>
    <n v="0"/>
  </r>
  <r>
    <x v="3740"/>
    <s v="Peconic Bay Medical Center"/>
    <n v="2015"/>
    <n v="7"/>
    <s v="Medicare"/>
    <x v="2"/>
    <s v="Medicare"/>
    <n v="69227.28"/>
    <n v="54028.45"/>
    <n v="0"/>
  </r>
  <r>
    <x v="3741"/>
    <s v="Peconic Bay Medical Center"/>
    <n v="2015"/>
    <n v="7"/>
    <s v="Medicare"/>
    <x v="2"/>
    <s v="Medicare"/>
    <n v="41418.519999999997"/>
    <n v="29150.51"/>
    <n v="0"/>
  </r>
  <r>
    <x v="3742"/>
    <s v="Peconic Bay Medical Center"/>
    <n v="2015"/>
    <n v="7"/>
    <s v="Medicare"/>
    <x v="2"/>
    <s v="Medicare"/>
    <n v="42904.26"/>
    <n v="18175.189999999999"/>
    <n v="0"/>
  </r>
  <r>
    <x v="3743"/>
    <s v="Peconic Bay Medical Center"/>
    <n v="2015"/>
    <n v="7"/>
    <s v="Medicare"/>
    <x v="2"/>
    <s v="Medicare"/>
    <n v="53799.56"/>
    <n v="16414.939999999999"/>
    <n v="0"/>
  </r>
  <r>
    <x v="3744"/>
    <s v="Peconic Bay Medical Center"/>
    <n v="2015"/>
    <n v="7"/>
    <s v="Medicare"/>
    <x v="2"/>
    <s v="Medicare"/>
    <n v="16506.62"/>
    <n v="4177.57"/>
    <n v="0"/>
  </r>
  <r>
    <x v="3745"/>
    <s v="Peconic Bay Medical Center"/>
    <n v="2015"/>
    <n v="7"/>
    <s v="Medicare"/>
    <x v="2"/>
    <s v="Medicare"/>
    <n v="123448.31"/>
    <n v="117064.83"/>
    <n v="0"/>
  </r>
  <r>
    <x v="3746"/>
    <s v="Peconic Bay Medical Center"/>
    <n v="2015"/>
    <n v="7"/>
    <s v="Medicare"/>
    <x v="2"/>
    <s v="Medicare"/>
    <n v="20867.16"/>
    <n v="6397.43"/>
    <n v="0"/>
  </r>
  <r>
    <x v="3747"/>
    <s v="Peconic Bay Medical Center"/>
    <n v="2015"/>
    <n v="7"/>
    <s v="Medicare"/>
    <x v="2"/>
    <s v="Medicare"/>
    <n v="74081.259999999995"/>
    <n v="57369.63"/>
    <n v="0"/>
  </r>
  <r>
    <x v="3748"/>
    <s v="Peconic Bay Medical Center"/>
    <n v="2015"/>
    <n v="7"/>
    <s v="Medicare"/>
    <x v="2"/>
    <s v="Medicare"/>
    <n v="20358.240000000002"/>
    <n v="6195.84"/>
    <n v="0"/>
  </r>
  <r>
    <x v="3749"/>
    <s v="Peconic Bay Medical Center"/>
    <n v="2015"/>
    <n v="7"/>
    <s v="Medicare"/>
    <x v="2"/>
    <s v="Medicare"/>
    <n v="18251.3"/>
    <n v="5541.02"/>
    <n v="0"/>
  </r>
  <r>
    <x v="3750"/>
    <s v="Peconic Bay Medical Center"/>
    <n v="2015"/>
    <n v="7"/>
    <s v="Medicare"/>
    <x v="2"/>
    <s v="Medicare"/>
    <n v="17691.849999999999"/>
    <n v="9657.7800000000007"/>
    <n v="0"/>
  </r>
  <r>
    <x v="3751"/>
    <s v="Peconic Bay Medical Center"/>
    <n v="2015"/>
    <n v="7"/>
    <s v="Medicare"/>
    <x v="2"/>
    <s v="Medicare"/>
    <n v="94131"/>
    <n v="43101.91"/>
    <n v="0"/>
  </r>
  <r>
    <x v="3752"/>
    <s v="Peconic Bay Medical Center"/>
    <n v="2015"/>
    <n v="7"/>
    <s v="Medicare"/>
    <x v="2"/>
    <s v="Medicare"/>
    <n v="71812.56"/>
    <n v="55136.78"/>
    <n v="0"/>
  </r>
  <r>
    <x v="3753"/>
    <s v="Peconic Bay Medical Center"/>
    <n v="2015"/>
    <n v="7"/>
    <s v="Medicare"/>
    <x v="2"/>
    <s v="Medicare"/>
    <n v="119943.02"/>
    <n v="40520.1"/>
    <n v="0"/>
  </r>
  <r>
    <x v="3754"/>
    <s v="Peconic Bay Medical Center"/>
    <n v="2015"/>
    <n v="7"/>
    <s v="Medicare"/>
    <x v="2"/>
    <s v="Medicare"/>
    <n v="25136.76"/>
    <n v="6491.46"/>
    <n v="0"/>
  </r>
  <r>
    <x v="3755"/>
    <s v="Peconic Bay Medical Center"/>
    <n v="2015"/>
    <n v="7"/>
    <s v="Medicare"/>
    <x v="2"/>
    <s v="Medicare"/>
    <n v="73163.38"/>
    <n v="55629.11"/>
    <n v="0"/>
  </r>
  <r>
    <x v="3756"/>
    <s v="Peconic Bay Medical Center"/>
    <n v="2015"/>
    <n v="7"/>
    <s v="Medicare"/>
    <x v="2"/>
    <s v="Medicare"/>
    <n v="73493.66"/>
    <n v="54986.17"/>
    <n v="0"/>
  </r>
  <r>
    <x v="3757"/>
    <s v="Peconic Bay Medical Center"/>
    <n v="2015"/>
    <n v="7"/>
    <s v="Medicare"/>
    <x v="2"/>
    <s v="Medicare"/>
    <n v="63378.28"/>
    <n v="44638.46"/>
    <n v="0"/>
  </r>
  <r>
    <x v="3758"/>
    <s v="Peconic Bay Medical Center"/>
    <n v="2015"/>
    <n v="7"/>
    <s v="Medicare"/>
    <x v="2"/>
    <s v="Medicare"/>
    <n v="21973.42"/>
    <n v="6183.31"/>
    <n v="0"/>
  </r>
  <r>
    <x v="3759"/>
    <s v="Peconic Bay Medical Center"/>
    <n v="2015"/>
    <n v="7"/>
    <s v="Medicare"/>
    <x v="2"/>
    <s v="Medicare"/>
    <n v="13038.86"/>
    <n v="2653.82"/>
    <n v="0"/>
  </r>
  <r>
    <x v="3760"/>
    <s v="Peconic Bay Medical Center"/>
    <n v="2015"/>
    <n v="7"/>
    <s v="Medicare"/>
    <x v="2"/>
    <s v="Medicare"/>
    <n v="85402.559999999998"/>
    <n v="60760.480000000003"/>
    <n v="0"/>
  </r>
  <r>
    <x v="3761"/>
    <s v="Peconic Bay Medical Center"/>
    <n v="2015"/>
    <n v="7"/>
    <s v="Medicare"/>
    <x v="2"/>
    <s v="Medicare"/>
    <n v="73471.98"/>
    <n v="57000.03"/>
    <n v="0"/>
  </r>
  <r>
    <x v="3762"/>
    <s v="Peconic Bay Medical Center"/>
    <n v="2015"/>
    <n v="7"/>
    <s v="Medicare"/>
    <x v="2"/>
    <s v="Medicare"/>
    <n v="10909.64"/>
    <n v="2439.86"/>
    <n v="0"/>
  </r>
  <r>
    <x v="3763"/>
    <s v="Peconic Bay Medical Center"/>
    <n v="2015"/>
    <n v="7"/>
    <s v="Medicare"/>
    <x v="2"/>
    <s v="Medicare"/>
    <n v="69205.100000000006"/>
    <n v="47559.02"/>
    <n v="0"/>
  </r>
  <r>
    <x v="3764"/>
    <s v="Peconic Bay Medical Center"/>
    <n v="2015"/>
    <n v="7"/>
    <s v="Medicare"/>
    <x v="2"/>
    <s v="Medicare"/>
    <n v="104804.84"/>
    <n v="86916.2"/>
    <n v="0"/>
  </r>
  <r>
    <x v="3765"/>
    <s v="Peconic Bay Medical Center"/>
    <n v="2015"/>
    <n v="7"/>
    <s v="Medicare"/>
    <x v="2"/>
    <s v="Medicare"/>
    <n v="49554.7"/>
    <n v="14918.69"/>
    <n v="0"/>
  </r>
  <r>
    <x v="3766"/>
    <s v="Peconic Bay Medical Center"/>
    <n v="2015"/>
    <n v="7"/>
    <s v="Medicare"/>
    <x v="2"/>
    <s v="Medicare"/>
    <n v="74178.2"/>
    <n v="51120.41"/>
    <n v="0"/>
  </r>
  <r>
    <x v="3767"/>
    <s v="Peconic Bay Medical Center"/>
    <n v="2015"/>
    <n v="7"/>
    <s v="Medicare"/>
    <x v="2"/>
    <s v="Medicare"/>
    <n v="40633.919999999998"/>
    <n v="10050.68"/>
    <n v="0"/>
  </r>
  <r>
    <x v="3768"/>
    <s v="Peconic Bay Medical Center"/>
    <n v="2015"/>
    <n v="7"/>
    <s v="Medicare"/>
    <x v="2"/>
    <s v="Medicare"/>
    <n v="33956.660000000003"/>
    <n v="15159.55"/>
    <n v="0"/>
  </r>
  <r>
    <x v="3769"/>
    <s v="Peconic Bay Medical Center"/>
    <n v="2015"/>
    <n v="7"/>
    <s v="Medicare"/>
    <x v="2"/>
    <s v="Medicare"/>
    <n v="14414.52"/>
    <n v="3169.53"/>
    <n v="0"/>
  </r>
  <r>
    <x v="3770"/>
    <s v="Peconic Bay Medical Center"/>
    <n v="2015"/>
    <n v="7"/>
    <s v="Medicare"/>
    <x v="2"/>
    <s v="Medicare"/>
    <n v="41428.94"/>
    <n v="24943.1"/>
    <n v="0"/>
  </r>
  <r>
    <x v="3771"/>
    <s v="Peconic Bay Medical Center"/>
    <n v="2015"/>
    <n v="7"/>
    <s v="Medicare"/>
    <x v="2"/>
    <s v="Medicare"/>
    <n v="65952.740000000005"/>
    <n v="48263.74"/>
    <n v="0"/>
  </r>
  <r>
    <x v="3772"/>
    <s v="Peconic Bay Medical Center"/>
    <n v="2015"/>
    <n v="7"/>
    <s v="Medicare"/>
    <x v="2"/>
    <s v="Medicare"/>
    <n v="67764.44"/>
    <n v="53700.25"/>
    <n v="0"/>
  </r>
  <r>
    <x v="3773"/>
    <s v="Peconic Bay Medical Center"/>
    <n v="2015"/>
    <n v="7"/>
    <s v="Medicare"/>
    <x v="2"/>
    <s v="Medicare"/>
    <n v="16943.48"/>
    <n v="3278.26"/>
    <n v="0"/>
  </r>
  <r>
    <x v="3774"/>
    <s v="Peconic Bay Medical Center"/>
    <n v="2015"/>
    <n v="7"/>
    <s v="Medicare"/>
    <x v="2"/>
    <s v="Medicare"/>
    <n v="171623.72"/>
    <n v="153917.13"/>
    <n v="0"/>
  </r>
  <r>
    <x v="3775"/>
    <s v="Peconic Bay Medical Center"/>
    <n v="2015"/>
    <n v="7"/>
    <s v="Medicare"/>
    <x v="2"/>
    <s v="Medicare"/>
    <n v="73912.62"/>
    <n v="21082.17"/>
    <n v="0"/>
  </r>
  <r>
    <x v="3776"/>
    <s v="Peconic Bay Medical Center"/>
    <n v="2015"/>
    <n v="7"/>
    <s v="Medicare"/>
    <x v="2"/>
    <s v="Medicare"/>
    <n v="93945.84"/>
    <n v="59031.12"/>
    <n v="0"/>
  </r>
  <r>
    <x v="3777"/>
    <s v="Peconic Bay Medical Center"/>
    <n v="2015"/>
    <n v="7"/>
    <s v="Medicare"/>
    <x v="2"/>
    <s v="Medicare"/>
    <n v="56149.96"/>
    <n v="24711.01"/>
    <n v="0"/>
  </r>
  <r>
    <x v="3778"/>
    <s v="Peconic Bay Medical Center"/>
    <n v="2015"/>
    <n v="7"/>
    <s v="Medicare"/>
    <x v="2"/>
    <s v="Medicare"/>
    <n v="32957.74"/>
    <n v="9178.0300000000007"/>
    <n v="0"/>
  </r>
  <r>
    <x v="3779"/>
    <s v="Peconic Bay Medical Center"/>
    <n v="2015"/>
    <n v="7"/>
    <s v="Medicare"/>
    <x v="2"/>
    <s v="Medicare"/>
    <n v="53415.19"/>
    <n v="32815.29"/>
    <n v="0"/>
  </r>
  <r>
    <x v="3780"/>
    <s v="Peconic Bay Medical Center"/>
    <n v="2015"/>
    <n v="7"/>
    <s v="Medicare"/>
    <x v="2"/>
    <s v="Medicare"/>
    <n v="29382.86"/>
    <n v="8723.3799999999992"/>
    <n v="0"/>
  </r>
  <r>
    <x v="3781"/>
    <s v="Peconic Bay Medical Center"/>
    <n v="2015"/>
    <n v="7"/>
    <s v="Medicare"/>
    <x v="2"/>
    <s v="Medicare"/>
    <n v="11363.7"/>
    <n v="2975.57"/>
    <n v="0"/>
  </r>
  <r>
    <x v="3782"/>
    <s v="Peconic Bay Medical Center"/>
    <n v="2015"/>
    <n v="7"/>
    <s v="Medicare"/>
    <x v="2"/>
    <s v="Medicare"/>
    <n v="77102.48"/>
    <n v="59040.41"/>
    <n v="0"/>
  </r>
  <r>
    <x v="3783"/>
    <s v="Peconic Bay Medical Center"/>
    <n v="2015"/>
    <n v="7"/>
    <s v="Medicare"/>
    <x v="2"/>
    <s v="Medicare"/>
    <n v="85050.9"/>
    <n v="25410.65"/>
    <n v="0"/>
  </r>
  <r>
    <x v="3784"/>
    <s v="Peconic Bay Medical Center"/>
    <n v="2015"/>
    <n v="7"/>
    <s v="Medicare"/>
    <x v="2"/>
    <s v="Medicare"/>
    <n v="63581.24"/>
    <n v="46461.1"/>
    <n v="0"/>
  </r>
  <r>
    <x v="3785"/>
    <s v="Peconic Bay Medical Center"/>
    <n v="2015"/>
    <n v="7"/>
    <s v="Medicare"/>
    <x v="2"/>
    <s v="Medicare"/>
    <n v="24627.32"/>
    <n v="6320.52"/>
    <n v="0"/>
  </r>
  <r>
    <x v="3786"/>
    <s v="Peconic Bay Medical Center"/>
    <n v="2015"/>
    <n v="7"/>
    <s v="Medicare"/>
    <x v="2"/>
    <s v="Medicare"/>
    <n v="64740.639999999999"/>
    <n v="46615.59"/>
    <n v="0"/>
  </r>
  <r>
    <x v="3787"/>
    <s v="Peconic Bay Medical Center"/>
    <n v="2015"/>
    <n v="7"/>
    <s v="Medicare"/>
    <x v="2"/>
    <s v="Medicare"/>
    <n v="72940.14"/>
    <n v="55575.07"/>
    <n v="0"/>
  </r>
  <r>
    <x v="3788"/>
    <s v="Peconic Bay Medical Center"/>
    <n v="2015"/>
    <n v="7"/>
    <s v="Medicare"/>
    <x v="2"/>
    <s v="Medicare"/>
    <n v="24990.44"/>
    <n v="7718.78"/>
    <n v="0"/>
  </r>
  <r>
    <x v="3789"/>
    <s v="Peconic Bay Medical Center"/>
    <n v="2015"/>
    <n v="7"/>
    <s v="Medicare"/>
    <x v="2"/>
    <s v="Medicare"/>
    <n v="58878.6"/>
    <n v="44799.61"/>
    <n v="0"/>
  </r>
  <r>
    <x v="3790"/>
    <s v="Peconic Bay Medical Center"/>
    <n v="2015"/>
    <n v="7"/>
    <s v="Medicare"/>
    <x v="2"/>
    <s v="Medicare"/>
    <n v="40852.99"/>
    <n v="26876.1"/>
    <n v="0"/>
  </r>
  <r>
    <x v="3791"/>
    <s v="Peconic Bay Medical Center"/>
    <n v="2015"/>
    <n v="7"/>
    <s v="Medicare"/>
    <x v="2"/>
    <s v="Medicare"/>
    <n v="20262.099999999999"/>
    <n v="6095.51"/>
    <n v="0"/>
  </r>
  <r>
    <x v="3792"/>
    <s v="Peconic Bay Medical Center"/>
    <n v="2015"/>
    <n v="7"/>
    <s v="Medicare"/>
    <x v="2"/>
    <s v="Medicare"/>
    <n v="31045.599999999999"/>
    <n v="8710.4699999999993"/>
    <n v="0"/>
  </r>
  <r>
    <x v="3793"/>
    <s v="Peconic Bay Medical Center"/>
    <n v="2015"/>
    <n v="7"/>
    <s v="Medicare"/>
    <x v="2"/>
    <s v="Medicare"/>
    <n v="50506.43"/>
    <n v="37464.980000000003"/>
    <n v="0"/>
  </r>
  <r>
    <x v="3794"/>
    <s v="Peconic Bay Medical Center"/>
    <n v="2015"/>
    <n v="7"/>
    <s v="Medicare"/>
    <x v="2"/>
    <s v="Medicare"/>
    <n v="61741.24"/>
    <n v="45222.64"/>
    <n v="0"/>
  </r>
  <r>
    <x v="3795"/>
    <s v="Peconic Bay Medical Center"/>
    <n v="2015"/>
    <n v="7"/>
    <s v="Medicare"/>
    <x v="2"/>
    <s v="Medicare"/>
    <n v="18487.36"/>
    <n v="6238.19"/>
    <n v="0"/>
  </r>
  <r>
    <x v="3796"/>
    <s v="Peconic Bay Medical Center"/>
    <n v="2015"/>
    <n v="7"/>
    <s v="Medicare"/>
    <x v="2"/>
    <s v="Medicare"/>
    <n v="31868.66"/>
    <n v="9805.91"/>
    <n v="0"/>
  </r>
  <r>
    <x v="3797"/>
    <s v="Peconic Bay Medical Center"/>
    <n v="2015"/>
    <n v="7"/>
    <s v="Medicare"/>
    <x v="2"/>
    <s v="Medicare"/>
    <n v="68043.8"/>
    <n v="51885.33"/>
    <n v="0"/>
  </r>
  <r>
    <x v="3798"/>
    <s v="Peconic Bay Medical Center"/>
    <n v="2015"/>
    <n v="7"/>
    <s v="Medicare"/>
    <x v="2"/>
    <s v="Medicare"/>
    <n v="108508.32"/>
    <n v="65329.34"/>
    <n v="0"/>
  </r>
  <r>
    <x v="3799"/>
    <s v="Peconic Bay Medical Center"/>
    <n v="2015"/>
    <n v="7"/>
    <s v="Medicare"/>
    <x v="2"/>
    <s v="Medicare"/>
    <n v="46862.9"/>
    <n v="20046.91"/>
    <n v="0"/>
  </r>
  <r>
    <x v="3800"/>
    <s v="Peconic Bay Medical Center"/>
    <n v="2015"/>
    <n v="7"/>
    <s v="Medicare"/>
    <x v="2"/>
    <s v="Medicare"/>
    <n v="130405.91"/>
    <n v="101691.21"/>
    <n v="0"/>
  </r>
  <r>
    <x v="3801"/>
    <s v="Peconic Bay Medical Center"/>
    <n v="2015"/>
    <n v="7"/>
    <s v="Medicare"/>
    <x v="2"/>
    <s v="Medicare"/>
    <n v="17352.12"/>
    <n v="4953.51"/>
    <n v="0"/>
  </r>
  <r>
    <x v="3802"/>
    <s v="Peconic Bay Medical Center"/>
    <n v="2015"/>
    <n v="7"/>
    <s v="Medicare"/>
    <x v="2"/>
    <s v="Medicare"/>
    <n v="41531.760000000002"/>
    <n v="10932.12"/>
    <n v="0"/>
  </r>
  <r>
    <x v="3803"/>
    <s v="Peconic Bay Medical Center"/>
    <n v="2015"/>
    <n v="7"/>
    <s v="Medicare"/>
    <x v="2"/>
    <s v="Medicare"/>
    <n v="67314.92"/>
    <n v="49101.91"/>
    <n v="0"/>
  </r>
  <r>
    <x v="3804"/>
    <s v="Peconic Bay Medical Center"/>
    <n v="2015"/>
    <n v="7"/>
    <s v="Medicare"/>
    <x v="2"/>
    <s v="Medicare"/>
    <n v="67117.14"/>
    <n v="49052.69"/>
    <n v="0"/>
  </r>
  <r>
    <x v="3805"/>
    <s v="Peconic Bay Medical Center"/>
    <n v="2015"/>
    <n v="7"/>
    <s v="Medicare"/>
    <x v="2"/>
    <s v="Medicare"/>
    <n v="47563.78"/>
    <n v="14854.09"/>
    <n v="0"/>
  </r>
  <r>
    <x v="3806"/>
    <s v="Peconic Bay Medical Center"/>
    <n v="2015"/>
    <n v="7"/>
    <s v="Medicare"/>
    <x v="2"/>
    <s v="Medicare"/>
    <n v="76191.679999999993"/>
    <n v="57781.66"/>
    <n v="0"/>
  </r>
  <r>
    <x v="3807"/>
    <s v="Peconic Bay Medical Center"/>
    <n v="2015"/>
    <n v="7"/>
    <s v="Medicare"/>
    <x v="2"/>
    <s v="Medicare"/>
    <n v="72512.479999999996"/>
    <n v="55429.96"/>
    <n v="0"/>
  </r>
  <r>
    <x v="3808"/>
    <s v="Peconic Bay Medical Center"/>
    <n v="2015"/>
    <n v="7"/>
    <s v="Medicare"/>
    <x v="2"/>
    <s v="Medicare"/>
    <n v="11742.9"/>
    <n v="3009.01"/>
    <n v="0"/>
  </r>
  <r>
    <x v="3809"/>
    <s v="Peconic Bay Medical Center"/>
    <n v="2015"/>
    <n v="7"/>
    <s v="Medicare"/>
    <x v="2"/>
    <s v="Medicare"/>
    <n v="72906.48"/>
    <n v="51288.32"/>
    <n v="0"/>
  </r>
  <r>
    <x v="3810"/>
    <s v="Peconic Bay Medical Center"/>
    <n v="2015"/>
    <n v="7"/>
    <s v="Medicare"/>
    <x v="2"/>
    <s v="Medicare"/>
    <n v="59528.02"/>
    <n v="41971.35"/>
    <n v="0"/>
  </r>
  <r>
    <x v="3811"/>
    <s v="Peconic Bay Medical Center"/>
    <n v="2015"/>
    <n v="7"/>
    <s v="Medicare"/>
    <x v="2"/>
    <s v="Medicare"/>
    <n v="21474.639999999999"/>
    <n v="5072.1400000000003"/>
    <n v="0"/>
  </r>
  <r>
    <x v="3812"/>
    <s v="Peconic Bay Medical Center"/>
    <n v="2015"/>
    <n v="7"/>
    <s v="Medicare"/>
    <x v="2"/>
    <s v="Medicare"/>
    <n v="23335.279999999999"/>
    <n v="6401.9"/>
    <n v="0"/>
  </r>
  <r>
    <x v="3813"/>
    <s v="Peconic Bay Medical Center"/>
    <n v="2015"/>
    <n v="7"/>
    <s v="Medicare"/>
    <x v="2"/>
    <s v="Medicare"/>
    <n v="44902.720000000001"/>
    <n v="22716.1"/>
    <n v="0"/>
  </r>
  <r>
    <x v="3814"/>
    <s v="Peconic Bay Medical Center"/>
    <n v="2015"/>
    <n v="7"/>
    <s v="Medicare"/>
    <x v="2"/>
    <s v="Medicare"/>
    <n v="93736.46"/>
    <n v="64966.62"/>
    <n v="0"/>
  </r>
  <r>
    <x v="3815"/>
    <s v="Peconic Bay Medical Center"/>
    <n v="2015"/>
    <n v="7"/>
    <s v="Medicare"/>
    <x v="2"/>
    <s v="Medicare"/>
    <n v="22586.68"/>
    <n v="7194.29"/>
    <n v="0"/>
  </r>
  <r>
    <x v="3816"/>
    <s v="Peconic Bay Medical Center"/>
    <n v="2015"/>
    <n v="7"/>
    <s v="Medicare"/>
    <x v="2"/>
    <s v="Medicare"/>
    <n v="57115.35"/>
    <n v="31905.279999999999"/>
    <n v="0"/>
  </r>
  <r>
    <x v="3817"/>
    <s v="Peconic Bay Medical Center"/>
    <n v="2015"/>
    <n v="7"/>
    <s v="Medicare"/>
    <x v="2"/>
    <s v="Medicare"/>
    <n v="71922.539999999994"/>
    <n v="48617.56"/>
    <n v="0"/>
  </r>
  <r>
    <x v="3818"/>
    <s v="Peconic Bay Medical Center"/>
    <n v="2015"/>
    <n v="7"/>
    <s v="Medicare"/>
    <x v="2"/>
    <s v="Medicare"/>
    <n v="29829.3"/>
    <n v="6977.57"/>
    <n v="0"/>
  </r>
  <r>
    <x v="3819"/>
    <s v="Peconic Bay Medical Center"/>
    <n v="2015"/>
    <n v="7"/>
    <s v="Medicare"/>
    <x v="2"/>
    <s v="Medicare"/>
    <n v="65698.94"/>
    <n v="46565.95"/>
    <n v="0"/>
  </r>
  <r>
    <x v="3820"/>
    <s v="Peconic Bay Medical Center"/>
    <n v="2015"/>
    <n v="7"/>
    <s v="Medicare"/>
    <x v="2"/>
    <s v="Medicare"/>
    <n v="74007.039999999994"/>
    <n v="57982.67"/>
    <n v="0"/>
  </r>
  <r>
    <x v="3821"/>
    <s v="Peconic Bay Medical Center"/>
    <n v="2015"/>
    <n v="7"/>
    <s v="Medicare"/>
    <x v="2"/>
    <s v="Medicare"/>
    <n v="55655.86"/>
    <n v="16233.11"/>
    <n v="0"/>
  </r>
  <r>
    <x v="3822"/>
    <s v="Peconic Bay Medical Center"/>
    <n v="2015"/>
    <n v="7"/>
    <s v="Medicare"/>
    <x v="2"/>
    <s v="Medicare"/>
    <n v="28589"/>
    <n v="7377.21"/>
    <n v="0"/>
  </r>
  <r>
    <x v="3823"/>
    <s v="Peconic Bay Medical Center"/>
    <n v="2015"/>
    <n v="7"/>
    <s v="Medicare"/>
    <x v="2"/>
    <s v="Medicare"/>
    <n v="67185.899999999994"/>
    <n v="48761.27"/>
    <n v="0"/>
  </r>
  <r>
    <x v="3824"/>
    <s v="Peconic Bay Medical Center"/>
    <n v="2015"/>
    <n v="7"/>
    <s v="Medicare"/>
    <x v="2"/>
    <s v="Medicare"/>
    <n v="73482.06"/>
    <n v="54630.36"/>
    <n v="0"/>
  </r>
  <r>
    <x v="3825"/>
    <s v="Peconic Bay Medical Center"/>
    <n v="2015"/>
    <n v="7"/>
    <s v="Medicare"/>
    <x v="2"/>
    <s v="Medicare"/>
    <n v="112606.64"/>
    <n v="85234.54"/>
    <n v="0"/>
  </r>
  <r>
    <x v="3826"/>
    <s v="Peconic Bay Medical Center"/>
    <n v="2015"/>
    <n v="7"/>
    <s v="Medicare"/>
    <x v="2"/>
    <s v="Medicare"/>
    <n v="29902.48"/>
    <n v="7316.37"/>
    <n v="0"/>
  </r>
  <r>
    <x v="3827"/>
    <s v="Peconic Bay Medical Center"/>
    <n v="2015"/>
    <n v="7"/>
    <s v="Medicare"/>
    <x v="2"/>
    <s v="Medicare"/>
    <n v="46271.51"/>
    <n v="20242.61"/>
    <n v="0"/>
  </r>
  <r>
    <x v="3828"/>
    <s v="Peconic Bay Medical Center"/>
    <n v="2015"/>
    <n v="7"/>
    <s v="Medicare"/>
    <x v="2"/>
    <s v="Medicare"/>
    <n v="174208.85"/>
    <n v="71289.59"/>
    <n v="0"/>
  </r>
  <r>
    <x v="3829"/>
    <s v="Peconic Bay Medical Center"/>
    <n v="2015"/>
    <n v="7"/>
    <s v="Medicare"/>
    <x v="2"/>
    <s v="Medicare"/>
    <n v="66583.34"/>
    <n v="48831.95"/>
    <n v="0"/>
  </r>
  <r>
    <x v="3830"/>
    <s v="Peconic Bay Medical Center"/>
    <n v="2015"/>
    <n v="7"/>
    <s v="Medicare"/>
    <x v="2"/>
    <s v="Medicare"/>
    <n v="31025.46"/>
    <n v="9269.5499999999993"/>
    <n v="0"/>
  </r>
  <r>
    <x v="3831"/>
    <s v="Peconic Bay Medical Center"/>
    <n v="2015"/>
    <n v="7"/>
    <s v="Medicare"/>
    <x v="2"/>
    <s v="Medicare"/>
    <n v="24699.82"/>
    <n v="5020.03"/>
    <n v="0"/>
  </r>
  <r>
    <x v="3832"/>
    <s v="Peconic Bay Medical Center"/>
    <n v="2015"/>
    <n v="7"/>
    <s v="Medicare"/>
    <x v="2"/>
    <s v="Medicare"/>
    <n v="20384.52"/>
    <n v="5085.6899999999996"/>
    <n v="0"/>
  </r>
  <r>
    <x v="3833"/>
    <s v="Peconic Bay Medical Center"/>
    <n v="2015"/>
    <n v="7"/>
    <s v="Medicare"/>
    <x v="2"/>
    <s v="Medicare"/>
    <n v="80798.539999999994"/>
    <n v="58820.22"/>
    <n v="0"/>
  </r>
  <r>
    <x v="3834"/>
    <s v="Peconic Bay Medical Center"/>
    <n v="2015"/>
    <n v="7"/>
    <s v="Medicare"/>
    <x v="2"/>
    <s v="Medicare"/>
    <n v="48653.52"/>
    <n v="15030.23"/>
    <n v="0"/>
  </r>
  <r>
    <x v="3835"/>
    <s v="Peconic Bay Medical Center"/>
    <n v="2015"/>
    <n v="7"/>
    <s v="Medicare"/>
    <x v="2"/>
    <s v="Medicare"/>
    <n v="60622.44"/>
    <n v="42210.39"/>
    <n v="0"/>
  </r>
  <r>
    <x v="3836"/>
    <s v="Peconic Bay Medical Center"/>
    <n v="2015"/>
    <n v="7"/>
    <s v="Medicare"/>
    <x v="2"/>
    <s v="Medicare"/>
    <n v="43548.480000000003"/>
    <n v="12922.92"/>
    <n v="0"/>
  </r>
  <r>
    <x v="3837"/>
    <s v="Peconic Bay Medical Center"/>
    <n v="2015"/>
    <n v="7"/>
    <s v="Medicare"/>
    <x v="2"/>
    <s v="Medicare"/>
    <n v="23070.62"/>
    <n v="10108.24"/>
    <n v="0"/>
  </r>
  <r>
    <x v="3838"/>
    <s v="Peconic Bay Medical Center"/>
    <n v="2015"/>
    <n v="7"/>
    <s v="Medicare"/>
    <x v="2"/>
    <s v="Medicare"/>
    <n v="76179.28"/>
    <n v="58400.41"/>
    <n v="0"/>
  </r>
  <r>
    <x v="3839"/>
    <s v="Peconic Bay Medical Center"/>
    <n v="2015"/>
    <n v="7"/>
    <s v="Medicare"/>
    <x v="2"/>
    <s v="Medicare"/>
    <n v="29062.7"/>
    <n v="8179.42"/>
    <n v="0"/>
  </r>
  <r>
    <x v="3840"/>
    <s v="Peconic Bay Medical Center"/>
    <n v="2015"/>
    <n v="7"/>
    <s v="Medicare"/>
    <x v="2"/>
    <s v="Medicare"/>
    <n v="58826.58"/>
    <n v="41572.31"/>
    <n v="0"/>
  </r>
  <r>
    <x v="3841"/>
    <s v="Peconic Bay Medical Center"/>
    <n v="2015"/>
    <n v="7"/>
    <s v="Medicare"/>
    <x v="2"/>
    <s v="Medicare"/>
    <n v="41735.74"/>
    <n v="33235.03"/>
    <n v="0"/>
  </r>
  <r>
    <x v="3842"/>
    <s v="Peconic Bay Medical Center"/>
    <n v="2015"/>
    <n v="7"/>
    <s v="Medicare"/>
    <x v="2"/>
    <s v="Medicare"/>
    <n v="196741.78"/>
    <n v="172784.4"/>
    <n v="0"/>
  </r>
  <r>
    <x v="3843"/>
    <s v="Peconic Bay Medical Center"/>
    <n v="2015"/>
    <n v="7"/>
    <s v="Medicare"/>
    <x v="2"/>
    <s v="Medicare"/>
    <n v="109073.09"/>
    <n v="90565.02"/>
    <n v="0"/>
  </r>
  <r>
    <x v="3844"/>
    <s v="Peconic Bay Medical Center"/>
    <n v="2015"/>
    <n v="7"/>
    <s v="Medicare"/>
    <x v="2"/>
    <s v="Medicare"/>
    <n v="43724.12"/>
    <n v="11621.57"/>
    <n v="0"/>
  </r>
  <r>
    <x v="3845"/>
    <s v="Peconic Bay Medical Center"/>
    <n v="2015"/>
    <n v="7"/>
    <s v="Medicare"/>
    <x v="2"/>
    <s v="Medicare"/>
    <n v="142515.1"/>
    <n v="87602.38"/>
    <n v="0"/>
  </r>
  <r>
    <x v="3846"/>
    <s v="Peconic Bay Medical Center"/>
    <n v="2015"/>
    <n v="7"/>
    <s v="Medicare"/>
    <x v="2"/>
    <s v="Medicare"/>
    <n v="62744.82"/>
    <n v="44546.79"/>
    <n v="0"/>
  </r>
  <r>
    <x v="3847"/>
    <s v="Peconic Bay Medical Center"/>
    <n v="2015"/>
    <n v="7"/>
    <s v="Medicare"/>
    <x v="2"/>
    <s v="Medicare"/>
    <n v="74976.240000000005"/>
    <n v="58269.39"/>
    <n v="0"/>
  </r>
  <r>
    <x v="3848"/>
    <s v="Peconic Bay Medical Center"/>
    <n v="2015"/>
    <n v="7"/>
    <s v="Medicare"/>
    <x v="2"/>
    <s v="Medicare"/>
    <n v="205259.77"/>
    <n v="107432.29"/>
    <n v="0"/>
  </r>
  <r>
    <x v="3849"/>
    <s v="Peconic Bay Medical Center"/>
    <n v="2015"/>
    <n v="7"/>
    <s v="Medicare"/>
    <x v="2"/>
    <s v="Medicare"/>
    <n v="13866.68"/>
    <n v="3584.53"/>
    <n v="0"/>
  </r>
  <r>
    <x v="3850"/>
    <s v="Peconic Bay Medical Center"/>
    <n v="2015"/>
    <n v="7"/>
    <s v="Medicare"/>
    <x v="2"/>
    <s v="Medicare"/>
    <n v="59604.959999999999"/>
    <n v="45510.27"/>
    <n v="0"/>
  </r>
  <r>
    <x v="3851"/>
    <s v="Peconic Bay Medical Center"/>
    <n v="2015"/>
    <n v="7"/>
    <s v="Medicare"/>
    <x v="2"/>
    <s v="Medicare"/>
    <n v="79660.42"/>
    <n v="57683.4"/>
    <n v="0"/>
  </r>
  <r>
    <x v="3852"/>
    <s v="Peconic Bay Medical Center"/>
    <n v="2015"/>
    <n v="7"/>
    <s v="Medicare"/>
    <x v="2"/>
    <s v="Medicare"/>
    <n v="9388.4"/>
    <n v="2344.48"/>
    <n v="0"/>
  </r>
  <r>
    <x v="3853"/>
    <s v="Peconic Bay Medical Center"/>
    <n v="2015"/>
    <n v="7"/>
    <s v="Medicare"/>
    <x v="2"/>
    <s v="Medicare"/>
    <n v="73418.7"/>
    <n v="55578.37"/>
    <n v="0"/>
  </r>
  <r>
    <x v="3854"/>
    <s v="Peconic Bay Medical Center"/>
    <n v="2015"/>
    <n v="7"/>
    <s v="Medicare"/>
    <x v="2"/>
    <s v="Medicare"/>
    <n v="70325.16"/>
    <n v="56794.879999999997"/>
    <n v="0"/>
  </r>
  <r>
    <x v="3855"/>
    <s v="Peconic Bay Medical Center"/>
    <n v="2015"/>
    <n v="7"/>
    <s v="Medicare"/>
    <x v="2"/>
    <s v="Medicare"/>
    <n v="108739.86"/>
    <n v="69023.460000000006"/>
    <n v="0"/>
  </r>
  <r>
    <x v="3856"/>
    <s v="Peconic Bay Medical Center"/>
    <n v="2015"/>
    <n v="7"/>
    <s v="Medicare"/>
    <x v="2"/>
    <s v="Medicare"/>
    <n v="71311.320000000007"/>
    <n v="54878.05"/>
    <n v="0"/>
  </r>
  <r>
    <x v="3857"/>
    <s v="Peconic Bay Medical Center"/>
    <n v="2015"/>
    <n v="7"/>
    <s v="Medicare"/>
    <x v="2"/>
    <s v="Medicare"/>
    <n v="58368.68"/>
    <n v="44708.14"/>
    <n v="0"/>
  </r>
  <r>
    <x v="3858"/>
    <s v="Peconic Bay Medical Center"/>
    <n v="2015"/>
    <n v="7"/>
    <s v="Medicare"/>
    <x v="2"/>
    <s v="Medicare"/>
    <n v="66612.740000000005"/>
    <n v="24945.59"/>
    <n v="0"/>
  </r>
  <r>
    <x v="3859"/>
    <s v="Peconic Bay Medical Center"/>
    <n v="2015"/>
    <n v="7"/>
    <s v="Medicare"/>
    <x v="2"/>
    <s v="Medicare"/>
    <n v="66569.960000000006"/>
    <n v="48925.919999999998"/>
    <n v="0"/>
  </r>
  <r>
    <x v="3860"/>
    <s v="Peconic Bay Medical Center"/>
    <n v="2015"/>
    <n v="7"/>
    <s v="Medicare"/>
    <x v="2"/>
    <s v="Medicare"/>
    <n v="75365.820000000007"/>
    <n v="57721.48"/>
    <n v="0"/>
  </r>
  <r>
    <x v="3861"/>
    <s v="Peconic Bay Medical Center"/>
    <n v="2015"/>
    <n v="7"/>
    <s v="Medicare"/>
    <x v="2"/>
    <s v="Medicare"/>
    <n v="72709.56"/>
    <n v="55163.92"/>
    <n v="0"/>
  </r>
  <r>
    <x v="3862"/>
    <s v="Peconic Bay Medical Center"/>
    <n v="2015"/>
    <n v="7"/>
    <s v="Medicare"/>
    <x v="2"/>
    <s v="Medicare"/>
    <n v="66961.279999999999"/>
    <n v="49029.14"/>
    <n v="0"/>
  </r>
  <r>
    <x v="3863"/>
    <s v="Peconic Bay Medical Center"/>
    <n v="2015"/>
    <n v="7"/>
    <s v="Medicare"/>
    <x v="2"/>
    <s v="Medicare"/>
    <n v="60627.3"/>
    <n v="41713.800000000003"/>
    <n v="0"/>
  </r>
  <r>
    <x v="3864"/>
    <s v="Peconic Bay Medical Center"/>
    <n v="2015"/>
    <n v="7"/>
    <s v="Medicare"/>
    <x v="2"/>
    <s v="Medicare"/>
    <n v="51247.62"/>
    <n v="19238.310000000001"/>
    <n v="0"/>
  </r>
  <r>
    <x v="3865"/>
    <s v="Peconic Bay Medical Center"/>
    <n v="2015"/>
    <n v="7"/>
    <s v="Medicare"/>
    <x v="2"/>
    <s v="Medicare"/>
    <n v="70530.16"/>
    <n v="46750.23"/>
    <n v="0"/>
  </r>
  <r>
    <x v="3866"/>
    <s v="Peconic Bay Medical Center"/>
    <n v="2015"/>
    <n v="7"/>
    <s v="Medicare"/>
    <x v="2"/>
    <s v="Medicare"/>
    <n v="65184.08"/>
    <n v="46763.48"/>
    <n v="0"/>
  </r>
  <r>
    <x v="3867"/>
    <s v="Peconic Bay Medical Center"/>
    <n v="2015"/>
    <n v="7"/>
    <s v="Medicare"/>
    <x v="2"/>
    <s v="Medicare"/>
    <n v="72386"/>
    <n v="55313.59"/>
    <n v="0"/>
  </r>
  <r>
    <x v="3868"/>
    <s v="Peconic Bay Medical Center"/>
    <n v="2015"/>
    <n v="7"/>
    <s v="Medicare"/>
    <x v="2"/>
    <s v="Medicare"/>
    <n v="24636.48"/>
    <n v="5101.47"/>
    <n v="0"/>
  </r>
  <r>
    <x v="3869"/>
    <s v="Peconic Bay Medical Center"/>
    <n v="2015"/>
    <n v="7"/>
    <s v="Medicare"/>
    <x v="2"/>
    <s v="Medicare"/>
    <n v="60731.24"/>
    <n v="42257.47"/>
    <n v="0"/>
  </r>
  <r>
    <x v="3870"/>
    <s v="Peconic Bay Medical Center"/>
    <n v="2015"/>
    <n v="7"/>
    <s v="Medicare"/>
    <x v="2"/>
    <s v="Medicare"/>
    <n v="47723.78"/>
    <n v="14132.9"/>
    <n v="0"/>
  </r>
  <r>
    <x v="3871"/>
    <s v="Peconic Bay Medical Center"/>
    <n v="2015"/>
    <n v="7"/>
    <s v="Medicare"/>
    <x v="2"/>
    <s v="Medicare"/>
    <n v="70911.600000000006"/>
    <n v="50133.54"/>
    <n v="0"/>
  </r>
  <r>
    <x v="3872"/>
    <s v="Peconic Bay Medical Center"/>
    <n v="2015"/>
    <n v="7"/>
    <s v="Medicare"/>
    <x v="2"/>
    <s v="Medicare"/>
    <n v="43865.64"/>
    <n v="8873.86"/>
    <n v="0"/>
  </r>
  <r>
    <x v="3873"/>
    <s v="Peconic Bay Medical Center"/>
    <n v="2015"/>
    <n v="7"/>
    <s v="Medicare"/>
    <x v="2"/>
    <s v="Medicare"/>
    <n v="68103.78"/>
    <n v="49417.83"/>
    <n v="0"/>
  </r>
  <r>
    <x v="3874"/>
    <s v="Peconic Bay Medical Center"/>
    <n v="2015"/>
    <n v="7"/>
    <s v="Medicare"/>
    <x v="2"/>
    <s v="Medicare"/>
    <n v="78672.14"/>
    <n v="58227.54"/>
    <n v="0"/>
  </r>
  <r>
    <x v="3875"/>
    <s v="Peconic Bay Medical Center"/>
    <n v="2015"/>
    <n v="7"/>
    <s v="Medicare"/>
    <x v="2"/>
    <s v="Medicare"/>
    <n v="132181.71"/>
    <n v="121785.12"/>
    <n v="0"/>
  </r>
  <r>
    <x v="3876"/>
    <s v="Peconic Bay Medical Center"/>
    <n v="2015"/>
    <n v="7"/>
    <s v="Medicare"/>
    <x v="2"/>
    <s v="Medicare"/>
    <n v="63775.040000000001"/>
    <n v="48028.62"/>
    <n v="0"/>
  </r>
  <r>
    <x v="3877"/>
    <s v="Peconic Bay Medical Center"/>
    <n v="2015"/>
    <n v="7"/>
    <s v="Medicare"/>
    <x v="2"/>
    <s v="Medicare"/>
    <n v="31983.96"/>
    <n v="9592.07"/>
    <n v="0"/>
  </r>
  <r>
    <x v="3878"/>
    <s v="Peconic Bay Medical Center"/>
    <n v="2015"/>
    <n v="7"/>
    <s v="Medicare"/>
    <x v="2"/>
    <s v="Medicare"/>
    <n v="67985.460000000006"/>
    <n v="49254.11"/>
    <n v="0"/>
  </r>
  <r>
    <x v="3879"/>
    <s v="Peconic Bay Medical Center"/>
    <n v="2015"/>
    <n v="7"/>
    <s v="Medicare"/>
    <x v="2"/>
    <s v="Medicare"/>
    <n v="71442.259999999995"/>
    <n v="28686.240000000002"/>
    <n v="0"/>
  </r>
  <r>
    <x v="3880"/>
    <s v="Peconic Bay Medical Center"/>
    <n v="2015"/>
    <n v="7"/>
    <s v="Medicare"/>
    <x v="2"/>
    <s v="Medicare"/>
    <n v="75998.64"/>
    <n v="54366.26"/>
    <n v="0"/>
  </r>
  <r>
    <x v="3881"/>
    <s v="Peconic Bay Medical Center"/>
    <n v="2015"/>
    <n v="7"/>
    <s v="Medicare"/>
    <x v="2"/>
    <s v="Medicare"/>
    <n v="65973.259999999995"/>
    <n v="48206.5"/>
    <n v="0"/>
  </r>
  <r>
    <x v="3882"/>
    <s v="Peconic Bay Medical Center"/>
    <n v="2015"/>
    <n v="7"/>
    <s v="Medicare"/>
    <x v="2"/>
    <s v="Medicare"/>
    <n v="78047.199999999997"/>
    <n v="24313.4"/>
    <n v="0"/>
  </r>
  <r>
    <x v="3883"/>
    <s v="Peconic Bay Medical Center"/>
    <n v="2015"/>
    <n v="7"/>
    <s v="Medicare"/>
    <x v="2"/>
    <s v="Medicare"/>
    <n v="4760.82"/>
    <n v="1623.83"/>
    <n v="0"/>
  </r>
  <r>
    <x v="3884"/>
    <s v="Peconic Bay Medical Center"/>
    <n v="2015"/>
    <n v="7"/>
    <s v="Medicare"/>
    <x v="2"/>
    <s v="Medicare"/>
    <n v="17157.439999999999"/>
    <n v="4869.58"/>
    <n v="0"/>
  </r>
  <r>
    <x v="3885"/>
    <s v="Peconic Bay Medical Center"/>
    <n v="2015"/>
    <n v="7"/>
    <s v="Medicare"/>
    <x v="2"/>
    <s v="Medicare"/>
    <n v="65474.34"/>
    <n v="48647.9"/>
    <n v="0"/>
  </r>
  <r>
    <x v="3886"/>
    <s v="Peconic Bay Medical Center"/>
    <n v="2015"/>
    <n v="7"/>
    <s v="Medicare"/>
    <x v="2"/>
    <s v="Medicare"/>
    <n v="25192.560000000001"/>
    <n v="6132.49"/>
    <n v="0"/>
  </r>
  <r>
    <x v="3887"/>
    <s v="Peconic Bay Medical Center"/>
    <n v="2015"/>
    <n v="7"/>
    <s v="Medicare"/>
    <x v="2"/>
    <s v="Medicare"/>
    <n v="73535.81"/>
    <n v="53434.44"/>
    <n v="0"/>
  </r>
  <r>
    <x v="3888"/>
    <s v="Peconic Bay Medical Center"/>
    <n v="2015"/>
    <n v="7"/>
    <s v="Medicare"/>
    <x v="2"/>
    <s v="Medicare"/>
    <n v="74078.38"/>
    <n v="55738.03"/>
    <n v="0"/>
  </r>
  <r>
    <x v="3889"/>
    <s v="Peconic Bay Medical Center"/>
    <n v="2015"/>
    <n v="7"/>
    <s v="Medicare"/>
    <x v="2"/>
    <s v="Medicare"/>
    <n v="100627.34"/>
    <n v="43587.62"/>
    <n v="0"/>
  </r>
  <r>
    <x v="3890"/>
    <s v="Peconic Bay Medical Center"/>
    <n v="2015"/>
    <n v="7"/>
    <s v="Medicare"/>
    <x v="2"/>
    <s v="Medicare"/>
    <n v="68875.58"/>
    <n v="49392.91"/>
    <n v="0"/>
  </r>
  <r>
    <x v="3891"/>
    <s v="Peconic Bay Medical Center"/>
    <n v="2015"/>
    <n v="7"/>
    <s v="Medicare"/>
    <x v="2"/>
    <s v="Medicare"/>
    <n v="11873.14"/>
    <n v="2655.29"/>
    <n v="0"/>
  </r>
  <r>
    <x v="3892"/>
    <s v="Peconic Bay Medical Center"/>
    <n v="2015"/>
    <n v="7"/>
    <s v="Medicare"/>
    <x v="2"/>
    <s v="Medicare"/>
    <n v="57403.9"/>
    <n v="24685.3"/>
    <n v="0"/>
  </r>
  <r>
    <x v="3893"/>
    <s v="Peconic Bay Medical Center"/>
    <n v="2015"/>
    <n v="7"/>
    <s v="Medicare"/>
    <x v="2"/>
    <s v="Medicare"/>
    <n v="15113.64"/>
    <n v="3481.76"/>
    <n v="0"/>
  </r>
  <r>
    <x v="3894"/>
    <s v="Peconic Bay Medical Center"/>
    <n v="2015"/>
    <n v="7"/>
    <s v="Medicare"/>
    <x v="2"/>
    <s v="Medicare"/>
    <n v="80007.460000000006"/>
    <n v="62481.09"/>
    <n v="0"/>
  </r>
  <r>
    <x v="3895"/>
    <s v="Peconic Bay Medical Center"/>
    <n v="2015"/>
    <n v="7"/>
    <s v="Medicare"/>
    <x v="2"/>
    <s v="Medicare"/>
    <n v="58914.46"/>
    <n v="23364.400000000001"/>
    <n v="0"/>
  </r>
  <r>
    <x v="3896"/>
    <s v="Peconic Bay Medical Center"/>
    <n v="2015"/>
    <n v="7"/>
    <s v="Medicare"/>
    <x v="2"/>
    <s v="Medicare"/>
    <n v="66837.98"/>
    <n v="47291.08"/>
    <n v="0"/>
  </r>
  <r>
    <x v="3897"/>
    <s v="Peconic Bay Medical Center"/>
    <n v="2015"/>
    <n v="7"/>
    <s v="Medicare"/>
    <x v="2"/>
    <s v="Medicare"/>
    <n v="29245.279999999999"/>
    <n v="8909.08"/>
    <n v="0"/>
  </r>
  <r>
    <x v="3898"/>
    <s v="Peconic Bay Medical Center"/>
    <n v="2015"/>
    <n v="7"/>
    <s v="Medicare"/>
    <x v="2"/>
    <s v="Medicare"/>
    <n v="48812.62"/>
    <n v="12958.35"/>
    <n v="0"/>
  </r>
  <r>
    <x v="3899"/>
    <s v="Peconic Bay Medical Center"/>
    <n v="2015"/>
    <n v="7"/>
    <s v="Medicare"/>
    <x v="2"/>
    <s v="Medicare"/>
    <n v="81622.44"/>
    <n v="62978.69"/>
    <n v="0"/>
  </r>
  <r>
    <x v="3900"/>
    <s v="Peconic Bay Medical Center"/>
    <n v="2015"/>
    <n v="7"/>
    <s v="Medicare"/>
    <x v="2"/>
    <s v="Medicare"/>
    <n v="39992.18"/>
    <n v="24216.67"/>
    <n v="0"/>
  </r>
  <r>
    <x v="3901"/>
    <s v="Peconic Bay Medical Center"/>
    <n v="2015"/>
    <n v="7"/>
    <s v="Medicare"/>
    <x v="2"/>
    <s v="Medicare"/>
    <n v="23530.46"/>
    <n v="6927.16"/>
    <n v="0"/>
  </r>
  <r>
    <x v="3902"/>
    <s v="Peconic Bay Medical Center"/>
    <n v="2015"/>
    <n v="7"/>
    <s v="Medicare"/>
    <x v="2"/>
    <s v="Medicare"/>
    <n v="65844.5"/>
    <n v="46542.559999999998"/>
    <n v="0"/>
  </r>
  <r>
    <x v="3903"/>
    <s v="Peconic Bay Medical Center"/>
    <n v="2015"/>
    <n v="7"/>
    <s v="Medicare"/>
    <x v="2"/>
    <s v="Medicare"/>
    <n v="78043.240000000005"/>
    <n v="59087.12"/>
    <n v="0"/>
  </r>
  <r>
    <x v="3904"/>
    <s v="Peconic Bay Medical Center"/>
    <n v="2015"/>
    <n v="7"/>
    <s v="Medicare"/>
    <x v="2"/>
    <s v="Medicare"/>
    <n v="61372.94"/>
    <n v="47199.79"/>
    <n v="0"/>
  </r>
  <r>
    <x v="3905"/>
    <s v="Peconic Bay Medical Center"/>
    <n v="2015"/>
    <n v="7"/>
    <s v="Medicare"/>
    <x v="2"/>
    <s v="Medicare"/>
    <n v="22635.18"/>
    <n v="6213.4"/>
    <n v="0"/>
  </r>
  <r>
    <x v="3906"/>
    <s v="Peconic Bay Medical Center"/>
    <n v="2015"/>
    <n v="7"/>
    <s v="Medicare"/>
    <x v="2"/>
    <s v="Medicare"/>
    <n v="67935.64"/>
    <n v="49230.31"/>
    <n v="0"/>
  </r>
  <r>
    <x v="3907"/>
    <s v="Peconic Bay Medical Center"/>
    <n v="2015"/>
    <n v="7"/>
    <s v="Medicare"/>
    <x v="2"/>
    <s v="Medicare"/>
    <n v="10759.34"/>
    <n v="2768.14"/>
    <n v="0"/>
  </r>
  <r>
    <x v="3908"/>
    <s v="Peconic Bay Medical Center"/>
    <n v="2015"/>
    <n v="7"/>
    <s v="Medicare"/>
    <x v="2"/>
    <s v="Medicare"/>
    <n v="65274.76"/>
    <n v="48517.17"/>
    <n v="0"/>
  </r>
  <r>
    <x v="3909"/>
    <s v="Peconic Bay Medical Center"/>
    <n v="2015"/>
    <n v="7"/>
    <s v="Medicare"/>
    <x v="2"/>
    <s v="Medicare"/>
    <n v="90356.9"/>
    <n v="62049.03"/>
    <n v="0"/>
  </r>
  <r>
    <x v="3910"/>
    <s v="Peconic Bay Medical Center"/>
    <n v="2015"/>
    <n v="7"/>
    <s v="Medicare"/>
    <x v="2"/>
    <s v="Medicare"/>
    <n v="81711.039999999994"/>
    <n v="27446.94"/>
    <n v="0"/>
  </r>
  <r>
    <x v="3911"/>
    <s v="Peconic Bay Medical Center"/>
    <n v="2015"/>
    <n v="7"/>
    <s v="Medicare"/>
    <x v="2"/>
    <s v="Medicare"/>
    <n v="10667.6"/>
    <n v="2735.22"/>
    <n v="0"/>
  </r>
  <r>
    <x v="3912"/>
    <s v="Peconic Bay Medical Center"/>
    <n v="2015"/>
    <n v="7"/>
    <s v="Medicare"/>
    <x v="2"/>
    <s v="Medicare"/>
    <n v="70152.100000000006"/>
    <n v="55710.01"/>
    <n v="0"/>
  </r>
  <r>
    <x v="3913"/>
    <s v="Peconic Bay Medical Center"/>
    <n v="2015"/>
    <n v="7"/>
    <s v="Medicare"/>
    <x v="2"/>
    <s v="Medicare"/>
    <n v="61237.8"/>
    <n v="42852.13"/>
    <n v="0"/>
  </r>
  <r>
    <x v="3914"/>
    <s v="Peconic Bay Medical Center"/>
    <n v="2015"/>
    <n v="7"/>
    <s v="Medicare"/>
    <x v="2"/>
    <s v="Medicare"/>
    <n v="14581.42"/>
    <n v="2677.07"/>
    <n v="0"/>
  </r>
  <r>
    <x v="3915"/>
    <s v="Peconic Bay Medical Center"/>
    <n v="2015"/>
    <n v="7"/>
    <s v="Medicare"/>
    <x v="2"/>
    <s v="Medicare"/>
    <n v="6933"/>
    <n v="1864.1"/>
    <n v="0"/>
  </r>
  <r>
    <x v="3916"/>
    <s v="Peconic Bay Medical Center"/>
    <n v="2015"/>
    <n v="7"/>
    <s v="Medicare"/>
    <x v="2"/>
    <s v="Medicare"/>
    <n v="69366.740000000005"/>
    <n v="52162.83"/>
    <n v="0"/>
  </r>
  <r>
    <x v="3917"/>
    <s v="Peconic Bay Medical Center"/>
    <n v="2015"/>
    <n v="7"/>
    <s v="Medicare"/>
    <x v="2"/>
    <s v="Medicare"/>
    <n v="28211.46"/>
    <n v="11803.52"/>
    <n v="0"/>
  </r>
  <r>
    <x v="3918"/>
    <s v="Peconic Bay Medical Center"/>
    <n v="2015"/>
    <n v="7"/>
    <s v="Medicare"/>
    <x v="2"/>
    <s v="Medicare"/>
    <n v="39479.599999999999"/>
    <n v="10342.82"/>
    <n v="0"/>
  </r>
  <r>
    <x v="3919"/>
    <s v="Peconic Bay Medical Center"/>
    <n v="2015"/>
    <n v="7"/>
    <s v="Medicare"/>
    <x v="2"/>
    <s v="Medicare"/>
    <n v="49262.16"/>
    <n v="13426.34"/>
    <n v="0"/>
  </r>
  <r>
    <x v="3920"/>
    <s v="Peconic Bay Medical Center"/>
    <n v="2015"/>
    <n v="7"/>
    <s v="Medicare"/>
    <x v="2"/>
    <s v="Medicare"/>
    <n v="78611.039999999994"/>
    <n v="60131.1"/>
    <n v="0"/>
  </r>
  <r>
    <x v="3921"/>
    <s v="Peconic Bay Medical Center"/>
    <n v="2015"/>
    <n v="7"/>
    <s v="Medicare"/>
    <x v="2"/>
    <s v="Medicare"/>
    <n v="95454.46"/>
    <n v="36514.21"/>
    <n v="0"/>
  </r>
  <r>
    <x v="3922"/>
    <s v="Peconic Bay Medical Center"/>
    <n v="2015"/>
    <n v="7"/>
    <s v="Medicare"/>
    <x v="2"/>
    <s v="Medicare"/>
    <n v="29320.54"/>
    <n v="8830.49"/>
    <n v="0"/>
  </r>
  <r>
    <x v="3923"/>
    <s v="Peconic Bay Medical Center"/>
    <n v="2015"/>
    <n v="7"/>
    <s v="Medicare"/>
    <x v="2"/>
    <s v="Medicare"/>
    <n v="26499.64"/>
    <n v="6648.53"/>
    <n v="0"/>
  </r>
  <r>
    <x v="3924"/>
    <s v="Peconic Bay Medical Center"/>
    <n v="2015"/>
    <n v="7"/>
    <s v="Medicare"/>
    <x v="2"/>
    <s v="Medicare"/>
    <n v="41530.28"/>
    <n v="19672.43"/>
    <n v="0"/>
  </r>
  <r>
    <x v="3925"/>
    <s v="Peconic Bay Medical Center"/>
    <n v="2015"/>
    <n v="7"/>
    <s v="Medicare"/>
    <x v="2"/>
    <s v="Medicare"/>
    <n v="84124.28"/>
    <n v="46931.95"/>
    <n v="0"/>
  </r>
  <r>
    <x v="3926"/>
    <s v="Peconic Bay Medical Center"/>
    <n v="2015"/>
    <n v="7"/>
    <s v="Medicare"/>
    <x v="2"/>
    <s v="Medicare"/>
    <n v="33501.58"/>
    <n v="10447.99"/>
    <n v="0"/>
  </r>
  <r>
    <x v="3927"/>
    <s v="Peconic Bay Medical Center"/>
    <n v="2015"/>
    <n v="7"/>
    <s v="Medicare"/>
    <x v="2"/>
    <s v="Medicare"/>
    <n v="32725.06"/>
    <n v="10085.700000000001"/>
    <n v="0"/>
  </r>
  <r>
    <x v="3928"/>
    <s v="Peconic Bay Medical Center"/>
    <n v="2015"/>
    <n v="7"/>
    <s v="Medicare"/>
    <x v="2"/>
    <s v="Medicare"/>
    <n v="38166.620000000003"/>
    <n v="10017.790000000001"/>
    <n v="0"/>
  </r>
  <r>
    <x v="3929"/>
    <s v="Peconic Bay Medical Center"/>
    <n v="2015"/>
    <n v="7"/>
    <s v="Medicare"/>
    <x v="2"/>
    <s v="Medicare"/>
    <n v="139255.4"/>
    <n v="65159.01"/>
    <n v="0"/>
  </r>
  <r>
    <x v="3930"/>
    <s v="Peconic Bay Medical Center"/>
    <n v="2015"/>
    <n v="7"/>
    <s v="Medicare"/>
    <x v="2"/>
    <s v="Medicare"/>
    <n v="42237.04"/>
    <n v="13218.6"/>
    <n v="0"/>
  </r>
  <r>
    <x v="3931"/>
    <s v="Peconic Bay Medical Center"/>
    <n v="2015"/>
    <n v="7"/>
    <s v="Medicare"/>
    <x v="2"/>
    <s v="Medicare"/>
    <n v="77586"/>
    <n v="59082.79"/>
    <n v="0"/>
  </r>
  <r>
    <x v="3932"/>
    <s v="Peconic Bay Medical Center"/>
    <n v="2015"/>
    <n v="7"/>
    <s v="Medicare"/>
    <x v="2"/>
    <s v="Medicare"/>
    <n v="36881.82"/>
    <n v="11524.45"/>
    <n v="0"/>
  </r>
  <r>
    <x v="3933"/>
    <s v="Peconic Bay Medical Center"/>
    <n v="2015"/>
    <n v="7"/>
    <s v="Medicare"/>
    <x v="2"/>
    <s v="Medicare"/>
    <n v="72167.14"/>
    <n v="55127.59"/>
    <n v="0"/>
  </r>
  <r>
    <x v="3934"/>
    <s v="Peconic Bay Medical Center"/>
    <n v="2015"/>
    <n v="7"/>
    <s v="Medicare"/>
    <x v="2"/>
    <s v="Medicare"/>
    <n v="31956.1"/>
    <n v="9051.48"/>
    <n v="0"/>
  </r>
  <r>
    <x v="3935"/>
    <s v="Peconic Bay Medical Center"/>
    <n v="2015"/>
    <n v="7"/>
    <s v="Medicare"/>
    <x v="2"/>
    <s v="Medicare"/>
    <n v="29439.88"/>
    <n v="7017.06"/>
    <n v="0"/>
  </r>
  <r>
    <x v="3936"/>
    <s v="Peconic Bay Medical Center"/>
    <n v="2015"/>
    <n v="7"/>
    <s v="Medicare"/>
    <x v="2"/>
    <s v="Medicare"/>
    <n v="16357.62"/>
    <n v="3721.04"/>
    <n v="0"/>
  </r>
  <r>
    <x v="3937"/>
    <s v="Peconic Bay Medical Center"/>
    <n v="2015"/>
    <n v="7"/>
    <s v="Medicare"/>
    <x v="2"/>
    <s v="Medicare"/>
    <n v="32679.9"/>
    <n v="14935.31"/>
    <n v="0"/>
  </r>
  <r>
    <x v="3938"/>
    <s v="Peconic Bay Medical Center"/>
    <n v="2015"/>
    <n v="7"/>
    <s v="Medicare"/>
    <x v="2"/>
    <s v="Medicare"/>
    <n v="119259.76"/>
    <n v="75689.89"/>
    <n v="0"/>
  </r>
  <r>
    <x v="3939"/>
    <s v="Peconic Bay Medical Center"/>
    <n v="2015"/>
    <n v="7"/>
    <s v="Medicare"/>
    <x v="2"/>
    <s v="Medicare"/>
    <n v="68606.42"/>
    <n v="51969.95"/>
    <n v="0"/>
  </r>
  <r>
    <x v="3940"/>
    <s v="Peconic Bay Medical Center"/>
    <n v="2015"/>
    <n v="7"/>
    <s v="Medicare"/>
    <x v="2"/>
    <s v="Medicare"/>
    <n v="130628.78"/>
    <n v="40484.76"/>
    <n v="0"/>
  </r>
  <r>
    <x v="3941"/>
    <s v="Peconic Bay Medical Center"/>
    <n v="2015"/>
    <n v="7"/>
    <s v="Medicare"/>
    <x v="2"/>
    <s v="Medicare"/>
    <n v="47017.1"/>
    <n v="14962.56"/>
    <n v="0"/>
  </r>
  <r>
    <x v="3942"/>
    <s v="Peconic Bay Medical Center"/>
    <n v="2015"/>
    <n v="7"/>
    <s v="Medicare"/>
    <x v="2"/>
    <s v="Medicare"/>
    <n v="152865.85999999999"/>
    <n v="61104.52"/>
    <n v="0"/>
  </r>
  <r>
    <x v="3943"/>
    <s v="Peconic Bay Medical Center"/>
    <n v="2015"/>
    <n v="7"/>
    <s v="Medicare"/>
    <x v="2"/>
    <s v="Medicare"/>
    <n v="66484.78"/>
    <n v="48943.199999999997"/>
    <n v="0"/>
  </r>
  <r>
    <x v="3944"/>
    <s v="Peconic Bay Medical Center"/>
    <n v="2015"/>
    <n v="7"/>
    <s v="Medicare"/>
    <x v="2"/>
    <s v="Medicare"/>
    <n v="40863.599999999999"/>
    <n v="11727.76"/>
    <n v="0"/>
  </r>
  <r>
    <x v="3945"/>
    <s v="Peconic Bay Medical Center"/>
    <n v="2015"/>
    <n v="7"/>
    <s v="Medicare"/>
    <x v="2"/>
    <s v="Medicare"/>
    <n v="28335.98"/>
    <n v="7495.34"/>
    <n v="0"/>
  </r>
  <r>
    <x v="3946"/>
    <s v="Peconic Bay Medical Center"/>
    <n v="2015"/>
    <n v="7"/>
    <s v="Medicare"/>
    <x v="2"/>
    <s v="Medicare"/>
    <n v="73484.179999999993"/>
    <n v="53257.32"/>
    <n v="0"/>
  </r>
  <r>
    <x v="3947"/>
    <s v="Peconic Bay Medical Center"/>
    <n v="2015"/>
    <n v="7"/>
    <s v="Medicare"/>
    <x v="2"/>
    <s v="Medicare"/>
    <n v="17689.02"/>
    <n v="4561.47"/>
    <n v="0"/>
  </r>
  <r>
    <x v="3948"/>
    <s v="Peconic Bay Medical Center"/>
    <n v="2015"/>
    <n v="7"/>
    <s v="Medicare"/>
    <x v="2"/>
    <s v="Medicare"/>
    <n v="26078.18"/>
    <n v="6547.83"/>
    <n v="0"/>
  </r>
  <r>
    <x v="3949"/>
    <s v="Peconic Bay Medical Center"/>
    <n v="2015"/>
    <n v="7"/>
    <s v="Medicare"/>
    <x v="2"/>
    <s v="Medicare"/>
    <n v="37380.36"/>
    <n v="10704.82"/>
    <n v="0"/>
  </r>
  <r>
    <x v="3950"/>
    <s v="Peconic Bay Medical Center"/>
    <n v="2015"/>
    <n v="7"/>
    <s v="Medicare"/>
    <x v="2"/>
    <s v="Medicare"/>
    <n v="15238.96"/>
    <n v="2928.71"/>
    <n v="0"/>
  </r>
  <r>
    <x v="3951"/>
    <s v="Peconic Bay Medical Center"/>
    <n v="2015"/>
    <n v="7"/>
    <s v="Medicare"/>
    <x v="2"/>
    <s v="Medicare"/>
    <n v="30216.880000000001"/>
    <n v="8660.02"/>
    <n v="0"/>
  </r>
  <r>
    <x v="3952"/>
    <s v="Peconic Bay Medical Center"/>
    <n v="2015"/>
    <n v="7"/>
    <s v="Medicare"/>
    <x v="2"/>
    <s v="Medicare"/>
    <n v="33861.879999999997"/>
    <n v="9739.75"/>
    <n v="0"/>
  </r>
  <r>
    <x v="3953"/>
    <s v="Peconic Bay Medical Center"/>
    <n v="2015"/>
    <n v="7"/>
    <s v="Medicare"/>
    <x v="2"/>
    <s v="Medicare"/>
    <n v="10262.1"/>
    <n v="2298.4699999999998"/>
    <n v="0"/>
  </r>
  <r>
    <x v="3954"/>
    <s v="Peconic Bay Medical Center"/>
    <n v="2015"/>
    <n v="7"/>
    <s v="Medicare"/>
    <x v="2"/>
    <s v="Medicare"/>
    <n v="14646.1"/>
    <n v="4281.87"/>
    <n v="0"/>
  </r>
  <r>
    <x v="3955"/>
    <s v="Peconic Bay Medical Center"/>
    <n v="2015"/>
    <n v="7"/>
    <s v="Medicare"/>
    <x v="2"/>
    <s v="Medicare"/>
    <n v="42095.31"/>
    <n v="31107.279999999999"/>
    <n v="0"/>
  </r>
  <r>
    <x v="3956"/>
    <s v="Peconic Bay Medical Center"/>
    <n v="2015"/>
    <n v="7"/>
    <s v="Medicare"/>
    <x v="2"/>
    <s v="Medicare"/>
    <n v="18742.439999999999"/>
    <n v="4711.18"/>
    <n v="0"/>
  </r>
  <r>
    <x v="3957"/>
    <s v="Peconic Bay Medical Center"/>
    <n v="2015"/>
    <n v="7"/>
    <s v="Medicare"/>
    <x v="2"/>
    <s v="Medicare"/>
    <n v="70376.2"/>
    <n v="52230.97"/>
    <n v="0"/>
  </r>
  <r>
    <x v="3958"/>
    <s v="Peconic Bay Medical Center"/>
    <n v="2015"/>
    <n v="7"/>
    <s v="Medicare"/>
    <x v="2"/>
    <s v="Medicare"/>
    <n v="66455.759999999995"/>
    <n v="48728.9"/>
    <n v="0"/>
  </r>
  <r>
    <x v="3959"/>
    <s v="Peconic Bay Medical Center"/>
    <n v="2015"/>
    <n v="7"/>
    <s v="Medicare"/>
    <x v="2"/>
    <s v="Medicare"/>
    <n v="53736.74"/>
    <n v="16559.169999999998"/>
    <n v="0"/>
  </r>
  <r>
    <x v="3960"/>
    <s v="Peconic Bay Medical Center"/>
    <n v="2015"/>
    <n v="7"/>
    <s v="Medicare"/>
    <x v="2"/>
    <s v="Medicare"/>
    <n v="30332"/>
    <n v="9013.52"/>
    <n v="0"/>
  </r>
  <r>
    <x v="3961"/>
    <s v="Peconic Bay Medical Center"/>
    <n v="2015"/>
    <n v="7"/>
    <s v="Medicare"/>
    <x v="2"/>
    <s v="Medicare"/>
    <n v="49332.14"/>
    <n v="16589.23"/>
    <n v="0"/>
  </r>
  <r>
    <x v="3962"/>
    <s v="Peconic Bay Medical Center"/>
    <n v="2015"/>
    <n v="7"/>
    <s v="Medicare"/>
    <x v="2"/>
    <s v="Medicare"/>
    <n v="21731.919999999998"/>
    <n v="6119.42"/>
    <n v="0"/>
  </r>
  <r>
    <x v="3963"/>
    <s v="Peconic Bay Medical Center"/>
    <n v="2015"/>
    <n v="7"/>
    <s v="Medicare"/>
    <x v="2"/>
    <s v="Medicare"/>
    <n v="69369.100000000006"/>
    <n v="52162.18"/>
    <n v="0"/>
  </r>
  <r>
    <x v="3964"/>
    <s v="Peconic Bay Medical Center"/>
    <n v="2015"/>
    <n v="7"/>
    <s v="Medicare"/>
    <x v="2"/>
    <s v="Medicare"/>
    <n v="29328.86"/>
    <n v="8228.69"/>
    <n v="0"/>
  </r>
  <r>
    <x v="3965"/>
    <s v="Peconic Bay Medical Center"/>
    <n v="2015"/>
    <n v="7"/>
    <s v="Medicare"/>
    <x v="2"/>
    <s v="Medicare"/>
    <n v="70050.759999999995"/>
    <n v="52509.03"/>
    <n v="0"/>
  </r>
  <r>
    <x v="3966"/>
    <s v="Peconic Bay Medical Center"/>
    <n v="2015"/>
    <n v="7"/>
    <s v="Medicare"/>
    <x v="2"/>
    <s v="Medicare"/>
    <n v="60813.7"/>
    <n v="47078.43"/>
    <n v="0"/>
  </r>
  <r>
    <x v="3967"/>
    <s v="Peconic Bay Medical Center"/>
    <n v="2015"/>
    <n v="7"/>
    <s v="Medicare"/>
    <x v="2"/>
    <s v="Medicare"/>
    <n v="146154.44"/>
    <n v="62104.73"/>
    <n v="0"/>
  </r>
  <r>
    <x v="3968"/>
    <s v="Peconic Bay Medical Center"/>
    <n v="2015"/>
    <n v="7"/>
    <s v="Medicare"/>
    <x v="2"/>
    <s v="Medicare"/>
    <n v="67237.179999999993"/>
    <n v="18310.21"/>
    <n v="0"/>
  </r>
  <r>
    <x v="3969"/>
    <s v="Peconic Bay Medical Center"/>
    <n v="2015"/>
    <n v="7"/>
    <s v="Medicare"/>
    <x v="2"/>
    <s v="Medicare"/>
    <n v="33079.06"/>
    <n v="9645.83"/>
    <n v="0"/>
  </r>
  <r>
    <x v="3970"/>
    <s v="Peconic Bay Medical Center"/>
    <n v="2015"/>
    <n v="7"/>
    <s v="Medicare"/>
    <x v="2"/>
    <s v="Medicare"/>
    <n v="73260.460000000006"/>
    <n v="56060.25"/>
    <n v="0"/>
  </r>
  <r>
    <x v="3971"/>
    <s v="Peconic Bay Medical Center"/>
    <n v="2015"/>
    <n v="7"/>
    <s v="Medicare"/>
    <x v="2"/>
    <s v="Medicare"/>
    <n v="15707.74"/>
    <n v="5895.35"/>
    <n v="0"/>
  </r>
  <r>
    <x v="3972"/>
    <s v="Peconic Bay Medical Center"/>
    <n v="2015"/>
    <n v="7"/>
    <s v="Medicare"/>
    <x v="2"/>
    <s v="Medicare"/>
    <n v="26246.54"/>
    <n v="7124.69"/>
    <n v="0"/>
  </r>
  <r>
    <x v="3973"/>
    <s v="Peconic Bay Medical Center"/>
    <n v="2015"/>
    <n v="7"/>
    <s v="Medicare"/>
    <x v="2"/>
    <s v="Medicare"/>
    <n v="11099.52"/>
    <n v="3043.67"/>
    <n v="0"/>
  </r>
  <r>
    <x v="3974"/>
    <s v="Peconic Bay Medical Center"/>
    <n v="2015"/>
    <n v="7"/>
    <s v="Medicare"/>
    <x v="2"/>
    <s v="Medicare"/>
    <n v="56184.74"/>
    <n v="26967.15"/>
    <n v="0"/>
  </r>
  <r>
    <x v="3975"/>
    <s v="Peconic Bay Medical Center"/>
    <n v="2015"/>
    <n v="7"/>
    <s v="Medicare"/>
    <x v="2"/>
    <s v="Medicare"/>
    <n v="75511.58"/>
    <n v="57460.97"/>
    <n v="0"/>
  </r>
  <r>
    <x v="3976"/>
    <s v="Peconic Bay Medical Center"/>
    <n v="2015"/>
    <n v="7"/>
    <s v="Medicare"/>
    <x v="2"/>
    <s v="Medicare"/>
    <n v="69386.42"/>
    <n v="54171.46"/>
    <n v="0"/>
  </r>
  <r>
    <x v="3977"/>
    <s v="Peconic Bay Medical Center"/>
    <n v="2015"/>
    <n v="7"/>
    <s v="Medicare"/>
    <x v="2"/>
    <s v="Medicare"/>
    <n v="26115.96"/>
    <n v="6971.12"/>
    <n v="0"/>
  </r>
  <r>
    <x v="3978"/>
    <s v="Peconic Bay Medical Center"/>
    <n v="2015"/>
    <n v="7"/>
    <s v="Medicare"/>
    <x v="2"/>
    <s v="Medicare"/>
    <n v="45416.1"/>
    <n v="12564.05"/>
    <n v="0"/>
  </r>
  <r>
    <x v="3979"/>
    <s v="Peconic Bay Medical Center"/>
    <n v="2015"/>
    <n v="7"/>
    <s v="Medicare"/>
    <x v="2"/>
    <s v="Medicare"/>
    <n v="11197.96"/>
    <n v="3034.93"/>
    <n v="0"/>
  </r>
  <r>
    <x v="3980"/>
    <s v="Peconic Bay Medical Center"/>
    <n v="2015"/>
    <n v="7"/>
    <s v="Medicare"/>
    <x v="2"/>
    <s v="Medicare"/>
    <n v="29192.54"/>
    <n v="6909.73"/>
    <n v="0"/>
  </r>
  <r>
    <x v="3981"/>
    <s v="Peconic Bay Medical Center"/>
    <n v="2015"/>
    <n v="7"/>
    <s v="Medicare"/>
    <x v="2"/>
    <s v="Medicare"/>
    <n v="14899.58"/>
    <n v="4889.83"/>
    <n v="0"/>
  </r>
  <r>
    <x v="3982"/>
    <s v="Peconic Bay Medical Center"/>
    <n v="2015"/>
    <n v="7"/>
    <s v="Medicare"/>
    <x v="2"/>
    <s v="Medicare"/>
    <n v="46591.54"/>
    <n v="10030"/>
    <n v="0"/>
  </r>
  <r>
    <x v="3983"/>
    <s v="Peconic Bay Medical Center"/>
    <n v="2015"/>
    <n v="7"/>
    <s v="Medicare"/>
    <x v="2"/>
    <s v="Medicare"/>
    <n v="104834.7"/>
    <n v="84860.11"/>
    <n v="0"/>
  </r>
  <r>
    <x v="3984"/>
    <s v="Peconic Bay Medical Center"/>
    <n v="2015"/>
    <n v="7"/>
    <s v="Medicare"/>
    <x v="2"/>
    <s v="Medicare"/>
    <n v="41955.38"/>
    <n v="17952.96"/>
    <n v="0"/>
  </r>
  <r>
    <x v="3985"/>
    <s v="Peconic Bay Medical Center"/>
    <n v="2015"/>
    <n v="7"/>
    <s v="Medicare"/>
    <x v="2"/>
    <s v="Medicare"/>
    <n v="11145.32"/>
    <n v="2503"/>
    <n v="0"/>
  </r>
  <r>
    <x v="3986"/>
    <s v="Peconic Bay Medical Center"/>
    <n v="2015"/>
    <n v="7"/>
    <s v="Medicare"/>
    <x v="2"/>
    <s v="Medicare"/>
    <n v="68427.48"/>
    <n v="21428.25"/>
    <n v="0"/>
  </r>
  <r>
    <x v="3987"/>
    <s v="Peconic Bay Medical Center"/>
    <n v="2015"/>
    <n v="7"/>
    <s v="Medicare"/>
    <x v="2"/>
    <s v="Medicare"/>
    <n v="23229.38"/>
    <n v="6105.51"/>
    <n v="0"/>
  </r>
  <r>
    <x v="3988"/>
    <s v="Peconic Bay Medical Center"/>
    <n v="2015"/>
    <n v="7"/>
    <s v="Medicare"/>
    <x v="2"/>
    <s v="Medicare"/>
    <n v="31073.84"/>
    <n v="12154.9"/>
    <n v="0"/>
  </r>
  <r>
    <x v="3989"/>
    <s v="Peconic Bay Medical Center"/>
    <n v="2015"/>
    <n v="7"/>
    <s v="Medicare"/>
    <x v="2"/>
    <s v="Medicare"/>
    <n v="62659.98"/>
    <n v="45769.91"/>
    <n v="0"/>
  </r>
  <r>
    <x v="3990"/>
    <s v="Peconic Bay Medical Center"/>
    <n v="2015"/>
    <n v="7"/>
    <s v="Medicare"/>
    <x v="2"/>
    <s v="Medicare"/>
    <n v="24532.16"/>
    <n v="6997.55"/>
    <n v="0"/>
  </r>
  <r>
    <x v="3991"/>
    <s v="Peconic Bay Medical Center"/>
    <n v="2015"/>
    <n v="7"/>
    <s v="Medicare"/>
    <x v="2"/>
    <s v="Medicare"/>
    <n v="63788.62"/>
    <n v="18085"/>
    <n v="0"/>
  </r>
  <r>
    <x v="3992"/>
    <s v="Peconic Bay Medical Center"/>
    <n v="2015"/>
    <n v="7"/>
    <s v="Medicare"/>
    <x v="2"/>
    <s v="Medicare"/>
    <n v="25534.81"/>
    <n v="13748.64"/>
    <n v="0"/>
  </r>
  <r>
    <x v="3993"/>
    <s v="Peconic Bay Medical Center"/>
    <n v="2015"/>
    <n v="7"/>
    <s v="Medicare"/>
    <x v="2"/>
    <s v="Medicare"/>
    <n v="70784.86"/>
    <n v="51119.11"/>
    <n v="0"/>
  </r>
  <r>
    <x v="3994"/>
    <s v="Peconic Bay Medical Center"/>
    <n v="2015"/>
    <n v="7"/>
    <s v="Medicare"/>
    <x v="2"/>
    <s v="Medicare"/>
    <n v="29398.13"/>
    <n v="14252.21"/>
    <n v="0"/>
  </r>
  <r>
    <x v="3995"/>
    <s v="Peconic Bay Medical Center"/>
    <n v="2015"/>
    <n v="7"/>
    <s v="Medicare"/>
    <x v="2"/>
    <s v="Medicare"/>
    <n v="75605.320000000007"/>
    <n v="57713.13"/>
    <n v="0"/>
  </r>
  <r>
    <x v="3996"/>
    <s v="Peconic Bay Medical Center"/>
    <n v="2015"/>
    <n v="7"/>
    <s v="Medicare"/>
    <x v="2"/>
    <s v="Medicare"/>
    <n v="34062.120000000003"/>
    <n v="14516.03"/>
    <n v="0"/>
  </r>
  <r>
    <x v="3997"/>
    <s v="Peconic Bay Medical Center"/>
    <n v="2015"/>
    <n v="7"/>
    <s v="Medicare"/>
    <x v="2"/>
    <s v="Medicare"/>
    <n v="87157.38"/>
    <n v="45119.96"/>
    <n v="0"/>
  </r>
  <r>
    <x v="3998"/>
    <s v="Peconic Bay Medical Center"/>
    <n v="2015"/>
    <n v="7"/>
    <s v="Medicare"/>
    <x v="2"/>
    <s v="Medicare"/>
    <n v="139570.85999999999"/>
    <n v="110166.78"/>
    <n v="0"/>
  </r>
  <r>
    <x v="3999"/>
    <s v="Peconic Bay Medical Center"/>
    <n v="2015"/>
    <n v="7"/>
    <s v="Medicare"/>
    <x v="2"/>
    <s v="Medicare"/>
    <n v="24481.8"/>
    <n v="6465.14"/>
    <n v="0"/>
  </r>
  <r>
    <x v="4000"/>
    <s v="Peconic Bay Medical Center"/>
    <n v="2015"/>
    <n v="7"/>
    <s v="Medicare"/>
    <x v="2"/>
    <s v="Medicare"/>
    <n v="73222.28"/>
    <n v="55547.1"/>
    <n v="0"/>
  </r>
  <r>
    <x v="4001"/>
    <s v="Peconic Bay Medical Center"/>
    <n v="2015"/>
    <n v="7"/>
    <s v="Medicare"/>
    <x v="2"/>
    <s v="Medicare"/>
    <n v="13072.56"/>
    <n v="3110.04"/>
    <n v="0"/>
  </r>
  <r>
    <x v="4002"/>
    <s v="Peconic Bay Medical Center"/>
    <n v="2015"/>
    <n v="7"/>
    <s v="Medicare"/>
    <x v="2"/>
    <s v="Medicare"/>
    <n v="65560.08"/>
    <n v="47806"/>
    <n v="0"/>
  </r>
  <r>
    <x v="4003"/>
    <s v="Peconic Bay Medical Center"/>
    <n v="2015"/>
    <n v="7"/>
    <s v="Medicare"/>
    <x v="2"/>
    <s v="Medicare"/>
    <n v="48795.26"/>
    <n v="11414.69"/>
    <n v="0"/>
  </r>
  <r>
    <x v="4004"/>
    <s v="Peconic Bay Medical Center"/>
    <n v="2015"/>
    <n v="7"/>
    <s v="Medicare"/>
    <x v="2"/>
    <s v="Medicare"/>
    <n v="23924.2"/>
    <n v="7346.13"/>
    <n v="0"/>
  </r>
  <r>
    <x v="4005"/>
    <s v="Peconic Bay Medical Center"/>
    <n v="2015"/>
    <n v="7"/>
    <s v="Medicare"/>
    <x v="2"/>
    <s v="Medicare"/>
    <n v="107614.2"/>
    <n v="64196.49"/>
    <n v="0"/>
  </r>
  <r>
    <x v="4006"/>
    <s v="Peconic Bay Medical Center"/>
    <n v="2015"/>
    <n v="7"/>
    <s v="Medicare"/>
    <x v="2"/>
    <s v="Medicare"/>
    <n v="11605.3"/>
    <n v="2935.51"/>
    <n v="0"/>
  </r>
  <r>
    <x v="4007"/>
    <s v="Peconic Bay Medical Center"/>
    <n v="2015"/>
    <n v="7"/>
    <s v="Medicare"/>
    <x v="2"/>
    <s v="Medicare"/>
    <n v="76273.399999999994"/>
    <n v="22397.08"/>
    <n v="0"/>
  </r>
  <r>
    <x v="4008"/>
    <s v="Peconic Bay Medical Center"/>
    <n v="2015"/>
    <n v="7"/>
    <s v="Medicare"/>
    <x v="2"/>
    <s v="Medicare"/>
    <n v="32222.36"/>
    <n v="9101.0499999999993"/>
    <n v="0"/>
  </r>
  <r>
    <x v="4009"/>
    <s v="Peconic Bay Medical Center"/>
    <n v="2015"/>
    <n v="7"/>
    <s v="Medicare"/>
    <x v="2"/>
    <s v="Medicare"/>
    <n v="11069.1"/>
    <n v="3114.98"/>
    <n v="0"/>
  </r>
  <r>
    <x v="4010"/>
    <s v="Peconic Bay Medical Center"/>
    <n v="2015"/>
    <n v="7"/>
    <s v="Medicare"/>
    <x v="2"/>
    <s v="Medicare"/>
    <n v="24821.24"/>
    <n v="7287.95"/>
    <n v="0"/>
  </r>
  <r>
    <x v="4011"/>
    <s v="Peconic Bay Medical Center"/>
    <n v="2015"/>
    <n v="7"/>
    <s v="Medicare"/>
    <x v="2"/>
    <s v="Medicare"/>
    <n v="97428.95"/>
    <n v="29070.59"/>
    <n v="0"/>
  </r>
  <r>
    <x v="4012"/>
    <s v="Peconic Bay Medical Center"/>
    <n v="2015"/>
    <n v="7"/>
    <s v="Medicare"/>
    <x v="2"/>
    <s v="Medicare"/>
    <n v="65715.199999999997"/>
    <n v="47198.35"/>
    <n v="0"/>
  </r>
  <r>
    <x v="4013"/>
    <s v="Peconic Bay Medical Center"/>
    <n v="2015"/>
    <n v="7"/>
    <s v="Medicare"/>
    <x v="2"/>
    <s v="Medicare"/>
    <n v="98115.8"/>
    <n v="56526.82"/>
    <n v="0"/>
  </r>
  <r>
    <x v="4014"/>
    <s v="Peconic Bay Medical Center"/>
    <n v="2015"/>
    <n v="7"/>
    <s v="Medicare"/>
    <x v="2"/>
    <s v="Medicare"/>
    <n v="27561.439999999999"/>
    <n v="6587.25"/>
    <n v="0"/>
  </r>
  <r>
    <x v="4015"/>
    <s v="Peconic Bay Medical Center"/>
    <n v="2015"/>
    <n v="7"/>
    <s v="Medicare"/>
    <x v="2"/>
    <s v="Medicare"/>
    <n v="18391.66"/>
    <n v="9482.82"/>
    <n v="0"/>
  </r>
  <r>
    <x v="4016"/>
    <s v="Peconic Bay Medical Center"/>
    <n v="2015"/>
    <n v="7"/>
    <s v="Medicare"/>
    <x v="2"/>
    <s v="Medicare"/>
    <n v="63622.2"/>
    <n v="19373.18"/>
    <n v="0"/>
  </r>
  <r>
    <x v="4017"/>
    <s v="Peconic Bay Medical Center"/>
    <n v="2015"/>
    <n v="7"/>
    <s v="Medicare"/>
    <x v="2"/>
    <s v="Medicare"/>
    <n v="17252.02"/>
    <n v="4305.62"/>
    <n v="0"/>
  </r>
  <r>
    <x v="4018"/>
    <s v="Peconic Bay Medical Center"/>
    <n v="2015"/>
    <n v="7"/>
    <s v="Medicare"/>
    <x v="2"/>
    <s v="Medicare"/>
    <n v="66681.66"/>
    <n v="48961.83"/>
    <n v="0"/>
  </r>
  <r>
    <x v="4019"/>
    <s v="Peconic Bay Medical Center"/>
    <n v="2015"/>
    <n v="7"/>
    <s v="Medicare"/>
    <x v="2"/>
    <s v="Medicare"/>
    <n v="70730.740000000005"/>
    <n v="56774.65"/>
    <n v="0"/>
  </r>
  <r>
    <x v="4020"/>
    <s v="Peconic Bay Medical Center"/>
    <n v="2015"/>
    <n v="7"/>
    <s v="Medicare"/>
    <x v="2"/>
    <s v="Medicare"/>
    <n v="25612.66"/>
    <n v="7470.72"/>
    <n v="0"/>
  </r>
  <r>
    <x v="4021"/>
    <s v="Peconic Bay Medical Center"/>
    <n v="2015"/>
    <n v="7"/>
    <s v="Medicare"/>
    <x v="2"/>
    <s v="Medicare"/>
    <n v="49609"/>
    <n v="18041.349999999999"/>
    <n v="0"/>
  </r>
  <r>
    <x v="4022"/>
    <s v="Peconic Bay Medical Center"/>
    <n v="2015"/>
    <n v="7"/>
    <s v="Medicare"/>
    <x v="2"/>
    <s v="Medicare"/>
    <n v="29899.08"/>
    <n v="6400.75"/>
    <n v="0"/>
  </r>
  <r>
    <x v="4023"/>
    <s v="Peconic Bay Medical Center"/>
    <n v="2015"/>
    <n v="7"/>
    <s v="Medicare"/>
    <x v="2"/>
    <s v="Medicare"/>
    <n v="99583.54"/>
    <n v="80358.84"/>
    <n v="0"/>
  </r>
  <r>
    <x v="4024"/>
    <s v="Peconic Bay Medical Center"/>
    <n v="2015"/>
    <n v="7"/>
    <s v="Medicare"/>
    <x v="2"/>
    <s v="Medicare"/>
    <n v="49121.1"/>
    <n v="13333.84"/>
    <n v="0"/>
  </r>
  <r>
    <x v="4025"/>
    <s v="Peconic Bay Medical Center"/>
    <n v="2015"/>
    <n v="7"/>
    <s v="Medicare"/>
    <x v="2"/>
    <s v="Medicare"/>
    <n v="63884.34"/>
    <n v="19346.8"/>
    <n v="0"/>
  </r>
  <r>
    <x v="4026"/>
    <s v="Peconic Bay Medical Center"/>
    <n v="2015"/>
    <n v="7"/>
    <s v="Medicare"/>
    <x v="2"/>
    <s v="Medicare"/>
    <n v="47931.17"/>
    <n v="25623.21"/>
    <n v="0"/>
  </r>
  <r>
    <x v="4027"/>
    <s v="Peconic Bay Medical Center"/>
    <n v="2015"/>
    <n v="7"/>
    <s v="Medicare"/>
    <x v="2"/>
    <s v="Medicare"/>
    <n v="32415.88"/>
    <n v="12288.47"/>
    <n v="0"/>
  </r>
  <r>
    <x v="4028"/>
    <s v="Peconic Bay Medical Center"/>
    <n v="2015"/>
    <n v="7"/>
    <s v="Medicare"/>
    <x v="2"/>
    <s v="Medicare"/>
    <n v="29582.92"/>
    <n v="9072.6"/>
    <n v="0"/>
  </r>
  <r>
    <x v="4029"/>
    <s v="Peconic Bay Medical Center"/>
    <n v="2015"/>
    <n v="7"/>
    <s v="Medicare"/>
    <x v="2"/>
    <s v="Medicare"/>
    <n v="11798.44"/>
    <n v="2588.5100000000002"/>
    <n v="0"/>
  </r>
  <r>
    <x v="4030"/>
    <s v="Peconic Bay Medical Center"/>
    <n v="2015"/>
    <n v="7"/>
    <s v="Medicare"/>
    <x v="2"/>
    <s v="Medicare"/>
    <n v="118182.34"/>
    <n v="91408.52"/>
    <n v="0"/>
  </r>
  <r>
    <x v="4031"/>
    <s v="Peconic Bay Medical Center"/>
    <n v="2015"/>
    <n v="7"/>
    <s v="Medicare"/>
    <x v="2"/>
    <s v="Medicare"/>
    <n v="58687.7"/>
    <n v="34004.97"/>
    <n v="0"/>
  </r>
  <r>
    <x v="4032"/>
    <s v="Peconic Bay Medical Center"/>
    <n v="2015"/>
    <n v="7"/>
    <s v="Medicare"/>
    <x v="2"/>
    <s v="Medicare"/>
    <n v="177181.89"/>
    <n v="152615.04999999999"/>
    <n v="0"/>
  </r>
  <r>
    <x v="4033"/>
    <s v="Peconic Bay Medical Center"/>
    <n v="2015"/>
    <n v="7"/>
    <s v="Medicare"/>
    <x v="2"/>
    <s v="Medicare"/>
    <n v="75233.52"/>
    <n v="57830.02"/>
    <n v="0"/>
  </r>
  <r>
    <x v="4034"/>
    <s v="Peconic Bay Medical Center"/>
    <n v="2015"/>
    <n v="7"/>
    <s v="Medicare"/>
    <x v="2"/>
    <s v="Medicare"/>
    <n v="25753.119999999999"/>
    <n v="5734.32"/>
    <n v="0"/>
  </r>
  <r>
    <x v="4035"/>
    <s v="Peconic Bay Medical Center"/>
    <n v="2015"/>
    <n v="7"/>
    <s v="Medicare"/>
    <x v="2"/>
    <s v="Medicare"/>
    <n v="21789.58"/>
    <n v="5235.8999999999996"/>
    <n v="0"/>
  </r>
  <r>
    <x v="4036"/>
    <s v="Peconic Bay Medical Center"/>
    <n v="2015"/>
    <n v="7"/>
    <s v="Medicare"/>
    <x v="2"/>
    <s v="Medicare"/>
    <n v="62321.1"/>
    <n v="42476.73"/>
    <n v="0"/>
  </r>
  <r>
    <x v="4037"/>
    <s v="Peconic Bay Medical Center"/>
    <n v="2015"/>
    <n v="7"/>
    <s v="Medicare"/>
    <x v="2"/>
    <s v="Medicare"/>
    <n v="62173.26"/>
    <n v="42938.44"/>
    <n v="0"/>
  </r>
  <r>
    <x v="4038"/>
    <s v="Peconic Bay Medical Center"/>
    <n v="2015"/>
    <n v="7"/>
    <s v="Medicare"/>
    <x v="2"/>
    <s v="Medicare"/>
    <n v="65879.259999999995"/>
    <n v="48502.73"/>
    <n v="0"/>
  </r>
  <r>
    <x v="4039"/>
    <s v="Peconic Bay Medical Center"/>
    <n v="2015"/>
    <n v="7"/>
    <s v="Medicare"/>
    <x v="2"/>
    <s v="Medicare"/>
    <n v="29155.26"/>
    <n v="8385.25"/>
    <n v="0"/>
  </r>
  <r>
    <x v="4040"/>
    <s v="Peconic Bay Medical Center"/>
    <n v="2015"/>
    <n v="7"/>
    <s v="Medicare"/>
    <x v="2"/>
    <s v="Medicare"/>
    <n v="28211.5"/>
    <n v="8312.39"/>
    <n v="0"/>
  </r>
  <r>
    <x v="4041"/>
    <s v="Peconic Bay Medical Center"/>
    <n v="2015"/>
    <n v="7"/>
    <s v="Medicare"/>
    <x v="2"/>
    <s v="Medicare"/>
    <n v="71653.86"/>
    <n v="54269.15"/>
    <n v="0"/>
  </r>
  <r>
    <x v="4042"/>
    <s v="Peconic Bay Medical Center"/>
    <n v="2015"/>
    <n v="7"/>
    <s v="Medicare"/>
    <x v="2"/>
    <s v="Medicare"/>
    <n v="55877.18"/>
    <n v="31094.46"/>
    <n v="0"/>
  </r>
  <r>
    <x v="4043"/>
    <s v="Peconic Bay Medical Center"/>
    <n v="2015"/>
    <n v="7"/>
    <s v="Medicare"/>
    <x v="2"/>
    <s v="Medicare"/>
    <n v="12406.32"/>
    <n v="3035.96"/>
    <n v="0"/>
  </r>
  <r>
    <x v="4044"/>
    <s v="Peconic Bay Medical Center"/>
    <n v="2015"/>
    <n v="7"/>
    <s v="Medicare"/>
    <x v="2"/>
    <s v="Medicare"/>
    <n v="50923.33"/>
    <n v="18290.03"/>
    <n v="0"/>
  </r>
  <r>
    <x v="4045"/>
    <s v="Peconic Bay Medical Center"/>
    <n v="2015"/>
    <n v="7"/>
    <s v="Medicare"/>
    <x v="2"/>
    <s v="Medicare"/>
    <n v="92848.22"/>
    <n v="25998.82"/>
    <n v="0"/>
  </r>
  <r>
    <x v="4046"/>
    <s v="Peconic Bay Medical Center"/>
    <n v="2015"/>
    <n v="7"/>
    <s v="Medicare"/>
    <x v="2"/>
    <s v="Medicare"/>
    <n v="53649.16"/>
    <n v="19682.95"/>
    <n v="0"/>
  </r>
  <r>
    <x v="4047"/>
    <s v="Peconic Bay Medical Center"/>
    <n v="2015"/>
    <n v="7"/>
    <s v="Medicare"/>
    <x v="2"/>
    <s v="Medicare"/>
    <n v="28337.62"/>
    <n v="7989.52"/>
    <n v="0"/>
  </r>
  <r>
    <x v="4048"/>
    <s v="Peconic Bay Medical Center"/>
    <n v="2015"/>
    <n v="7"/>
    <s v="Medicare"/>
    <x v="2"/>
    <s v="Medicare"/>
    <n v="112358.32"/>
    <n v="43807.55"/>
    <n v="0"/>
  </r>
  <r>
    <x v="4049"/>
    <s v="Peconic Bay Medical Center"/>
    <n v="2015"/>
    <n v="7"/>
    <s v="Medicare"/>
    <x v="2"/>
    <s v="Medicare"/>
    <n v="23180.62"/>
    <n v="6238.64"/>
    <n v="0"/>
  </r>
  <r>
    <x v="4050"/>
    <s v="Peconic Bay Medical Center"/>
    <n v="2015"/>
    <n v="7"/>
    <s v="Medicare"/>
    <x v="2"/>
    <s v="Medicare"/>
    <n v="64288.34"/>
    <n v="46598.54"/>
    <n v="0"/>
  </r>
  <r>
    <x v="4051"/>
    <s v="Peconic Bay Medical Center"/>
    <n v="2015"/>
    <n v="7"/>
    <s v="Medicare"/>
    <x v="2"/>
    <s v="Medicare"/>
    <n v="16159.78"/>
    <n v="4710.41"/>
    <n v="0"/>
  </r>
  <r>
    <x v="4052"/>
    <s v="Peconic Bay Medical Center"/>
    <n v="2015"/>
    <n v="7"/>
    <s v="Medicare"/>
    <x v="2"/>
    <s v="Medicare"/>
    <n v="15150.24"/>
    <n v="5085.88"/>
    <n v="0"/>
  </r>
  <r>
    <x v="4053"/>
    <s v="Peconic Bay Medical Center"/>
    <n v="2015"/>
    <n v="7"/>
    <s v="Medicare"/>
    <x v="2"/>
    <s v="Medicare"/>
    <n v="16986.72"/>
    <n v="5107.1000000000004"/>
    <n v="0"/>
  </r>
  <r>
    <x v="4054"/>
    <s v="Peconic Bay Medical Center"/>
    <n v="2015"/>
    <n v="7"/>
    <s v="Medicare"/>
    <x v="2"/>
    <s v="Medicare"/>
    <n v="21146.84"/>
    <n v="4918.7299999999996"/>
    <n v="0"/>
  </r>
  <r>
    <x v="4055"/>
    <s v="Peconic Bay Medical Center"/>
    <n v="2015"/>
    <n v="7"/>
    <s v="Medicare"/>
    <x v="2"/>
    <s v="Medicare"/>
    <n v="73069.78"/>
    <n v="54522.81"/>
    <n v="0"/>
  </r>
  <r>
    <x v="4056"/>
    <s v="Peconic Bay Medical Center"/>
    <n v="2015"/>
    <n v="7"/>
    <s v="Medicare"/>
    <x v="2"/>
    <s v="Medicare"/>
    <n v="53306.16"/>
    <n v="23878.639999999999"/>
    <n v="0"/>
  </r>
  <r>
    <x v="4057"/>
    <s v="Peconic Bay Medical Center"/>
    <n v="2015"/>
    <n v="7"/>
    <s v="Medicare"/>
    <x v="2"/>
    <s v="Medicare"/>
    <n v="53157.760000000002"/>
    <n v="16245.77"/>
    <n v="0"/>
  </r>
  <r>
    <x v="4058"/>
    <s v="Peconic Bay Medical Center"/>
    <n v="2015"/>
    <n v="7"/>
    <s v="Medicare"/>
    <x v="2"/>
    <s v="Medicare"/>
    <n v="25022.36"/>
    <n v="5517.74"/>
    <n v="0"/>
  </r>
  <r>
    <x v="4059"/>
    <s v="Peconic Bay Medical Center"/>
    <n v="2015"/>
    <n v="7"/>
    <s v="Medicare"/>
    <x v="2"/>
    <s v="Medicare"/>
    <n v="82288.92"/>
    <n v="58217.11"/>
    <n v="0"/>
  </r>
  <r>
    <x v="4060"/>
    <s v="Peconic Bay Medical Center"/>
    <n v="2015"/>
    <n v="7"/>
    <s v="Medicare"/>
    <x v="2"/>
    <s v="Medicare"/>
    <n v="115009.1"/>
    <n v="101807.86"/>
    <n v="0"/>
  </r>
  <r>
    <x v="4061"/>
    <s v="Peconic Bay Medical Center"/>
    <n v="2015"/>
    <n v="7"/>
    <s v="Medicare"/>
    <x v="2"/>
    <s v="Medicare"/>
    <n v="46647.56"/>
    <n v="14169.03"/>
    <n v="0"/>
  </r>
  <r>
    <x v="4062"/>
    <s v="Peconic Bay Medical Center"/>
    <n v="2015"/>
    <n v="7"/>
    <s v="Medicare"/>
    <x v="2"/>
    <s v="Medicare"/>
    <n v="20529.98"/>
    <n v="6014.06"/>
    <n v="0"/>
  </r>
  <r>
    <x v="4063"/>
    <s v="Peconic Bay Medical Center"/>
    <n v="2015"/>
    <n v="7"/>
    <s v="Medicare"/>
    <x v="2"/>
    <s v="Medicare"/>
    <n v="30085.82"/>
    <n v="8293.9699999999993"/>
    <n v="0"/>
  </r>
  <r>
    <x v="4064"/>
    <s v="Peconic Bay Medical Center"/>
    <n v="2015"/>
    <n v="7"/>
    <s v="Medicare"/>
    <x v="2"/>
    <s v="Medicare"/>
    <n v="113741.51"/>
    <n v="55187.56"/>
    <n v="0"/>
  </r>
  <r>
    <x v="4065"/>
    <s v="Peconic Bay Medical Center"/>
    <n v="2015"/>
    <n v="7"/>
    <s v="Medicare"/>
    <x v="2"/>
    <s v="Medicare"/>
    <n v="38708.879999999997"/>
    <n v="17346.96"/>
    <n v="0"/>
  </r>
  <r>
    <x v="4066"/>
    <s v="Peconic Bay Medical Center"/>
    <n v="2015"/>
    <n v="7"/>
    <s v="Medicare"/>
    <x v="2"/>
    <s v="Medicare"/>
    <n v="65433.88"/>
    <n v="46392.36"/>
    <n v="0"/>
  </r>
  <r>
    <x v="4067"/>
    <s v="Peconic Bay Medical Center"/>
    <n v="2015"/>
    <n v="7"/>
    <s v="Medicare"/>
    <x v="2"/>
    <s v="Medicare"/>
    <n v="48842.400000000001"/>
    <n v="14931.9"/>
    <n v="0"/>
  </r>
  <r>
    <x v="4068"/>
    <s v="Peconic Bay Medical Center"/>
    <n v="2015"/>
    <n v="7"/>
    <s v="Medicare"/>
    <x v="2"/>
    <s v="Medicare"/>
    <n v="69308.06"/>
    <n v="52144.5"/>
    <n v="0"/>
  </r>
  <r>
    <x v="4069"/>
    <s v="Peconic Bay Medical Center"/>
    <n v="2015"/>
    <n v="7"/>
    <s v="Medicare"/>
    <x v="2"/>
    <s v="Medicare"/>
    <n v="23770.42"/>
    <n v="4374.79"/>
    <n v="0"/>
  </r>
  <r>
    <x v="4070"/>
    <s v="Peconic Bay Medical Center"/>
    <n v="2015"/>
    <n v="7"/>
    <s v="Medicare"/>
    <x v="2"/>
    <s v="Medicare"/>
    <n v="29261.919999999998"/>
    <n v="6205.29"/>
    <n v="0"/>
  </r>
  <r>
    <x v="4071"/>
    <s v="Peconic Bay Medical Center"/>
    <n v="2015"/>
    <n v="7"/>
    <s v="Medicare"/>
    <x v="2"/>
    <s v="Medicare"/>
    <n v="38595.120000000003"/>
    <n v="28685.360000000001"/>
    <n v="0"/>
  </r>
  <r>
    <x v="4072"/>
    <s v="Peconic Bay Medical Center"/>
    <n v="2015"/>
    <n v="7"/>
    <s v="Medicare"/>
    <x v="2"/>
    <s v="Medicare"/>
    <n v="70570.2"/>
    <n v="52453.440000000002"/>
    <n v="0"/>
  </r>
  <r>
    <x v="4073"/>
    <s v="Peconic Bay Medical Center"/>
    <n v="2015"/>
    <n v="7"/>
    <s v="Medicare"/>
    <x v="2"/>
    <s v="Medicare"/>
    <n v="23762.6"/>
    <n v="7085.37"/>
    <n v="0"/>
  </r>
  <r>
    <x v="4074"/>
    <s v="Peconic Bay Medical Center"/>
    <n v="2015"/>
    <n v="7"/>
    <s v="Medicare"/>
    <x v="2"/>
    <s v="Medicare"/>
    <n v="13412.28"/>
    <n v="3160.46"/>
    <n v="0"/>
  </r>
  <r>
    <x v="4075"/>
    <s v="Peconic Bay Medical Center"/>
    <n v="2015"/>
    <n v="7"/>
    <s v="Medicare"/>
    <x v="2"/>
    <s v="Medicare"/>
    <n v="29396.94"/>
    <n v="8339.24"/>
    <n v="0"/>
  </r>
  <r>
    <x v="4076"/>
    <s v="Peconic Bay Medical Center"/>
    <n v="2015"/>
    <n v="7"/>
    <s v="Medicare"/>
    <x v="2"/>
    <s v="Medicare"/>
    <n v="58931.360000000001"/>
    <n v="45060.49"/>
    <n v="0"/>
  </r>
  <r>
    <x v="4077"/>
    <s v="Peconic Bay Medical Center"/>
    <n v="2015"/>
    <n v="7"/>
    <s v="Medicare"/>
    <x v="2"/>
    <s v="Medicare"/>
    <n v="59809.8"/>
    <n v="26846.49"/>
    <n v="0"/>
  </r>
  <r>
    <x v="4078"/>
    <s v="Peconic Bay Medical Center"/>
    <n v="2015"/>
    <n v="7"/>
    <s v="Medicare"/>
    <x v="2"/>
    <s v="Medicare"/>
    <n v="20106"/>
    <n v="5553.13"/>
    <n v="0"/>
  </r>
  <r>
    <x v="4079"/>
    <s v="Peconic Bay Medical Center"/>
    <n v="2015"/>
    <n v="7"/>
    <s v="Medicare"/>
    <x v="2"/>
    <s v="Medicare"/>
    <n v="62145.64"/>
    <n v="42724.78"/>
    <n v="0"/>
  </r>
  <r>
    <x v="4080"/>
    <s v="Peconic Bay Medical Center"/>
    <n v="2015"/>
    <n v="7"/>
    <s v="Medicare"/>
    <x v="2"/>
    <s v="Medicare"/>
    <n v="75887.12"/>
    <n v="56335.16"/>
    <n v="0"/>
  </r>
  <r>
    <x v="4081"/>
    <s v="Peconic Bay Medical Center"/>
    <n v="2015"/>
    <n v="7"/>
    <s v="Medicare"/>
    <x v="2"/>
    <s v="Medicare"/>
    <n v="38067.660000000003"/>
    <n v="11826.78"/>
    <n v="0"/>
  </r>
  <r>
    <x v="4082"/>
    <s v="Peconic Bay Medical Center"/>
    <n v="2015"/>
    <n v="7"/>
    <s v="Medicare"/>
    <x v="2"/>
    <s v="Medicare"/>
    <n v="15499.76"/>
    <n v="4109.88"/>
    <n v="0"/>
  </r>
  <r>
    <x v="4083"/>
    <s v="Peconic Bay Medical Center"/>
    <n v="2015"/>
    <n v="7"/>
    <s v="Medicare"/>
    <x v="2"/>
    <s v="Medicare"/>
    <n v="44323.32"/>
    <n v="15701.08"/>
    <n v="0"/>
  </r>
  <r>
    <x v="4084"/>
    <s v="Peconic Bay Medical Center"/>
    <n v="2015"/>
    <n v="7"/>
    <s v="Medicare"/>
    <x v="2"/>
    <s v="Medicare"/>
    <n v="14996.38"/>
    <n v="4436.38"/>
    <n v="0"/>
  </r>
  <r>
    <x v="4085"/>
    <s v="Peconic Bay Medical Center"/>
    <n v="2015"/>
    <n v="7"/>
    <s v="Medicare"/>
    <x v="2"/>
    <s v="Medicare"/>
    <n v="67763.960000000006"/>
    <n v="49216.19"/>
    <n v="0"/>
  </r>
  <r>
    <x v="4086"/>
    <s v="Peconic Bay Medical Center"/>
    <n v="2015"/>
    <n v="7"/>
    <s v="Medicare"/>
    <x v="2"/>
    <s v="Medicare"/>
    <n v="52935.88"/>
    <n v="20960.38"/>
    <n v="0"/>
  </r>
  <r>
    <x v="4087"/>
    <s v="Peconic Bay Medical Center"/>
    <n v="2015"/>
    <n v="7"/>
    <s v="Medicare"/>
    <x v="2"/>
    <s v="Medicare"/>
    <n v="66124.08"/>
    <n v="46225.03"/>
    <n v="0"/>
  </r>
  <r>
    <x v="4088"/>
    <s v="Peconic Bay Medical Center"/>
    <n v="2015"/>
    <n v="7"/>
    <s v="Medicare"/>
    <x v="2"/>
    <s v="Medicare"/>
    <n v="21790.44"/>
    <n v="6440.49"/>
    <n v="0"/>
  </r>
  <r>
    <x v="4089"/>
    <s v="Peconic Bay Medical Center"/>
    <n v="2015"/>
    <n v="7"/>
    <s v="Medicare"/>
    <x v="2"/>
    <s v="Medicare"/>
    <n v="61149.7"/>
    <n v="47215.9"/>
    <n v="0"/>
  </r>
  <r>
    <x v="4090"/>
    <s v="Peconic Bay Medical Center"/>
    <n v="2015"/>
    <n v="7"/>
    <s v="Medicare"/>
    <x v="2"/>
    <s v="Medicare"/>
    <n v="18740.5"/>
    <n v="9001.1200000000008"/>
    <n v="0"/>
  </r>
  <r>
    <x v="4091"/>
    <s v="Peconic Bay Medical Center"/>
    <n v="2015"/>
    <n v="7"/>
    <s v="Medicare"/>
    <x v="2"/>
    <s v="Medicare"/>
    <n v="14427.1"/>
    <n v="4198.3599999999997"/>
    <n v="0"/>
  </r>
  <r>
    <x v="4092"/>
    <s v="Peconic Bay Medical Center"/>
    <n v="2015"/>
    <n v="7"/>
    <s v="Medicare"/>
    <x v="2"/>
    <s v="Medicare"/>
    <n v="64256.56"/>
    <n v="21040.85"/>
    <n v="0"/>
  </r>
  <r>
    <x v="4093"/>
    <s v="Peconic Bay Medical Center"/>
    <n v="2015"/>
    <n v="7"/>
    <s v="Medicare"/>
    <x v="2"/>
    <s v="Medicare"/>
    <n v="62385.95"/>
    <n v="19497.2"/>
    <n v="0"/>
  </r>
  <r>
    <x v="4094"/>
    <s v="Peconic Bay Medical Center"/>
    <n v="2015"/>
    <n v="7"/>
    <s v="Medicare"/>
    <x v="2"/>
    <s v="Medicare"/>
    <n v="15510.14"/>
    <n v="4505.8500000000004"/>
    <n v="0"/>
  </r>
  <r>
    <x v="4095"/>
    <s v="Peconic Bay Medical Center"/>
    <n v="2015"/>
    <n v="7"/>
    <s v="Medicare"/>
    <x v="2"/>
    <s v="Medicare"/>
    <n v="61555.56"/>
    <n v="42391.05"/>
    <n v="0"/>
  </r>
  <r>
    <x v="4096"/>
    <s v="Peconic Bay Medical Center"/>
    <n v="2015"/>
    <n v="7"/>
    <s v="Medicare"/>
    <x v="2"/>
    <s v="Medicare"/>
    <n v="18849.060000000001"/>
    <n v="4844.3"/>
    <n v="0"/>
  </r>
  <r>
    <x v="4097"/>
    <s v="Peconic Bay Medical Center"/>
    <n v="2015"/>
    <n v="7"/>
    <s v="Medicare"/>
    <x v="2"/>
    <s v="Medicare"/>
    <n v="11312"/>
    <n v="2689.42"/>
    <n v="0"/>
  </r>
  <r>
    <x v="4098"/>
    <s v="Peconic Bay Medical Center"/>
    <n v="2015"/>
    <n v="7"/>
    <s v="Medicare"/>
    <x v="2"/>
    <s v="Medicare"/>
    <n v="199513"/>
    <n v="93272.12"/>
    <n v="0"/>
  </r>
  <r>
    <x v="4099"/>
    <s v="Peconic Bay Medical Center"/>
    <n v="2015"/>
    <n v="7"/>
    <s v="Medicare"/>
    <x v="2"/>
    <s v="Medicare"/>
    <n v="54796.54"/>
    <n v="12174.78"/>
    <n v="0"/>
  </r>
  <r>
    <x v="4100"/>
    <s v="Peconic Bay Medical Center"/>
    <n v="2015"/>
    <n v="7"/>
    <s v="Medicare"/>
    <x v="2"/>
    <s v="Medicare"/>
    <n v="63789.26"/>
    <n v="45695.94"/>
    <n v="0"/>
  </r>
  <r>
    <x v="4101"/>
    <s v="Peconic Bay Medical Center"/>
    <n v="2015"/>
    <n v="7"/>
    <s v="Medicare"/>
    <x v="2"/>
    <s v="Medicare"/>
    <n v="47618.12"/>
    <n v="16642.43"/>
    <n v="0"/>
  </r>
  <r>
    <x v="4102"/>
    <s v="Peconic Bay Medical Center"/>
    <n v="2015"/>
    <n v="7"/>
    <s v="Medicare"/>
    <x v="2"/>
    <s v="Medicare"/>
    <n v="60289.120000000003"/>
    <n v="46825.35"/>
    <n v="0"/>
  </r>
  <r>
    <x v="4103"/>
    <s v="Peconic Bay Medical Center"/>
    <n v="2015"/>
    <n v="7"/>
    <s v="Medicare"/>
    <x v="2"/>
    <s v="Medicare"/>
    <n v="19981.7"/>
    <n v="5552.25"/>
    <n v="0"/>
  </r>
  <r>
    <x v="4104"/>
    <s v="Peconic Bay Medical Center"/>
    <n v="2015"/>
    <n v="7"/>
    <s v="Medicare"/>
    <x v="2"/>
    <s v="Medicare"/>
    <n v="39361.74"/>
    <n v="9888.56"/>
    <n v="0"/>
  </r>
  <r>
    <x v="4105"/>
    <s v="Peconic Bay Medical Center"/>
    <n v="2015"/>
    <n v="7"/>
    <s v="Medicare"/>
    <x v="2"/>
    <s v="Medicare"/>
    <n v="80259.92"/>
    <n v="57766.13"/>
    <n v="0"/>
  </r>
  <r>
    <x v="4106"/>
    <s v="Peconic Bay Medical Center"/>
    <n v="2015"/>
    <n v="7"/>
    <s v="Medicare"/>
    <x v="2"/>
    <s v="Medicare"/>
    <n v="31879.279999999999"/>
    <n v="10419.42"/>
    <n v="0"/>
  </r>
  <r>
    <x v="4107"/>
    <s v="Peconic Bay Medical Center"/>
    <n v="2015"/>
    <n v="7"/>
    <s v="Medicare"/>
    <x v="2"/>
    <s v="Medicare"/>
    <n v="67431.240000000005"/>
    <n v="49154.11"/>
    <n v="0"/>
  </r>
  <r>
    <x v="4108"/>
    <s v="Peconic Bay Medical Center"/>
    <n v="2015"/>
    <n v="7"/>
    <s v="Medicare"/>
    <x v="2"/>
    <s v="Medicare"/>
    <n v="27400"/>
    <n v="7930.97"/>
    <n v="0"/>
  </r>
  <r>
    <x v="4109"/>
    <s v="Peconic Bay Medical Center"/>
    <n v="2015"/>
    <n v="7"/>
    <s v="Medicare"/>
    <x v="2"/>
    <s v="Medicare"/>
    <n v="21198.34"/>
    <n v="7503.49"/>
    <n v="0"/>
  </r>
  <r>
    <x v="4110"/>
    <s v="Peconic Bay Medical Center"/>
    <n v="2015"/>
    <n v="7"/>
    <s v="Medicare"/>
    <x v="2"/>
    <s v="Medicare"/>
    <n v="22497.84"/>
    <n v="6412.39"/>
    <n v="0"/>
  </r>
  <r>
    <x v="4111"/>
    <s v="Peconic Bay Medical Center"/>
    <n v="2015"/>
    <n v="7"/>
    <s v="Medicare"/>
    <x v="2"/>
    <s v="Medicare"/>
    <n v="30555.74"/>
    <n v="9021.69"/>
    <n v="0"/>
  </r>
  <r>
    <x v="4112"/>
    <s v="Peconic Bay Medical Center"/>
    <n v="2015"/>
    <n v="7"/>
    <s v="Medicare"/>
    <x v="2"/>
    <s v="Medicare"/>
    <n v="72092.3"/>
    <n v="54373.9"/>
    <n v="0"/>
  </r>
  <r>
    <x v="4113"/>
    <s v="Peconic Bay Medical Center"/>
    <n v="2015"/>
    <n v="7"/>
    <s v="Medicare"/>
    <x v="2"/>
    <s v="Medicare"/>
    <n v="23397.599999999999"/>
    <n v="6022.52"/>
    <n v="0"/>
  </r>
  <r>
    <x v="4114"/>
    <s v="Peconic Bay Medical Center"/>
    <n v="2015"/>
    <n v="7"/>
    <s v="Medicare"/>
    <x v="2"/>
    <s v="Medicare"/>
    <n v="29844.28"/>
    <n v="7391.64"/>
    <n v="0"/>
  </r>
  <r>
    <x v="4115"/>
    <s v="Peconic Bay Medical Center"/>
    <n v="2015"/>
    <n v="7"/>
    <s v="Medicare"/>
    <x v="2"/>
    <s v="Medicare"/>
    <n v="13605.84"/>
    <n v="2826.32"/>
    <n v="0"/>
  </r>
  <r>
    <x v="4116"/>
    <s v="Peconic Bay Medical Center"/>
    <n v="2015"/>
    <n v="7"/>
    <s v="Medicare"/>
    <x v="2"/>
    <s v="Medicare"/>
    <n v="72962.320000000007"/>
    <n v="55036.31"/>
    <n v="0"/>
  </r>
  <r>
    <x v="4117"/>
    <s v="Peconic Bay Medical Center"/>
    <n v="2015"/>
    <n v="7"/>
    <s v="Medicare"/>
    <x v="2"/>
    <s v="Medicare"/>
    <n v="53362.12"/>
    <n v="15624.03"/>
    <n v="0"/>
  </r>
  <r>
    <x v="4118"/>
    <s v="Peconic Bay Medical Center"/>
    <n v="2015"/>
    <n v="7"/>
    <s v="Medicare"/>
    <x v="2"/>
    <s v="Medicare"/>
    <n v="11737.48"/>
    <n v="2650.34"/>
    <n v="0"/>
  </r>
  <r>
    <x v="4119"/>
    <s v="Peconic Bay Medical Center"/>
    <n v="2015"/>
    <n v="7"/>
    <s v="Medicare"/>
    <x v="2"/>
    <s v="Medicare"/>
    <n v="16982.54"/>
    <n v="4360.1499999999996"/>
    <n v="0"/>
  </r>
  <r>
    <x v="4120"/>
    <s v="Peconic Bay Medical Center"/>
    <n v="2015"/>
    <n v="7"/>
    <s v="Medicare"/>
    <x v="2"/>
    <s v="Medicare"/>
    <n v="62863.22"/>
    <n v="42852.54"/>
    <n v="0"/>
  </r>
  <r>
    <x v="4121"/>
    <s v="Peconic Bay Medical Center"/>
    <n v="2015"/>
    <n v="7"/>
    <s v="Medicare"/>
    <x v="2"/>
    <s v="Medicare"/>
    <n v="10698.94"/>
    <n v="2901.8"/>
    <n v="0"/>
  </r>
  <r>
    <x v="4122"/>
    <s v="Peconic Bay Medical Center"/>
    <n v="2015"/>
    <n v="7"/>
    <s v="Medicare"/>
    <x v="2"/>
    <s v="Medicare"/>
    <n v="63031.92"/>
    <n v="18166.830000000002"/>
    <n v="0"/>
  </r>
  <r>
    <x v="4123"/>
    <s v="Peconic Bay Medical Center"/>
    <n v="2015"/>
    <n v="7"/>
    <s v="Medicare"/>
    <x v="2"/>
    <s v="Medicare"/>
    <n v="37921.5"/>
    <n v="20695.099999999999"/>
    <n v="0"/>
  </r>
  <r>
    <x v="4124"/>
    <s v="Peconic Bay Medical Center"/>
    <n v="2015"/>
    <n v="7"/>
    <s v="Medicare"/>
    <x v="2"/>
    <s v="Medicare"/>
    <n v="28062.959999999999"/>
    <n v="7442.2"/>
    <n v="0"/>
  </r>
  <r>
    <x v="4125"/>
    <s v="Peconic Bay Medical Center"/>
    <n v="2015"/>
    <n v="7"/>
    <s v="Medicare"/>
    <x v="2"/>
    <s v="Medicare"/>
    <n v="12793.54"/>
    <n v="3303.36"/>
    <n v="0"/>
  </r>
  <r>
    <x v="4126"/>
    <s v="Peconic Bay Medical Center"/>
    <n v="2015"/>
    <n v="7"/>
    <s v="Medicare"/>
    <x v="2"/>
    <s v="Medicare"/>
    <n v="20217.86"/>
    <n v="5434.42"/>
    <n v="0"/>
  </r>
  <r>
    <x v="4127"/>
    <s v="Peconic Bay Medical Center"/>
    <n v="2015"/>
    <n v="7"/>
    <s v="Medicare"/>
    <x v="2"/>
    <s v="Medicare"/>
    <n v="34509.94"/>
    <n v="13790.72"/>
    <n v="0"/>
  </r>
  <r>
    <x v="4128"/>
    <s v="Peconic Bay Medical Center"/>
    <n v="2015"/>
    <n v="7"/>
    <s v="Medicare"/>
    <x v="2"/>
    <s v="Medicare"/>
    <n v="33589.360000000001"/>
    <n v="14891.97"/>
    <n v="0"/>
  </r>
  <r>
    <x v="4129"/>
    <s v="Peconic Bay Medical Center"/>
    <n v="2015"/>
    <n v="7"/>
    <s v="Medicare"/>
    <x v="2"/>
    <s v="Medicare"/>
    <n v="67804.639999999999"/>
    <n v="48879.02"/>
    <n v="0"/>
  </r>
  <r>
    <x v="4130"/>
    <s v="Peconic Bay Medical Center"/>
    <n v="2015"/>
    <n v="7"/>
    <s v="Medicare"/>
    <x v="2"/>
    <s v="Medicare"/>
    <n v="49825.4"/>
    <n v="15701.33"/>
    <n v="0"/>
  </r>
  <r>
    <x v="4131"/>
    <s v="Peconic Bay Medical Center"/>
    <n v="2015"/>
    <n v="7"/>
    <s v="Medicare"/>
    <x v="2"/>
    <s v="Medicare"/>
    <n v="26478.32"/>
    <n v="7192.72"/>
    <n v="0"/>
  </r>
  <r>
    <x v="4132"/>
    <s v="Peconic Bay Medical Center"/>
    <n v="2015"/>
    <n v="7"/>
    <s v="Medicare"/>
    <x v="2"/>
    <s v="Medicare"/>
    <n v="15454.38"/>
    <n v="4516.72"/>
    <n v="0"/>
  </r>
  <r>
    <x v="4133"/>
    <s v="Peconic Bay Medical Center"/>
    <n v="2015"/>
    <n v="7"/>
    <s v="Medicare"/>
    <x v="2"/>
    <s v="Medicare"/>
    <n v="21411.34"/>
    <n v="4659.18"/>
    <n v="0"/>
  </r>
  <r>
    <x v="4134"/>
    <s v="Peconic Bay Medical Center"/>
    <n v="2015"/>
    <n v="7"/>
    <s v="Medicare"/>
    <x v="2"/>
    <s v="Medicare"/>
    <n v="66000.88"/>
    <n v="48808.69"/>
    <n v="0"/>
  </r>
  <r>
    <x v="4135"/>
    <s v="Peconic Bay Medical Center"/>
    <n v="2015"/>
    <n v="7"/>
    <s v="Medicare"/>
    <x v="2"/>
    <s v="Medicare"/>
    <n v="20908.28"/>
    <n v="6342.01"/>
    <n v="0"/>
  </r>
  <r>
    <x v="4136"/>
    <s v="Peconic Bay Medical Center"/>
    <n v="2015"/>
    <n v="7"/>
    <s v="Medicare"/>
    <x v="2"/>
    <s v="Medicare"/>
    <n v="47231.16"/>
    <n v="12756.33"/>
    <n v="0"/>
  </r>
  <r>
    <x v="4137"/>
    <s v="Peconic Bay Medical Center"/>
    <n v="2015"/>
    <n v="7"/>
    <s v="Medicare"/>
    <x v="2"/>
    <s v="Medicare"/>
    <n v="66132.899999999994"/>
    <n v="47630.02"/>
    <n v="0"/>
  </r>
  <r>
    <x v="4138"/>
    <s v="Peconic Bay Medical Center"/>
    <n v="2015"/>
    <n v="7"/>
    <s v="Medicare"/>
    <x v="2"/>
    <s v="Medicare"/>
    <n v="78213.34"/>
    <n v="40798.639999999999"/>
    <n v="0"/>
  </r>
  <r>
    <x v="4139"/>
    <s v="Peconic Bay Medical Center"/>
    <n v="2015"/>
    <n v="7"/>
    <s v="Medicare"/>
    <x v="2"/>
    <s v="Medicare"/>
    <n v="19186.66"/>
    <n v="5387.55"/>
    <n v="0"/>
  </r>
  <r>
    <x v="4140"/>
    <s v="Peconic Bay Medical Center"/>
    <n v="2015"/>
    <n v="7"/>
    <s v="Medicare"/>
    <x v="2"/>
    <s v="Medicare"/>
    <n v="58712.74"/>
    <n v="17275.34"/>
    <n v="0"/>
  </r>
  <r>
    <x v="4141"/>
    <s v="Peconic Bay Medical Center"/>
    <n v="2015"/>
    <n v="7"/>
    <s v="Medicare"/>
    <x v="2"/>
    <s v="Medicare"/>
    <n v="32815.279999999999"/>
    <n v="8891.2099999999991"/>
    <n v="0"/>
  </r>
  <r>
    <x v="4142"/>
    <s v="Peconic Bay Medical Center"/>
    <n v="2015"/>
    <n v="7"/>
    <s v="Medicare"/>
    <x v="2"/>
    <s v="Medicare"/>
    <n v="12405.44"/>
    <n v="3019.48"/>
    <n v="0"/>
  </r>
  <r>
    <x v="4143"/>
    <s v="Peconic Bay Medical Center"/>
    <n v="2015"/>
    <n v="7"/>
    <s v="Medicare"/>
    <x v="2"/>
    <s v="Medicare"/>
    <n v="22982.34"/>
    <n v="6820.43"/>
    <n v="0"/>
  </r>
  <r>
    <x v="4144"/>
    <s v="Peconic Bay Medical Center"/>
    <n v="2015"/>
    <n v="7"/>
    <s v="Medicare"/>
    <x v="2"/>
    <s v="Medicare"/>
    <n v="12537.96"/>
    <n v="2892.48"/>
    <n v="0"/>
  </r>
  <r>
    <x v="4145"/>
    <s v="Peconic Bay Medical Center"/>
    <n v="2015"/>
    <n v="7"/>
    <s v="Medicare"/>
    <x v="2"/>
    <s v="Medicare"/>
    <n v="51304.480000000003"/>
    <n v="14151.9"/>
    <n v="0"/>
  </r>
  <r>
    <x v="4146"/>
    <s v="Peconic Bay Medical Center"/>
    <n v="2015"/>
    <n v="7"/>
    <s v="Medicare"/>
    <x v="2"/>
    <s v="Medicare"/>
    <n v="85560"/>
    <n v="66990.41"/>
    <n v="0"/>
  </r>
  <r>
    <x v="4147"/>
    <s v="Peconic Bay Medical Center"/>
    <n v="2015"/>
    <n v="7"/>
    <s v="Medicare"/>
    <x v="2"/>
    <s v="Medicare"/>
    <n v="108912.5"/>
    <n v="39003.949999999997"/>
    <n v="0"/>
  </r>
  <r>
    <x v="4148"/>
    <s v="Peconic Bay Medical Center"/>
    <n v="2015"/>
    <n v="7"/>
    <s v="Medicare"/>
    <x v="2"/>
    <s v="Medicare"/>
    <n v="36671.74"/>
    <n v="9580.24"/>
    <n v="0"/>
  </r>
  <r>
    <x v="4149"/>
    <s v="Peconic Bay Medical Center"/>
    <n v="2015"/>
    <n v="7"/>
    <s v="Medicare"/>
    <x v="2"/>
    <s v="Medicare"/>
    <n v="70925.240000000005"/>
    <n v="49743.4"/>
    <n v="0"/>
  </r>
  <r>
    <x v="4150"/>
    <s v="Peconic Bay Medical Center"/>
    <n v="2015"/>
    <n v="7"/>
    <s v="Medicare"/>
    <x v="2"/>
    <s v="Medicare"/>
    <n v="49037.3"/>
    <n v="15987.33"/>
    <n v="0"/>
  </r>
  <r>
    <x v="4151"/>
    <s v="Peconic Bay Medical Center"/>
    <n v="2015"/>
    <n v="7"/>
    <s v="Medicare"/>
    <x v="2"/>
    <s v="Medicare"/>
    <n v="11132.76"/>
    <n v="3117.4"/>
    <n v="0"/>
  </r>
  <r>
    <x v="4152"/>
    <s v="Peconic Bay Medical Center"/>
    <n v="2015"/>
    <n v="7"/>
    <s v="Medicare"/>
    <x v="2"/>
    <s v="Medicare"/>
    <n v="68027.42"/>
    <n v="53189.41"/>
    <n v="0"/>
  </r>
  <r>
    <x v="4153"/>
    <s v="Peconic Bay Medical Center"/>
    <n v="2015"/>
    <n v="7"/>
    <s v="Medicare"/>
    <x v="2"/>
    <s v="Medicare"/>
    <n v="22312.76"/>
    <n v="6654.19"/>
    <n v="0"/>
  </r>
  <r>
    <x v="4154"/>
    <s v="Peconic Bay Medical Center"/>
    <n v="2015"/>
    <n v="7"/>
    <s v="Medicare"/>
    <x v="2"/>
    <s v="Medicare"/>
    <n v="18005.5"/>
    <n v="3716.02"/>
    <n v="0"/>
  </r>
  <r>
    <x v="4155"/>
    <s v="Peconic Bay Medical Center"/>
    <n v="2015"/>
    <n v="7"/>
    <s v="Medicare"/>
    <x v="2"/>
    <s v="Medicare"/>
    <n v="55412.3"/>
    <n v="17296.36"/>
    <n v="0"/>
  </r>
  <r>
    <x v="4156"/>
    <s v="Peconic Bay Medical Center"/>
    <n v="2015"/>
    <n v="7"/>
    <s v="Medicare"/>
    <x v="2"/>
    <s v="Medicare"/>
    <n v="55913.38"/>
    <n v="18239.25"/>
    <n v="0"/>
  </r>
  <r>
    <x v="4157"/>
    <s v="Peconic Bay Medical Center"/>
    <n v="2015"/>
    <n v="7"/>
    <s v="Medicare"/>
    <x v="2"/>
    <s v="Medicare"/>
    <n v="106767.62"/>
    <n v="76562.31"/>
    <n v="0"/>
  </r>
  <r>
    <x v="4158"/>
    <s v="Peconic Bay Medical Center"/>
    <n v="2015"/>
    <n v="7"/>
    <s v="Medicare"/>
    <x v="2"/>
    <s v="Medicare"/>
    <n v="16274.32"/>
    <n v="3832.37"/>
    <n v="0"/>
  </r>
  <r>
    <x v="4159"/>
    <s v="Peconic Bay Medical Center"/>
    <n v="2015"/>
    <n v="7"/>
    <s v="Medicare"/>
    <x v="2"/>
    <s v="Medicare"/>
    <n v="8579.9"/>
    <n v="2194.63"/>
    <n v="0"/>
  </r>
  <r>
    <x v="4160"/>
    <s v="Peconic Bay Medical Center"/>
    <n v="2015"/>
    <n v="7"/>
    <s v="Medicare"/>
    <x v="2"/>
    <s v="Medicare"/>
    <n v="38261.160000000003"/>
    <n v="10614.31"/>
    <n v="0"/>
  </r>
  <r>
    <x v="4161"/>
    <s v="Peconic Bay Medical Center"/>
    <n v="2015"/>
    <n v="7"/>
    <s v="Medicare"/>
    <x v="2"/>
    <s v="Medicare"/>
    <n v="27439.200000000001"/>
    <n v="7758.57"/>
    <n v="0"/>
  </r>
  <r>
    <x v="4162"/>
    <s v="Peconic Bay Medical Center"/>
    <n v="2015"/>
    <n v="7"/>
    <s v="Medicare"/>
    <x v="2"/>
    <s v="Medicare"/>
    <n v="25236.18"/>
    <n v="7502.42"/>
    <n v="0"/>
  </r>
  <r>
    <x v="4163"/>
    <s v="Peconic Bay Medical Center"/>
    <n v="2015"/>
    <n v="7"/>
    <s v="Medicare"/>
    <x v="2"/>
    <s v="Medicare"/>
    <n v="44467.76"/>
    <n v="17171.82"/>
    <n v="0"/>
  </r>
  <r>
    <x v="4164"/>
    <s v="Peconic Bay Medical Center"/>
    <n v="2015"/>
    <n v="7"/>
    <s v="Medicare"/>
    <x v="2"/>
    <s v="Medicare"/>
    <n v="13392.84"/>
    <n v="3113.07"/>
    <n v="0"/>
  </r>
  <r>
    <x v="4165"/>
    <s v="Peconic Bay Medical Center"/>
    <n v="2015"/>
    <n v="7"/>
    <s v="Medicare"/>
    <x v="2"/>
    <s v="Medicare"/>
    <n v="67802.58"/>
    <n v="44426.93"/>
    <n v="0"/>
  </r>
  <r>
    <x v="4166"/>
    <s v="Peconic Bay Medical Center"/>
    <n v="2015"/>
    <n v="7"/>
    <s v="Medicare"/>
    <x v="2"/>
    <s v="Medicare"/>
    <n v="26266.6"/>
    <n v="5010.42"/>
    <n v="0"/>
  </r>
  <r>
    <x v="4167"/>
    <s v="Peconic Bay Medical Center"/>
    <n v="2015"/>
    <n v="7"/>
    <s v="Medicare"/>
    <x v="2"/>
    <s v="Medicare"/>
    <n v="32391.38"/>
    <n v="8871.67"/>
    <n v="0"/>
  </r>
  <r>
    <x v="4168"/>
    <s v="Peconic Bay Medical Center"/>
    <n v="2015"/>
    <n v="7"/>
    <s v="Medicare"/>
    <x v="2"/>
    <s v="Medicare"/>
    <n v="75419.5"/>
    <n v="56509.47"/>
    <n v="0"/>
  </r>
  <r>
    <x v="4169"/>
    <s v="Peconic Bay Medical Center"/>
    <n v="2015"/>
    <n v="7"/>
    <s v="Medicare"/>
    <x v="2"/>
    <s v="Medicare"/>
    <n v="34690.18"/>
    <n v="10655.78"/>
    <n v="0"/>
  </r>
  <r>
    <x v="4170"/>
    <s v="Peconic Bay Medical Center"/>
    <n v="2015"/>
    <n v="7"/>
    <s v="Medicare"/>
    <x v="2"/>
    <s v="Medicare"/>
    <n v="36058.1"/>
    <n v="8436.8700000000008"/>
    <n v="0"/>
  </r>
  <r>
    <x v="4171"/>
    <s v="Peconic Bay Medical Center"/>
    <n v="2015"/>
    <n v="7"/>
    <s v="Medicare"/>
    <x v="2"/>
    <s v="Medicare"/>
    <n v="55165.08"/>
    <n v="16401.009999999998"/>
    <n v="0"/>
  </r>
  <r>
    <x v="4172"/>
    <s v="Peconic Bay Medical Center"/>
    <n v="2015"/>
    <n v="7"/>
    <s v="Medicare"/>
    <x v="2"/>
    <s v="Medicare"/>
    <n v="29732.880000000001"/>
    <n v="9539.8700000000008"/>
    <n v="0"/>
  </r>
  <r>
    <x v="4173"/>
    <s v="Peconic Bay Medical Center"/>
    <n v="2015"/>
    <n v="7"/>
    <s v="Medicare"/>
    <x v="2"/>
    <s v="Medicare"/>
    <n v="39162.04"/>
    <n v="11509.53"/>
    <n v="0"/>
  </r>
  <r>
    <x v="4174"/>
    <s v="Peconic Bay Medical Center"/>
    <n v="2015"/>
    <n v="7"/>
    <s v="Medicare"/>
    <x v="2"/>
    <s v="Medicare"/>
    <n v="23761.38"/>
    <n v="7376.5"/>
    <n v="0"/>
  </r>
  <r>
    <x v="4175"/>
    <s v="Peconic Bay Medical Center"/>
    <n v="2015"/>
    <n v="7"/>
    <s v="Medicare"/>
    <x v="2"/>
    <s v="Medicare"/>
    <n v="13064.56"/>
    <n v="3365.7"/>
    <n v="0"/>
  </r>
  <r>
    <x v="4176"/>
    <s v="Peconic Bay Medical Center"/>
    <n v="2015"/>
    <n v="7"/>
    <s v="Medicare"/>
    <x v="2"/>
    <s v="Medicare"/>
    <n v="139650.4"/>
    <n v="89336.82"/>
    <n v="0"/>
  </r>
  <r>
    <x v="4177"/>
    <s v="Peconic Bay Medical Center"/>
    <n v="2015"/>
    <n v="7"/>
    <s v="Medicare"/>
    <x v="2"/>
    <s v="Medicare"/>
    <n v="24456.32"/>
    <n v="7167.46"/>
    <n v="0"/>
  </r>
  <r>
    <x v="4178"/>
    <s v="Peconic Bay Medical Center"/>
    <n v="2015"/>
    <n v="7"/>
    <s v="Medicare"/>
    <x v="2"/>
    <s v="Medicare"/>
    <n v="103847.96"/>
    <n v="68067.929999999993"/>
    <n v="0"/>
  </r>
  <r>
    <x v="4179"/>
    <s v="Peconic Bay Medical Center"/>
    <n v="2015"/>
    <n v="7"/>
    <s v="Medicare"/>
    <x v="2"/>
    <s v="Medicare"/>
    <n v="18907.259999999998"/>
    <n v="4926.7"/>
    <n v="0"/>
  </r>
  <r>
    <x v="4180"/>
    <s v="Peconic Bay Medical Center"/>
    <n v="2015"/>
    <n v="7"/>
    <s v="Medicare"/>
    <x v="2"/>
    <s v="Medicare"/>
    <n v="10084.32"/>
    <n v="2640.29"/>
    <n v="0"/>
  </r>
  <r>
    <x v="4181"/>
    <s v="Peconic Bay Medical Center"/>
    <n v="2015"/>
    <n v="7"/>
    <s v="Medicare"/>
    <x v="2"/>
    <s v="Medicare"/>
    <n v="46333.06"/>
    <n v="22816.639999999999"/>
    <n v="0"/>
  </r>
  <r>
    <x v="4182"/>
    <s v="Peconic Bay Medical Center"/>
    <n v="2015"/>
    <n v="7"/>
    <s v="Medicare"/>
    <x v="2"/>
    <s v="Medicare"/>
    <n v="10979.24"/>
    <n v="2578.12"/>
    <n v="0"/>
  </r>
  <r>
    <x v="4183"/>
    <s v="Peconic Bay Medical Center"/>
    <n v="2015"/>
    <n v="7"/>
    <s v="Medicare"/>
    <x v="2"/>
    <s v="Medicare"/>
    <n v="44909.18"/>
    <n v="13039.4"/>
    <n v="0"/>
  </r>
  <r>
    <x v="4184"/>
    <s v="Peconic Bay Medical Center"/>
    <n v="2015"/>
    <n v="7"/>
    <s v="Medicare"/>
    <x v="2"/>
    <s v="Medicare"/>
    <n v="64235.78"/>
    <n v="43071.5"/>
    <n v="0"/>
  </r>
  <r>
    <x v="4185"/>
    <s v="Peconic Bay Medical Center"/>
    <n v="2015"/>
    <n v="7"/>
    <s v="Medicare"/>
    <x v="2"/>
    <s v="Medicare"/>
    <n v="71760.240000000005"/>
    <n v="21343.8"/>
    <n v="0"/>
  </r>
  <r>
    <x v="4186"/>
    <s v="Peconic Bay Medical Center"/>
    <n v="2015"/>
    <n v="7"/>
    <s v="Medicare"/>
    <x v="2"/>
    <s v="Medicare"/>
    <n v="17103.22"/>
    <n v="9160.69"/>
    <n v="0"/>
  </r>
  <r>
    <x v="4187"/>
    <s v="Peconic Bay Medical Center"/>
    <n v="2015"/>
    <n v="7"/>
    <s v="Medicare"/>
    <x v="2"/>
    <s v="Medicare"/>
    <n v="57459.72"/>
    <n v="41364.25"/>
    <n v="0"/>
  </r>
  <r>
    <x v="4188"/>
    <s v="Peconic Bay Medical Center"/>
    <n v="2015"/>
    <n v="7"/>
    <s v="Medicare"/>
    <x v="2"/>
    <s v="Medicare"/>
    <n v="132875.38"/>
    <n v="65416.07"/>
    <n v="0"/>
  </r>
  <r>
    <x v="4189"/>
    <s v="Peconic Bay Medical Center"/>
    <n v="2015"/>
    <n v="7"/>
    <s v="Medicare"/>
    <x v="2"/>
    <s v="Medicare"/>
    <n v="11503.98"/>
    <n v="2660.38"/>
    <n v="0"/>
  </r>
  <r>
    <x v="4190"/>
    <s v="Peconic Bay Medical Center"/>
    <n v="2015"/>
    <n v="7"/>
    <s v="Medicare"/>
    <x v="2"/>
    <s v="Medicare"/>
    <n v="41361.96"/>
    <n v="11849.54"/>
    <n v="0"/>
  </r>
  <r>
    <x v="4191"/>
    <s v="Peconic Bay Medical Center"/>
    <n v="2015"/>
    <n v="7"/>
    <s v="Medicare"/>
    <x v="2"/>
    <s v="Medicare"/>
    <n v="28340.400000000001"/>
    <n v="14047.37"/>
    <n v="0"/>
  </r>
  <r>
    <x v="4192"/>
    <s v="Peconic Bay Medical Center"/>
    <n v="2015"/>
    <n v="7"/>
    <s v="Medicare"/>
    <x v="2"/>
    <s v="Medicare"/>
    <n v="64741.7"/>
    <n v="31197.66"/>
    <n v="0"/>
  </r>
  <r>
    <x v="4193"/>
    <s v="Peconic Bay Medical Center"/>
    <n v="2015"/>
    <n v="7"/>
    <s v="Medicare"/>
    <x v="2"/>
    <s v="Medicare"/>
    <n v="15368.5"/>
    <n v="4355.5200000000004"/>
    <n v="0"/>
  </r>
  <r>
    <x v="4194"/>
    <s v="Peconic Bay Medical Center"/>
    <n v="2015"/>
    <n v="7"/>
    <s v="Medicare"/>
    <x v="2"/>
    <s v="Medicare"/>
    <n v="28434.98"/>
    <n v="7576.17"/>
    <n v="0"/>
  </r>
  <r>
    <x v="4195"/>
    <s v="Peconic Bay Medical Center"/>
    <n v="2015"/>
    <n v="7"/>
    <s v="Medicare"/>
    <x v="2"/>
    <s v="Medicare"/>
    <n v="34176.26"/>
    <n v="10062.61"/>
    <n v="0"/>
  </r>
  <r>
    <x v="4196"/>
    <s v="Peconic Bay Medical Center"/>
    <n v="2015"/>
    <n v="7"/>
    <s v="Medicare"/>
    <x v="2"/>
    <s v="Medicare"/>
    <n v="18116.52"/>
    <n v="2911.62"/>
    <n v="0"/>
  </r>
  <r>
    <x v="4197"/>
    <s v="Peconic Bay Medical Center"/>
    <n v="2015"/>
    <n v="7"/>
    <s v="Medicare"/>
    <x v="2"/>
    <s v="Medicare"/>
    <n v="52178.9"/>
    <n v="13213.8"/>
    <n v="0"/>
  </r>
  <r>
    <x v="4198"/>
    <s v="Peconic Bay Medical Center"/>
    <n v="2015"/>
    <n v="7"/>
    <s v="Medicare"/>
    <x v="2"/>
    <s v="Medicare"/>
    <n v="13903.58"/>
    <n v="4092.51"/>
    <n v="0"/>
  </r>
  <r>
    <x v="4199"/>
    <s v="Peconic Bay Medical Center"/>
    <n v="2015"/>
    <n v="7"/>
    <s v="Medicare"/>
    <x v="2"/>
    <s v="Medicare"/>
    <n v="52286.22"/>
    <n v="15828.79"/>
    <n v="0"/>
  </r>
  <r>
    <x v="4200"/>
    <s v="Peconic Bay Medical Center"/>
    <n v="2015"/>
    <n v="7"/>
    <s v="Medicare"/>
    <x v="2"/>
    <s v="Medicare"/>
    <n v="68761.320000000007"/>
    <n v="51839.360000000001"/>
    <n v="0"/>
  </r>
  <r>
    <x v="4201"/>
    <s v="Peconic Bay Medical Center"/>
    <n v="2015"/>
    <n v="7"/>
    <s v="Medicare"/>
    <x v="2"/>
    <s v="Medicare"/>
    <n v="52497.32"/>
    <n v="25737.79"/>
    <n v="0"/>
  </r>
  <r>
    <x v="4202"/>
    <s v="Peconic Bay Medical Center"/>
    <n v="2015"/>
    <n v="7"/>
    <s v="Medicare"/>
    <x v="2"/>
    <s v="Medicare"/>
    <n v="19686.88"/>
    <n v="4869.18"/>
    <n v="0"/>
  </r>
  <r>
    <x v="4203"/>
    <s v="Peconic Bay Medical Center"/>
    <n v="2015"/>
    <n v="7"/>
    <s v="Medicare"/>
    <x v="2"/>
    <s v="Medicare"/>
    <n v="18620.740000000002"/>
    <n v="3034.39"/>
    <n v="0"/>
  </r>
  <r>
    <x v="4204"/>
    <s v="Peconic Bay Medical Center"/>
    <n v="2015"/>
    <n v="7"/>
    <s v="Medicare"/>
    <x v="2"/>
    <s v="Medicare"/>
    <n v="76414.38"/>
    <n v="58942.82"/>
    <n v="0"/>
  </r>
  <r>
    <x v="4205"/>
    <s v="Peconic Bay Medical Center"/>
    <n v="2015"/>
    <n v="7"/>
    <s v="Medicare"/>
    <x v="2"/>
    <s v="Medicare"/>
    <n v="11176.42"/>
    <n v="2927.22"/>
    <n v="0"/>
  </r>
  <r>
    <x v="4206"/>
    <s v="Peconic Bay Medical Center"/>
    <n v="2015"/>
    <n v="7"/>
    <s v="Medicare"/>
    <x v="2"/>
    <s v="Medicare"/>
    <n v="27116.26"/>
    <n v="7708.27"/>
    <n v="0"/>
  </r>
  <r>
    <x v="4207"/>
    <s v="Peconic Bay Medical Center"/>
    <n v="2015"/>
    <n v="7"/>
    <s v="Medicare"/>
    <x v="2"/>
    <s v="Medicare"/>
    <n v="22699.3"/>
    <n v="6991.5"/>
    <n v="0"/>
  </r>
  <r>
    <x v="4208"/>
    <s v="Peconic Bay Medical Center"/>
    <n v="2015"/>
    <n v="7"/>
    <s v="Medicare"/>
    <x v="2"/>
    <s v="Medicare"/>
    <n v="61511.48"/>
    <n v="45427.05"/>
    <n v="0"/>
  </r>
  <r>
    <x v="4209"/>
    <s v="Peconic Bay Medical Center"/>
    <n v="2015"/>
    <n v="7"/>
    <s v="Medicare"/>
    <x v="2"/>
    <s v="Medicare"/>
    <n v="24239.439999999999"/>
    <n v="3024.37"/>
    <n v="0"/>
  </r>
  <r>
    <x v="4210"/>
    <s v="Peconic Bay Medical Center"/>
    <n v="2015"/>
    <n v="7"/>
    <s v="Medicare"/>
    <x v="2"/>
    <s v="Medicare"/>
    <n v="29469.24"/>
    <n v="8477.67"/>
    <n v="0"/>
  </r>
  <r>
    <x v="4211"/>
    <s v="Peconic Bay Medical Center"/>
    <n v="2015"/>
    <n v="7"/>
    <s v="Medicare"/>
    <x v="2"/>
    <s v="Medicare"/>
    <n v="43645.48"/>
    <n v="15623.46"/>
    <n v="0"/>
  </r>
  <r>
    <x v="4212"/>
    <s v="Peconic Bay Medical Center"/>
    <n v="2015"/>
    <n v="7"/>
    <s v="Medicare"/>
    <x v="2"/>
    <s v="Medicare"/>
    <n v="22330.58"/>
    <n v="6154.77"/>
    <n v="0"/>
  </r>
  <r>
    <x v="4213"/>
    <s v="Peconic Bay Medical Center"/>
    <n v="2015"/>
    <n v="7"/>
    <s v="Medicare"/>
    <x v="2"/>
    <s v="Medicare"/>
    <n v="37042.18"/>
    <n v="9871"/>
    <n v="0"/>
  </r>
  <r>
    <x v="4214"/>
    <s v="Peconic Bay Medical Center"/>
    <n v="2015"/>
    <n v="7"/>
    <s v="Medicare"/>
    <x v="2"/>
    <s v="Medicare"/>
    <n v="22893.54"/>
    <n v="6279.68"/>
    <n v="0"/>
  </r>
  <r>
    <x v="4215"/>
    <s v="Peconic Bay Medical Center"/>
    <n v="2015"/>
    <n v="7"/>
    <s v="Medicare"/>
    <x v="2"/>
    <s v="Medicare"/>
    <n v="22043.919999999998"/>
    <n v="5584.65"/>
    <n v="0"/>
  </r>
  <r>
    <x v="4216"/>
    <s v="Peconic Bay Medical Center"/>
    <n v="2015"/>
    <n v="7"/>
    <s v="Medicare"/>
    <x v="2"/>
    <s v="Medicare"/>
    <n v="79652.160000000003"/>
    <n v="57888.13"/>
    <n v="0"/>
  </r>
  <r>
    <x v="4217"/>
    <s v="Peconic Bay Medical Center"/>
    <n v="2015"/>
    <n v="7"/>
    <s v="Medicare"/>
    <x v="2"/>
    <s v="Medicare"/>
    <n v="29521.18"/>
    <n v="9973.14"/>
    <n v="0"/>
  </r>
  <r>
    <x v="4218"/>
    <s v="Peconic Bay Medical Center"/>
    <n v="2015"/>
    <n v="7"/>
    <s v="Medicare"/>
    <x v="2"/>
    <s v="Medicare"/>
    <n v="67171.820000000007"/>
    <n v="27956.959999999999"/>
    <n v="0"/>
  </r>
  <r>
    <x v="4219"/>
    <s v="Peconic Bay Medical Center"/>
    <n v="2015"/>
    <n v="7"/>
    <s v="Medicare"/>
    <x v="2"/>
    <s v="Medicare"/>
    <n v="26959.040000000001"/>
    <n v="9837.9"/>
    <n v="0"/>
  </r>
  <r>
    <x v="4220"/>
    <s v="Peconic Bay Medical Center"/>
    <n v="2015"/>
    <n v="7"/>
    <s v="Medicare"/>
    <x v="2"/>
    <s v="Medicare"/>
    <n v="28385.88"/>
    <n v="7851.15"/>
    <n v="0"/>
  </r>
  <r>
    <x v="4221"/>
    <s v="Peconic Bay Medical Center"/>
    <n v="2015"/>
    <n v="7"/>
    <s v="Medicare"/>
    <x v="2"/>
    <s v="Medicare"/>
    <n v="61299.9"/>
    <n v="46065.14"/>
    <n v="0"/>
  </r>
  <r>
    <x v="4222"/>
    <s v="Peconic Bay Medical Center"/>
    <n v="2015"/>
    <n v="7"/>
    <s v="Medicare"/>
    <x v="2"/>
    <s v="Medicare"/>
    <n v="110091.98"/>
    <n v="40540.99"/>
    <n v="0"/>
  </r>
  <r>
    <x v="4223"/>
    <s v="Peconic Bay Medical Center"/>
    <n v="2015"/>
    <n v="7"/>
    <s v="Medicare"/>
    <x v="2"/>
    <s v="Medicare"/>
    <n v="16328.6"/>
    <n v="4205.29"/>
    <n v="0"/>
  </r>
  <r>
    <x v="4224"/>
    <s v="Peconic Bay Medical Center"/>
    <n v="2015"/>
    <n v="7"/>
    <s v="Medicare"/>
    <x v="2"/>
    <s v="Medicare"/>
    <n v="11490.04"/>
    <n v="3772.71"/>
    <n v="0"/>
  </r>
  <r>
    <x v="4225"/>
    <s v="Peconic Bay Medical Center"/>
    <n v="2015"/>
    <n v="7"/>
    <s v="Medicare"/>
    <x v="2"/>
    <s v="Medicare"/>
    <n v="66602.720000000001"/>
    <n v="48961.86"/>
    <n v="0"/>
  </r>
  <r>
    <x v="4226"/>
    <s v="Peconic Bay Medical Center"/>
    <n v="2015"/>
    <n v="7"/>
    <s v="Medicare"/>
    <x v="2"/>
    <s v="Medicare"/>
    <n v="46999"/>
    <n v="23691.16"/>
    <n v="0"/>
  </r>
  <r>
    <x v="4227"/>
    <s v="Peconic Bay Medical Center"/>
    <n v="2015"/>
    <n v="7"/>
    <s v="Medicare"/>
    <x v="2"/>
    <s v="Medicare"/>
    <n v="27631.42"/>
    <n v="8442.2199999999993"/>
    <n v="0"/>
  </r>
  <r>
    <x v="4228"/>
    <s v="Peconic Bay Medical Center"/>
    <n v="2015"/>
    <n v="7"/>
    <s v="Medicare"/>
    <x v="2"/>
    <s v="Medicare"/>
    <n v="101255.42"/>
    <n v="56540.59"/>
    <n v="0"/>
  </r>
  <r>
    <x v="4229"/>
    <s v="Peconic Bay Medical Center"/>
    <n v="2015"/>
    <n v="7"/>
    <s v="Medicare"/>
    <x v="2"/>
    <s v="Medicare"/>
    <n v="24781.38"/>
    <n v="5857.45"/>
    <n v="0"/>
  </r>
  <r>
    <x v="4230"/>
    <s v="Peconic Bay Medical Center"/>
    <n v="2015"/>
    <n v="7"/>
    <s v="Medicare"/>
    <x v="2"/>
    <s v="Medicare"/>
    <n v="11327.72"/>
    <n v="2582.37"/>
    <n v="0"/>
  </r>
  <r>
    <x v="4231"/>
    <s v="Peconic Bay Medical Center"/>
    <n v="2015"/>
    <n v="7"/>
    <s v="Medicare"/>
    <x v="2"/>
    <s v="Medicare"/>
    <n v="22529.82"/>
    <n v="6804.75"/>
    <n v="0"/>
  </r>
  <r>
    <x v="4232"/>
    <s v="Peconic Bay Medical Center"/>
    <n v="2015"/>
    <n v="7"/>
    <s v="Medicare"/>
    <x v="2"/>
    <s v="Medicare"/>
    <n v="99740.5"/>
    <n v="62357.04"/>
    <n v="0"/>
  </r>
  <r>
    <x v="4233"/>
    <s v="Peconic Bay Medical Center"/>
    <n v="2015"/>
    <n v="7"/>
    <s v="Medicare"/>
    <x v="2"/>
    <s v="Medicare"/>
    <n v="55656.62"/>
    <n v="12480.31"/>
    <n v="0"/>
  </r>
  <r>
    <x v="4234"/>
    <s v="Peconic Bay Medical Center"/>
    <n v="2015"/>
    <n v="7"/>
    <s v="Medicare"/>
    <x v="2"/>
    <s v="Medicare"/>
    <n v="14006.84"/>
    <n v="2897.49"/>
    <n v="0"/>
  </r>
  <r>
    <x v="4235"/>
    <s v="Peconic Bay Medical Center"/>
    <n v="2015"/>
    <n v="7"/>
    <s v="Medicare"/>
    <x v="2"/>
    <s v="Medicare"/>
    <n v="19203.04"/>
    <n v="5774.69"/>
    <n v="0"/>
  </r>
  <r>
    <x v="4236"/>
    <s v="Peconic Bay Medical Center"/>
    <n v="2015"/>
    <n v="7"/>
    <s v="Medicare"/>
    <x v="2"/>
    <s v="Medicare"/>
    <n v="20430.34"/>
    <n v="6170.39"/>
    <n v="0"/>
  </r>
  <r>
    <x v="4237"/>
    <s v="Peconic Bay Medical Center"/>
    <n v="2015"/>
    <n v="7"/>
    <s v="Medicare"/>
    <x v="2"/>
    <s v="Medicare"/>
    <n v="46200.78"/>
    <n v="12509.68"/>
    <n v="0"/>
  </r>
  <r>
    <x v="4238"/>
    <s v="Peconic Bay Medical Center"/>
    <n v="2015"/>
    <n v="7"/>
    <s v="Medicare"/>
    <x v="2"/>
    <s v="Medicare"/>
    <n v="73084.759999999995"/>
    <n v="22979.43"/>
    <n v="0"/>
  </r>
  <r>
    <x v="4239"/>
    <s v="Peconic Bay Medical Center"/>
    <n v="2015"/>
    <n v="7"/>
    <s v="Medicare"/>
    <x v="2"/>
    <s v="Medicare"/>
    <n v="15064.86"/>
    <n v="3313.69"/>
    <n v="0"/>
  </r>
  <r>
    <x v="4240"/>
    <s v="Peconic Bay Medical Center"/>
    <n v="2015"/>
    <n v="7"/>
    <s v="Medicare"/>
    <x v="2"/>
    <s v="Medicare"/>
    <n v="39384.1"/>
    <n v="11421.44"/>
    <n v="0"/>
  </r>
  <r>
    <x v="4241"/>
    <s v="Peconic Bay Medical Center"/>
    <n v="2015"/>
    <n v="7"/>
    <s v="Medicare"/>
    <x v="2"/>
    <s v="Medicare"/>
    <n v="25412.720000000001"/>
    <n v="7697.77"/>
    <n v="0"/>
  </r>
  <r>
    <x v="4242"/>
    <s v="Peconic Bay Medical Center"/>
    <n v="2015"/>
    <n v="7"/>
    <s v="Medicare"/>
    <x v="2"/>
    <s v="Medicare"/>
    <n v="19401.36"/>
    <n v="5869.7"/>
    <n v="0"/>
  </r>
  <r>
    <x v="4243"/>
    <s v="Peconic Bay Medical Center"/>
    <n v="2015"/>
    <n v="7"/>
    <s v="Medicare"/>
    <x v="2"/>
    <s v="Medicare"/>
    <n v="12853.84"/>
    <n v="2991.13"/>
    <n v="0"/>
  </r>
  <r>
    <x v="4244"/>
    <s v="Peconic Bay Medical Center"/>
    <n v="2015"/>
    <n v="7"/>
    <s v="Medicare"/>
    <x v="2"/>
    <s v="Medicare"/>
    <n v="16489.66"/>
    <n v="4029.52"/>
    <n v="0"/>
  </r>
  <r>
    <x v="4245"/>
    <s v="Peconic Bay Medical Center"/>
    <n v="2015"/>
    <n v="7"/>
    <s v="Medicare"/>
    <x v="2"/>
    <s v="Medicare"/>
    <n v="32987.4"/>
    <n v="9081.09"/>
    <n v="0"/>
  </r>
  <r>
    <x v="4246"/>
    <s v="Peconic Bay Medical Center"/>
    <n v="2015"/>
    <n v="7"/>
    <s v="Medicare"/>
    <x v="2"/>
    <s v="Medicare"/>
    <n v="33320.78"/>
    <n v="10324.31"/>
    <n v="0"/>
  </r>
  <r>
    <x v="4247"/>
    <s v="Peconic Bay Medical Center"/>
    <n v="2015"/>
    <n v="7"/>
    <s v="Medicare"/>
    <x v="2"/>
    <s v="Medicare"/>
    <n v="20003.22"/>
    <n v="5588.36"/>
    <n v="0"/>
  </r>
  <r>
    <x v="4248"/>
    <s v="Peconic Bay Medical Center"/>
    <n v="2015"/>
    <n v="7"/>
    <s v="Medicare"/>
    <x v="2"/>
    <s v="Medicare"/>
    <n v="39783.699999999997"/>
    <n v="12869.35"/>
    <n v="0"/>
  </r>
  <r>
    <x v="4249"/>
    <s v="Peconic Bay Medical Center"/>
    <n v="2015"/>
    <n v="7"/>
    <s v="Medicare"/>
    <x v="2"/>
    <s v="Medicare"/>
    <n v="64406.559999999998"/>
    <n v="46645.25"/>
    <n v="0"/>
  </r>
  <r>
    <x v="4250"/>
    <s v="Peconic Bay Medical Center"/>
    <n v="2015"/>
    <n v="7"/>
    <s v="Medicare"/>
    <x v="2"/>
    <s v="Medicare"/>
    <n v="225977.16"/>
    <n v="204833.96"/>
    <n v="0"/>
  </r>
  <r>
    <x v="4251"/>
    <s v="Peconic Bay Medical Center"/>
    <n v="2015"/>
    <n v="7"/>
    <s v="Medicare"/>
    <x v="2"/>
    <s v="Medicare"/>
    <n v="15584.18"/>
    <n v="2976.34"/>
    <n v="0"/>
  </r>
  <r>
    <x v="4252"/>
    <s v="Peconic Bay Medical Center"/>
    <n v="2015"/>
    <n v="7"/>
    <s v="Medicare"/>
    <x v="2"/>
    <s v="Medicare"/>
    <n v="25573.42"/>
    <n v="7805.72"/>
    <n v="0"/>
  </r>
  <r>
    <x v="4253"/>
    <s v="Peconic Bay Medical Center"/>
    <n v="2015"/>
    <n v="7"/>
    <s v="Medicare"/>
    <x v="2"/>
    <s v="Medicare"/>
    <n v="66567.839999999997"/>
    <n v="52455.96"/>
    <n v="0"/>
  </r>
  <r>
    <x v="4254"/>
    <s v="Peconic Bay Medical Center"/>
    <n v="2015"/>
    <n v="7"/>
    <s v="Medicare"/>
    <x v="2"/>
    <s v="Medicare"/>
    <n v="13887.5"/>
    <n v="4142.08"/>
    <n v="0"/>
  </r>
  <r>
    <x v="4255"/>
    <s v="Peconic Bay Medical Center"/>
    <n v="2015"/>
    <n v="7"/>
    <s v="Medicare"/>
    <x v="2"/>
    <s v="Medicare"/>
    <n v="32371.72"/>
    <n v="9854.7900000000009"/>
    <n v="0"/>
  </r>
  <r>
    <x v="4256"/>
    <s v="Peconic Bay Medical Center"/>
    <n v="2015"/>
    <n v="7"/>
    <s v="Medicare"/>
    <x v="2"/>
    <s v="Medicare"/>
    <n v="84057.26"/>
    <n v="30775.08"/>
    <n v="0"/>
  </r>
  <r>
    <x v="4257"/>
    <s v="Peconic Bay Medical Center"/>
    <n v="2015"/>
    <n v="7"/>
    <s v="Medicare"/>
    <x v="2"/>
    <s v="Medicare"/>
    <n v="36984.78"/>
    <n v="13203.77"/>
    <n v="0"/>
  </r>
  <r>
    <x v="4258"/>
    <s v="Peconic Bay Medical Center"/>
    <n v="2015"/>
    <n v="7"/>
    <s v="Medicare"/>
    <x v="2"/>
    <s v="Medicare"/>
    <n v="55329.760000000002"/>
    <n v="17956.599999999999"/>
    <n v="0"/>
  </r>
  <r>
    <x v="4259"/>
    <s v="Peconic Bay Medical Center"/>
    <n v="2015"/>
    <n v="7"/>
    <s v="Medicare"/>
    <x v="2"/>
    <s v="Medicare"/>
    <n v="14231.06"/>
    <n v="2896.47"/>
    <n v="0"/>
  </r>
  <r>
    <x v="4260"/>
    <s v="Peconic Bay Medical Center"/>
    <n v="2015"/>
    <n v="7"/>
    <s v="Medicare"/>
    <x v="2"/>
    <s v="Medicare"/>
    <n v="70349.02"/>
    <n v="21078.639999999999"/>
    <n v="0"/>
  </r>
  <r>
    <x v="4261"/>
    <s v="Peconic Bay Medical Center"/>
    <n v="2015"/>
    <n v="7"/>
    <s v="Medicare"/>
    <x v="2"/>
    <s v="Medicare"/>
    <n v="34521.18"/>
    <n v="8939.83"/>
    <n v="0"/>
  </r>
  <r>
    <x v="4262"/>
    <s v="Peconic Bay Medical Center"/>
    <n v="2015"/>
    <n v="7"/>
    <s v="Medicare"/>
    <x v="2"/>
    <s v="Medicare"/>
    <n v="115401.04"/>
    <n v="62551.34"/>
    <n v="0"/>
  </r>
  <r>
    <x v="4263"/>
    <s v="Peconic Bay Medical Center"/>
    <n v="2015"/>
    <n v="7"/>
    <s v="Medicare"/>
    <x v="2"/>
    <s v="Medicare"/>
    <n v="45594.52"/>
    <n v="12440.1"/>
    <n v="0"/>
  </r>
  <r>
    <x v="4264"/>
    <s v="Peconic Bay Medical Center"/>
    <n v="2015"/>
    <n v="7"/>
    <s v="Medicare"/>
    <x v="2"/>
    <s v="Medicare"/>
    <n v="13454.6"/>
    <n v="3448.03"/>
    <n v="0"/>
  </r>
  <r>
    <x v="4265"/>
    <s v="Peconic Bay Medical Center"/>
    <n v="2015"/>
    <n v="7"/>
    <s v="Medicare"/>
    <x v="2"/>
    <s v="Medicare"/>
    <n v="73168.06"/>
    <n v="55176.63"/>
    <n v="0"/>
  </r>
  <r>
    <x v="4266"/>
    <s v="Peconic Bay Medical Center"/>
    <n v="2015"/>
    <n v="7"/>
    <s v="Medicare"/>
    <x v="2"/>
    <s v="Medicare"/>
    <n v="28719.3"/>
    <n v="9086.0499999999993"/>
    <n v="0"/>
  </r>
  <r>
    <x v="4267"/>
    <s v="Peconic Bay Medical Center"/>
    <n v="2015"/>
    <n v="7"/>
    <s v="Medicare"/>
    <x v="2"/>
    <s v="Medicare"/>
    <n v="33564.019999999997"/>
    <n v="9251.01"/>
    <n v="0"/>
  </r>
  <r>
    <x v="4268"/>
    <s v="Peconic Bay Medical Center"/>
    <n v="2015"/>
    <n v="7"/>
    <s v="Medicare"/>
    <x v="2"/>
    <s v="Medicare"/>
    <n v="45604.66"/>
    <n v="32812.28"/>
    <n v="0"/>
  </r>
  <r>
    <x v="4269"/>
    <s v="Peconic Bay Medical Center"/>
    <n v="2015"/>
    <n v="7"/>
    <s v="Medicare"/>
    <x v="2"/>
    <s v="Medicare"/>
    <n v="23648.880000000001"/>
    <n v="7432.87"/>
    <n v="0"/>
  </r>
  <r>
    <x v="4270"/>
    <s v="Peconic Bay Medical Center"/>
    <n v="2015"/>
    <n v="7"/>
    <s v="Medicare"/>
    <x v="2"/>
    <s v="Medicare"/>
    <n v="68365.919999999998"/>
    <n v="54441.99"/>
    <n v="0"/>
  </r>
  <r>
    <x v="4271"/>
    <s v="Peconic Bay Medical Center"/>
    <n v="2015"/>
    <n v="7"/>
    <s v="Medicare"/>
    <x v="2"/>
    <s v="Medicare"/>
    <n v="32793.800000000003"/>
    <n v="9736.2000000000007"/>
    <n v="0"/>
  </r>
  <r>
    <x v="4272"/>
    <s v="Peconic Bay Medical Center"/>
    <n v="2015"/>
    <n v="7"/>
    <s v="Medicare"/>
    <x v="2"/>
    <s v="Medicare"/>
    <n v="58459.42"/>
    <n v="19092.93"/>
    <n v="0"/>
  </r>
  <r>
    <x v="4273"/>
    <s v="Peconic Bay Medical Center"/>
    <n v="2015"/>
    <n v="7"/>
    <s v="Medicare"/>
    <x v="2"/>
    <s v="Medicare"/>
    <n v="26066.26"/>
    <n v="8005.82"/>
    <n v="0"/>
  </r>
  <r>
    <x v="4274"/>
    <s v="Peconic Bay Medical Center"/>
    <n v="2015"/>
    <n v="7"/>
    <s v="Medicare"/>
    <x v="2"/>
    <s v="Medicare"/>
    <n v="88173.94"/>
    <n v="35374.89"/>
    <n v="0"/>
  </r>
  <r>
    <x v="4275"/>
    <s v="Peconic Bay Medical Center"/>
    <n v="2015"/>
    <n v="7"/>
    <s v="Medicare"/>
    <x v="2"/>
    <s v="Medicare"/>
    <n v="67809.399999999994"/>
    <n v="38649.56"/>
    <n v="0"/>
  </r>
  <r>
    <x v="4276"/>
    <s v="Peconic Bay Medical Center"/>
    <n v="2015"/>
    <n v="7"/>
    <s v="Medicare"/>
    <x v="2"/>
    <s v="Medicare"/>
    <n v="64082.06"/>
    <n v="46534.25"/>
    <n v="0"/>
  </r>
  <r>
    <x v="4277"/>
    <s v="Peconic Bay Medical Center"/>
    <n v="2015"/>
    <n v="7"/>
    <s v="Medicare"/>
    <x v="2"/>
    <s v="Medicare"/>
    <n v="23163.279999999999"/>
    <n v="6919.74"/>
    <n v="0"/>
  </r>
  <r>
    <x v="4278"/>
    <s v="Peconic Bay Medical Center"/>
    <n v="2015"/>
    <n v="7"/>
    <s v="Medicare"/>
    <x v="2"/>
    <s v="Medicare"/>
    <n v="84293.94"/>
    <n v="33063.08"/>
    <n v="0"/>
  </r>
  <r>
    <x v="4279"/>
    <s v="Peconic Bay Medical Center"/>
    <n v="2015"/>
    <n v="7"/>
    <s v="Medicare"/>
    <x v="2"/>
    <s v="Medicare"/>
    <n v="42958.1"/>
    <n v="12209.22"/>
    <n v="0"/>
  </r>
  <r>
    <x v="4280"/>
    <s v="Peconic Bay Medical Center"/>
    <n v="2015"/>
    <n v="7"/>
    <s v="Medicare"/>
    <x v="2"/>
    <s v="Medicare"/>
    <n v="79990.92"/>
    <n v="58567.88"/>
    <n v="0"/>
  </r>
  <r>
    <x v="4281"/>
    <s v="Peconic Bay Medical Center"/>
    <n v="2015"/>
    <n v="7"/>
    <s v="Medicare"/>
    <x v="2"/>
    <s v="Medicare"/>
    <n v="14967.1"/>
    <n v="4369.8100000000004"/>
    <n v="0"/>
  </r>
  <r>
    <x v="4282"/>
    <s v="Peconic Bay Medical Center"/>
    <n v="2015"/>
    <n v="7"/>
    <s v="Medicare"/>
    <x v="2"/>
    <s v="Medicare"/>
    <n v="62312.82"/>
    <n v="16539.490000000002"/>
    <n v="0"/>
  </r>
  <r>
    <x v="4283"/>
    <s v="Peconic Bay Medical Center"/>
    <n v="2015"/>
    <n v="7"/>
    <s v="Medicare"/>
    <x v="2"/>
    <s v="Medicare"/>
    <n v="27647.759999999998"/>
    <n v="7975.84"/>
    <n v="0"/>
  </r>
  <r>
    <x v="4284"/>
    <s v="Peconic Bay Medical Center"/>
    <n v="2015"/>
    <n v="7"/>
    <s v="Medicare"/>
    <x v="2"/>
    <s v="Medicare"/>
    <n v="14693.76"/>
    <n v="4370.9799999999996"/>
    <n v="0"/>
  </r>
  <r>
    <x v="4285"/>
    <s v="Peconic Bay Medical Center"/>
    <n v="2015"/>
    <n v="7"/>
    <s v="Medicare"/>
    <x v="2"/>
    <s v="Medicare"/>
    <n v="80955.5"/>
    <n v="25418"/>
    <n v="0"/>
  </r>
  <r>
    <x v="4286"/>
    <s v="Peconic Bay Medical Center"/>
    <n v="2015"/>
    <n v="7"/>
    <s v="Medicare"/>
    <x v="2"/>
    <s v="Medicare"/>
    <n v="65180.5"/>
    <n v="52166.41"/>
    <n v="0"/>
  </r>
  <r>
    <x v="4287"/>
    <s v="Peconic Bay Medical Center"/>
    <n v="2015"/>
    <n v="7"/>
    <s v="Medicare"/>
    <x v="2"/>
    <s v="Medicare"/>
    <n v="30081.98"/>
    <n v="8290.65"/>
    <n v="0"/>
  </r>
  <r>
    <x v="4288"/>
    <s v="Peconic Bay Medical Center"/>
    <n v="2015"/>
    <n v="7"/>
    <s v="Medicare"/>
    <x v="2"/>
    <s v="Medicare"/>
    <n v="11862.6"/>
    <n v="3355.66"/>
    <n v="0"/>
  </r>
  <r>
    <x v="4289"/>
    <s v="Peconic Bay Medical Center"/>
    <n v="2015"/>
    <n v="7"/>
    <s v="Medicare"/>
    <x v="2"/>
    <s v="Medicare"/>
    <n v="72207.56"/>
    <n v="22505.87"/>
    <n v="0"/>
  </r>
  <r>
    <x v="4290"/>
    <s v="Peconic Bay Medical Center"/>
    <n v="2015"/>
    <n v="7"/>
    <s v="Medicare"/>
    <x v="2"/>
    <s v="Medicare"/>
    <n v="20137.080000000002"/>
    <n v="5561.09"/>
    <n v="0"/>
  </r>
  <r>
    <x v="4291"/>
    <s v="Peconic Bay Medical Center"/>
    <n v="2015"/>
    <n v="7"/>
    <s v="Medicare"/>
    <x v="2"/>
    <s v="Medicare"/>
    <n v="11790.42"/>
    <n v="2697.34"/>
    <n v="0"/>
  </r>
  <r>
    <x v="4292"/>
    <s v="Peconic Bay Medical Center"/>
    <n v="2015"/>
    <n v="7"/>
    <s v="Medicare"/>
    <x v="2"/>
    <s v="Medicare"/>
    <n v="49994.48"/>
    <n v="13689.17"/>
    <n v="0"/>
  </r>
  <r>
    <x v="4293"/>
    <s v="Peconic Bay Medical Center"/>
    <n v="2015"/>
    <n v="7"/>
    <s v="Medicare"/>
    <x v="2"/>
    <s v="Medicare"/>
    <n v="28575.52"/>
    <n v="7895.5"/>
    <n v="0"/>
  </r>
  <r>
    <x v="4294"/>
    <s v="Peconic Bay Medical Center"/>
    <n v="2015"/>
    <n v="7"/>
    <s v="Medicare"/>
    <x v="2"/>
    <s v="Medicare"/>
    <n v="20706.22"/>
    <n v="5658.37"/>
    <n v="0"/>
  </r>
  <r>
    <x v="4295"/>
    <s v="Peconic Bay Medical Center"/>
    <n v="2015"/>
    <n v="7"/>
    <s v="Medicare"/>
    <x v="2"/>
    <s v="Medicare"/>
    <n v="35702.660000000003"/>
    <n v="11169.36"/>
    <n v="0"/>
  </r>
  <r>
    <x v="4296"/>
    <s v="Peconic Bay Medical Center"/>
    <n v="2015"/>
    <n v="7"/>
    <s v="Medicare"/>
    <x v="2"/>
    <s v="Medicare"/>
    <n v="31469.360000000001"/>
    <n v="7003.07"/>
    <n v="0"/>
  </r>
  <r>
    <x v="4297"/>
    <s v="Peconic Bay Medical Center"/>
    <n v="2015"/>
    <n v="7"/>
    <s v="Medicare"/>
    <x v="2"/>
    <s v="Medicare"/>
    <n v="19844.02"/>
    <n v="5314.86"/>
    <n v="0"/>
  </r>
  <r>
    <x v="4298"/>
    <s v="Peconic Bay Medical Center"/>
    <n v="2015"/>
    <n v="7"/>
    <s v="Medicare"/>
    <x v="2"/>
    <s v="Medicare"/>
    <n v="31126.74"/>
    <n v="11423.9"/>
    <n v="0"/>
  </r>
  <r>
    <x v="4299"/>
    <s v="Peconic Bay Medical Center"/>
    <n v="2015"/>
    <n v="7"/>
    <s v="Medicare"/>
    <x v="2"/>
    <s v="Medicare"/>
    <n v="9711.2999999999993"/>
    <n v="2633.86"/>
    <n v="0"/>
  </r>
  <r>
    <x v="4300"/>
    <s v="Peconic Bay Medical Center"/>
    <n v="2015"/>
    <n v="7"/>
    <s v="Medicare"/>
    <x v="2"/>
    <s v="Medicare"/>
    <n v="23045.94"/>
    <n v="5367.33"/>
    <n v="0"/>
  </r>
  <r>
    <x v="4301"/>
    <s v="Peconic Bay Medical Center"/>
    <n v="2015"/>
    <n v="7"/>
    <s v="Medicare"/>
    <x v="2"/>
    <s v="Medicare"/>
    <n v="67764.52"/>
    <n v="53534.94"/>
    <n v="0"/>
  </r>
  <r>
    <x v="4302"/>
    <s v="Peconic Bay Medical Center"/>
    <n v="2015"/>
    <n v="7"/>
    <s v="Medicare"/>
    <x v="2"/>
    <s v="Medicare"/>
    <n v="74930.34"/>
    <n v="58331.45"/>
    <n v="0"/>
  </r>
  <r>
    <x v="4303"/>
    <s v="Peconic Bay Medical Center"/>
    <n v="2015"/>
    <n v="7"/>
    <s v="Medicare"/>
    <x v="2"/>
    <s v="Medicare"/>
    <n v="30380.16"/>
    <n v="9347.08"/>
    <n v="0"/>
  </r>
  <r>
    <x v="4304"/>
    <s v="Peconic Bay Medical Center"/>
    <n v="2015"/>
    <n v="7"/>
    <s v="Medicare"/>
    <x v="2"/>
    <s v="Medicare"/>
    <n v="16969.28"/>
    <n v="3157.7"/>
    <n v="0"/>
  </r>
  <r>
    <x v="4305"/>
    <s v="Peconic Bay Medical Center"/>
    <n v="2015"/>
    <n v="7"/>
    <s v="Medicare"/>
    <x v="2"/>
    <s v="Medicare"/>
    <n v="44903.94"/>
    <n v="12205.76"/>
    <n v="0"/>
  </r>
  <r>
    <x v="4306"/>
    <s v="Peconic Bay Medical Center"/>
    <n v="2015"/>
    <n v="7"/>
    <s v="Medicare"/>
    <x v="2"/>
    <s v="Medicare"/>
    <n v="66554.559999999998"/>
    <n v="19214.73"/>
    <n v="0"/>
  </r>
  <r>
    <x v="4307"/>
    <s v="Peconic Bay Medical Center"/>
    <n v="2015"/>
    <n v="7"/>
    <s v="Medicare"/>
    <x v="2"/>
    <s v="Medicare"/>
    <n v="61993.42"/>
    <n v="42520.74"/>
    <n v="0"/>
  </r>
  <r>
    <x v="4308"/>
    <s v="Peconic Bay Medical Center"/>
    <n v="2015"/>
    <n v="7"/>
    <s v="Medicare"/>
    <x v="2"/>
    <s v="Medicare"/>
    <n v="71574.62"/>
    <n v="54092.92"/>
    <n v="0"/>
  </r>
  <r>
    <x v="4309"/>
    <s v="Peconic Bay Medical Center"/>
    <n v="2015"/>
    <n v="7"/>
    <s v="Medicare"/>
    <x v="2"/>
    <s v="Medicare"/>
    <n v="17506.82"/>
    <n v="4928.03"/>
    <n v="0"/>
  </r>
  <r>
    <x v="4310"/>
    <s v="Peconic Bay Medical Center"/>
    <n v="2015"/>
    <n v="7"/>
    <s v="Medicare"/>
    <x v="2"/>
    <s v="Medicare"/>
    <n v="14302.88"/>
    <n v="4272.26"/>
    <n v="0"/>
  </r>
  <r>
    <x v="4311"/>
    <s v="Peconic Bay Medical Center"/>
    <n v="2015"/>
    <n v="7"/>
    <s v="Medicare"/>
    <x v="2"/>
    <s v="Medicare"/>
    <n v="124188"/>
    <n v="40621.64"/>
    <n v="0"/>
  </r>
  <r>
    <x v="4312"/>
    <s v="Peconic Bay Medical Center"/>
    <n v="2015"/>
    <n v="7"/>
    <s v="Medicare"/>
    <x v="2"/>
    <s v="Medicare"/>
    <n v="55524.1"/>
    <n v="37467.97"/>
    <n v="0"/>
  </r>
  <r>
    <x v="4313"/>
    <s v="Peconic Bay Medical Center"/>
    <n v="2015"/>
    <n v="7"/>
    <s v="Medicare"/>
    <x v="2"/>
    <s v="Medicare"/>
    <n v="182427.1"/>
    <n v="61153.39"/>
    <n v="0"/>
  </r>
  <r>
    <x v="4314"/>
    <s v="Peconic Bay Medical Center"/>
    <n v="2015"/>
    <n v="7"/>
    <s v="Medicare"/>
    <x v="2"/>
    <s v="Medicare"/>
    <n v="60599.18"/>
    <n v="27701.3"/>
    <n v="0"/>
  </r>
  <r>
    <x v="4315"/>
    <s v="Peconic Bay Medical Center"/>
    <n v="2015"/>
    <n v="7"/>
    <s v="Medicare"/>
    <x v="2"/>
    <s v="Medicare"/>
    <n v="45861.34"/>
    <n v="9777.91"/>
    <n v="0"/>
  </r>
  <r>
    <x v="4316"/>
    <s v="Peconic Bay Medical Center"/>
    <n v="2015"/>
    <n v="7"/>
    <s v="Medicare"/>
    <x v="2"/>
    <s v="Medicare"/>
    <n v="16171.76"/>
    <n v="2504.2199999999998"/>
    <n v="0"/>
  </r>
  <r>
    <x v="4317"/>
    <s v="Peconic Bay Medical Center"/>
    <n v="2015"/>
    <n v="7"/>
    <s v="Medicare"/>
    <x v="2"/>
    <s v="Medicare"/>
    <n v="23955.96"/>
    <n v="7095.54"/>
    <n v="0"/>
  </r>
  <r>
    <x v="4318"/>
    <s v="Peconic Bay Medical Center"/>
    <n v="2015"/>
    <n v="7"/>
    <s v="Medicare"/>
    <x v="2"/>
    <s v="Medicare"/>
    <n v="30635.48"/>
    <n v="8627.68"/>
    <n v="0"/>
  </r>
  <r>
    <x v="4319"/>
    <s v="Peconic Bay Medical Center"/>
    <n v="2015"/>
    <n v="7"/>
    <s v="Medicare"/>
    <x v="2"/>
    <s v="Medicare"/>
    <n v="62773.62"/>
    <n v="46045"/>
    <n v="0"/>
  </r>
  <r>
    <x v="4320"/>
    <s v="Peconic Bay Medical Center"/>
    <n v="2015"/>
    <n v="7"/>
    <s v="Medicare"/>
    <x v="2"/>
    <s v="Medicare"/>
    <n v="15170.86"/>
    <n v="4393.2"/>
    <n v="0"/>
  </r>
  <r>
    <x v="4321"/>
    <s v="Peconic Bay Medical Center"/>
    <n v="2015"/>
    <n v="7"/>
    <s v="Medicare"/>
    <x v="2"/>
    <s v="Medicare"/>
    <n v="15518.48"/>
    <n v="3933.49"/>
    <n v="0"/>
  </r>
  <r>
    <x v="4322"/>
    <s v="Peconic Bay Medical Center"/>
    <n v="2015"/>
    <n v="7"/>
    <s v="Medicare"/>
    <x v="2"/>
    <s v="Medicare"/>
    <n v="38940.160000000003"/>
    <n v="10596.9"/>
    <n v="0"/>
  </r>
  <r>
    <x v="4323"/>
    <s v="Peconic Bay Medical Center"/>
    <n v="2015"/>
    <n v="7"/>
    <s v="Medicare"/>
    <x v="2"/>
    <s v="Medicare"/>
    <n v="27852.58"/>
    <n v="7359.73"/>
    <n v="0"/>
  </r>
  <r>
    <x v="4324"/>
    <s v="Peconic Bay Medical Center"/>
    <n v="2015"/>
    <n v="7"/>
    <s v="Medicare"/>
    <x v="2"/>
    <s v="Medicare"/>
    <n v="21908.32"/>
    <n v="4885.49"/>
    <n v="0"/>
  </r>
  <r>
    <x v="4325"/>
    <s v="Peconic Bay Medical Center"/>
    <n v="2015"/>
    <n v="7"/>
    <s v="Medicare"/>
    <x v="2"/>
    <s v="Medicare"/>
    <n v="37255.94"/>
    <n v="10851.82"/>
    <n v="0"/>
  </r>
  <r>
    <x v="4326"/>
    <s v="Peconic Bay Medical Center"/>
    <n v="2015"/>
    <n v="7"/>
    <s v="Medicare"/>
    <x v="2"/>
    <s v="Medicare"/>
    <n v="13899.32"/>
    <n v="3315.19"/>
    <n v="0"/>
  </r>
  <r>
    <x v="4327"/>
    <s v="Peconic Bay Medical Center"/>
    <n v="2015"/>
    <n v="7"/>
    <s v="Medicare"/>
    <x v="2"/>
    <s v="Medicare"/>
    <n v="45633.42"/>
    <n v="11773.08"/>
    <n v="0"/>
  </r>
  <r>
    <x v="4328"/>
    <s v="Peconic Bay Medical Center"/>
    <n v="2015"/>
    <n v="7"/>
    <s v="Medicare"/>
    <x v="2"/>
    <s v="Medicare"/>
    <n v="19916.919999999998"/>
    <n v="5937.25"/>
    <n v="0"/>
  </r>
  <r>
    <x v="4329"/>
    <s v="Peconic Bay Medical Center"/>
    <n v="2015"/>
    <n v="7"/>
    <s v="Medicare"/>
    <x v="2"/>
    <s v="Medicare"/>
    <n v="35471.879999999997"/>
    <n v="9275.81"/>
    <n v="0"/>
  </r>
  <r>
    <x v="4330"/>
    <s v="Peconic Bay Medical Center"/>
    <n v="2015"/>
    <n v="7"/>
    <s v="Medicare"/>
    <x v="2"/>
    <s v="Medicare"/>
    <n v="51748.26"/>
    <n v="16301.05"/>
    <n v="0"/>
  </r>
  <r>
    <x v="4331"/>
    <s v="Peconic Bay Medical Center"/>
    <n v="2015"/>
    <n v="7"/>
    <s v="Medicare"/>
    <x v="2"/>
    <s v="Medicare"/>
    <n v="25126.68"/>
    <n v="6807.73"/>
    <n v="0"/>
  </r>
  <r>
    <x v="4332"/>
    <s v="Peconic Bay Medical Center"/>
    <n v="2015"/>
    <n v="7"/>
    <s v="Medicare"/>
    <x v="2"/>
    <s v="Medicare"/>
    <n v="27863.52"/>
    <n v="5037.75"/>
    <n v="0"/>
  </r>
  <r>
    <x v="4333"/>
    <s v="Peconic Bay Medical Center"/>
    <n v="2015"/>
    <n v="7"/>
    <s v="Medicare"/>
    <x v="2"/>
    <s v="Medicare"/>
    <n v="66869.399999999994"/>
    <n v="49020.2"/>
    <n v="0"/>
  </r>
  <r>
    <x v="4334"/>
    <s v="Peconic Bay Medical Center"/>
    <n v="2015"/>
    <n v="7"/>
    <s v="Medicare"/>
    <x v="2"/>
    <s v="Medicare"/>
    <n v="25615.02"/>
    <n v="7744.9"/>
    <n v="0"/>
  </r>
  <r>
    <x v="4335"/>
    <s v="Peconic Bay Medical Center"/>
    <n v="2015"/>
    <n v="7"/>
    <s v="Medicare"/>
    <x v="2"/>
    <s v="Medicare"/>
    <n v="10572.22"/>
    <n v="2698.49"/>
    <n v="0"/>
  </r>
  <r>
    <x v="4336"/>
    <s v="Peconic Bay Medical Center"/>
    <n v="2015"/>
    <n v="7"/>
    <s v="Medicare"/>
    <x v="2"/>
    <s v="Medicare"/>
    <n v="66962.28"/>
    <n v="27375.97"/>
    <n v="0"/>
  </r>
  <r>
    <x v="4337"/>
    <s v="Peconic Bay Medical Center"/>
    <n v="2015"/>
    <n v="7"/>
    <s v="Medicare"/>
    <x v="2"/>
    <s v="Medicare"/>
    <n v="68598.62"/>
    <n v="49479.26"/>
    <n v="0"/>
  </r>
  <r>
    <x v="4338"/>
    <s v="Peconic Bay Medical Center"/>
    <n v="2015"/>
    <n v="7"/>
    <s v="Medicare"/>
    <x v="2"/>
    <s v="Medicare"/>
    <n v="18073.2"/>
    <n v="4549.95"/>
    <n v="0"/>
  </r>
  <r>
    <x v="4339"/>
    <s v="Peconic Bay Medical Center"/>
    <n v="2015"/>
    <n v="7"/>
    <s v="Medicare"/>
    <x v="2"/>
    <s v="Medicare"/>
    <n v="35882.019999999997"/>
    <n v="10727.18"/>
    <n v="0"/>
  </r>
  <r>
    <x v="4340"/>
    <s v="Peconic Bay Medical Center"/>
    <n v="2015"/>
    <n v="7"/>
    <s v="Medicare"/>
    <x v="2"/>
    <s v="Medicare"/>
    <n v="38687.480000000003"/>
    <n v="11007.98"/>
    <n v="0"/>
  </r>
  <r>
    <x v="4341"/>
    <s v="Peconic Bay Medical Center"/>
    <n v="2015"/>
    <n v="7"/>
    <s v="Medicare"/>
    <x v="2"/>
    <s v="Medicare"/>
    <n v="27559.58"/>
    <n v="7432.52"/>
    <n v="0"/>
  </r>
  <r>
    <x v="4342"/>
    <s v="Peconic Bay Medical Center"/>
    <n v="2015"/>
    <n v="7"/>
    <s v="Medicare"/>
    <x v="2"/>
    <s v="Medicare"/>
    <n v="24905.22"/>
    <n v="6598.49"/>
    <n v="0"/>
  </r>
  <r>
    <x v="4343"/>
    <s v="Peconic Bay Medical Center"/>
    <n v="2015"/>
    <n v="7"/>
    <s v="Medicare"/>
    <x v="2"/>
    <s v="Medicare"/>
    <n v="70089.94"/>
    <n v="52450.720000000001"/>
    <n v="0"/>
  </r>
  <r>
    <x v="4344"/>
    <s v="Peconic Bay Medical Center"/>
    <n v="2015"/>
    <n v="7"/>
    <s v="Medicare"/>
    <x v="2"/>
    <s v="Medicare"/>
    <n v="36252.199999999997"/>
    <n v="17543.21"/>
    <n v="0"/>
  </r>
  <r>
    <x v="4345"/>
    <s v="Peconic Bay Medical Center"/>
    <n v="2015"/>
    <n v="7"/>
    <s v="Medicare"/>
    <x v="2"/>
    <s v="Medicare"/>
    <n v="78323.22"/>
    <n v="37052.92"/>
    <n v="0"/>
  </r>
  <r>
    <x v="4346"/>
    <s v="Peconic Bay Medical Center"/>
    <n v="2015"/>
    <n v="7"/>
    <s v="Medicare"/>
    <x v="2"/>
    <s v="Medicare"/>
    <n v="42076.3"/>
    <n v="16186.1"/>
    <n v="0"/>
  </r>
  <r>
    <x v="4347"/>
    <s v="Peconic Bay Medical Center"/>
    <n v="2015"/>
    <n v="7"/>
    <s v="Medicare"/>
    <x v="2"/>
    <s v="Medicare"/>
    <n v="76256.06"/>
    <n v="58972.15"/>
    <n v="0"/>
  </r>
  <r>
    <x v="4348"/>
    <s v="Peconic Bay Medical Center"/>
    <n v="2015"/>
    <n v="7"/>
    <s v="Medicare"/>
    <x v="2"/>
    <s v="Medicare"/>
    <n v="42917.279999999999"/>
    <n v="12816.58"/>
    <n v="0"/>
  </r>
  <r>
    <x v="4349"/>
    <s v="Peconic Bay Medical Center"/>
    <n v="2015"/>
    <n v="7"/>
    <s v="Medicare"/>
    <x v="2"/>
    <s v="Medicare"/>
    <n v="25445.38"/>
    <n v="6709.35"/>
    <n v="0"/>
  </r>
  <r>
    <x v="4350"/>
    <s v="Peconic Bay Medical Center"/>
    <n v="2015"/>
    <n v="7"/>
    <s v="Medicare"/>
    <x v="2"/>
    <s v="Medicare"/>
    <n v="34392.82"/>
    <n v="10936.25"/>
    <n v="0"/>
  </r>
  <r>
    <x v="4351"/>
    <s v="Peconic Bay Medical Center"/>
    <n v="2015"/>
    <n v="7"/>
    <s v="Medicare"/>
    <x v="2"/>
    <s v="Medicare"/>
    <n v="10842.1"/>
    <n v="2412.37"/>
    <n v="0"/>
  </r>
  <r>
    <x v="4352"/>
    <s v="Peconic Bay Medical Center"/>
    <n v="2015"/>
    <n v="7"/>
    <s v="Medicare"/>
    <x v="2"/>
    <s v="Medicare"/>
    <n v="84148.81"/>
    <n v="45156.72"/>
    <n v="0"/>
  </r>
  <r>
    <x v="4353"/>
    <s v="Peconic Bay Medical Center"/>
    <n v="2015"/>
    <n v="7"/>
    <s v="Medicare"/>
    <x v="2"/>
    <s v="Medicare"/>
    <n v="69165.039999999994"/>
    <n v="39486.65"/>
    <n v="0"/>
  </r>
  <r>
    <x v="4354"/>
    <s v="Peconic Bay Medical Center"/>
    <n v="2015"/>
    <n v="7"/>
    <s v="Medicare"/>
    <x v="2"/>
    <s v="Medicare"/>
    <n v="24628.68"/>
    <n v="6686.2"/>
    <n v="0"/>
  </r>
  <r>
    <x v="4355"/>
    <s v="Peconic Bay Medical Center"/>
    <n v="2015"/>
    <n v="7"/>
    <s v="Medicare"/>
    <x v="2"/>
    <s v="Medicare"/>
    <n v="79180.58"/>
    <n v="59753.55"/>
    <n v="0"/>
  </r>
  <r>
    <x v="4356"/>
    <s v="Peconic Bay Medical Center"/>
    <n v="2015"/>
    <n v="7"/>
    <s v="Medicare"/>
    <x v="2"/>
    <s v="Medicare"/>
    <n v="24336.66"/>
    <n v="5166.5600000000004"/>
    <n v="0"/>
  </r>
  <r>
    <x v="4357"/>
    <s v="Peconic Bay Medical Center"/>
    <n v="2015"/>
    <n v="7"/>
    <s v="Medicare"/>
    <x v="2"/>
    <s v="Medicare"/>
    <n v="64496.82"/>
    <n v="20506.07"/>
    <n v="0"/>
  </r>
  <r>
    <x v="4358"/>
    <s v="Peconic Bay Medical Center"/>
    <n v="2015"/>
    <n v="7"/>
    <s v="Medicare"/>
    <x v="2"/>
    <s v="Medicare"/>
    <n v="53678.720000000001"/>
    <n v="14899.16"/>
    <n v="0"/>
  </r>
  <r>
    <x v="4359"/>
    <s v="Peconic Bay Medical Center"/>
    <n v="2015"/>
    <n v="7"/>
    <s v="Medicare"/>
    <x v="2"/>
    <s v="Medicare"/>
    <n v="19690.54"/>
    <n v="3155.29"/>
    <n v="0"/>
  </r>
  <r>
    <x v="4360"/>
    <s v="Peconic Bay Medical Center"/>
    <n v="2015"/>
    <n v="7"/>
    <s v="Medicare"/>
    <x v="2"/>
    <s v="Medicare"/>
    <n v="27650.92"/>
    <n v="6859.78"/>
    <n v="0"/>
  </r>
  <r>
    <x v="4361"/>
    <s v="Peconic Bay Medical Center"/>
    <n v="2015"/>
    <n v="7"/>
    <s v="Medicare"/>
    <x v="2"/>
    <s v="Medicare"/>
    <n v="44717.4"/>
    <n v="13899.98"/>
    <n v="0"/>
  </r>
  <r>
    <x v="4362"/>
    <s v="Peconic Bay Medical Center"/>
    <n v="2015"/>
    <n v="7"/>
    <s v="Medicare"/>
    <x v="2"/>
    <s v="Medicare"/>
    <n v="25208.7"/>
    <n v="7480.93"/>
    <n v="0"/>
  </r>
  <r>
    <x v="4363"/>
    <s v="Peconic Bay Medical Center"/>
    <n v="2015"/>
    <n v="7"/>
    <s v="Medicare"/>
    <x v="2"/>
    <s v="Medicare"/>
    <n v="65539.039999999994"/>
    <n v="47207.34"/>
    <n v="0"/>
  </r>
  <r>
    <x v="4364"/>
    <s v="Peconic Bay Medical Center"/>
    <n v="2015"/>
    <n v="7"/>
    <s v="Medicare"/>
    <x v="2"/>
    <s v="Medicare"/>
    <n v="19848.86"/>
    <n v="4552.34"/>
    <n v="0"/>
  </r>
  <r>
    <x v="4365"/>
    <s v="Peconic Bay Medical Center"/>
    <n v="2015"/>
    <n v="7"/>
    <s v="Medicare"/>
    <x v="2"/>
    <s v="Medicare"/>
    <n v="31134.82"/>
    <n v="7948.28"/>
    <n v="0"/>
  </r>
  <r>
    <x v="4366"/>
    <s v="Peconic Bay Medical Center"/>
    <n v="2015"/>
    <n v="7"/>
    <s v="Medicare"/>
    <x v="2"/>
    <s v="Medicare"/>
    <n v="18934.259999999998"/>
    <n v="5623.92"/>
    <n v="0"/>
  </r>
  <r>
    <x v="4367"/>
    <s v="Peconic Bay Medical Center"/>
    <n v="2015"/>
    <n v="7"/>
    <s v="Medicare"/>
    <x v="2"/>
    <s v="Medicare"/>
    <n v="68414.460000000006"/>
    <n v="53819.9"/>
    <n v="0"/>
  </r>
  <r>
    <x v="4368"/>
    <s v="Peconic Bay Medical Center"/>
    <n v="2015"/>
    <n v="7"/>
    <s v="Medicare"/>
    <x v="2"/>
    <s v="Medicare"/>
    <n v="34857.379999999997"/>
    <n v="9817.34"/>
    <n v="0"/>
  </r>
  <r>
    <x v="4369"/>
    <s v="Peconic Bay Medical Center"/>
    <n v="2015"/>
    <n v="7"/>
    <s v="Medicare"/>
    <x v="2"/>
    <s v="Medicare"/>
    <n v="18973.439999999999"/>
    <n v="5866.41"/>
    <n v="0"/>
  </r>
  <r>
    <x v="4370"/>
    <s v="Peconic Bay Medical Center"/>
    <n v="2015"/>
    <n v="7"/>
    <s v="Medicare"/>
    <x v="2"/>
    <s v="Medicare"/>
    <n v="9036.08"/>
    <n v="5743.59"/>
    <n v="0"/>
  </r>
  <r>
    <x v="4371"/>
    <s v="Peconic Bay Medical Center"/>
    <n v="2015"/>
    <n v="7"/>
    <s v="Medicare"/>
    <x v="2"/>
    <s v="Medicare"/>
    <n v="14096.82"/>
    <n v="2841.15"/>
    <n v="0"/>
  </r>
  <r>
    <x v="4372"/>
    <s v="Peconic Bay Medical Center"/>
    <n v="2015"/>
    <n v="7"/>
    <s v="Medicare"/>
    <x v="2"/>
    <s v="Medicare"/>
    <n v="8555.1200000000008"/>
    <n v="2382.7399999999998"/>
    <n v="0"/>
  </r>
  <r>
    <x v="4373"/>
    <s v="Peconic Bay Medical Center"/>
    <n v="2015"/>
    <n v="7"/>
    <s v="Medicare"/>
    <x v="2"/>
    <s v="Medicare"/>
    <n v="15582.44"/>
    <n v="4706.04"/>
    <n v="0"/>
  </r>
  <r>
    <x v="4374"/>
    <s v="Peconic Bay Medical Center"/>
    <n v="2015"/>
    <n v="7"/>
    <s v="Medicare"/>
    <x v="2"/>
    <s v="Medicare"/>
    <n v="10144.4"/>
    <n v="2620.65"/>
    <n v="0"/>
  </r>
  <r>
    <x v="4375"/>
    <s v="Peconic Bay Medical Center"/>
    <n v="2015"/>
    <n v="7"/>
    <s v="Medicare"/>
    <x v="2"/>
    <s v="Medicare"/>
    <n v="85747.76"/>
    <n v="26438.78"/>
    <n v="0"/>
  </r>
  <r>
    <x v="4376"/>
    <s v="Peconic Bay Medical Center"/>
    <n v="2015"/>
    <n v="7"/>
    <s v="Medicare"/>
    <x v="2"/>
    <s v="Medicare"/>
    <n v="27405.4"/>
    <n v="8536.7199999999993"/>
    <n v="0"/>
  </r>
  <r>
    <x v="4377"/>
    <s v="Peconic Bay Medical Center"/>
    <n v="2015"/>
    <n v="7"/>
    <s v="Medicare"/>
    <x v="2"/>
    <s v="Medicare"/>
    <n v="129790.08"/>
    <n v="73352.479999999996"/>
    <n v="0"/>
  </r>
  <r>
    <x v="4378"/>
    <s v="Peconic Bay Medical Center"/>
    <n v="2015"/>
    <n v="7"/>
    <s v="Medicare"/>
    <x v="2"/>
    <s v="Medicare"/>
    <n v="14615.64"/>
    <n v="3244.9"/>
    <n v="0"/>
  </r>
  <r>
    <x v="4379"/>
    <s v="Peconic Bay Medical Center"/>
    <n v="2015"/>
    <n v="7"/>
    <s v="Medicare"/>
    <x v="2"/>
    <s v="Medicare"/>
    <n v="42222.9"/>
    <n v="11553.78"/>
    <n v="0"/>
  </r>
  <r>
    <x v="4380"/>
    <s v="Peconic Bay Medical Center"/>
    <n v="2015"/>
    <n v="7"/>
    <s v="Medicare"/>
    <x v="2"/>
    <s v="Medicare"/>
    <n v="86399.73"/>
    <n v="30360.48"/>
    <n v="0"/>
  </r>
  <r>
    <x v="4381"/>
    <s v="Peconic Bay Medical Center"/>
    <n v="2015"/>
    <n v="7"/>
    <s v="Medicare"/>
    <x v="2"/>
    <s v="Medicare"/>
    <n v="76407.960000000006"/>
    <n v="33482.269999999997"/>
    <n v="0"/>
  </r>
  <r>
    <x v="4382"/>
    <s v="Peconic Bay Medical Center"/>
    <n v="2015"/>
    <n v="7"/>
    <s v="Medicare"/>
    <x v="2"/>
    <s v="Medicare"/>
    <n v="116696.18"/>
    <n v="34869.550000000003"/>
    <n v="0"/>
  </r>
  <r>
    <x v="4383"/>
    <s v="Peconic Bay Medical Center"/>
    <n v="2015"/>
    <n v="7"/>
    <s v="Medicare"/>
    <x v="2"/>
    <s v="Medicare"/>
    <n v="30168.48"/>
    <n v="8790.41"/>
    <n v="0"/>
  </r>
  <r>
    <x v="4384"/>
    <s v="Peconic Bay Medical Center"/>
    <n v="2015"/>
    <n v="7"/>
    <s v="Medicare"/>
    <x v="2"/>
    <s v="Medicare"/>
    <n v="30652.16"/>
    <n v="7286.66"/>
    <n v="0"/>
  </r>
  <r>
    <x v="4385"/>
    <s v="Peconic Bay Medical Center"/>
    <n v="2015"/>
    <n v="7"/>
    <s v="Medicare"/>
    <x v="2"/>
    <s v="Medicare"/>
    <n v="31815.62"/>
    <n v="9624.65"/>
    <n v="0"/>
  </r>
  <r>
    <x v="4386"/>
    <s v="Peconic Bay Medical Center"/>
    <n v="2015"/>
    <n v="7"/>
    <s v="Medicare"/>
    <x v="2"/>
    <s v="Medicare"/>
    <n v="101792.84"/>
    <n v="37357.949999999997"/>
    <n v="0"/>
  </r>
  <r>
    <x v="4387"/>
    <s v="Peconic Bay Medical Center"/>
    <n v="2015"/>
    <n v="7"/>
    <s v="Medicare"/>
    <x v="2"/>
    <s v="Medicare"/>
    <n v="67440.66"/>
    <n v="44360.84"/>
    <n v="0"/>
  </r>
  <r>
    <x v="4388"/>
    <s v="Peconic Bay Medical Center"/>
    <n v="2015"/>
    <n v="7"/>
    <s v="Medicare"/>
    <x v="2"/>
    <s v="Medicare"/>
    <n v="59942.94"/>
    <n v="22690.34"/>
    <n v="0"/>
  </r>
  <r>
    <x v="4389"/>
    <s v="Peconic Bay Medical Center"/>
    <n v="2015"/>
    <n v="7"/>
    <s v="Medicare"/>
    <x v="2"/>
    <s v="Medicare"/>
    <n v="63433.06"/>
    <n v="37850.46"/>
    <n v="0"/>
  </r>
  <r>
    <x v="4390"/>
    <s v="Peconic Bay Medical Center"/>
    <n v="2015"/>
    <n v="7"/>
    <s v="Medicare"/>
    <x v="2"/>
    <s v="Medicare"/>
    <n v="22462.2"/>
    <n v="6944.97"/>
    <n v="0"/>
  </r>
  <r>
    <x v="4391"/>
    <s v="Peconic Bay Medical Center"/>
    <n v="2015"/>
    <n v="7"/>
    <s v="Medicare"/>
    <x v="2"/>
    <s v="Medicare"/>
    <n v="34589.68"/>
    <n v="10650.95"/>
    <n v="0"/>
  </r>
  <r>
    <x v="4392"/>
    <s v="Peconic Bay Medical Center"/>
    <n v="2015"/>
    <n v="7"/>
    <s v="Medicare"/>
    <x v="2"/>
    <s v="Medicare"/>
    <n v="31240.400000000001"/>
    <n v="18543.36"/>
    <n v="0"/>
  </r>
  <r>
    <x v="4393"/>
    <s v="Peconic Bay Medical Center"/>
    <n v="2015"/>
    <n v="7"/>
    <s v="Medicare"/>
    <x v="2"/>
    <s v="Medicare"/>
    <n v="22687.599999999999"/>
    <n v="6133.91"/>
    <n v="0"/>
  </r>
  <r>
    <x v="4394"/>
    <s v="Peconic Bay Medical Center"/>
    <n v="2015"/>
    <n v="7"/>
    <s v="Medicare"/>
    <x v="2"/>
    <s v="Medicare"/>
    <n v="58976.44"/>
    <n v="30384.74"/>
    <n v="0"/>
  </r>
  <r>
    <x v="4395"/>
    <s v="Peconic Bay Medical Center"/>
    <n v="2015"/>
    <n v="7"/>
    <s v="Medicare"/>
    <x v="2"/>
    <s v="Medicare"/>
    <n v="70285.23"/>
    <n v="52076.17"/>
    <n v="0"/>
  </r>
  <r>
    <x v="4396"/>
    <s v="Peconic Bay Medical Center"/>
    <n v="2015"/>
    <n v="7"/>
    <s v="Medicare"/>
    <x v="2"/>
    <s v="Medicare"/>
    <n v="82900.08"/>
    <n v="62887.11"/>
    <n v="0"/>
  </r>
  <r>
    <x v="4397"/>
    <s v="Peconic Bay Medical Center"/>
    <n v="2015"/>
    <n v="7"/>
    <s v="Medicare"/>
    <x v="2"/>
    <s v="Medicare"/>
    <n v="37519.379999999997"/>
    <n v="11600.52"/>
    <n v="0"/>
  </r>
  <r>
    <x v="4398"/>
    <s v="Peconic Bay Medical Center"/>
    <n v="2015"/>
    <n v="7"/>
    <s v="Medicare"/>
    <x v="2"/>
    <s v="Medicare"/>
    <n v="60877.1"/>
    <n v="42228.86"/>
    <n v="0"/>
  </r>
  <r>
    <x v="4399"/>
    <s v="Peconic Bay Medical Center"/>
    <n v="2015"/>
    <n v="7"/>
    <s v="Medicare"/>
    <x v="2"/>
    <s v="Medicare"/>
    <n v="76668.100000000006"/>
    <n v="23141.89"/>
    <n v="0"/>
  </r>
  <r>
    <x v="4400"/>
    <s v="Peconic Bay Medical Center"/>
    <n v="2015"/>
    <n v="7"/>
    <s v="Medicare"/>
    <x v="2"/>
    <s v="Medicare"/>
    <n v="17050.78"/>
    <n v="4119.04"/>
    <n v="0"/>
  </r>
  <r>
    <x v="4401"/>
    <s v="Peconic Bay Medical Center"/>
    <n v="2015"/>
    <n v="7"/>
    <s v="Medicare"/>
    <x v="2"/>
    <s v="Medicare"/>
    <n v="153201.79"/>
    <n v="133079.82999999999"/>
    <n v="0"/>
  </r>
  <r>
    <x v="4402"/>
    <s v="Peconic Bay Medical Center"/>
    <n v="2015"/>
    <n v="7"/>
    <s v="Medicare"/>
    <x v="2"/>
    <s v="Medicare"/>
    <n v="53844.3"/>
    <n v="16802.900000000001"/>
    <n v="0"/>
  </r>
  <r>
    <x v="4403"/>
    <s v="Peconic Bay Medical Center"/>
    <n v="2015"/>
    <n v="7"/>
    <s v="Medicare"/>
    <x v="2"/>
    <s v="Medicare"/>
    <n v="10133.94"/>
    <n v="2841.84"/>
    <n v="0"/>
  </r>
  <r>
    <x v="4404"/>
    <s v="Peconic Bay Medical Center"/>
    <n v="2015"/>
    <n v="7"/>
    <s v="Medicare"/>
    <x v="2"/>
    <s v="Medicare"/>
    <n v="66875.899999999994"/>
    <n v="47010.39"/>
    <n v="0"/>
  </r>
  <r>
    <x v="4405"/>
    <s v="Peconic Bay Medical Center"/>
    <n v="2015"/>
    <n v="7"/>
    <s v="Medicare"/>
    <x v="2"/>
    <s v="Medicare"/>
    <n v="85695.96"/>
    <n v="62040.2"/>
    <n v="0"/>
  </r>
  <r>
    <x v="4406"/>
    <s v="Peconic Bay Medical Center"/>
    <n v="2015"/>
    <n v="7"/>
    <s v="Medicare"/>
    <x v="2"/>
    <s v="Medicare"/>
    <n v="157086.04"/>
    <n v="72693.14"/>
    <n v="0"/>
  </r>
  <r>
    <x v="4407"/>
    <s v="Peconic Bay Medical Center"/>
    <n v="2015"/>
    <n v="7"/>
    <s v="Medicare"/>
    <x v="2"/>
    <s v="Medicare"/>
    <n v="26030.74"/>
    <n v="7188.8"/>
    <n v="0"/>
  </r>
  <r>
    <x v="4408"/>
    <s v="Peconic Bay Medical Center"/>
    <n v="2015"/>
    <n v="7"/>
    <s v="Medicare"/>
    <x v="2"/>
    <s v="Medicare"/>
    <n v="65562.28"/>
    <n v="46813.68"/>
    <n v="0"/>
  </r>
  <r>
    <x v="4409"/>
    <s v="Peconic Bay Medical Center"/>
    <n v="2015"/>
    <n v="7"/>
    <s v="Medicare"/>
    <x v="2"/>
    <s v="Medicare"/>
    <n v="69619.44"/>
    <n v="41896.33"/>
    <n v="0"/>
  </r>
  <r>
    <x v="4410"/>
    <s v="Peconic Bay Medical Center"/>
    <n v="2015"/>
    <n v="7"/>
    <s v="Medicare"/>
    <x v="2"/>
    <s v="Medicare"/>
    <n v="44245.78"/>
    <n v="11794.67"/>
    <n v="0"/>
  </r>
  <r>
    <x v="4411"/>
    <s v="Peconic Bay Medical Center"/>
    <n v="2015"/>
    <n v="7"/>
    <s v="Medicare"/>
    <x v="2"/>
    <s v="Medicare"/>
    <n v="65577.259999999995"/>
    <n v="43791.03"/>
    <n v="0"/>
  </r>
  <r>
    <x v="4412"/>
    <s v="Peconic Bay Medical Center"/>
    <n v="2015"/>
    <n v="7"/>
    <s v="Medicare"/>
    <x v="2"/>
    <s v="Medicare"/>
    <n v="75369.62"/>
    <n v="24632.07"/>
    <n v="0"/>
  </r>
  <r>
    <x v="4413"/>
    <s v="Peconic Bay Medical Center"/>
    <n v="2015"/>
    <n v="7"/>
    <s v="Medicare"/>
    <x v="2"/>
    <s v="Medicare"/>
    <n v="20171.419999999998"/>
    <n v="6232.8"/>
    <n v="0"/>
  </r>
  <r>
    <x v="4414"/>
    <s v="Peconic Bay Medical Center"/>
    <n v="2015"/>
    <n v="7"/>
    <s v="Medicare"/>
    <x v="2"/>
    <s v="Medicare"/>
    <n v="13202.44"/>
    <n v="3945.05"/>
    <n v="0"/>
  </r>
  <r>
    <x v="4415"/>
    <s v="Peconic Bay Medical Center"/>
    <n v="2015"/>
    <n v="7"/>
    <s v="Medicare"/>
    <x v="2"/>
    <s v="Medicare"/>
    <n v="27428.38"/>
    <n v="6609.79"/>
    <n v="0"/>
  </r>
  <r>
    <x v="4416"/>
    <s v="Peconic Bay Medical Center"/>
    <n v="2015"/>
    <n v="7"/>
    <s v="Medicare"/>
    <x v="2"/>
    <s v="Medicare"/>
    <n v="34018.480000000003"/>
    <n v="13798.99"/>
    <n v="0"/>
  </r>
  <r>
    <x v="4417"/>
    <s v="Peconic Bay Medical Center"/>
    <n v="2015"/>
    <n v="7"/>
    <s v="Medicare"/>
    <x v="2"/>
    <s v="Medicare"/>
    <n v="17468.580000000002"/>
    <n v="8067.58"/>
    <n v="0"/>
  </r>
  <r>
    <x v="4418"/>
    <s v="Peconic Bay Medical Center"/>
    <n v="2015"/>
    <n v="7"/>
    <s v="Medicare"/>
    <x v="2"/>
    <s v="Medicare"/>
    <n v="26173.439999999999"/>
    <n v="7700.03"/>
    <n v="0"/>
  </r>
  <r>
    <x v="4419"/>
    <s v="Peconic Bay Medical Center"/>
    <n v="2015"/>
    <n v="7"/>
    <s v="Medicare"/>
    <x v="2"/>
    <s v="Medicare"/>
    <n v="38937.26"/>
    <n v="10620.12"/>
    <n v="0"/>
  </r>
  <r>
    <x v="4420"/>
    <s v="Peconic Bay Medical Center"/>
    <n v="2015"/>
    <n v="7"/>
    <s v="Medicare"/>
    <x v="2"/>
    <s v="Medicare"/>
    <n v="16152.88"/>
    <n v="3256.95"/>
    <n v="0"/>
  </r>
  <r>
    <x v="4421"/>
    <s v="Peconic Bay Medical Center"/>
    <n v="2015"/>
    <n v="7"/>
    <s v="Medicare"/>
    <x v="2"/>
    <s v="Medicare"/>
    <n v="57284.76"/>
    <n v="41998.1"/>
    <n v="0"/>
  </r>
  <r>
    <x v="4422"/>
    <s v="Peconic Bay Medical Center"/>
    <n v="2015"/>
    <n v="7"/>
    <s v="Medicare"/>
    <x v="2"/>
    <s v="Medicare"/>
    <n v="15534.36"/>
    <n v="4505.21"/>
    <n v="0"/>
  </r>
  <r>
    <x v="4423"/>
    <s v="Peconic Bay Medical Center"/>
    <n v="2015"/>
    <n v="7"/>
    <s v="Medicare"/>
    <x v="2"/>
    <s v="Medicare"/>
    <n v="60321.48"/>
    <n v="42056.78"/>
    <n v="0"/>
  </r>
  <r>
    <x v="4424"/>
    <s v="Peconic Bay Medical Center"/>
    <n v="2015"/>
    <n v="7"/>
    <s v="Medicare"/>
    <x v="2"/>
    <s v="Medicare"/>
    <n v="16275.18"/>
    <n v="4139.18"/>
    <n v="0"/>
  </r>
  <r>
    <x v="4425"/>
    <s v="Peconic Bay Medical Center"/>
    <n v="2015"/>
    <n v="7"/>
    <s v="Medicare"/>
    <x v="2"/>
    <s v="Medicare"/>
    <n v="34479.08"/>
    <n v="9418.23"/>
    <n v="0"/>
  </r>
  <r>
    <x v="4426"/>
    <s v="Peconic Bay Medical Center"/>
    <n v="2015"/>
    <n v="7"/>
    <s v="Medicare"/>
    <x v="2"/>
    <s v="Medicare"/>
    <n v="52091.64"/>
    <n v="13067.79"/>
    <n v="0"/>
  </r>
  <r>
    <x v="4427"/>
    <s v="Peconic Bay Medical Center"/>
    <n v="2015"/>
    <n v="7"/>
    <s v="Medicare"/>
    <x v="2"/>
    <s v="Medicare"/>
    <n v="23681.82"/>
    <n v="6022.07"/>
    <n v="0"/>
  </r>
  <r>
    <x v="4428"/>
    <s v="Peconic Bay Medical Center"/>
    <n v="2015"/>
    <n v="7"/>
    <s v="Medicare"/>
    <x v="2"/>
    <s v="Medicare"/>
    <n v="61089.74"/>
    <n v="42349.64"/>
    <n v="0"/>
  </r>
  <r>
    <x v="4429"/>
    <s v="Peconic Bay Medical Center"/>
    <n v="2015"/>
    <n v="7"/>
    <s v="Medicare"/>
    <x v="2"/>
    <s v="Medicare"/>
    <n v="19188.16"/>
    <n v="6139.65"/>
    <n v="0"/>
  </r>
  <r>
    <x v="4430"/>
    <s v="Peconic Bay Medical Center"/>
    <n v="2015"/>
    <n v="7"/>
    <s v="Medicare"/>
    <x v="2"/>
    <s v="Medicare"/>
    <n v="9430.16"/>
    <n v="2507.86"/>
    <n v="0"/>
  </r>
  <r>
    <x v="4431"/>
    <s v="Peconic Bay Medical Center"/>
    <n v="2015"/>
    <n v="7"/>
    <s v="Medicare"/>
    <x v="2"/>
    <s v="Medicare"/>
    <n v="19978.12"/>
    <n v="6039.31"/>
    <n v="0"/>
  </r>
  <r>
    <x v="4432"/>
    <s v="Peconic Bay Medical Center"/>
    <n v="2015"/>
    <n v="7"/>
    <s v="Medicare"/>
    <x v="2"/>
    <s v="Medicare"/>
    <n v="45024.58"/>
    <n v="9043.92"/>
    <n v="0"/>
  </r>
  <r>
    <x v="4433"/>
    <s v="Peconic Bay Medical Center"/>
    <n v="2015"/>
    <n v="7"/>
    <s v="Medicare"/>
    <x v="2"/>
    <s v="Medicare"/>
    <n v="21037.56"/>
    <n v="6438.35"/>
    <n v="0"/>
  </r>
  <r>
    <x v="4434"/>
    <s v="Peconic Bay Medical Center"/>
    <n v="2015"/>
    <n v="7"/>
    <s v="Medicare"/>
    <x v="2"/>
    <s v="Medicare"/>
    <n v="46263.74"/>
    <n v="13462.57"/>
    <n v="0"/>
  </r>
  <r>
    <x v="4435"/>
    <s v="Peconic Bay Medical Center"/>
    <n v="2015"/>
    <n v="7"/>
    <s v="Medicare"/>
    <x v="2"/>
    <s v="Medicare"/>
    <n v="20030.68"/>
    <n v="6128.92"/>
    <n v="0"/>
  </r>
  <r>
    <x v="4436"/>
    <s v="Peconic Bay Medical Center"/>
    <n v="2015"/>
    <n v="7"/>
    <s v="Medicare"/>
    <x v="2"/>
    <s v="Medicare"/>
    <n v="60586.1"/>
    <n v="42539.49"/>
    <n v="0"/>
  </r>
  <r>
    <x v="4437"/>
    <s v="Peconic Bay Medical Center"/>
    <n v="2015"/>
    <n v="7"/>
    <s v="Medicare"/>
    <x v="2"/>
    <s v="Medicare"/>
    <n v="21039.360000000001"/>
    <n v="6281.54"/>
    <n v="0"/>
  </r>
  <r>
    <x v="4438"/>
    <s v="Peconic Bay Medical Center"/>
    <n v="2015"/>
    <n v="7"/>
    <s v="Medicare"/>
    <x v="2"/>
    <s v="Medicare"/>
    <n v="6538.88"/>
    <n v="1936.04"/>
    <n v="0"/>
  </r>
  <r>
    <x v="4439"/>
    <s v="Peconic Bay Medical Center"/>
    <n v="2015"/>
    <n v="7"/>
    <s v="Medicare"/>
    <x v="2"/>
    <s v="Medicare"/>
    <n v="13512.42"/>
    <n v="4043.8"/>
    <n v="0"/>
  </r>
  <r>
    <x v="4440"/>
    <s v="Peconic Bay Medical Center"/>
    <n v="2015"/>
    <n v="7"/>
    <s v="Medicare"/>
    <x v="2"/>
    <s v="Medicare"/>
    <n v="72705.240000000005"/>
    <n v="24409.86"/>
    <n v="0"/>
  </r>
  <r>
    <x v="4441"/>
    <s v="Peconic Bay Medical Center"/>
    <n v="2015"/>
    <n v="7"/>
    <s v="Medicare"/>
    <x v="2"/>
    <s v="Medicare"/>
    <n v="76785.2"/>
    <n v="60488.06"/>
    <n v="0"/>
  </r>
  <r>
    <x v="4442"/>
    <s v="Peconic Bay Medical Center"/>
    <n v="2015"/>
    <n v="7"/>
    <s v="Medicare"/>
    <x v="2"/>
    <s v="Medicare"/>
    <n v="10168.82"/>
    <n v="2744.45"/>
    <n v="0"/>
  </r>
  <r>
    <x v="4443"/>
    <s v="Peconic Bay Medical Center"/>
    <n v="2015"/>
    <n v="7"/>
    <s v="Medicare"/>
    <x v="2"/>
    <s v="Medicare"/>
    <n v="17737.5"/>
    <n v="5128.05"/>
    <n v="0"/>
  </r>
  <r>
    <x v="4444"/>
    <s v="Peconic Bay Medical Center"/>
    <n v="2015"/>
    <n v="7"/>
    <s v="Medicare"/>
    <x v="2"/>
    <s v="Medicare"/>
    <n v="29128.82"/>
    <n v="9291.91"/>
    <n v="0"/>
  </r>
  <r>
    <x v="4445"/>
    <s v="Peconic Bay Medical Center"/>
    <n v="2015"/>
    <n v="7"/>
    <s v="Medicare"/>
    <x v="2"/>
    <s v="Medicare"/>
    <n v="73835.89"/>
    <n v="48348.54"/>
    <n v="0"/>
  </r>
  <r>
    <x v="4446"/>
    <s v="Peconic Bay Medical Center"/>
    <n v="2015"/>
    <n v="7"/>
    <s v="Medicare"/>
    <x v="2"/>
    <s v="Medicare"/>
    <n v="77900.58"/>
    <n v="55412.5"/>
    <n v="0"/>
  </r>
  <r>
    <x v="4447"/>
    <s v="Peconic Bay Medical Center"/>
    <n v="2015"/>
    <n v="7"/>
    <s v="Medicare"/>
    <x v="2"/>
    <s v="Medicare"/>
    <n v="64708.480000000003"/>
    <n v="46584.78"/>
    <n v="0"/>
  </r>
  <r>
    <x v="4448"/>
    <s v="Peconic Bay Medical Center"/>
    <n v="2015"/>
    <n v="7"/>
    <s v="Medicare"/>
    <x v="2"/>
    <s v="Medicare"/>
    <n v="36473.339999999997"/>
    <n v="17534.77"/>
    <n v="0"/>
  </r>
  <r>
    <x v="4449"/>
    <s v="Peconic Bay Medical Center"/>
    <n v="2015"/>
    <n v="7"/>
    <s v="Medicare"/>
    <x v="2"/>
    <s v="Medicare"/>
    <n v="35255.980000000003"/>
    <n v="9812.4699999999993"/>
    <n v="0"/>
  </r>
  <r>
    <x v="4450"/>
    <s v="Peconic Bay Medical Center"/>
    <n v="2015"/>
    <n v="7"/>
    <s v="Medicare"/>
    <x v="2"/>
    <s v="Medicare"/>
    <n v="16695.86"/>
    <n v="5018.33"/>
    <n v="0"/>
  </r>
  <r>
    <x v="4451"/>
    <s v="Peconic Bay Medical Center"/>
    <n v="2015"/>
    <n v="7"/>
    <s v="Medicare"/>
    <x v="2"/>
    <s v="Medicare"/>
    <n v="56889.66"/>
    <n v="13794.71"/>
    <n v="0"/>
  </r>
  <r>
    <x v="4452"/>
    <s v="Peconic Bay Medical Center"/>
    <n v="2015"/>
    <n v="7"/>
    <s v="Medicare"/>
    <x v="2"/>
    <s v="Medicare"/>
    <n v="13170.22"/>
    <n v="2831.49"/>
    <n v="0"/>
  </r>
  <r>
    <x v="4453"/>
    <s v="Peconic Bay Medical Center"/>
    <n v="2015"/>
    <n v="7"/>
    <s v="Medicare"/>
    <x v="2"/>
    <s v="Medicare"/>
    <n v="21629.86"/>
    <n v="6327.62"/>
    <n v="0"/>
  </r>
  <r>
    <x v="4454"/>
    <s v="Peconic Bay Medical Center"/>
    <n v="2015"/>
    <n v="7"/>
    <s v="Medicare"/>
    <x v="2"/>
    <s v="Medicare"/>
    <n v="31541.34"/>
    <n v="8409.67"/>
    <n v="0"/>
  </r>
  <r>
    <x v="4455"/>
    <s v="Peconic Bay Medical Center"/>
    <n v="2015"/>
    <n v="7"/>
    <s v="Medicare"/>
    <x v="2"/>
    <s v="Medicare"/>
    <n v="31852.18"/>
    <n v="9889.0300000000007"/>
    <n v="0"/>
  </r>
  <r>
    <x v="4456"/>
    <s v="Peconic Bay Medical Center"/>
    <n v="2015"/>
    <n v="7"/>
    <s v="Medicare"/>
    <x v="2"/>
    <s v="Medicare"/>
    <n v="21867.48"/>
    <n v="6646.88"/>
    <n v="0"/>
  </r>
  <r>
    <x v="4457"/>
    <s v="Peconic Bay Medical Center"/>
    <n v="2015"/>
    <n v="7"/>
    <s v="Medicare"/>
    <x v="2"/>
    <s v="Medicare"/>
    <n v="27608.92"/>
    <n v="8503.68"/>
    <n v="0"/>
  </r>
  <r>
    <x v="4458"/>
    <s v="Peconic Bay Medical Center"/>
    <n v="2015"/>
    <n v="7"/>
    <s v="Medicare"/>
    <x v="2"/>
    <s v="Medicare"/>
    <n v="61818.080000000002"/>
    <n v="42409.24"/>
    <n v="0"/>
  </r>
  <r>
    <x v="4459"/>
    <s v="Peconic Bay Medical Center"/>
    <n v="2015"/>
    <n v="7"/>
    <s v="Medicare"/>
    <x v="2"/>
    <s v="Medicare"/>
    <n v="19958.84"/>
    <n v="6236.89"/>
    <n v="0"/>
  </r>
  <r>
    <x v="4460"/>
    <s v="Peconic Bay Medical Center"/>
    <n v="2015"/>
    <n v="7"/>
    <s v="Medicare"/>
    <x v="2"/>
    <s v="Medicare"/>
    <n v="16025.2"/>
    <n v="2883.27"/>
    <n v="0"/>
  </r>
  <r>
    <x v="4461"/>
    <s v="Peconic Bay Medical Center"/>
    <n v="2015"/>
    <n v="7"/>
    <s v="Medicare"/>
    <x v="2"/>
    <s v="Medicare"/>
    <n v="25817.38"/>
    <n v="7439.47"/>
    <n v="0"/>
  </r>
  <r>
    <x v="4462"/>
    <s v="Peconic Bay Medical Center"/>
    <n v="2015"/>
    <n v="7"/>
    <s v="Medicare"/>
    <x v="2"/>
    <s v="Medicare"/>
    <n v="59884.08"/>
    <n v="41978"/>
    <n v="0"/>
  </r>
  <r>
    <x v="4463"/>
    <s v="Peconic Bay Medical Center"/>
    <n v="2015"/>
    <n v="7"/>
    <s v="Medicare"/>
    <x v="2"/>
    <s v="Medicare"/>
    <n v="34813.96"/>
    <n v="8239.1200000000008"/>
    <n v="0"/>
  </r>
  <r>
    <x v="4464"/>
    <s v="Peconic Bay Medical Center"/>
    <n v="2015"/>
    <n v="7"/>
    <s v="Medicare"/>
    <x v="2"/>
    <s v="Medicare"/>
    <n v="98715.23"/>
    <n v="86457.39"/>
    <n v="0"/>
  </r>
  <r>
    <x v="4465"/>
    <s v="Peconic Bay Medical Center"/>
    <n v="2015"/>
    <n v="7"/>
    <s v="Medicare"/>
    <x v="2"/>
    <s v="Medicare"/>
    <n v="66218.460000000006"/>
    <n v="47397.5"/>
    <n v="0"/>
  </r>
  <r>
    <x v="4466"/>
    <s v="Peconic Bay Medical Center"/>
    <n v="2015"/>
    <n v="7"/>
    <s v="Medicare"/>
    <x v="2"/>
    <s v="Medicare"/>
    <n v="16288.02"/>
    <n v="4493.51"/>
    <n v="0"/>
  </r>
  <r>
    <x v="4467"/>
    <s v="Peconic Bay Medical Center"/>
    <n v="2015"/>
    <n v="7"/>
    <s v="Medicare"/>
    <x v="2"/>
    <s v="Medicare"/>
    <n v="25331.84"/>
    <n v="5333.89"/>
    <n v="0"/>
  </r>
  <r>
    <x v="4468"/>
    <s v="Peconic Bay Medical Center"/>
    <n v="2015"/>
    <n v="7"/>
    <s v="Medicare"/>
    <x v="2"/>
    <s v="Medicare"/>
    <n v="30354.54"/>
    <n v="8551.32"/>
    <n v="0"/>
  </r>
  <r>
    <x v="4469"/>
    <s v="Peconic Bay Medical Center"/>
    <n v="2015"/>
    <n v="7"/>
    <s v="Medicare"/>
    <x v="2"/>
    <s v="Medicare"/>
    <n v="23930.639999999999"/>
    <n v="6880.95"/>
    <n v="0"/>
  </r>
  <r>
    <x v="4470"/>
    <s v="Peconic Bay Medical Center"/>
    <n v="2015"/>
    <n v="7"/>
    <s v="Medicare"/>
    <x v="2"/>
    <s v="Medicare"/>
    <n v="77148.84"/>
    <n v="59110.33"/>
    <n v="0"/>
  </r>
  <r>
    <x v="4471"/>
    <s v="Peconic Bay Medical Center"/>
    <n v="2015"/>
    <n v="7"/>
    <s v="Medicare"/>
    <x v="2"/>
    <s v="Medicare"/>
    <n v="15181.28"/>
    <n v="4790.96"/>
    <n v="0"/>
  </r>
  <r>
    <x v="4472"/>
    <s v="Peconic Bay Medical Center"/>
    <n v="2015"/>
    <n v="7"/>
    <s v="Medicare"/>
    <x v="2"/>
    <s v="Medicare"/>
    <n v="26223.46"/>
    <n v="6912.61"/>
    <n v="0"/>
  </r>
  <r>
    <x v="4473"/>
    <s v="Peconic Bay Medical Center"/>
    <n v="2015"/>
    <n v="7"/>
    <s v="Medicare"/>
    <x v="2"/>
    <s v="Medicare"/>
    <n v="20111.02"/>
    <n v="5011.87"/>
    <n v="0"/>
  </r>
  <r>
    <x v="4474"/>
    <s v="Peconic Bay Medical Center"/>
    <n v="2015"/>
    <n v="7"/>
    <s v="Medicare"/>
    <x v="2"/>
    <s v="Medicare"/>
    <n v="35547.82"/>
    <n v="9159.0400000000009"/>
    <n v="0"/>
  </r>
  <r>
    <x v="4475"/>
    <s v="Peconic Bay Medical Center"/>
    <n v="2015"/>
    <n v="7"/>
    <s v="Medicare"/>
    <x v="2"/>
    <s v="Medicare"/>
    <n v="4731.82"/>
    <n v="1632.15"/>
    <n v="0"/>
  </r>
  <r>
    <x v="4476"/>
    <s v="Peconic Bay Medical Center"/>
    <n v="2015"/>
    <n v="7"/>
    <s v="Medicare"/>
    <x v="2"/>
    <s v="Medicare"/>
    <n v="20186.900000000001"/>
    <n v="5899.01"/>
    <n v="0"/>
  </r>
  <r>
    <x v="4477"/>
    <s v="Peconic Bay Medical Center"/>
    <n v="2015"/>
    <n v="7"/>
    <s v="Medicare"/>
    <x v="2"/>
    <s v="Medicare"/>
    <n v="66792.34"/>
    <n v="51166.22"/>
    <n v="0"/>
  </r>
  <r>
    <x v="4478"/>
    <s v="Peconic Bay Medical Center"/>
    <n v="2015"/>
    <n v="7"/>
    <s v="Medicare"/>
    <x v="2"/>
    <s v="Medicare"/>
    <n v="47796.160000000003"/>
    <n v="23517.21"/>
    <n v="0"/>
  </r>
  <r>
    <x v="4479"/>
    <s v="Peconic Bay Medical Center"/>
    <n v="2015"/>
    <n v="7"/>
    <s v="Medicare"/>
    <x v="2"/>
    <s v="Medicare"/>
    <n v="71343.3"/>
    <n v="20252.14"/>
    <n v="0"/>
  </r>
  <r>
    <x v="4480"/>
    <s v="Peconic Bay Medical Center"/>
    <n v="2015"/>
    <n v="7"/>
    <s v="Medicare"/>
    <x v="2"/>
    <s v="Medicare"/>
    <n v="69159.679999999993"/>
    <n v="46358.11"/>
    <n v="0"/>
  </r>
  <r>
    <x v="4481"/>
    <s v="Peconic Bay Medical Center"/>
    <n v="2015"/>
    <n v="7"/>
    <s v="Medicare"/>
    <x v="2"/>
    <s v="Medicare"/>
    <n v="26464.560000000001"/>
    <n v="7211.06"/>
    <n v="0"/>
  </r>
  <r>
    <x v="4482"/>
    <s v="Peconic Bay Medical Center"/>
    <n v="2015"/>
    <n v="7"/>
    <s v="Medicare"/>
    <x v="2"/>
    <s v="Medicare"/>
    <n v="28977.58"/>
    <n v="9819.09"/>
    <n v="0"/>
  </r>
  <r>
    <x v="4483"/>
    <s v="Peconic Bay Medical Center"/>
    <n v="2015"/>
    <n v="7"/>
    <s v="Medicare"/>
    <x v="2"/>
    <s v="Medicare"/>
    <n v="31763.06"/>
    <n v="13249.07"/>
    <n v="0"/>
  </r>
  <r>
    <x v="4484"/>
    <s v="Peconic Bay Medical Center"/>
    <n v="2015"/>
    <n v="7"/>
    <s v="Medicare"/>
    <x v="2"/>
    <s v="Medicare"/>
    <n v="20691.62"/>
    <n v="3428.99"/>
    <n v="0"/>
  </r>
  <r>
    <x v="4485"/>
    <s v="Peconic Bay Medical Center"/>
    <n v="2015"/>
    <n v="7"/>
    <s v="Medicare"/>
    <x v="2"/>
    <s v="Medicare"/>
    <n v="14467.42"/>
    <n v="3444.01"/>
    <n v="0"/>
  </r>
  <r>
    <x v="4486"/>
    <s v="Peconic Bay Medical Center"/>
    <n v="2015"/>
    <n v="7"/>
    <s v="Medicare"/>
    <x v="2"/>
    <s v="Medicare"/>
    <n v="45797.4"/>
    <n v="14544.11"/>
    <n v="0"/>
  </r>
  <r>
    <x v="4487"/>
    <s v="Peconic Bay Medical Center"/>
    <n v="2015"/>
    <n v="7"/>
    <s v="Medicare"/>
    <x v="2"/>
    <s v="Medicare"/>
    <n v="75519.679999999993"/>
    <n v="58760.56"/>
    <n v="0"/>
  </r>
  <r>
    <x v="4488"/>
    <s v="Peconic Bay Medical Center"/>
    <n v="2015"/>
    <n v="7"/>
    <s v="Medicare"/>
    <x v="2"/>
    <s v="Medicare"/>
    <n v="25276.799999999999"/>
    <n v="7339.83"/>
    <n v="0"/>
  </r>
  <r>
    <x v="4489"/>
    <s v="Peconic Bay Medical Center"/>
    <n v="2015"/>
    <n v="7"/>
    <s v="Medicare"/>
    <x v="2"/>
    <s v="Medicare"/>
    <n v="192521.72"/>
    <n v="102292.4"/>
    <n v="0"/>
  </r>
  <r>
    <x v="4490"/>
    <s v="Peconic Bay Medical Center"/>
    <n v="2015"/>
    <n v="7"/>
    <s v="Medicare"/>
    <x v="2"/>
    <s v="Medicare"/>
    <n v="53379.14"/>
    <n v="16995.439999999999"/>
    <n v="0"/>
  </r>
  <r>
    <x v="4491"/>
    <s v="Peconic Bay Medical Center"/>
    <n v="2015"/>
    <n v="7"/>
    <s v="Medicare"/>
    <x v="2"/>
    <s v="Medicare"/>
    <n v="29196.94"/>
    <n v="7906.53"/>
    <n v="0"/>
  </r>
  <r>
    <x v="4492"/>
    <s v="Peconic Bay Medical Center"/>
    <n v="2015"/>
    <n v="7"/>
    <s v="Medicare"/>
    <x v="2"/>
    <s v="Medicare"/>
    <n v="34955.82"/>
    <n v="9600.56"/>
    <n v="0"/>
  </r>
  <r>
    <x v="4493"/>
    <s v="Peconic Bay Medical Center"/>
    <n v="2015"/>
    <n v="7"/>
    <s v="Medicare"/>
    <x v="2"/>
    <s v="Medicare"/>
    <n v="106290.1"/>
    <n v="46518.62"/>
    <n v="0"/>
  </r>
  <r>
    <x v="4494"/>
    <s v="Peconic Bay Medical Center"/>
    <n v="2015"/>
    <n v="7"/>
    <s v="Medicare"/>
    <x v="2"/>
    <s v="Medicare"/>
    <n v="36767.5"/>
    <n v="16416.71"/>
    <n v="0"/>
  </r>
  <r>
    <x v="4495"/>
    <s v="Peconic Bay Medical Center"/>
    <n v="2015"/>
    <n v="7"/>
    <s v="Medicare"/>
    <x v="2"/>
    <s v="Medicare"/>
    <n v="40234.129999999997"/>
    <n v="20506.330000000002"/>
    <n v="0"/>
  </r>
  <r>
    <x v="4496"/>
    <s v="Peconic Bay Medical Center"/>
    <n v="2015"/>
    <n v="7"/>
    <s v="Medicare"/>
    <x v="2"/>
    <s v="Medicare"/>
    <n v="20319.34"/>
    <n v="5347.8"/>
    <n v="0"/>
  </r>
  <r>
    <x v="4497"/>
    <s v="Peconic Bay Medical Center"/>
    <n v="2015"/>
    <n v="7"/>
    <s v="Medicare"/>
    <x v="2"/>
    <s v="Medicare"/>
    <n v="68119.360000000001"/>
    <n v="49210.81"/>
    <n v="0"/>
  </r>
  <r>
    <x v="4498"/>
    <s v="Peconic Bay Medical Center"/>
    <n v="2015"/>
    <n v="7"/>
    <s v="Medicare"/>
    <x v="2"/>
    <s v="Medicare"/>
    <n v="10487.1"/>
    <n v="2742.24"/>
    <n v="0"/>
  </r>
  <r>
    <x v="4499"/>
    <s v="Peconic Bay Medical Center"/>
    <n v="2015"/>
    <n v="7"/>
    <s v="Medicare"/>
    <x v="2"/>
    <s v="Medicare"/>
    <n v="18984.68"/>
    <n v="5452.39"/>
    <n v="0"/>
  </r>
  <r>
    <x v="4500"/>
    <s v="Peconic Bay Medical Center"/>
    <n v="2015"/>
    <n v="7"/>
    <s v="Medicare"/>
    <x v="2"/>
    <s v="Medicare"/>
    <n v="20939.36"/>
    <n v="8190.45"/>
    <n v="0"/>
  </r>
  <r>
    <x v="4501"/>
    <s v="Peconic Bay Medical Center"/>
    <n v="2015"/>
    <n v="7"/>
    <s v="Medicare"/>
    <x v="2"/>
    <s v="Medicare"/>
    <n v="77480.44"/>
    <n v="59252.480000000003"/>
    <n v="0"/>
  </r>
  <r>
    <x v="4502"/>
    <s v="Peconic Bay Medical Center"/>
    <n v="2015"/>
    <n v="7"/>
    <s v="Medicare"/>
    <x v="2"/>
    <s v="Medicare"/>
    <n v="22531.9"/>
    <n v="6190.35"/>
    <n v="0"/>
  </r>
  <r>
    <x v="4503"/>
    <s v="Peconic Bay Medical Center"/>
    <n v="2015"/>
    <n v="7"/>
    <s v="Medicare"/>
    <x v="2"/>
    <s v="Medicare"/>
    <n v="24243.919999999998"/>
    <n v="16655.16"/>
    <n v="0"/>
  </r>
  <r>
    <x v="4504"/>
    <s v="Peconic Bay Medical Center"/>
    <n v="2015"/>
    <n v="7"/>
    <s v="Medicare"/>
    <x v="2"/>
    <s v="Medicare"/>
    <n v="27213.98"/>
    <n v="7798.45"/>
    <n v="0"/>
  </r>
  <r>
    <x v="4505"/>
    <s v="Peconic Bay Medical Center"/>
    <n v="2015"/>
    <n v="7"/>
    <s v="Medicare"/>
    <x v="2"/>
    <s v="Medicare"/>
    <n v="32197.48"/>
    <n v="9886.4599999999991"/>
    <n v="0"/>
  </r>
  <r>
    <x v="4506"/>
    <s v="Peconic Bay Medical Center"/>
    <n v="2015"/>
    <n v="7"/>
    <s v="Medicare"/>
    <x v="2"/>
    <s v="Medicare"/>
    <n v="19777.740000000002"/>
    <n v="5174.67"/>
    <n v="0"/>
  </r>
  <r>
    <x v="4507"/>
    <s v="Peconic Bay Medical Center"/>
    <n v="2015"/>
    <n v="7"/>
    <s v="Medicare"/>
    <x v="2"/>
    <s v="Medicare"/>
    <n v="109810.5"/>
    <n v="43027.47"/>
    <n v="0"/>
  </r>
  <r>
    <x v="4508"/>
    <s v="Peconic Bay Medical Center"/>
    <n v="2015"/>
    <n v="7"/>
    <s v="Medicare"/>
    <x v="2"/>
    <s v="Medicare"/>
    <n v="62764.82"/>
    <n v="46043.95"/>
    <n v="0"/>
  </r>
  <r>
    <x v="4509"/>
    <s v="Peconic Bay Medical Center"/>
    <n v="2015"/>
    <n v="7"/>
    <s v="Medicare"/>
    <x v="2"/>
    <s v="Medicare"/>
    <n v="34880.22"/>
    <n v="9764.77"/>
    <n v="0"/>
  </r>
  <r>
    <x v="4510"/>
    <s v="Peconic Bay Medical Center"/>
    <n v="2015"/>
    <n v="7"/>
    <s v="Medicare"/>
    <x v="2"/>
    <s v="Medicare"/>
    <n v="62000.42"/>
    <n v="24694.81"/>
    <n v="0"/>
  </r>
  <r>
    <x v="4511"/>
    <s v="Peconic Bay Medical Center"/>
    <n v="2015"/>
    <n v="7"/>
    <s v="Medicare"/>
    <x v="2"/>
    <s v="Medicare"/>
    <n v="23802.9"/>
    <n v="4739.13"/>
    <n v="0"/>
  </r>
  <r>
    <x v="4512"/>
    <s v="Peconic Bay Medical Center"/>
    <n v="2015"/>
    <n v="7"/>
    <s v="Medicare"/>
    <x v="2"/>
    <s v="Medicare"/>
    <n v="32644.46"/>
    <n v="7277.48"/>
    <n v="0"/>
  </r>
  <r>
    <x v="4513"/>
    <s v="Peconic Bay Medical Center"/>
    <n v="2015"/>
    <n v="7"/>
    <s v="Medicare"/>
    <x v="2"/>
    <s v="Medicare"/>
    <n v="18604.98"/>
    <n v="4592.16"/>
    <n v="0"/>
  </r>
  <r>
    <x v="4514"/>
    <s v="Peconic Bay Medical Center"/>
    <n v="2015"/>
    <n v="7"/>
    <s v="Medicare"/>
    <x v="2"/>
    <s v="Medicare"/>
    <n v="127673.02"/>
    <n v="56341"/>
    <n v="0"/>
  </r>
  <r>
    <x v="4515"/>
    <s v="Peconic Bay Medical Center"/>
    <n v="2015"/>
    <n v="7"/>
    <s v="Medicare"/>
    <x v="2"/>
    <s v="Medicare"/>
    <n v="63747.14"/>
    <n v="47042.75"/>
    <n v="0"/>
  </r>
  <r>
    <x v="4516"/>
    <s v="Peconic Bay Medical Center"/>
    <n v="2015"/>
    <n v="7"/>
    <s v="Medicare"/>
    <x v="2"/>
    <s v="Medicare"/>
    <n v="22474.66"/>
    <n v="7888.25"/>
    <n v="0"/>
  </r>
  <r>
    <x v="4517"/>
    <s v="Peconic Bay Medical Center"/>
    <n v="2015"/>
    <n v="7"/>
    <s v="Medicare"/>
    <x v="2"/>
    <s v="Medicare"/>
    <n v="73958.64"/>
    <n v="21781.83"/>
    <n v="0"/>
  </r>
  <r>
    <x v="4518"/>
    <s v="Peconic Bay Medical Center"/>
    <n v="2015"/>
    <n v="7"/>
    <s v="Medicare"/>
    <x v="2"/>
    <s v="Medicare"/>
    <n v="52495.34"/>
    <n v="15633.66"/>
    <n v="0"/>
  </r>
  <r>
    <x v="4519"/>
    <s v="Peconic Bay Medical Center"/>
    <n v="2015"/>
    <n v="7"/>
    <s v="Medicare"/>
    <x v="2"/>
    <s v="Medicare"/>
    <n v="230042.44"/>
    <n v="138578.41"/>
    <n v="0"/>
  </r>
  <r>
    <x v="4520"/>
    <s v="Peconic Bay Medical Center"/>
    <n v="2015"/>
    <n v="7"/>
    <s v="Medicare"/>
    <x v="2"/>
    <s v="Medicare"/>
    <n v="64955.38"/>
    <n v="18714.02"/>
    <n v="0"/>
  </r>
  <r>
    <x v="4521"/>
    <s v="Peconic Bay Medical Center"/>
    <n v="2015"/>
    <n v="7"/>
    <s v="Medicare"/>
    <x v="2"/>
    <s v="Medicare"/>
    <n v="29105.919999999998"/>
    <n v="6559.88"/>
    <n v="0"/>
  </r>
  <r>
    <x v="4522"/>
    <s v="Peconic Bay Medical Center"/>
    <n v="2015"/>
    <n v="7"/>
    <s v="Medicare"/>
    <x v="2"/>
    <s v="Medicare"/>
    <n v="32037.16"/>
    <n v="9961.2099999999991"/>
    <n v="0"/>
  </r>
  <r>
    <x v="4523"/>
    <s v="Peconic Bay Medical Center"/>
    <n v="2015"/>
    <n v="7"/>
    <s v="Medicare"/>
    <x v="2"/>
    <s v="Medicare"/>
    <n v="60352.52"/>
    <n v="17467.099999999999"/>
    <n v="0"/>
  </r>
  <r>
    <x v="4524"/>
    <s v="Peconic Bay Medical Center"/>
    <n v="2015"/>
    <n v="7"/>
    <s v="Medicare"/>
    <x v="2"/>
    <s v="Medicare"/>
    <n v="37788.959999999999"/>
    <n v="12126.87"/>
    <n v="0"/>
  </r>
  <r>
    <x v="4525"/>
    <s v="Peconic Bay Medical Center"/>
    <n v="2015"/>
    <n v="7"/>
    <s v="Medicare"/>
    <x v="2"/>
    <s v="Medicare"/>
    <n v="43466.07"/>
    <n v="21314.31"/>
    <n v="0"/>
  </r>
  <r>
    <x v="4526"/>
    <s v="Peconic Bay Medical Center"/>
    <n v="2015"/>
    <n v="7"/>
    <s v="Medicare"/>
    <x v="2"/>
    <s v="Medicare"/>
    <n v="27068.86"/>
    <n v="8040.78"/>
    <n v="0"/>
  </r>
  <r>
    <x v="4527"/>
    <s v="Peconic Bay Medical Center"/>
    <n v="2015"/>
    <n v="7"/>
    <s v="Medicare"/>
    <x v="2"/>
    <s v="Medicare"/>
    <n v="9877.98"/>
    <n v="2332.7600000000002"/>
    <n v="0"/>
  </r>
  <r>
    <x v="4528"/>
    <s v="Peconic Bay Medical Center"/>
    <n v="2015"/>
    <n v="7"/>
    <s v="Medicare"/>
    <x v="2"/>
    <s v="Medicare"/>
    <n v="33296.92"/>
    <n v="8983.64"/>
    <n v="0"/>
  </r>
  <r>
    <x v="4529"/>
    <s v="Peconic Bay Medical Center"/>
    <n v="2015"/>
    <n v="7"/>
    <s v="Medicare"/>
    <x v="2"/>
    <s v="Medicare"/>
    <n v="30162.16"/>
    <n v="8658.75"/>
    <n v="0"/>
  </r>
  <r>
    <x v="4530"/>
    <s v="Peconic Bay Medical Center"/>
    <n v="2015"/>
    <n v="7"/>
    <s v="Medicare"/>
    <x v="2"/>
    <s v="Medicare"/>
    <n v="20626.12"/>
    <n v="5626.41"/>
    <n v="0"/>
  </r>
  <r>
    <x v="4531"/>
    <s v="Peconic Bay Medical Center"/>
    <n v="2015"/>
    <n v="7"/>
    <s v="Medicare"/>
    <x v="2"/>
    <s v="Medicare"/>
    <n v="157757.06"/>
    <n v="65297.66"/>
    <n v="0"/>
  </r>
  <r>
    <x v="4532"/>
    <s v="Peconic Bay Medical Center"/>
    <n v="2015"/>
    <n v="7"/>
    <s v="Medicare"/>
    <x v="2"/>
    <s v="Medicare"/>
    <n v="12355.22"/>
    <n v="2730.18"/>
    <n v="0"/>
  </r>
  <r>
    <x v="4533"/>
    <s v="Peconic Bay Medical Center"/>
    <n v="2015"/>
    <n v="7"/>
    <s v="Medicare"/>
    <x v="2"/>
    <s v="Medicare"/>
    <n v="64477.919999999998"/>
    <n v="47184.22"/>
    <n v="0"/>
  </r>
  <r>
    <x v="4534"/>
    <s v="Peconic Bay Medical Center"/>
    <n v="2015"/>
    <n v="7"/>
    <s v="Medicare"/>
    <x v="2"/>
    <s v="Medicare"/>
    <n v="64483.24"/>
    <n v="33774.29"/>
    <n v="0"/>
  </r>
  <r>
    <x v="4535"/>
    <s v="Peconic Bay Medical Center"/>
    <n v="2015"/>
    <n v="7"/>
    <s v="Medicare"/>
    <x v="2"/>
    <s v="Medicare"/>
    <n v="38528.78"/>
    <n v="10718.45"/>
    <n v="0"/>
  </r>
  <r>
    <x v="4536"/>
    <s v="Peconic Bay Medical Center"/>
    <n v="2015"/>
    <n v="7"/>
    <s v="Medicare"/>
    <x v="2"/>
    <s v="Medicare"/>
    <n v="33740.120000000003"/>
    <n v="9472.66"/>
    <n v="0"/>
  </r>
  <r>
    <x v="4537"/>
    <s v="Peconic Bay Medical Center"/>
    <n v="2015"/>
    <n v="7"/>
    <s v="Medicare"/>
    <x v="2"/>
    <s v="Medicare"/>
    <n v="101164.62"/>
    <n v="84176.03"/>
    <n v="0"/>
  </r>
  <r>
    <x v="4538"/>
    <s v="Peconic Bay Medical Center"/>
    <n v="2015"/>
    <n v="7"/>
    <s v="Medicare"/>
    <x v="2"/>
    <s v="Medicare"/>
    <n v="40176.9"/>
    <n v="12396.12"/>
    <n v="0"/>
  </r>
  <r>
    <x v="4539"/>
    <s v="Peconic Bay Medical Center"/>
    <n v="2015"/>
    <n v="7"/>
    <s v="Medicare"/>
    <x v="2"/>
    <s v="Medicare"/>
    <n v="124844.66"/>
    <n v="53504.38"/>
    <n v="0"/>
  </r>
  <r>
    <x v="4540"/>
    <s v="Peconic Bay Medical Center"/>
    <n v="2015"/>
    <n v="7"/>
    <s v="Medicare"/>
    <x v="2"/>
    <s v="Medicare"/>
    <n v="33797.120000000003"/>
    <n v="8967.9500000000007"/>
    <n v="0"/>
  </r>
  <r>
    <x v="4541"/>
    <s v="Peconic Bay Medical Center"/>
    <n v="2015"/>
    <n v="7"/>
    <s v="Medicare"/>
    <x v="2"/>
    <s v="Medicare"/>
    <n v="11515.66"/>
    <n v="2541.2199999999998"/>
    <n v="0"/>
  </r>
  <r>
    <x v="4542"/>
    <s v="Peconic Bay Medical Center"/>
    <n v="2015"/>
    <n v="7"/>
    <s v="Medicare"/>
    <x v="2"/>
    <s v="Medicare"/>
    <n v="16826.64"/>
    <n v="3003.57"/>
    <n v="0"/>
  </r>
  <r>
    <x v="4543"/>
    <s v="Peconic Bay Medical Center"/>
    <n v="2015"/>
    <n v="7"/>
    <s v="Medicare"/>
    <x v="2"/>
    <s v="Medicare"/>
    <n v="11733.44"/>
    <n v="6293.24"/>
    <n v="0"/>
  </r>
  <r>
    <x v="4544"/>
    <s v="Peconic Bay Medical Center"/>
    <n v="2015"/>
    <n v="7"/>
    <s v="Medicare"/>
    <x v="2"/>
    <s v="Medicare"/>
    <n v="74789.42"/>
    <n v="54500.12"/>
    <n v="0"/>
  </r>
  <r>
    <x v="4545"/>
    <s v="Peconic Bay Medical Center"/>
    <n v="2015"/>
    <n v="7"/>
    <s v="Medicare"/>
    <x v="2"/>
    <s v="Medicare"/>
    <n v="115307.02"/>
    <n v="48195.7"/>
    <n v="0"/>
  </r>
  <r>
    <x v="4546"/>
    <s v="Peconic Bay Medical Center"/>
    <n v="2015"/>
    <n v="7"/>
    <s v="Medicare"/>
    <x v="2"/>
    <s v="Medicare"/>
    <n v="37759.879999999997"/>
    <n v="10589.66"/>
    <n v="0"/>
  </r>
  <r>
    <x v="4547"/>
    <s v="Peconic Bay Medical Center"/>
    <n v="2015"/>
    <n v="7"/>
    <s v="Medicare"/>
    <x v="2"/>
    <s v="Medicare"/>
    <n v="25823.18"/>
    <n v="6743.13"/>
    <n v="0"/>
  </r>
  <r>
    <x v="4548"/>
    <s v="Peconic Bay Medical Center"/>
    <n v="2015"/>
    <n v="7"/>
    <s v="Medicare"/>
    <x v="2"/>
    <s v="Medicare"/>
    <n v="54396.84"/>
    <n v="27657.32"/>
    <n v="0"/>
  </r>
  <r>
    <x v="4549"/>
    <s v="Peconic Bay Medical Center"/>
    <n v="2015"/>
    <n v="7"/>
    <s v="Medicare"/>
    <x v="2"/>
    <s v="Medicare"/>
    <n v="104438.09"/>
    <n v="60320.85"/>
    <n v="0"/>
  </r>
  <r>
    <x v="4550"/>
    <s v="Peconic Bay Medical Center"/>
    <n v="2015"/>
    <n v="7"/>
    <s v="Medicare"/>
    <x v="2"/>
    <s v="Medicare"/>
    <n v="50576.959999999999"/>
    <n v="16202.73"/>
    <n v="0"/>
  </r>
  <r>
    <x v="4551"/>
    <s v="Peconic Bay Medical Center"/>
    <n v="2015"/>
    <n v="7"/>
    <s v="Medicare"/>
    <x v="2"/>
    <s v="Medicare"/>
    <n v="77247.600000000006"/>
    <n v="58963.89"/>
    <n v="0"/>
  </r>
  <r>
    <x v="4552"/>
    <s v="Peconic Bay Medical Center"/>
    <n v="2015"/>
    <n v="7"/>
    <s v="Medicare"/>
    <x v="2"/>
    <s v="Medicare"/>
    <n v="24069.02"/>
    <n v="6897.3"/>
    <n v="0"/>
  </r>
  <r>
    <x v="4553"/>
    <s v="Peconic Bay Medical Center"/>
    <n v="2015"/>
    <n v="7"/>
    <s v="Medicare"/>
    <x v="2"/>
    <s v="Medicare"/>
    <n v="15277.52"/>
    <n v="4490.75"/>
    <n v="0"/>
  </r>
  <r>
    <x v="4554"/>
    <s v="Peconic Bay Medical Center"/>
    <n v="2015"/>
    <n v="7"/>
    <s v="Medicare"/>
    <x v="2"/>
    <s v="Medicare"/>
    <n v="24870.9"/>
    <n v="10157.89"/>
    <n v="0"/>
  </r>
  <r>
    <x v="4555"/>
    <s v="Peconic Bay Medical Center"/>
    <n v="2015"/>
    <n v="7"/>
    <s v="Medicare"/>
    <x v="2"/>
    <s v="Medicare"/>
    <n v="20826.080000000002"/>
    <n v="5440.88"/>
    <n v="0"/>
  </r>
  <r>
    <x v="4556"/>
    <s v="Peconic Bay Medical Center"/>
    <n v="2015"/>
    <n v="7"/>
    <s v="Medicare"/>
    <x v="2"/>
    <s v="Medicare"/>
    <n v="19525.12"/>
    <n v="10401.74"/>
    <n v="0"/>
  </r>
  <r>
    <x v="4557"/>
    <s v="Peconic Bay Medical Center"/>
    <n v="2015"/>
    <n v="7"/>
    <s v="Medicare"/>
    <x v="2"/>
    <s v="Medicare"/>
    <n v="31315.14"/>
    <n v="8534.08"/>
    <n v="0"/>
  </r>
  <r>
    <x v="4558"/>
    <s v="Peconic Bay Medical Center"/>
    <n v="2015"/>
    <n v="7"/>
    <s v="Medicare"/>
    <x v="2"/>
    <s v="Medicare"/>
    <n v="26437.88"/>
    <n v="7614.35"/>
    <n v="0"/>
  </r>
  <r>
    <x v="4559"/>
    <s v="Peconic Bay Medical Center"/>
    <n v="2015"/>
    <n v="7"/>
    <s v="Medicare"/>
    <x v="2"/>
    <s v="Medicare"/>
    <n v="29243.98"/>
    <n v="9042.64"/>
    <n v="0"/>
  </r>
  <r>
    <x v="4560"/>
    <s v="Peconic Bay Medical Center"/>
    <n v="2015"/>
    <n v="7"/>
    <s v="Medicare"/>
    <x v="2"/>
    <s v="Medicare"/>
    <n v="96667.78"/>
    <n v="49518.69"/>
    <n v="0"/>
  </r>
  <r>
    <x v="4561"/>
    <s v="Peconic Bay Medical Center"/>
    <n v="2015"/>
    <n v="7"/>
    <s v="Medicare"/>
    <x v="2"/>
    <s v="Medicare"/>
    <n v="70092.38"/>
    <n v="54298.99"/>
    <n v="0"/>
  </r>
  <r>
    <x v="4562"/>
    <s v="Peconic Bay Medical Center"/>
    <n v="2015"/>
    <n v="7"/>
    <s v="Medicare"/>
    <x v="2"/>
    <s v="Medicare"/>
    <n v="13193.2"/>
    <n v="3943.65"/>
    <n v="0"/>
  </r>
  <r>
    <x v="4563"/>
    <s v="Peconic Bay Medical Center"/>
    <n v="2015"/>
    <n v="7"/>
    <s v="Medicare"/>
    <x v="2"/>
    <s v="Medicare"/>
    <n v="15874.84"/>
    <n v="4212.92"/>
    <n v="0"/>
  </r>
  <r>
    <x v="4564"/>
    <s v="Peconic Bay Medical Center"/>
    <n v="2015"/>
    <n v="7"/>
    <s v="Medicare"/>
    <x v="2"/>
    <s v="Medicare"/>
    <n v="24138.44"/>
    <n v="6447.76"/>
    <n v="0"/>
  </r>
  <r>
    <x v="4565"/>
    <s v="Peconic Bay Medical Center"/>
    <n v="2015"/>
    <n v="7"/>
    <s v="Medicare"/>
    <x v="2"/>
    <s v="Medicare"/>
    <n v="65430.86"/>
    <n v="46873.7"/>
    <n v="0"/>
  </r>
  <r>
    <x v="4566"/>
    <s v="Peconic Bay Medical Center"/>
    <n v="2015"/>
    <n v="7"/>
    <s v="Medicare"/>
    <x v="2"/>
    <s v="Medicare"/>
    <n v="10172.799999999999"/>
    <n v="2776"/>
    <n v="0"/>
  </r>
  <r>
    <x v="4567"/>
    <s v="Peconic Bay Medical Center"/>
    <n v="2015"/>
    <n v="7"/>
    <s v="Medicare"/>
    <x v="2"/>
    <s v="Medicare"/>
    <n v="11938.68"/>
    <n v="3285.23"/>
    <n v="0"/>
  </r>
  <r>
    <x v="4568"/>
    <s v="Peconic Bay Medical Center"/>
    <n v="2015"/>
    <n v="7"/>
    <s v="Medicare"/>
    <x v="2"/>
    <s v="Medicare"/>
    <n v="22900.12"/>
    <n v="6287.1"/>
    <n v="0"/>
  </r>
  <r>
    <x v="4569"/>
    <s v="Peconic Bay Medical Center"/>
    <n v="2015"/>
    <n v="7"/>
    <s v="Medicare"/>
    <x v="2"/>
    <s v="Medicare"/>
    <n v="41896.9"/>
    <n v="13508.97"/>
    <n v="0"/>
  </r>
  <r>
    <x v="4570"/>
    <s v="Peconic Bay Medical Center"/>
    <n v="2015"/>
    <n v="7"/>
    <s v="Medicare"/>
    <x v="2"/>
    <s v="Medicare"/>
    <n v="32606.82"/>
    <n v="7036.88"/>
    <n v="0"/>
  </r>
  <r>
    <x v="4571"/>
    <s v="Peconic Bay Medical Center"/>
    <n v="2015"/>
    <n v="7"/>
    <s v="Medicare"/>
    <x v="2"/>
    <s v="Medicare"/>
    <n v="87286.52"/>
    <n v="32233.55"/>
    <n v="0"/>
  </r>
  <r>
    <x v="4572"/>
    <s v="Peconic Bay Medical Center"/>
    <n v="2015"/>
    <n v="7"/>
    <s v="Medicare"/>
    <x v="2"/>
    <s v="Medicare"/>
    <n v="46920.26"/>
    <n v="13277.32"/>
    <n v="0"/>
  </r>
  <r>
    <x v="4573"/>
    <s v="Peconic Bay Medical Center"/>
    <n v="2015"/>
    <n v="7"/>
    <s v="Medicare"/>
    <x v="2"/>
    <s v="Medicare"/>
    <n v="29307.4"/>
    <n v="7858.02"/>
    <n v="0"/>
  </r>
  <r>
    <x v="4574"/>
    <s v="Peconic Bay Medical Center"/>
    <n v="2015"/>
    <n v="7"/>
    <s v="Medicare"/>
    <x v="2"/>
    <s v="Medicare"/>
    <n v="40393.82"/>
    <n v="11855.91"/>
    <n v="0"/>
  </r>
  <r>
    <x v="4575"/>
    <s v="Peconic Bay Medical Center"/>
    <n v="2015"/>
    <n v="7"/>
    <s v="Medicare"/>
    <x v="2"/>
    <s v="Medicare"/>
    <n v="64185.62"/>
    <n v="46428.97"/>
    <n v="0"/>
  </r>
  <r>
    <x v="4576"/>
    <s v="Peconic Bay Medical Center"/>
    <n v="2015"/>
    <n v="7"/>
    <s v="Medicare"/>
    <x v="2"/>
    <s v="Medicare"/>
    <n v="34650.339999999997"/>
    <n v="8499.2999999999993"/>
    <n v="0"/>
  </r>
  <r>
    <x v="4577"/>
    <s v="Peconic Bay Medical Center"/>
    <n v="2015"/>
    <n v="7"/>
    <s v="Medicare"/>
    <x v="2"/>
    <s v="Medicare"/>
    <n v="23458.18"/>
    <n v="5297.13"/>
    <n v="0"/>
  </r>
  <r>
    <x v="4578"/>
    <s v="Peconic Bay Medical Center"/>
    <n v="2015"/>
    <n v="7"/>
    <s v="Medicare"/>
    <x v="2"/>
    <s v="Medicare"/>
    <n v="23844.46"/>
    <n v="6694.79"/>
    <n v="0"/>
  </r>
  <r>
    <x v="4579"/>
    <s v="Peconic Bay Medical Center"/>
    <n v="2015"/>
    <n v="7"/>
    <s v="Medicare"/>
    <x v="2"/>
    <s v="Medicare"/>
    <n v="13078.9"/>
    <n v="3213.1"/>
    <n v="0"/>
  </r>
  <r>
    <x v="4580"/>
    <s v="Peconic Bay Medical Center"/>
    <n v="2015"/>
    <n v="7"/>
    <s v="Medicare"/>
    <x v="2"/>
    <s v="Medicare"/>
    <n v="36126.58"/>
    <n v="10679.03"/>
    <n v="0"/>
  </r>
  <r>
    <x v="4581"/>
    <s v="Peconic Bay Medical Center"/>
    <n v="2015"/>
    <n v="7"/>
    <s v="Medicare"/>
    <x v="2"/>
    <s v="Medicare"/>
    <n v="30703.24"/>
    <n v="18935.669999999998"/>
    <n v="0"/>
  </r>
  <r>
    <x v="4582"/>
    <s v="Peconic Bay Medical Center"/>
    <n v="2015"/>
    <n v="7"/>
    <s v="Medicare"/>
    <x v="2"/>
    <s v="Medicare"/>
    <n v="65312.36"/>
    <n v="46881.42"/>
    <n v="0"/>
  </r>
  <r>
    <x v="4583"/>
    <s v="Peconic Bay Medical Center"/>
    <n v="2015"/>
    <n v="7"/>
    <s v="Medicare"/>
    <x v="2"/>
    <s v="Medicare"/>
    <n v="72459.710000000006"/>
    <n v="42289.65"/>
    <n v="0"/>
  </r>
  <r>
    <x v="4584"/>
    <s v="Peconic Bay Medical Center"/>
    <n v="2015"/>
    <n v="7"/>
    <s v="Medicare"/>
    <x v="2"/>
    <s v="Medicare"/>
    <n v="80866.539999999994"/>
    <n v="55177.52"/>
    <n v="0"/>
  </r>
  <r>
    <x v="4585"/>
    <s v="Peconic Bay Medical Center"/>
    <n v="2015"/>
    <n v="7"/>
    <s v="Medicare"/>
    <x v="2"/>
    <s v="Medicare"/>
    <n v="8582.58"/>
    <n v="2340.0100000000002"/>
    <n v="0"/>
  </r>
  <r>
    <x v="4586"/>
    <s v="Peconic Bay Medical Center"/>
    <n v="2015"/>
    <n v="7"/>
    <s v="Medicare"/>
    <x v="2"/>
    <s v="Medicare"/>
    <n v="27773.74"/>
    <n v="6603.4"/>
    <n v="0"/>
  </r>
  <r>
    <x v="4587"/>
    <s v="Peconic Bay Medical Center"/>
    <n v="2015"/>
    <n v="7"/>
    <s v="Medicare"/>
    <x v="2"/>
    <s v="Medicare"/>
    <n v="38392.54"/>
    <n v="11739.31"/>
    <n v="0"/>
  </r>
  <r>
    <x v="4588"/>
    <s v="Peconic Bay Medical Center"/>
    <n v="2015"/>
    <n v="7"/>
    <s v="Medicare"/>
    <x v="2"/>
    <s v="Medicare"/>
    <n v="74941.039999999994"/>
    <n v="52519.57"/>
    <n v="0"/>
  </r>
  <r>
    <x v="4589"/>
    <s v="Peconic Bay Medical Center"/>
    <n v="2015"/>
    <n v="7"/>
    <s v="Medicare"/>
    <x v="2"/>
    <s v="Medicare"/>
    <n v="33105.68"/>
    <n v="9164.65"/>
    <n v="0"/>
  </r>
  <r>
    <x v="4590"/>
    <s v="Peconic Bay Medical Center"/>
    <n v="2015"/>
    <n v="7"/>
    <s v="Medicare"/>
    <x v="2"/>
    <s v="Medicare"/>
    <n v="36496.620000000003"/>
    <n v="11227.03"/>
    <n v="0"/>
  </r>
  <r>
    <x v="4591"/>
    <s v="Peconic Bay Medical Center"/>
    <n v="2015"/>
    <n v="7"/>
    <s v="Medicare"/>
    <x v="2"/>
    <s v="Medicare"/>
    <n v="75713.42"/>
    <n v="58876.18"/>
    <n v="0"/>
  </r>
  <r>
    <x v="4592"/>
    <s v="Peconic Bay Medical Center"/>
    <n v="2015"/>
    <n v="7"/>
    <s v="Medicare"/>
    <x v="2"/>
    <s v="Medicare"/>
    <n v="70780.100000000006"/>
    <n v="36487.53"/>
    <n v="0"/>
  </r>
  <r>
    <x v="4593"/>
    <s v="Peconic Bay Medical Center"/>
    <n v="2015"/>
    <n v="7"/>
    <s v="Medicare"/>
    <x v="2"/>
    <s v="Medicare"/>
    <n v="47618.68"/>
    <n v="14873.39"/>
    <n v="0"/>
  </r>
  <r>
    <x v="4594"/>
    <s v="Peconic Bay Medical Center"/>
    <n v="2015"/>
    <n v="7"/>
    <s v="Medicare"/>
    <x v="2"/>
    <s v="Medicare"/>
    <n v="34853.199999999997"/>
    <n v="16550.349999999999"/>
    <n v="0"/>
  </r>
  <r>
    <x v="4595"/>
    <s v="Peconic Bay Medical Center"/>
    <n v="2015"/>
    <n v="7"/>
    <s v="Medicare"/>
    <x v="2"/>
    <s v="Medicare"/>
    <n v="21732.7"/>
    <n v="6159"/>
    <n v="0"/>
  </r>
  <r>
    <x v="4596"/>
    <s v="Peconic Bay Medical Center"/>
    <n v="2015"/>
    <n v="7"/>
    <s v="Medicare"/>
    <x v="2"/>
    <s v="Medicare"/>
    <n v="47668.42"/>
    <n v="14026.71"/>
    <n v="0"/>
  </r>
  <r>
    <x v="4597"/>
    <s v="Peconic Bay Medical Center"/>
    <n v="2015"/>
    <n v="7"/>
    <s v="Medicare"/>
    <x v="2"/>
    <s v="Medicare"/>
    <n v="30242.16"/>
    <n v="9335.44"/>
    <n v="0"/>
  </r>
  <r>
    <x v="4598"/>
    <s v="Peconic Bay Medical Center"/>
    <n v="2015"/>
    <n v="7"/>
    <s v="Medicare"/>
    <x v="2"/>
    <s v="Medicare"/>
    <n v="13935"/>
    <n v="2954.91"/>
    <n v="0"/>
  </r>
  <r>
    <x v="4599"/>
    <s v="Peconic Bay Medical Center"/>
    <n v="2015"/>
    <n v="7"/>
    <s v="Medicare"/>
    <x v="2"/>
    <s v="Medicare"/>
    <n v="11002.2"/>
    <n v="2621.79"/>
    <n v="0"/>
  </r>
  <r>
    <x v="4600"/>
    <s v="Peconic Bay Medical Center"/>
    <n v="2015"/>
    <n v="7"/>
    <s v="Medicare"/>
    <x v="2"/>
    <s v="Medicare"/>
    <n v="38066.46"/>
    <n v="11785.05"/>
    <n v="0"/>
  </r>
  <r>
    <x v="4601"/>
    <s v="Peconic Bay Medical Center"/>
    <n v="2015"/>
    <n v="7"/>
    <s v="Medicare"/>
    <x v="2"/>
    <s v="Medicare"/>
    <n v="11298.28"/>
    <n v="2531.8000000000002"/>
    <n v="0"/>
  </r>
  <r>
    <x v="4602"/>
    <s v="Peconic Bay Medical Center"/>
    <n v="2015"/>
    <n v="7"/>
    <s v="Medicare"/>
    <x v="2"/>
    <s v="Medicare"/>
    <n v="65991.100000000006"/>
    <n v="48375.7"/>
    <n v="0"/>
  </r>
  <r>
    <x v="4603"/>
    <s v="Peconic Bay Medical Center"/>
    <n v="2015"/>
    <n v="7"/>
    <s v="Medicare"/>
    <x v="2"/>
    <s v="Medicare"/>
    <n v="26636"/>
    <n v="8036.83"/>
    <n v="0"/>
  </r>
  <r>
    <x v="4604"/>
    <s v="Peconic Bay Medical Center"/>
    <n v="2015"/>
    <n v="7"/>
    <s v="Medicare"/>
    <x v="2"/>
    <s v="Medicare"/>
    <n v="18729.88"/>
    <n v="5767.6"/>
    <n v="0"/>
  </r>
  <r>
    <x v="4605"/>
    <s v="Peconic Bay Medical Center"/>
    <n v="2015"/>
    <n v="7"/>
    <s v="Medicare"/>
    <x v="2"/>
    <s v="Medicare"/>
    <n v="25634.36"/>
    <n v="5943.56"/>
    <n v="0"/>
  </r>
  <r>
    <x v="4606"/>
    <s v="Peconic Bay Medical Center"/>
    <n v="2015"/>
    <n v="7"/>
    <s v="Medicare"/>
    <x v="2"/>
    <s v="Medicare"/>
    <n v="16983.64"/>
    <n v="4802.91"/>
    <n v="0"/>
  </r>
  <r>
    <x v="4607"/>
    <s v="Peconic Bay Medical Center"/>
    <n v="2015"/>
    <n v="7"/>
    <s v="Medicare"/>
    <x v="2"/>
    <s v="Medicare"/>
    <n v="16846.439999999999"/>
    <n v="4856.01"/>
    <n v="0"/>
  </r>
  <r>
    <x v="4608"/>
    <s v="Peconic Bay Medical Center"/>
    <n v="2015"/>
    <n v="7"/>
    <s v="Medicare"/>
    <x v="2"/>
    <s v="Medicare"/>
    <n v="65501.06"/>
    <n v="48698.86"/>
    <n v="0"/>
  </r>
  <r>
    <x v="4609"/>
    <s v="Peconic Bay Medical Center"/>
    <n v="2015"/>
    <n v="7"/>
    <s v="Medicare"/>
    <x v="2"/>
    <s v="Medicare"/>
    <n v="24752.94"/>
    <n v="5071.3599999999997"/>
    <n v="0"/>
  </r>
  <r>
    <x v="4610"/>
    <s v="Peconic Bay Medical Center"/>
    <n v="2015"/>
    <n v="7"/>
    <s v="Medicare"/>
    <x v="2"/>
    <s v="Medicare"/>
    <n v="82665.78"/>
    <n v="27206.06"/>
    <n v="0"/>
  </r>
  <r>
    <x v="4611"/>
    <s v="Peconic Bay Medical Center"/>
    <n v="2015"/>
    <n v="7"/>
    <s v="Medicare"/>
    <x v="2"/>
    <s v="Medicare"/>
    <n v="50107.58"/>
    <n v="21582.959999999999"/>
    <n v="0"/>
  </r>
  <r>
    <x v="4612"/>
    <s v="Peconic Bay Medical Center"/>
    <n v="2015"/>
    <n v="7"/>
    <s v="Medicare"/>
    <x v="2"/>
    <s v="Medicare"/>
    <n v="72308.899999999994"/>
    <n v="19840.919999999998"/>
    <n v="0"/>
  </r>
  <r>
    <x v="4613"/>
    <s v="Peconic Bay Medical Center"/>
    <n v="2015"/>
    <n v="7"/>
    <s v="Medicare"/>
    <x v="2"/>
    <s v="Medicare"/>
    <n v="17041.68"/>
    <n v="5326.02"/>
    <n v="0"/>
  </r>
  <r>
    <x v="4614"/>
    <s v="Peconic Bay Medical Center"/>
    <n v="2015"/>
    <n v="7"/>
    <s v="Medicare"/>
    <x v="2"/>
    <s v="Medicare"/>
    <n v="24424.3"/>
    <n v="6678.17"/>
    <n v="0"/>
  </r>
  <r>
    <x v="4615"/>
    <s v="Peconic Bay Medical Center"/>
    <n v="2015"/>
    <n v="7"/>
    <s v="Medicare"/>
    <x v="2"/>
    <s v="Medicare"/>
    <n v="41696.980000000003"/>
    <n v="11199.14"/>
    <n v="0"/>
  </r>
  <r>
    <x v="4616"/>
    <s v="Peconic Bay Medical Center"/>
    <n v="2015"/>
    <n v="7"/>
    <s v="Medicare"/>
    <x v="2"/>
    <s v="Medicare"/>
    <n v="39859.82"/>
    <n v="10939.04"/>
    <n v="0"/>
  </r>
  <r>
    <x v="4617"/>
    <s v="Peconic Bay Medical Center"/>
    <n v="2015"/>
    <n v="7"/>
    <s v="Medicare"/>
    <x v="2"/>
    <s v="Medicare"/>
    <n v="24250.6"/>
    <n v="6430.6"/>
    <n v="0"/>
  </r>
  <r>
    <x v="4618"/>
    <s v="Peconic Bay Medical Center"/>
    <n v="2015"/>
    <n v="7"/>
    <s v="Medicare"/>
    <x v="2"/>
    <s v="Medicare"/>
    <n v="10892.42"/>
    <n v="3051.46"/>
    <n v="0"/>
  </r>
  <r>
    <x v="4619"/>
    <s v="Peconic Bay Medical Center"/>
    <n v="2015"/>
    <n v="7"/>
    <s v="Medicare"/>
    <x v="2"/>
    <s v="Medicare"/>
    <n v="69699.92"/>
    <n v="26868"/>
    <n v="0"/>
  </r>
  <r>
    <x v="4620"/>
    <s v="Peconic Bay Medical Center"/>
    <n v="2015"/>
    <n v="7"/>
    <s v="Medicare"/>
    <x v="2"/>
    <s v="Medicare"/>
    <n v="58392.46"/>
    <n v="44432.42"/>
    <n v="0"/>
  </r>
  <r>
    <x v="4621"/>
    <s v="Peconic Bay Medical Center"/>
    <n v="2015"/>
    <n v="7"/>
    <s v="Medicare"/>
    <x v="2"/>
    <s v="Medicare"/>
    <n v="84686.62"/>
    <n v="24687.11"/>
    <n v="0"/>
  </r>
  <r>
    <x v="4622"/>
    <s v="Peconic Bay Medical Center"/>
    <n v="2015"/>
    <n v="7"/>
    <s v="Medicare"/>
    <x v="2"/>
    <s v="Medicare"/>
    <n v="14844.72"/>
    <n v="3587.97"/>
    <n v="0"/>
  </r>
  <r>
    <x v="4623"/>
    <s v="Peconic Bay Medical Center"/>
    <n v="2015"/>
    <n v="7"/>
    <s v="Medicare"/>
    <x v="2"/>
    <s v="Medicare"/>
    <n v="53915.27"/>
    <n v="29159.91"/>
    <n v="0"/>
  </r>
  <r>
    <x v="4624"/>
    <s v="Peconic Bay Medical Center"/>
    <n v="2015"/>
    <n v="7"/>
    <s v="Medicare"/>
    <x v="2"/>
    <s v="Medicare"/>
    <n v="44458.84"/>
    <n v="12706.71"/>
    <n v="0"/>
  </r>
  <r>
    <x v="4625"/>
    <s v="Peconic Bay Medical Center"/>
    <n v="2015"/>
    <n v="7"/>
    <s v="Medicare"/>
    <x v="2"/>
    <s v="Medicare"/>
    <n v="20833.099999999999"/>
    <n v="6174.05"/>
    <n v="0"/>
  </r>
  <r>
    <x v="4626"/>
    <s v="Peconic Bay Medical Center"/>
    <n v="2015"/>
    <n v="7"/>
    <s v="Medicare"/>
    <x v="2"/>
    <s v="Medicare"/>
    <n v="40173.08"/>
    <n v="11928.36"/>
    <n v="0"/>
  </r>
  <r>
    <x v="4627"/>
    <s v="Peconic Bay Medical Center"/>
    <n v="2015"/>
    <n v="7"/>
    <s v="Medicare"/>
    <x v="2"/>
    <s v="Medicare"/>
    <n v="21820.04"/>
    <n v="6206.1"/>
    <n v="0"/>
  </r>
  <r>
    <x v="4628"/>
    <s v="Peconic Bay Medical Center"/>
    <n v="2015"/>
    <n v="7"/>
    <s v="Medicare"/>
    <x v="2"/>
    <s v="Medicare"/>
    <n v="66940.28"/>
    <n v="47418.68"/>
    <n v="0"/>
  </r>
  <r>
    <x v="4629"/>
    <s v="Peconic Bay Medical Center"/>
    <n v="2015"/>
    <n v="7"/>
    <s v="Medicare"/>
    <x v="2"/>
    <s v="Medicare"/>
    <n v="160926.07999999999"/>
    <n v="85171.95"/>
    <n v="0"/>
  </r>
  <r>
    <x v="4630"/>
    <s v="Peconic Bay Medical Center"/>
    <n v="2015"/>
    <n v="7"/>
    <s v="Medicare"/>
    <x v="2"/>
    <s v="Medicare"/>
    <n v="27894.1"/>
    <n v="7685.19"/>
    <n v="0"/>
  </r>
  <r>
    <x v="4631"/>
    <s v="Peconic Bay Medical Center"/>
    <n v="2015"/>
    <n v="7"/>
    <s v="Medicare"/>
    <x v="2"/>
    <s v="Medicare"/>
    <n v="14411.3"/>
    <n v="3282.87"/>
    <n v="0"/>
  </r>
  <r>
    <x v="4632"/>
    <s v="Peconic Bay Medical Center"/>
    <n v="2015"/>
    <n v="7"/>
    <s v="Medicare"/>
    <x v="2"/>
    <s v="Medicare"/>
    <n v="18651.759999999998"/>
    <n v="5345.81"/>
    <n v="0"/>
  </r>
  <r>
    <x v="4633"/>
    <s v="Peconic Bay Medical Center"/>
    <n v="2015"/>
    <n v="7"/>
    <s v="Medicare"/>
    <x v="2"/>
    <s v="Medicare"/>
    <n v="20819.18"/>
    <n v="4973.84"/>
    <n v="0"/>
  </r>
  <r>
    <x v="4634"/>
    <s v="Peconic Bay Medical Center"/>
    <n v="2015"/>
    <n v="7"/>
    <s v="Medicare"/>
    <x v="2"/>
    <s v="Medicare"/>
    <n v="14395.68"/>
    <n v="3096.35"/>
    <n v="0"/>
  </r>
  <r>
    <x v="4635"/>
    <s v="Peconic Bay Medical Center"/>
    <n v="2015"/>
    <n v="7"/>
    <s v="Medicare"/>
    <x v="2"/>
    <s v="Medicare"/>
    <n v="55448.5"/>
    <n v="24980.959999999999"/>
    <n v="0"/>
  </r>
  <r>
    <x v="4636"/>
    <s v="Peconic Bay Medical Center"/>
    <n v="2015"/>
    <n v="7"/>
    <s v="Medicare"/>
    <x v="2"/>
    <s v="Medicare"/>
    <n v="28039.1"/>
    <n v="6832.79"/>
    <n v="0"/>
  </r>
  <r>
    <x v="4637"/>
    <s v="Peconic Bay Medical Center"/>
    <n v="2015"/>
    <n v="7"/>
    <s v="Medicare"/>
    <x v="2"/>
    <s v="Medicare"/>
    <n v="159059"/>
    <n v="110976.13"/>
    <n v="0"/>
  </r>
  <r>
    <x v="4638"/>
    <s v="Peconic Bay Medical Center"/>
    <n v="2015"/>
    <n v="7"/>
    <s v="Medicare"/>
    <x v="2"/>
    <s v="Medicare"/>
    <n v="26883.82"/>
    <n v="8654.33"/>
    <n v="0"/>
  </r>
  <r>
    <x v="4639"/>
    <s v="Peconic Bay Medical Center"/>
    <n v="2015"/>
    <n v="7"/>
    <s v="Medicare"/>
    <x v="2"/>
    <s v="Medicare"/>
    <n v="24325.78"/>
    <n v="7128.39"/>
    <n v="0"/>
  </r>
  <r>
    <x v="4640"/>
    <s v="Peconic Bay Medical Center"/>
    <n v="2015"/>
    <n v="7"/>
    <s v="Medicare"/>
    <x v="2"/>
    <s v="Medicare"/>
    <n v="25152.98"/>
    <n v="8493.8799999999992"/>
    <n v="0"/>
  </r>
  <r>
    <x v="4641"/>
    <s v="Peconic Bay Medical Center"/>
    <n v="2015"/>
    <n v="7"/>
    <s v="Medicare"/>
    <x v="2"/>
    <s v="Medicare"/>
    <n v="35728.82"/>
    <n v="10794.42"/>
    <n v="0"/>
  </r>
  <r>
    <x v="4642"/>
    <s v="Peconic Bay Medical Center"/>
    <n v="2015"/>
    <n v="7"/>
    <s v="Medicare"/>
    <x v="2"/>
    <s v="Medicare"/>
    <n v="42154.68"/>
    <n v="18495.28"/>
    <n v="0"/>
  </r>
  <r>
    <x v="4643"/>
    <s v="Peconic Bay Medical Center"/>
    <n v="2015"/>
    <n v="7"/>
    <s v="Medicare"/>
    <x v="2"/>
    <s v="Medicare"/>
    <n v="24827.96"/>
    <n v="6129.76"/>
    <n v="0"/>
  </r>
  <r>
    <x v="4644"/>
    <s v="Peconic Bay Medical Center"/>
    <n v="2015"/>
    <n v="7"/>
    <s v="Medicare"/>
    <x v="2"/>
    <s v="Medicare"/>
    <n v="31065.16"/>
    <n v="8638"/>
    <n v="0"/>
  </r>
  <r>
    <x v="4645"/>
    <s v="Peconic Bay Medical Center"/>
    <n v="2015"/>
    <n v="7"/>
    <s v="Medicare"/>
    <x v="2"/>
    <s v="Medicare"/>
    <n v="33409.06"/>
    <n v="9019.66"/>
    <n v="0"/>
  </r>
  <r>
    <x v="4646"/>
    <s v="Peconic Bay Medical Center"/>
    <n v="2015"/>
    <n v="7"/>
    <s v="Medicare"/>
    <x v="2"/>
    <s v="Medicare"/>
    <n v="22970"/>
    <n v="7489"/>
    <n v="0"/>
  </r>
  <r>
    <x v="4647"/>
    <s v="Peconic Bay Medical Center"/>
    <n v="2015"/>
    <n v="7"/>
    <s v="Medicare"/>
    <x v="2"/>
    <s v="Medicare"/>
    <n v="44115.839999999997"/>
    <n v="12977.45"/>
    <n v="0"/>
  </r>
  <r>
    <x v="4648"/>
    <s v="Peconic Bay Medical Center"/>
    <n v="2015"/>
    <n v="7"/>
    <s v="Medicare"/>
    <x v="2"/>
    <s v="Medicare"/>
    <n v="31504.7"/>
    <n v="10300.530000000001"/>
    <n v="0"/>
  </r>
  <r>
    <x v="4649"/>
    <s v="Peconic Bay Medical Center"/>
    <n v="2015"/>
    <n v="7"/>
    <s v="Medicare"/>
    <x v="2"/>
    <s v="Medicare"/>
    <n v="12535.56"/>
    <n v="2672.74"/>
    <n v="0"/>
  </r>
  <r>
    <x v="4650"/>
    <s v="Peconic Bay Medical Center"/>
    <n v="2015"/>
    <n v="7"/>
    <s v="Medicare"/>
    <x v="2"/>
    <s v="Medicare"/>
    <n v="43905.02"/>
    <n v="12835.56"/>
    <n v="0"/>
  </r>
  <r>
    <x v="4651"/>
    <s v="Peconic Bay Medical Center"/>
    <n v="2015"/>
    <n v="7"/>
    <s v="Medicare"/>
    <x v="2"/>
    <s v="Medicare"/>
    <n v="36548.54"/>
    <n v="9595.4699999999993"/>
    <n v="0"/>
  </r>
  <r>
    <x v="4652"/>
    <s v="Peconic Bay Medical Center"/>
    <n v="2015"/>
    <n v="7"/>
    <s v="Medicare"/>
    <x v="2"/>
    <s v="Medicare"/>
    <n v="40424.120000000003"/>
    <n v="11495.82"/>
    <n v="0"/>
  </r>
  <r>
    <x v="4653"/>
    <s v="Peconic Bay Medical Center"/>
    <n v="2015"/>
    <n v="7"/>
    <s v="Medicare"/>
    <x v="2"/>
    <s v="Medicare"/>
    <n v="7583.2"/>
    <n v="2263.42"/>
    <n v="0"/>
  </r>
  <r>
    <x v="4654"/>
    <s v="Peconic Bay Medical Center"/>
    <n v="2015"/>
    <n v="7"/>
    <s v="Medicare"/>
    <x v="2"/>
    <s v="Medicare"/>
    <n v="22785.02"/>
    <n v="6392.43"/>
    <n v="0"/>
  </r>
  <r>
    <x v="4655"/>
    <s v="Peconic Bay Medical Center"/>
    <n v="2015"/>
    <n v="7"/>
    <s v="Medicare"/>
    <x v="2"/>
    <s v="Medicare"/>
    <n v="20080"/>
    <n v="6032.53"/>
    <n v="0"/>
  </r>
  <r>
    <x v="4656"/>
    <s v="Peconic Bay Medical Center"/>
    <n v="2015"/>
    <n v="7"/>
    <s v="Medicare"/>
    <x v="2"/>
    <s v="Medicare"/>
    <n v="19284.5"/>
    <n v="4791.63"/>
    <n v="0"/>
  </r>
  <r>
    <x v="4657"/>
    <s v="Peconic Bay Medical Center"/>
    <n v="2015"/>
    <n v="7"/>
    <s v="Medicare"/>
    <x v="2"/>
    <s v="Medicare"/>
    <n v="72070.490000000005"/>
    <n v="52349.48"/>
    <n v="0"/>
  </r>
  <r>
    <x v="4658"/>
    <s v="Peconic Bay Medical Center"/>
    <n v="2015"/>
    <n v="7"/>
    <s v="Medicare"/>
    <x v="2"/>
    <s v="Medicare"/>
    <n v="61830.18"/>
    <n v="19664.71"/>
    <n v="0"/>
  </r>
  <r>
    <x v="4659"/>
    <s v="Peconic Bay Medical Center"/>
    <n v="2015"/>
    <n v="7"/>
    <s v="Medicare"/>
    <x v="2"/>
    <s v="Medicare"/>
    <n v="117737.58"/>
    <n v="33949.15"/>
    <n v="0"/>
  </r>
  <r>
    <x v="4660"/>
    <s v="Peconic Bay Medical Center"/>
    <n v="2015"/>
    <n v="7"/>
    <s v="Medicare"/>
    <x v="2"/>
    <s v="Medicare"/>
    <n v="26782.639999999999"/>
    <n v="8228.1299999999992"/>
    <n v="0"/>
  </r>
  <r>
    <x v="4661"/>
    <s v="Peconic Bay Medical Center"/>
    <n v="2015"/>
    <n v="7"/>
    <s v="Medicare"/>
    <x v="2"/>
    <s v="Medicare"/>
    <n v="13146.14"/>
    <n v="2613.84"/>
    <n v="0"/>
  </r>
  <r>
    <x v="4662"/>
    <s v="Peconic Bay Medical Center"/>
    <n v="2015"/>
    <n v="7"/>
    <s v="Medicare"/>
    <x v="2"/>
    <s v="Medicare"/>
    <n v="21479.26"/>
    <n v="5106.3999999999996"/>
    <n v="0"/>
  </r>
  <r>
    <x v="4663"/>
    <s v="Peconic Bay Medical Center"/>
    <n v="2015"/>
    <n v="7"/>
    <s v="Medicare"/>
    <x v="2"/>
    <s v="Medicare"/>
    <n v="15367.54"/>
    <n v="4354.32"/>
    <n v="0"/>
  </r>
  <r>
    <x v="4664"/>
    <s v="Peconic Bay Medical Center"/>
    <n v="2015"/>
    <n v="7"/>
    <s v="Medicare"/>
    <x v="2"/>
    <s v="Medicare"/>
    <n v="17452.12"/>
    <n v="5192"/>
    <n v="0"/>
  </r>
  <r>
    <x v="4665"/>
    <s v="Peconic Bay Medical Center"/>
    <n v="2015"/>
    <n v="7"/>
    <s v="Medicare"/>
    <x v="2"/>
    <s v="Medicare"/>
    <n v="55676.18"/>
    <n v="17724.990000000002"/>
    <n v="0"/>
  </r>
  <r>
    <x v="4666"/>
    <s v="Peconic Bay Medical Center"/>
    <n v="2015"/>
    <n v="7"/>
    <s v="Medicare"/>
    <x v="2"/>
    <s v="Medicare"/>
    <n v="33920.400000000001"/>
    <n v="9233.64"/>
    <n v="0"/>
  </r>
  <r>
    <x v="4667"/>
    <s v="Peconic Bay Medical Center"/>
    <n v="2015"/>
    <n v="7"/>
    <s v="Medicare"/>
    <x v="2"/>
    <s v="Medicare"/>
    <n v="72253.58"/>
    <n v="21590.33"/>
    <n v="0"/>
  </r>
  <r>
    <x v="4668"/>
    <s v="Peconic Bay Medical Center"/>
    <n v="2015"/>
    <n v="7"/>
    <s v="Medicare"/>
    <x v="2"/>
    <s v="Medicare"/>
    <n v="125470.28"/>
    <n v="53060.08"/>
    <n v="0"/>
  </r>
  <r>
    <x v="4669"/>
    <s v="Peconic Bay Medical Center"/>
    <n v="2015"/>
    <n v="7"/>
    <s v="Medicare"/>
    <x v="2"/>
    <s v="Medicare"/>
    <n v="62532.4"/>
    <n v="18752.32"/>
    <n v="0"/>
  </r>
  <r>
    <x v="4670"/>
    <s v="Peconic Bay Medical Center"/>
    <n v="2015"/>
    <n v="7"/>
    <s v="Medicare"/>
    <x v="2"/>
    <s v="Medicare"/>
    <n v="11268.78"/>
    <n v="2857.56"/>
    <n v="0"/>
  </r>
  <r>
    <x v="4671"/>
    <s v="Peconic Bay Medical Center"/>
    <n v="2015"/>
    <n v="7"/>
    <s v="Medicare"/>
    <x v="2"/>
    <s v="Medicare"/>
    <n v="49903.76"/>
    <n v="32299.97"/>
    <n v="0"/>
  </r>
  <r>
    <x v="4672"/>
    <s v="Peconic Bay Medical Center"/>
    <n v="2015"/>
    <n v="7"/>
    <s v="Medicare"/>
    <x v="2"/>
    <s v="Medicare"/>
    <n v="20677.82"/>
    <n v="5002.09"/>
    <n v="0"/>
  </r>
  <r>
    <x v="4673"/>
    <s v="Peconic Bay Medical Center"/>
    <n v="2015"/>
    <n v="7"/>
    <s v="Medicare"/>
    <x v="2"/>
    <s v="Medicare"/>
    <n v="24516.78"/>
    <n v="6635.65"/>
    <n v="0"/>
  </r>
  <r>
    <x v="4674"/>
    <s v="Peconic Bay Medical Center"/>
    <n v="2015"/>
    <n v="7"/>
    <s v="Medicare"/>
    <x v="2"/>
    <s v="Medicare"/>
    <n v="131391.96"/>
    <n v="82580.08"/>
    <n v="0"/>
  </r>
  <r>
    <x v="4675"/>
    <s v="Peconic Bay Medical Center"/>
    <n v="2015"/>
    <n v="7"/>
    <s v="Medicare"/>
    <x v="2"/>
    <s v="Medicare"/>
    <n v="18461.12"/>
    <n v="4815.25"/>
    <n v="0"/>
  </r>
  <r>
    <x v="4676"/>
    <s v="Peconic Bay Medical Center"/>
    <n v="2015"/>
    <n v="7"/>
    <s v="Medicare"/>
    <x v="2"/>
    <s v="Medicare"/>
    <n v="103778.72"/>
    <n v="77152.55"/>
    <n v="0"/>
  </r>
  <r>
    <x v="4677"/>
    <s v="Peconic Bay Medical Center"/>
    <n v="2015"/>
    <n v="7"/>
    <s v="Medicare"/>
    <x v="2"/>
    <s v="Medicare"/>
    <n v="26621.200000000001"/>
    <n v="7560.58"/>
    <n v="0"/>
  </r>
  <r>
    <x v="4678"/>
    <s v="Peconic Bay Medical Center"/>
    <n v="2015"/>
    <n v="7"/>
    <s v="Medicare"/>
    <x v="2"/>
    <s v="Medicare"/>
    <n v="25223.72"/>
    <n v="6853.16"/>
    <n v="0"/>
  </r>
  <r>
    <x v="4679"/>
    <s v="Peconic Bay Medical Center"/>
    <n v="2015"/>
    <n v="7"/>
    <s v="Medicare"/>
    <x v="2"/>
    <s v="Medicare"/>
    <n v="18579.72"/>
    <n v="5237.43"/>
    <n v="0"/>
  </r>
  <r>
    <x v="4680"/>
    <s v="Peconic Bay Medical Center"/>
    <n v="2015"/>
    <n v="7"/>
    <s v="Medicare"/>
    <x v="2"/>
    <s v="Medicare"/>
    <n v="26855.64"/>
    <n v="14133.56"/>
    <n v="0"/>
  </r>
  <r>
    <x v="4681"/>
    <s v="Peconic Bay Medical Center"/>
    <n v="2015"/>
    <n v="7"/>
    <s v="Medicare"/>
    <x v="2"/>
    <s v="Medicare"/>
    <n v="50152.480000000003"/>
    <n v="15227.01"/>
    <n v="0"/>
  </r>
  <r>
    <x v="4682"/>
    <s v="Peconic Bay Medical Center"/>
    <n v="2015"/>
    <n v="7"/>
    <s v="Medicare"/>
    <x v="2"/>
    <s v="Medicare"/>
    <n v="29721.56"/>
    <n v="15033.08"/>
    <n v="0"/>
  </r>
  <r>
    <x v="4683"/>
    <s v="Peconic Bay Medical Center"/>
    <n v="2015"/>
    <n v="7"/>
    <s v="Medicare"/>
    <x v="2"/>
    <s v="Medicare"/>
    <n v="47592.24"/>
    <n v="15277.19"/>
    <n v="0"/>
  </r>
  <r>
    <x v="4684"/>
    <s v="Peconic Bay Medical Center"/>
    <n v="2015"/>
    <n v="7"/>
    <s v="Medicare"/>
    <x v="2"/>
    <s v="Medicare"/>
    <n v="49054"/>
    <n v="24490.7"/>
    <n v="0"/>
  </r>
  <r>
    <x v="4685"/>
    <s v="Peconic Bay Medical Center"/>
    <n v="2015"/>
    <n v="7"/>
    <s v="Medicare"/>
    <x v="2"/>
    <s v="Medicare"/>
    <n v="10003.32"/>
    <n v="2663.02"/>
    <n v="0"/>
  </r>
  <r>
    <x v="4686"/>
    <s v="Peconic Bay Medical Center"/>
    <n v="2015"/>
    <n v="7"/>
    <s v="Medicare"/>
    <x v="2"/>
    <s v="Medicare"/>
    <n v="64163.9"/>
    <n v="16531.060000000001"/>
    <n v="0"/>
  </r>
  <r>
    <x v="4687"/>
    <s v="Peconic Bay Medical Center"/>
    <n v="2015"/>
    <n v="7"/>
    <s v="Medicare"/>
    <x v="2"/>
    <s v="Medicare"/>
    <n v="30690.62"/>
    <n v="7369.09"/>
    <n v="0"/>
  </r>
  <r>
    <x v="4688"/>
    <s v="Peconic Bay Medical Center"/>
    <n v="2015"/>
    <n v="7"/>
    <s v="Medicare"/>
    <x v="2"/>
    <s v="Medicare"/>
    <n v="35164.36"/>
    <n v="10797.56"/>
    <n v="0"/>
  </r>
  <r>
    <x v="4689"/>
    <s v="Peconic Bay Medical Center"/>
    <n v="2015"/>
    <n v="7"/>
    <s v="Medicare"/>
    <x v="2"/>
    <s v="Medicare"/>
    <n v="68838.28"/>
    <n v="26192.2"/>
    <n v="0"/>
  </r>
  <r>
    <x v="4690"/>
    <s v="Peconic Bay Medical Center"/>
    <n v="2015"/>
    <n v="7"/>
    <s v="Medicare"/>
    <x v="2"/>
    <s v="Medicare"/>
    <n v="25309.24"/>
    <n v="7073.33"/>
    <n v="0"/>
  </r>
  <r>
    <x v="4691"/>
    <s v="Peconic Bay Medical Center"/>
    <n v="2015"/>
    <n v="7"/>
    <s v="Medicare"/>
    <x v="2"/>
    <s v="Medicare"/>
    <n v="12269.68"/>
    <n v="2802.86"/>
    <n v="0"/>
  </r>
  <r>
    <x v="4692"/>
    <s v="Peconic Bay Medical Center"/>
    <n v="2015"/>
    <n v="7"/>
    <s v="Medicare"/>
    <x v="2"/>
    <s v="Medicare"/>
    <n v="19764.080000000002"/>
    <n v="5762.82"/>
    <n v="0"/>
  </r>
  <r>
    <x v="4693"/>
    <s v="Peconic Bay Medical Center"/>
    <n v="2015"/>
    <n v="7"/>
    <s v="Medicare"/>
    <x v="2"/>
    <s v="Medicare"/>
    <n v="18945.36"/>
    <n v="4607.5"/>
    <n v="0"/>
  </r>
  <r>
    <x v="4694"/>
    <s v="Peconic Bay Medical Center"/>
    <n v="2015"/>
    <n v="7"/>
    <s v="Medicare"/>
    <x v="2"/>
    <s v="Medicare"/>
    <n v="18293.82"/>
    <n v="5375.7"/>
    <n v="0"/>
  </r>
  <r>
    <x v="4695"/>
    <s v="Peconic Bay Medical Center"/>
    <n v="2015"/>
    <n v="7"/>
    <s v="Medicare"/>
    <x v="2"/>
    <s v="Medicare"/>
    <n v="81428.740000000005"/>
    <n v="35401.040000000001"/>
    <n v="0"/>
  </r>
  <r>
    <x v="4696"/>
    <s v="Peconic Bay Medical Center"/>
    <n v="2015"/>
    <n v="7"/>
    <s v="Medicare"/>
    <x v="2"/>
    <s v="Medicare"/>
    <n v="66232.22"/>
    <n v="27789.93"/>
    <n v="0"/>
  </r>
  <r>
    <x v="4697"/>
    <s v="Peconic Bay Medical Center"/>
    <n v="2015"/>
    <n v="7"/>
    <s v="Medicare"/>
    <x v="2"/>
    <s v="Medicare"/>
    <n v="32599.279999999999"/>
    <n v="8417.69"/>
    <n v="0"/>
  </r>
  <r>
    <x v="4698"/>
    <s v="Peconic Bay Medical Center"/>
    <n v="2015"/>
    <n v="7"/>
    <s v="Medicare"/>
    <x v="2"/>
    <s v="Medicare"/>
    <n v="133414.24"/>
    <n v="56888.65"/>
    <n v="0"/>
  </r>
  <r>
    <x v="4699"/>
    <s v="Peconic Bay Medical Center"/>
    <n v="2015"/>
    <n v="7"/>
    <s v="Medicare"/>
    <x v="2"/>
    <s v="Medicare"/>
    <n v="44437.8"/>
    <n v="17420.72"/>
    <n v="0"/>
  </r>
  <r>
    <x v="4700"/>
    <s v="Peconic Bay Medical Center"/>
    <n v="2015"/>
    <n v="7"/>
    <s v="Medicare"/>
    <x v="2"/>
    <s v="Medicare"/>
    <n v="18095.62"/>
    <n v="5064.96"/>
    <n v="0"/>
  </r>
  <r>
    <x v="4701"/>
    <s v="Peconic Bay Medical Center"/>
    <n v="2015"/>
    <n v="7"/>
    <s v="Medicare"/>
    <x v="2"/>
    <s v="Medicare"/>
    <n v="19194.3"/>
    <n v="4949.8"/>
    <n v="0"/>
  </r>
  <r>
    <x v="4702"/>
    <s v="Peconic Bay Medical Center"/>
    <n v="2015"/>
    <n v="7"/>
    <s v="Medicare"/>
    <x v="2"/>
    <s v="Medicare"/>
    <n v="41363.760000000002"/>
    <n v="12570.2"/>
    <n v="0"/>
  </r>
  <r>
    <x v="4703"/>
    <s v="Peconic Bay Medical Center"/>
    <n v="2015"/>
    <n v="7"/>
    <s v="Medicare"/>
    <x v="2"/>
    <s v="Medicare"/>
    <n v="22146.44"/>
    <n v="5424.96"/>
    <n v="0"/>
  </r>
  <r>
    <x v="4704"/>
    <s v="Peconic Bay Medical Center"/>
    <n v="2015"/>
    <n v="7"/>
    <s v="Medicare"/>
    <x v="2"/>
    <s v="Medicare"/>
    <n v="178114.26"/>
    <n v="80649.440000000002"/>
    <n v="0"/>
  </r>
  <r>
    <x v="4705"/>
    <s v="Peconic Bay Medical Center"/>
    <n v="2015"/>
    <n v="7"/>
    <s v="Medicare"/>
    <x v="2"/>
    <s v="Medicare"/>
    <n v="66343.820000000007"/>
    <n v="47098.11"/>
    <n v="0"/>
  </r>
  <r>
    <x v="4706"/>
    <s v="Peconic Bay Medical Center"/>
    <n v="2015"/>
    <n v="7"/>
    <s v="Medicare"/>
    <x v="2"/>
    <s v="Medicare"/>
    <n v="20704.62"/>
    <n v="6310.23"/>
    <n v="0"/>
  </r>
  <r>
    <x v="4707"/>
    <s v="Peconic Bay Medical Center"/>
    <n v="2015"/>
    <n v="7"/>
    <s v="Medicare"/>
    <x v="2"/>
    <s v="Medicare"/>
    <n v="64902.66"/>
    <n v="46679.5"/>
    <n v="0"/>
  </r>
  <r>
    <x v="4708"/>
    <s v="Peconic Bay Medical Center"/>
    <n v="2015"/>
    <n v="7"/>
    <s v="Medicare"/>
    <x v="2"/>
    <s v="Medicare"/>
    <n v="64146.76"/>
    <n v="20055.98"/>
    <n v="0"/>
  </r>
  <r>
    <x v="4709"/>
    <s v="Peconic Bay Medical Center"/>
    <n v="2015"/>
    <n v="7"/>
    <s v="Medicare"/>
    <x v="2"/>
    <s v="Medicare"/>
    <n v="11927.58"/>
    <n v="3963.26"/>
    <n v="0"/>
  </r>
  <r>
    <x v="4710"/>
    <s v="Peconic Bay Medical Center"/>
    <n v="2015"/>
    <n v="7"/>
    <s v="Medicare"/>
    <x v="2"/>
    <s v="Medicare"/>
    <n v="10687.96"/>
    <n v="2389.91"/>
    <n v="0"/>
  </r>
  <r>
    <x v="4711"/>
    <s v="Peconic Bay Medical Center"/>
    <n v="2015"/>
    <n v="7"/>
    <s v="Medicare"/>
    <x v="2"/>
    <s v="Medicare"/>
    <n v="17420.62"/>
    <n v="4759.62"/>
    <n v="0"/>
  </r>
  <r>
    <x v="4712"/>
    <s v="Peconic Bay Medical Center"/>
    <n v="2015"/>
    <n v="7"/>
    <s v="Medicare"/>
    <x v="2"/>
    <s v="Medicare"/>
    <n v="24227.38"/>
    <n v="14408.41"/>
    <n v="0"/>
  </r>
  <r>
    <x v="4713"/>
    <s v="Peconic Bay Medical Center"/>
    <n v="2015"/>
    <n v="7"/>
    <s v="Medicare"/>
    <x v="2"/>
    <s v="Medicare"/>
    <n v="62477.84"/>
    <n v="17439.28"/>
    <n v="0"/>
  </r>
  <r>
    <x v="4714"/>
    <s v="Peconic Bay Medical Center"/>
    <n v="2015"/>
    <n v="7"/>
    <s v="Medicare"/>
    <x v="2"/>
    <s v="Medicare"/>
    <n v="11025.92"/>
    <n v="2918.76"/>
    <n v="0"/>
  </r>
  <r>
    <x v="4715"/>
    <s v="Peconic Bay Medical Center"/>
    <n v="2015"/>
    <n v="7"/>
    <s v="Medicare"/>
    <x v="2"/>
    <s v="Medicare"/>
    <n v="47402.239999999998"/>
    <n v="14198.64"/>
    <n v="0"/>
  </r>
  <r>
    <x v="4716"/>
    <s v="Peconic Bay Medical Center"/>
    <n v="2015"/>
    <n v="7"/>
    <s v="Medicare"/>
    <x v="2"/>
    <s v="Medicare"/>
    <n v="32743.88"/>
    <n v="9571.1"/>
    <n v="0"/>
  </r>
  <r>
    <x v="4717"/>
    <s v="Peconic Bay Medical Center"/>
    <n v="2015"/>
    <n v="7"/>
    <s v="Medicare"/>
    <x v="2"/>
    <s v="Medicare"/>
    <n v="21568.52"/>
    <n v="6337.67"/>
    <n v="0"/>
  </r>
  <r>
    <x v="4718"/>
    <s v="Peconic Bay Medical Center"/>
    <n v="2015"/>
    <n v="7"/>
    <s v="Medicare"/>
    <x v="2"/>
    <s v="Medicare"/>
    <n v="10338.42"/>
    <n v="2693.93"/>
    <n v="0"/>
  </r>
  <r>
    <x v="4719"/>
    <s v="Peconic Bay Medical Center"/>
    <n v="2015"/>
    <n v="7"/>
    <s v="Medicare"/>
    <x v="2"/>
    <s v="Medicare"/>
    <n v="28155.62"/>
    <n v="7372.52"/>
    <n v="0"/>
  </r>
  <r>
    <x v="4720"/>
    <s v="Peconic Bay Medical Center"/>
    <n v="2015"/>
    <n v="7"/>
    <s v="Medicare"/>
    <x v="2"/>
    <s v="Medicare"/>
    <n v="109865.42"/>
    <n v="44168.1"/>
    <n v="0"/>
  </r>
  <r>
    <x v="4721"/>
    <s v="Peconic Bay Medical Center"/>
    <n v="2015"/>
    <n v="7"/>
    <s v="Medicare"/>
    <x v="2"/>
    <s v="Medicare"/>
    <n v="21185.94"/>
    <n v="6555.42"/>
    <n v="0"/>
  </r>
  <r>
    <x v="4722"/>
    <s v="Peconic Bay Medical Center"/>
    <n v="2015"/>
    <n v="7"/>
    <s v="Medicare"/>
    <x v="2"/>
    <s v="Medicare"/>
    <n v="17140.62"/>
    <n v="4092.15"/>
    <n v="0"/>
  </r>
  <r>
    <x v="4723"/>
    <s v="Peconic Bay Medical Center"/>
    <n v="2015"/>
    <n v="7"/>
    <s v="Medicare"/>
    <x v="2"/>
    <s v="Medicare"/>
    <n v="12002.2"/>
    <n v="3171.35"/>
    <n v="0"/>
  </r>
  <r>
    <x v="4724"/>
    <s v="Peconic Bay Medical Center"/>
    <n v="2015"/>
    <n v="7"/>
    <s v="Medicare"/>
    <x v="2"/>
    <s v="Medicare"/>
    <n v="28494.799999999999"/>
    <n v="7553.73"/>
    <n v="0"/>
  </r>
  <r>
    <x v="4725"/>
    <s v="Peconic Bay Medical Center"/>
    <n v="2015"/>
    <n v="7"/>
    <s v="Medicare"/>
    <x v="2"/>
    <s v="Medicare"/>
    <n v="27727.64"/>
    <n v="8166.86"/>
    <n v="0"/>
  </r>
  <r>
    <x v="4726"/>
    <s v="Peconic Bay Medical Center"/>
    <n v="2015"/>
    <n v="7"/>
    <s v="Medicare"/>
    <x v="2"/>
    <s v="Medicare"/>
    <n v="96420"/>
    <n v="33324.910000000003"/>
    <n v="0"/>
  </r>
  <r>
    <x v="4727"/>
    <s v="Peconic Bay Medical Center"/>
    <n v="2015"/>
    <n v="7"/>
    <s v="Medicare"/>
    <x v="2"/>
    <s v="Medicare"/>
    <n v="36233.300000000003"/>
    <n v="10867.36"/>
    <n v="0"/>
  </r>
  <r>
    <x v="4728"/>
    <s v="Peconic Bay Medical Center"/>
    <n v="2015"/>
    <n v="7"/>
    <s v="Medicare"/>
    <x v="2"/>
    <s v="Medicare"/>
    <n v="20669.759999999998"/>
    <n v="6177.87"/>
    <n v="0"/>
  </r>
  <r>
    <x v="4729"/>
    <s v="Peconic Bay Medical Center"/>
    <n v="2015"/>
    <n v="7"/>
    <s v="Medicare"/>
    <x v="2"/>
    <s v="Medicare"/>
    <n v="26733.24"/>
    <n v="6937.04"/>
    <n v="0"/>
  </r>
  <r>
    <x v="4730"/>
    <s v="Peconic Bay Medical Center"/>
    <n v="2015"/>
    <n v="7"/>
    <s v="Medicare"/>
    <x v="2"/>
    <s v="Medicare"/>
    <n v="20490.900000000001"/>
    <n v="5905.14"/>
    <n v="0"/>
  </r>
  <r>
    <x v="4731"/>
    <s v="Peconic Bay Medical Center"/>
    <n v="2015"/>
    <n v="7"/>
    <s v="Medicare"/>
    <x v="2"/>
    <s v="Medicare"/>
    <n v="15272.84"/>
    <n v="4300.17"/>
    <n v="0"/>
  </r>
  <r>
    <x v="4732"/>
    <s v="Peconic Bay Medical Center"/>
    <n v="2015"/>
    <n v="7"/>
    <s v="Medicare"/>
    <x v="2"/>
    <s v="Medicare"/>
    <n v="15400.94"/>
    <n v="3494.31"/>
    <n v="0"/>
  </r>
  <r>
    <x v="4733"/>
    <s v="Peconic Bay Medical Center"/>
    <n v="2015"/>
    <n v="7"/>
    <s v="Medicare"/>
    <x v="2"/>
    <s v="Medicare"/>
    <n v="22284.080000000002"/>
    <n v="6771.48"/>
    <n v="0"/>
  </r>
  <r>
    <x v="4734"/>
    <s v="Peconic Bay Medical Center"/>
    <n v="2015"/>
    <n v="7"/>
    <s v="Medicare"/>
    <x v="2"/>
    <s v="Medicare"/>
    <n v="70531.08"/>
    <n v="21653.89"/>
    <n v="0"/>
  </r>
  <r>
    <x v="4735"/>
    <s v="Peconic Bay Medical Center"/>
    <n v="2015"/>
    <n v="7"/>
    <s v="Medicare"/>
    <x v="2"/>
    <s v="Medicare"/>
    <n v="20724.38"/>
    <n v="5928.78"/>
    <n v="0"/>
  </r>
  <r>
    <x v="4736"/>
    <s v="Peconic Bay Medical Center"/>
    <n v="2015"/>
    <n v="7"/>
    <s v="Medicare"/>
    <x v="2"/>
    <s v="Medicare"/>
    <n v="30712.7"/>
    <n v="8400"/>
    <n v="0"/>
  </r>
  <r>
    <x v="4737"/>
    <s v="Peconic Bay Medical Center"/>
    <n v="2015"/>
    <n v="7"/>
    <s v="Medicare"/>
    <x v="2"/>
    <s v="Medicare"/>
    <n v="18824.16"/>
    <n v="10703.35"/>
    <n v="0"/>
  </r>
  <r>
    <x v="4738"/>
    <s v="Peconic Bay Medical Center"/>
    <n v="2015"/>
    <n v="7"/>
    <s v="Medicare"/>
    <x v="2"/>
    <s v="Medicare"/>
    <n v="23358.9"/>
    <n v="4997.5200000000004"/>
    <n v="0"/>
  </r>
  <r>
    <x v="4739"/>
    <s v="Peconic Bay Medical Center"/>
    <n v="2015"/>
    <n v="7"/>
    <s v="Medicare"/>
    <x v="2"/>
    <s v="Medicare"/>
    <n v="87545.34"/>
    <n v="32776.36"/>
    <n v="0"/>
  </r>
  <r>
    <x v="4740"/>
    <s v="Peconic Bay Medical Center"/>
    <n v="2015"/>
    <n v="7"/>
    <s v="Medicare"/>
    <x v="2"/>
    <s v="Medicare"/>
    <n v="39628"/>
    <n v="12498.82"/>
    <n v="0"/>
  </r>
  <r>
    <x v="4741"/>
    <s v="Peconic Bay Medical Center"/>
    <n v="2015"/>
    <n v="7"/>
    <s v="Medicare"/>
    <x v="2"/>
    <s v="Medicare"/>
    <n v="94603.43"/>
    <n v="44050.35"/>
    <n v="0"/>
  </r>
  <r>
    <x v="4742"/>
    <s v="Peconic Bay Medical Center"/>
    <n v="2015"/>
    <n v="7"/>
    <s v="Medicare"/>
    <x v="2"/>
    <s v="Medicare"/>
    <n v="25975.62"/>
    <n v="7640.81"/>
    <n v="0"/>
  </r>
  <r>
    <x v="4743"/>
    <s v="Peconic Bay Medical Center"/>
    <n v="2015"/>
    <n v="7"/>
    <s v="Medicare"/>
    <x v="2"/>
    <s v="Medicare"/>
    <n v="11823.46"/>
    <n v="3776.8"/>
    <n v="0"/>
  </r>
  <r>
    <x v="4744"/>
    <s v="Peconic Bay Medical Center"/>
    <n v="2015"/>
    <n v="7"/>
    <s v="Medicare"/>
    <x v="2"/>
    <s v="Medicare"/>
    <n v="13777.96"/>
    <n v="4037.54"/>
    <n v="0"/>
  </r>
  <r>
    <x v="4745"/>
    <s v="Peconic Bay Medical Center"/>
    <n v="2015"/>
    <n v="7"/>
    <s v="Medicare"/>
    <x v="2"/>
    <s v="Medicare"/>
    <n v="18598.86"/>
    <n v="5239.84"/>
    <n v="0"/>
  </r>
  <r>
    <x v="4746"/>
    <s v="Peconic Bay Medical Center"/>
    <n v="2015"/>
    <n v="7"/>
    <s v="Medicare"/>
    <x v="2"/>
    <s v="Medicare"/>
    <n v="18449.12"/>
    <n v="4355.7"/>
    <n v="0"/>
  </r>
  <r>
    <x v="4747"/>
    <s v="Peconic Bay Medical Center"/>
    <n v="2015"/>
    <n v="7"/>
    <s v="Medicare"/>
    <x v="2"/>
    <s v="Medicare"/>
    <n v="22199.919999999998"/>
    <n v="6805.69"/>
    <n v="0"/>
  </r>
  <r>
    <x v="4748"/>
    <s v="Peconic Bay Medical Center"/>
    <n v="2015"/>
    <n v="7"/>
    <s v="Medicare"/>
    <x v="2"/>
    <s v="Medicare"/>
    <n v="50733.04"/>
    <n v="25931.91"/>
    <n v="0"/>
  </r>
  <r>
    <x v="4749"/>
    <s v="Peconic Bay Medical Center"/>
    <n v="2015"/>
    <n v="7"/>
    <s v="Medicare"/>
    <x v="2"/>
    <s v="Medicare"/>
    <n v="22985.98"/>
    <n v="6391.16"/>
    <n v="0"/>
  </r>
  <r>
    <x v="4750"/>
    <s v="Peconic Bay Medical Center"/>
    <n v="2015"/>
    <n v="7"/>
    <s v="Medicare"/>
    <x v="2"/>
    <s v="Medicare"/>
    <n v="21330.9"/>
    <n v="5940.5"/>
    <n v="0"/>
  </r>
  <r>
    <x v="4751"/>
    <s v="Peconic Bay Medical Center"/>
    <n v="2015"/>
    <n v="7"/>
    <s v="Medicare"/>
    <x v="2"/>
    <s v="Medicare"/>
    <n v="23472.959999999999"/>
    <n v="6583.05"/>
    <n v="0"/>
  </r>
  <r>
    <x v="4752"/>
    <s v="Peconic Bay Medical Center"/>
    <n v="2015"/>
    <n v="7"/>
    <s v="Medicare"/>
    <x v="2"/>
    <s v="Medicare"/>
    <n v="32706.06"/>
    <n v="18124.77"/>
    <n v="0"/>
  </r>
  <r>
    <x v="4753"/>
    <s v="Peconic Bay Medical Center"/>
    <n v="2015"/>
    <n v="7"/>
    <s v="Medicare"/>
    <x v="2"/>
    <s v="Medicare"/>
    <n v="8058.42"/>
    <n v="2294.92"/>
    <n v="0"/>
  </r>
  <r>
    <x v="4754"/>
    <s v="Peconic Bay Medical Center"/>
    <n v="2015"/>
    <n v="7"/>
    <s v="Medicare"/>
    <x v="2"/>
    <s v="Medicare"/>
    <n v="37731.56"/>
    <n v="13065.25"/>
    <n v="0"/>
  </r>
  <r>
    <x v="4755"/>
    <s v="Peconic Bay Medical Center"/>
    <n v="2015"/>
    <n v="7"/>
    <s v="Medicare"/>
    <x v="2"/>
    <s v="Medicare"/>
    <n v="22721.040000000001"/>
    <n v="4625.25"/>
    <n v="0"/>
  </r>
  <r>
    <x v="4756"/>
    <s v="Peconic Bay Medical Center"/>
    <n v="2015"/>
    <n v="7"/>
    <s v="Medicare"/>
    <x v="2"/>
    <s v="Medicare"/>
    <n v="18487.54"/>
    <n v="4886.47"/>
    <n v="0"/>
  </r>
  <r>
    <x v="4757"/>
    <s v="Peconic Bay Medical Center"/>
    <n v="2015"/>
    <n v="7"/>
    <s v="Medicare"/>
    <x v="2"/>
    <s v="Medicare"/>
    <n v="29186.7"/>
    <n v="8843.7099999999991"/>
    <n v="0"/>
  </r>
  <r>
    <x v="4758"/>
    <s v="Peconic Bay Medical Center"/>
    <n v="2015"/>
    <n v="7"/>
    <s v="Medicare"/>
    <x v="2"/>
    <s v="Medicare"/>
    <n v="8808.94"/>
    <n v="2410.44"/>
    <n v="0"/>
  </r>
  <r>
    <x v="4759"/>
    <s v="Peconic Bay Medical Center"/>
    <n v="2015"/>
    <n v="7"/>
    <s v="Medicare"/>
    <x v="2"/>
    <s v="Medicare"/>
    <n v="15446.38"/>
    <n v="4486.67"/>
    <n v="0"/>
  </r>
  <r>
    <x v="4760"/>
    <s v="Peconic Bay Medical Center"/>
    <n v="2015"/>
    <n v="7"/>
    <s v="Medicare"/>
    <x v="2"/>
    <s v="Medicare"/>
    <n v="47101.36"/>
    <n v="16796.439999999999"/>
    <n v="0"/>
  </r>
  <r>
    <x v="4761"/>
    <s v="Peconic Bay Medical Center"/>
    <n v="2015"/>
    <n v="7"/>
    <s v="Medicare"/>
    <x v="2"/>
    <s v="Medicare"/>
    <n v="20729.419999999998"/>
    <n v="6144.61"/>
    <n v="0"/>
  </r>
  <r>
    <x v="4762"/>
    <s v="Peconic Bay Medical Center"/>
    <n v="2015"/>
    <n v="7"/>
    <s v="Medicare"/>
    <x v="2"/>
    <s v="Medicare"/>
    <n v="26796.92"/>
    <n v="6960.53"/>
    <n v="0"/>
  </r>
  <r>
    <x v="4763"/>
    <s v="Peconic Bay Medical Center"/>
    <n v="2015"/>
    <n v="7"/>
    <s v="Medicare"/>
    <x v="2"/>
    <s v="Medicare"/>
    <n v="23358.2"/>
    <n v="6499.43"/>
    <n v="0"/>
  </r>
  <r>
    <x v="4764"/>
    <s v="Peconic Bay Medical Center"/>
    <n v="2015"/>
    <n v="7"/>
    <s v="Medicare"/>
    <x v="2"/>
    <s v="Medicare"/>
    <n v="18829.8"/>
    <n v="4928.3900000000003"/>
    <n v="0"/>
  </r>
  <r>
    <x v="4765"/>
    <s v="Peconic Bay Medical Center"/>
    <n v="2015"/>
    <n v="7"/>
    <s v="Medicare"/>
    <x v="2"/>
    <s v="Medicare"/>
    <n v="150391.18"/>
    <n v="75812.27"/>
    <n v="0"/>
  </r>
  <r>
    <x v="4766"/>
    <s v="Peconic Bay Medical Center"/>
    <n v="2015"/>
    <n v="7"/>
    <s v="Medicare"/>
    <x v="2"/>
    <s v="Medicare"/>
    <n v="16319.5"/>
    <n v="3503.78"/>
    <n v="0"/>
  </r>
  <r>
    <x v="4767"/>
    <s v="Peconic Bay Medical Center"/>
    <n v="2015"/>
    <n v="7"/>
    <s v="Medicare"/>
    <x v="2"/>
    <s v="Medicare"/>
    <n v="25138.3"/>
    <n v="6375.29"/>
    <n v="0"/>
  </r>
  <r>
    <x v="4768"/>
    <s v="Peconic Bay Medical Center"/>
    <n v="2015"/>
    <n v="7"/>
    <s v="Medicare"/>
    <x v="2"/>
    <s v="Medicare"/>
    <n v="15893.66"/>
    <n v="4133.58"/>
    <n v="0"/>
  </r>
  <r>
    <x v="4769"/>
    <s v="Peconic Bay Medical Center"/>
    <n v="2015"/>
    <n v="7"/>
    <s v="Medicare"/>
    <x v="2"/>
    <s v="Medicare"/>
    <n v="37434.559999999998"/>
    <n v="11034.04"/>
    <n v="0"/>
  </r>
  <r>
    <x v="4770"/>
    <s v="Peconic Bay Medical Center"/>
    <n v="2015"/>
    <n v="7"/>
    <s v="Medicare"/>
    <x v="2"/>
    <s v="Medicare"/>
    <n v="7361.92"/>
    <n v="2225.65"/>
    <n v="0"/>
  </r>
  <r>
    <x v="4771"/>
    <s v="Peconic Bay Medical Center"/>
    <n v="2015"/>
    <n v="7"/>
    <s v="Medicare"/>
    <x v="2"/>
    <s v="Medicare"/>
    <n v="76815.839999999997"/>
    <n v="23723.33"/>
    <n v="0"/>
  </r>
  <r>
    <x v="4772"/>
    <s v="Peconic Bay Medical Center"/>
    <n v="2015"/>
    <n v="7"/>
    <s v="Medicare"/>
    <x v="2"/>
    <s v="Medicare"/>
    <n v="62940.76"/>
    <n v="42036.39"/>
    <n v="0"/>
  </r>
  <r>
    <x v="4773"/>
    <s v="Peconic Bay Medical Center"/>
    <n v="2015"/>
    <n v="7"/>
    <s v="Medicare"/>
    <x v="2"/>
    <s v="Medicare"/>
    <n v="34188.6"/>
    <n v="13019.61"/>
    <n v="0"/>
  </r>
  <r>
    <x v="4774"/>
    <s v="Peconic Bay Medical Center"/>
    <n v="2015"/>
    <n v="7"/>
    <s v="Medicare"/>
    <x v="2"/>
    <s v="Medicare"/>
    <n v="23866.58"/>
    <n v="6395.14"/>
    <n v="0"/>
  </r>
  <r>
    <x v="4775"/>
    <s v="Peconic Bay Medical Center"/>
    <n v="2015"/>
    <n v="7"/>
    <s v="Medicare"/>
    <x v="2"/>
    <s v="Medicare"/>
    <n v="20536"/>
    <n v="5117.5"/>
    <n v="0"/>
  </r>
  <r>
    <x v="4776"/>
    <s v="Peconic Bay Medical Center"/>
    <n v="2015"/>
    <n v="7"/>
    <s v="Medicare"/>
    <x v="2"/>
    <s v="Medicare"/>
    <n v="136949.39000000001"/>
    <n v="97743.79"/>
    <n v="0"/>
  </r>
  <r>
    <x v="4777"/>
    <s v="Peconic Bay Medical Center"/>
    <n v="2015"/>
    <n v="7"/>
    <s v="Medicare"/>
    <x v="2"/>
    <s v="Medicare"/>
    <n v="14331.86"/>
    <n v="4148.24"/>
    <n v="0"/>
  </r>
  <r>
    <x v="4778"/>
    <s v="Peconic Bay Medical Center"/>
    <n v="2015"/>
    <n v="7"/>
    <s v="Medicare"/>
    <x v="2"/>
    <s v="Medicare"/>
    <n v="20140.099999999999"/>
    <n v="4623.8"/>
    <n v="0"/>
  </r>
  <r>
    <x v="4779"/>
    <s v="Peconic Bay Medical Center"/>
    <n v="2015"/>
    <n v="7"/>
    <s v="Medicare"/>
    <x v="2"/>
    <s v="Medicare"/>
    <n v="28060.240000000002"/>
    <n v="11536.56"/>
    <n v="0"/>
  </r>
  <r>
    <x v="4780"/>
    <s v="Peconic Bay Medical Center"/>
    <n v="2015"/>
    <n v="7"/>
    <s v="Medicare"/>
    <x v="2"/>
    <s v="Medicare"/>
    <n v="20071.400000000001"/>
    <n v="4682.96"/>
    <n v="0"/>
  </r>
  <r>
    <x v="4781"/>
    <s v="Peconic Bay Medical Center"/>
    <n v="2015"/>
    <n v="7"/>
    <s v="Medicare"/>
    <x v="2"/>
    <s v="Medicare"/>
    <n v="27539"/>
    <n v="7685.59"/>
    <n v="0"/>
  </r>
  <r>
    <x v="4782"/>
    <s v="Peconic Bay Medical Center"/>
    <n v="2015"/>
    <n v="7"/>
    <s v="Medicare"/>
    <x v="2"/>
    <s v="Medicare"/>
    <n v="34802.120000000003"/>
    <n v="9848.17"/>
    <n v="0"/>
  </r>
  <r>
    <x v="4783"/>
    <s v="Peconic Bay Medical Center"/>
    <n v="2015"/>
    <n v="7"/>
    <s v="Medicare"/>
    <x v="2"/>
    <s v="Medicare"/>
    <n v="9833.7199999999993"/>
    <n v="2743.39"/>
    <n v="0"/>
  </r>
  <r>
    <x v="4784"/>
    <s v="Peconic Bay Medical Center"/>
    <n v="2015"/>
    <n v="7"/>
    <s v="Medicare"/>
    <x v="2"/>
    <s v="Medicare"/>
    <n v="24916.76"/>
    <n v="6294.71"/>
    <n v="0"/>
  </r>
  <r>
    <x v="4785"/>
    <s v="Peconic Bay Medical Center"/>
    <n v="2015"/>
    <n v="7"/>
    <s v="Medicare"/>
    <x v="2"/>
    <s v="Medicare"/>
    <n v="40152.480000000003"/>
    <n v="10193.450000000001"/>
    <n v="0"/>
  </r>
  <r>
    <x v="4786"/>
    <s v="Peconic Bay Medical Center"/>
    <n v="2015"/>
    <n v="7"/>
    <s v="Medicare"/>
    <x v="2"/>
    <s v="Medicare"/>
    <n v="40217.300000000003"/>
    <n v="10614.43"/>
    <n v="0"/>
  </r>
  <r>
    <x v="4787"/>
    <s v="Peconic Bay Medical Center"/>
    <n v="2015"/>
    <n v="7"/>
    <s v="Medicare"/>
    <x v="2"/>
    <s v="Medicare"/>
    <n v="73913.86"/>
    <n v="34880.269999999997"/>
    <n v="0"/>
  </r>
  <r>
    <x v="4788"/>
    <s v="Peconic Bay Medical Center"/>
    <n v="2015"/>
    <n v="7"/>
    <s v="Medicare"/>
    <x v="2"/>
    <s v="Medicare"/>
    <n v="67519.02"/>
    <n v="47261.04"/>
    <n v="0"/>
  </r>
  <r>
    <x v="4789"/>
    <s v="Peconic Bay Medical Center"/>
    <n v="2015"/>
    <n v="7"/>
    <s v="Medicare"/>
    <x v="2"/>
    <s v="Medicare"/>
    <n v="28633.32"/>
    <n v="7136.13"/>
    <n v="0"/>
  </r>
  <r>
    <x v="4790"/>
    <s v="Peconic Bay Medical Center"/>
    <n v="2015"/>
    <n v="7"/>
    <s v="Medicare"/>
    <x v="2"/>
    <s v="Medicare"/>
    <n v="42448.22"/>
    <n v="12200.52"/>
    <n v="0"/>
  </r>
  <r>
    <x v="4791"/>
    <s v="Peconic Bay Medical Center"/>
    <n v="2015"/>
    <n v="7"/>
    <s v="Medicare"/>
    <x v="2"/>
    <s v="Medicare"/>
    <n v="37027.360000000001"/>
    <n v="10456.129999999999"/>
    <n v="0"/>
  </r>
  <r>
    <x v="4792"/>
    <s v="Peconic Bay Medical Center"/>
    <n v="2015"/>
    <n v="7"/>
    <s v="Medicare"/>
    <x v="2"/>
    <s v="Medicare"/>
    <n v="63851.839999999997"/>
    <n v="45874.16"/>
    <n v="0"/>
  </r>
  <r>
    <x v="4793"/>
    <s v="Peconic Bay Medical Center"/>
    <n v="2015"/>
    <n v="7"/>
    <s v="Medicare"/>
    <x v="2"/>
    <s v="Medicare"/>
    <n v="76264.3"/>
    <n v="24760.25"/>
    <n v="0"/>
  </r>
  <r>
    <x v="4794"/>
    <s v="Peconic Bay Medical Center"/>
    <n v="2015"/>
    <n v="7"/>
    <s v="Medicare"/>
    <x v="2"/>
    <s v="Medicare"/>
    <n v="26561.8"/>
    <n v="8041.92"/>
    <n v="0"/>
  </r>
  <r>
    <x v="4795"/>
    <s v="Peconic Bay Medical Center"/>
    <n v="2015"/>
    <n v="7"/>
    <s v="Medicare"/>
    <x v="2"/>
    <s v="Medicare"/>
    <n v="16529.419999999998"/>
    <n v="4241.17"/>
    <n v="0"/>
  </r>
  <r>
    <x v="4796"/>
    <s v="Peconic Bay Medical Center"/>
    <n v="2015"/>
    <n v="7"/>
    <s v="Medicare"/>
    <x v="2"/>
    <s v="Medicare"/>
    <n v="23813.9"/>
    <n v="8669.99"/>
    <n v="0"/>
  </r>
  <r>
    <x v="4797"/>
    <s v="Peconic Bay Medical Center"/>
    <n v="2015"/>
    <n v="7"/>
    <s v="Medicare"/>
    <x v="2"/>
    <s v="Medicare"/>
    <n v="12780.36"/>
    <n v="2590.0100000000002"/>
    <n v="0"/>
  </r>
  <r>
    <x v="4798"/>
    <s v="Peconic Bay Medical Center"/>
    <n v="2015"/>
    <n v="7"/>
    <s v="Medicare"/>
    <x v="2"/>
    <s v="Medicare"/>
    <n v="38430.78"/>
    <n v="11865.99"/>
    <n v="0"/>
  </r>
  <r>
    <x v="4799"/>
    <s v="Peconic Bay Medical Center"/>
    <n v="2015"/>
    <n v="7"/>
    <s v="Medicare"/>
    <x v="2"/>
    <s v="Medicare"/>
    <n v="24126.84"/>
    <n v="7608.82"/>
    <n v="0"/>
  </r>
  <r>
    <x v="4800"/>
    <s v="Peconic Bay Medical Center"/>
    <n v="2015"/>
    <n v="7"/>
    <s v="Medicare"/>
    <x v="2"/>
    <s v="Medicare"/>
    <n v="43546.559999999998"/>
    <n v="17046.560000000001"/>
    <n v="0"/>
  </r>
  <r>
    <x v="4801"/>
    <s v="Peconic Bay Medical Center"/>
    <n v="2015"/>
    <n v="7"/>
    <s v="Medicare"/>
    <x v="2"/>
    <s v="Medicare"/>
    <n v="21363.1"/>
    <n v="11319.91"/>
    <n v="0"/>
  </r>
  <r>
    <x v="4802"/>
    <s v="Peconic Bay Medical Center"/>
    <n v="2015"/>
    <n v="7"/>
    <s v="Medicare"/>
    <x v="2"/>
    <s v="Medicare"/>
    <n v="38745.699999999997"/>
    <n v="10343.57"/>
    <n v="0"/>
  </r>
  <r>
    <x v="4803"/>
    <s v="Peconic Bay Medical Center"/>
    <n v="2015"/>
    <n v="7"/>
    <s v="Medicare"/>
    <x v="2"/>
    <s v="Medicare"/>
    <n v="41808.36"/>
    <n v="11804.84"/>
    <n v="0"/>
  </r>
  <r>
    <x v="4804"/>
    <s v="Peconic Bay Medical Center"/>
    <n v="2015"/>
    <n v="7"/>
    <s v="Medicare"/>
    <x v="2"/>
    <s v="Medicare"/>
    <n v="62559.88"/>
    <n v="49261.59"/>
    <n v="0"/>
  </r>
  <r>
    <x v="4805"/>
    <s v="Peconic Bay Medical Center"/>
    <n v="2015"/>
    <n v="7"/>
    <s v="Medicare"/>
    <x v="2"/>
    <s v="Medicare"/>
    <n v="17476.68"/>
    <n v="4401.5"/>
    <n v="0"/>
  </r>
  <r>
    <x v="4806"/>
    <s v="Peconic Bay Medical Center"/>
    <n v="2015"/>
    <n v="7"/>
    <s v="Medicare"/>
    <x v="2"/>
    <s v="Medicare"/>
    <n v="12349.54"/>
    <n v="3071.73"/>
    <n v="0"/>
  </r>
  <r>
    <x v="4807"/>
    <s v="Peconic Bay Medical Center"/>
    <n v="2015"/>
    <n v="7"/>
    <s v="Medicare"/>
    <x v="2"/>
    <s v="Medicare"/>
    <n v="12699.84"/>
    <n v="4881.47"/>
    <n v="0"/>
  </r>
  <r>
    <x v="4808"/>
    <s v="Peconic Bay Medical Center"/>
    <n v="2015"/>
    <n v="7"/>
    <s v="Medicare"/>
    <x v="2"/>
    <s v="Medicare"/>
    <n v="9988.82"/>
    <n v="2722.94"/>
    <n v="0"/>
  </r>
  <r>
    <x v="4809"/>
    <s v="Peconic Bay Medical Center"/>
    <n v="2015"/>
    <n v="7"/>
    <s v="Medicare"/>
    <x v="2"/>
    <s v="Medicare"/>
    <n v="14908.54"/>
    <n v="4110.0200000000004"/>
    <n v="0"/>
  </r>
  <r>
    <x v="4810"/>
    <s v="Peconic Bay Medical Center"/>
    <n v="2015"/>
    <n v="7"/>
    <s v="Medicare"/>
    <x v="2"/>
    <s v="Medicare"/>
    <n v="23147.74"/>
    <n v="7018.02"/>
    <n v="0"/>
  </r>
  <r>
    <x v="4811"/>
    <s v="Peconic Bay Medical Center"/>
    <n v="2015"/>
    <n v="7"/>
    <s v="Medicare"/>
    <x v="2"/>
    <s v="Medicare"/>
    <n v="39419.68"/>
    <n v="9843.39"/>
    <n v="0"/>
  </r>
  <r>
    <x v="4812"/>
    <s v="Peconic Bay Medical Center"/>
    <n v="2015"/>
    <n v="7"/>
    <s v="Medicare"/>
    <x v="2"/>
    <s v="Medicare"/>
    <n v="21727.62"/>
    <n v="6090.68"/>
    <n v="0"/>
  </r>
  <r>
    <x v="4813"/>
    <s v="Peconic Bay Medical Center"/>
    <n v="2015"/>
    <n v="7"/>
    <s v="Medicare"/>
    <x v="2"/>
    <s v="Medicare"/>
    <n v="71868.539999999994"/>
    <n v="51405.120000000003"/>
    <n v="0"/>
  </r>
  <r>
    <x v="4814"/>
    <s v="Peconic Bay Medical Center"/>
    <n v="2015"/>
    <n v="7"/>
    <s v="Medicare"/>
    <x v="2"/>
    <s v="Medicare"/>
    <n v="28367.119999999999"/>
    <n v="8562.44"/>
    <n v="0"/>
  </r>
  <r>
    <x v="4815"/>
    <s v="Peconic Bay Medical Center"/>
    <n v="2015"/>
    <n v="7"/>
    <s v="Medicare"/>
    <x v="2"/>
    <s v="Medicare"/>
    <n v="28687.72"/>
    <n v="5404.44"/>
    <n v="0"/>
  </r>
  <r>
    <x v="4816"/>
    <s v="Peconic Bay Medical Center"/>
    <n v="2015"/>
    <n v="7"/>
    <s v="Medicare"/>
    <x v="2"/>
    <s v="Medicare"/>
    <n v="24033.18"/>
    <n v="6606.27"/>
    <n v="0"/>
  </r>
  <r>
    <x v="4817"/>
    <s v="Peconic Bay Medical Center"/>
    <n v="2015"/>
    <n v="7"/>
    <s v="Medicare"/>
    <x v="2"/>
    <s v="Medicare"/>
    <n v="65012.32"/>
    <n v="30466.06"/>
    <n v="0"/>
  </r>
  <r>
    <x v="4818"/>
    <s v="Peconic Bay Medical Center"/>
    <n v="2015"/>
    <n v="7"/>
    <s v="Medicare"/>
    <x v="2"/>
    <s v="Medicare"/>
    <n v="35214.400000000001"/>
    <n v="9667.68"/>
    <n v="0"/>
  </r>
  <r>
    <x v="4819"/>
    <s v="Peconic Bay Medical Center"/>
    <n v="2015"/>
    <n v="7"/>
    <s v="Medicare"/>
    <x v="2"/>
    <s v="Medicare"/>
    <n v="70080.52"/>
    <n v="20808.669999999998"/>
    <n v="0"/>
  </r>
  <r>
    <x v="4820"/>
    <s v="Peconic Bay Medical Center"/>
    <n v="2015"/>
    <n v="7"/>
    <s v="Medicare"/>
    <x v="2"/>
    <s v="Medicare"/>
    <n v="25723.26"/>
    <n v="6037.13"/>
    <n v="0"/>
  </r>
  <r>
    <x v="4821"/>
    <s v="Peconic Bay Medical Center"/>
    <n v="2015"/>
    <n v="7"/>
    <s v="Medicare"/>
    <x v="2"/>
    <s v="Medicare"/>
    <n v="29090.82"/>
    <n v="11983.56"/>
    <n v="0"/>
  </r>
  <r>
    <x v="4822"/>
    <s v="Peconic Bay Medical Center"/>
    <n v="2015"/>
    <n v="7"/>
    <s v="Medicare"/>
    <x v="2"/>
    <s v="Medicare"/>
    <n v="9143.14"/>
    <n v="2714.46"/>
    <n v="0"/>
  </r>
  <r>
    <x v="4823"/>
    <s v="Peconic Bay Medical Center"/>
    <n v="2015"/>
    <n v="7"/>
    <s v="Medicare"/>
    <x v="2"/>
    <s v="Medicare"/>
    <n v="15378.62"/>
    <n v="4618.51"/>
    <n v="0"/>
  </r>
  <r>
    <x v="4824"/>
    <s v="Peconic Bay Medical Center"/>
    <n v="2015"/>
    <n v="7"/>
    <s v="Medicare"/>
    <x v="2"/>
    <s v="Medicare"/>
    <n v="17065.14"/>
    <n v="4868.37"/>
    <n v="0"/>
  </r>
  <r>
    <x v="4825"/>
    <s v="Peconic Bay Medical Center"/>
    <n v="2015"/>
    <n v="7"/>
    <s v="Medicare"/>
    <x v="2"/>
    <s v="Medicare"/>
    <n v="40630.199999999997"/>
    <n v="9154.35"/>
    <n v="0"/>
  </r>
  <r>
    <x v="4826"/>
    <s v="Peconic Bay Medical Center"/>
    <n v="2015"/>
    <n v="7"/>
    <s v="Medicare"/>
    <x v="2"/>
    <s v="Medicare"/>
    <n v="12748.5"/>
    <n v="3297.47"/>
    <n v="0"/>
  </r>
  <r>
    <x v="4827"/>
    <s v="Peconic Bay Medical Center"/>
    <n v="2015"/>
    <n v="7"/>
    <s v="Medicare"/>
    <x v="2"/>
    <s v="Medicare"/>
    <n v="35488.14"/>
    <n v="10186.540000000001"/>
    <n v="0"/>
  </r>
  <r>
    <x v="4828"/>
    <s v="Peconic Bay Medical Center"/>
    <n v="2015"/>
    <n v="7"/>
    <s v="Medicare"/>
    <x v="2"/>
    <s v="Medicare"/>
    <n v="23019.62"/>
    <n v="6823.9"/>
    <n v="0"/>
  </r>
  <r>
    <x v="4829"/>
    <s v="Peconic Bay Medical Center"/>
    <n v="2015"/>
    <n v="7"/>
    <s v="Medicare"/>
    <x v="2"/>
    <s v="Medicare"/>
    <n v="34633.800000000003"/>
    <n v="10258.540000000001"/>
    <n v="0"/>
  </r>
  <r>
    <x v="4830"/>
    <s v="Peconic Bay Medical Center"/>
    <n v="2015"/>
    <n v="7"/>
    <s v="Medicare"/>
    <x v="2"/>
    <s v="Medicare"/>
    <n v="30261.18"/>
    <n v="13711.13"/>
    <n v="0"/>
  </r>
  <r>
    <x v="4831"/>
    <s v="Peconic Bay Medical Center"/>
    <n v="2015"/>
    <n v="7"/>
    <s v="Medicare"/>
    <x v="2"/>
    <s v="Medicare"/>
    <n v="31084.16"/>
    <n v="8253.56"/>
    <n v="0"/>
  </r>
  <r>
    <x v="4832"/>
    <s v="Peconic Bay Medical Center"/>
    <n v="2015"/>
    <n v="7"/>
    <s v="Medicare"/>
    <x v="2"/>
    <s v="Medicare"/>
    <n v="10309.52"/>
    <n v="2633.25"/>
    <n v="0"/>
  </r>
  <r>
    <x v="4833"/>
    <s v="Peconic Bay Medical Center"/>
    <n v="2015"/>
    <n v="7"/>
    <s v="Medicare"/>
    <x v="2"/>
    <s v="Medicare"/>
    <n v="29982.6"/>
    <n v="8529.06"/>
    <n v="0"/>
  </r>
  <r>
    <x v="4834"/>
    <s v="Peconic Bay Medical Center"/>
    <n v="2015"/>
    <n v="7"/>
    <s v="Medicare"/>
    <x v="2"/>
    <s v="Medicare"/>
    <n v="18192.5"/>
    <n v="3394.07"/>
    <n v="0"/>
  </r>
  <r>
    <x v="4835"/>
    <s v="Peconic Bay Medical Center"/>
    <n v="2015"/>
    <n v="7"/>
    <s v="Medicare"/>
    <x v="2"/>
    <s v="Medicare"/>
    <n v="16902.64"/>
    <n v="5087.92"/>
    <n v="0"/>
  </r>
  <r>
    <x v="4836"/>
    <s v="Peconic Bay Medical Center"/>
    <n v="2015"/>
    <n v="7"/>
    <s v="Medicare"/>
    <x v="2"/>
    <s v="Medicare"/>
    <n v="47746.6"/>
    <n v="27990.639999999999"/>
    <n v="0"/>
  </r>
  <r>
    <x v="4837"/>
    <s v="Peconic Bay Medical Center"/>
    <n v="2015"/>
    <n v="7"/>
    <s v="Medicare"/>
    <x v="2"/>
    <s v="Medicare"/>
    <n v="22441"/>
    <n v="8307.1299999999992"/>
    <n v="0"/>
  </r>
  <r>
    <x v="4838"/>
    <s v="Peconic Bay Medical Center"/>
    <n v="2015"/>
    <n v="7"/>
    <s v="Medicare"/>
    <x v="2"/>
    <s v="Medicare"/>
    <n v="20571.82"/>
    <n v="4744.33"/>
    <n v="0"/>
  </r>
  <r>
    <x v="4839"/>
    <s v="Peconic Bay Medical Center"/>
    <n v="2015"/>
    <n v="7"/>
    <s v="Medicare"/>
    <x v="2"/>
    <s v="Medicare"/>
    <n v="18262.580000000002"/>
    <n v="5244.86"/>
    <n v="0"/>
  </r>
  <r>
    <x v="4840"/>
    <s v="Peconic Bay Medical Center"/>
    <n v="2015"/>
    <n v="7"/>
    <s v="Medicare"/>
    <x v="2"/>
    <s v="Medicare"/>
    <n v="9479.4"/>
    <n v="2504.4899999999998"/>
    <n v="0"/>
  </r>
  <r>
    <x v="4841"/>
    <s v="Peconic Bay Medical Center"/>
    <n v="2015"/>
    <n v="7"/>
    <s v="Medicare"/>
    <x v="2"/>
    <s v="Medicare"/>
    <n v="20577.38"/>
    <n v="3472.79"/>
    <n v="0"/>
  </r>
  <r>
    <x v="4842"/>
    <s v="Peconic Bay Medical Center"/>
    <n v="2015"/>
    <n v="7"/>
    <s v="Medicare"/>
    <x v="2"/>
    <s v="Medicare"/>
    <n v="20425.8"/>
    <n v="5030.54"/>
    <n v="0"/>
  </r>
  <r>
    <x v="4843"/>
    <s v="Peconic Bay Medical Center"/>
    <n v="2015"/>
    <n v="7"/>
    <s v="Medicare"/>
    <x v="2"/>
    <s v="Medicare"/>
    <n v="60093.52"/>
    <n v="45088.92"/>
    <n v="0"/>
  </r>
  <r>
    <x v="4844"/>
    <s v="Peconic Bay Medical Center"/>
    <n v="2015"/>
    <n v="7"/>
    <s v="Medicare"/>
    <x v="2"/>
    <s v="Medicare"/>
    <n v="12939.4"/>
    <n v="3951.81"/>
    <n v="0"/>
  </r>
  <r>
    <x v="4845"/>
    <s v="Peconic Bay Medical Center"/>
    <n v="2015"/>
    <n v="7"/>
    <s v="Medicare"/>
    <x v="2"/>
    <s v="Medicare"/>
    <n v="35007.120000000003"/>
    <n v="10579.44"/>
    <n v="0"/>
  </r>
  <r>
    <x v="4846"/>
    <s v="Peconic Bay Medical Center"/>
    <n v="2015"/>
    <n v="7"/>
    <s v="Medicare"/>
    <x v="2"/>
    <s v="Medicare"/>
    <n v="37868.14"/>
    <n v="10938.24"/>
    <n v="0"/>
  </r>
  <r>
    <x v="4847"/>
    <s v="Peconic Bay Medical Center"/>
    <n v="2015"/>
    <n v="7"/>
    <s v="Medicare"/>
    <x v="2"/>
    <s v="Medicare"/>
    <n v="21800.44"/>
    <n v="9286.08"/>
    <n v="0"/>
  </r>
  <r>
    <x v="4848"/>
    <s v="Peconic Bay Medical Center"/>
    <n v="2015"/>
    <n v="7"/>
    <s v="Medicare"/>
    <x v="2"/>
    <s v="Medicare"/>
    <n v="6728.82"/>
    <n v="2047.78"/>
    <n v="0"/>
  </r>
  <r>
    <x v="4849"/>
    <s v="Peconic Bay Medical Center"/>
    <n v="2015"/>
    <n v="7"/>
    <s v="Medicare"/>
    <x v="2"/>
    <s v="Medicare"/>
    <n v="19069.259999999998"/>
    <n v="5002.6000000000004"/>
    <n v="0"/>
  </r>
  <r>
    <x v="4850"/>
    <s v="Peconic Bay Medical Center"/>
    <n v="2015"/>
    <n v="7"/>
    <s v="Medicare"/>
    <x v="2"/>
    <s v="Medicare"/>
    <n v="55650.78"/>
    <n v="16918.419999999998"/>
    <n v="0"/>
  </r>
  <r>
    <x v="4851"/>
    <s v="Peconic Bay Medical Center"/>
    <n v="2015"/>
    <n v="7"/>
    <s v="Medicare"/>
    <x v="2"/>
    <s v="Medicare"/>
    <n v="60722.76"/>
    <n v="17817.32"/>
    <n v="0"/>
  </r>
  <r>
    <x v="4852"/>
    <s v="Peconic Bay Medical Center"/>
    <n v="2015"/>
    <n v="7"/>
    <s v="Medicare"/>
    <x v="2"/>
    <s v="Medicare"/>
    <n v="102690.22"/>
    <n v="45552.98"/>
    <n v="0"/>
  </r>
  <r>
    <x v="4853"/>
    <s v="Peconic Bay Medical Center"/>
    <n v="2015"/>
    <n v="7"/>
    <s v="Medicare"/>
    <x v="2"/>
    <s v="Medicare"/>
    <n v="20055.82"/>
    <n v="5699.77"/>
    <n v="0"/>
  </r>
  <r>
    <x v="4854"/>
    <s v="Peconic Bay Medical Center"/>
    <n v="2015"/>
    <n v="7"/>
    <s v="Medicare"/>
    <x v="2"/>
    <s v="Medicare"/>
    <n v="72347.98"/>
    <n v="54426.47"/>
    <n v="0"/>
  </r>
  <r>
    <x v="4855"/>
    <s v="Peconic Bay Medical Center"/>
    <n v="2015"/>
    <n v="7"/>
    <s v="Medicare"/>
    <x v="2"/>
    <s v="Medicare"/>
    <n v="17647.240000000002"/>
    <n v="4782.0200000000004"/>
    <n v="0"/>
  </r>
  <r>
    <x v="4856"/>
    <s v="Peconic Bay Medical Center"/>
    <n v="2015"/>
    <n v="7"/>
    <s v="Medicare"/>
    <x v="2"/>
    <s v="Medicare"/>
    <n v="21239.26"/>
    <n v="6362.49"/>
    <n v="0"/>
  </r>
  <r>
    <x v="4857"/>
    <s v="Peconic Bay Medical Center"/>
    <n v="2015"/>
    <n v="7"/>
    <s v="Medicare"/>
    <x v="2"/>
    <s v="Medicare"/>
    <n v="103050.96"/>
    <n v="49413.11"/>
    <n v="0"/>
  </r>
  <r>
    <x v="4858"/>
    <s v="Peconic Bay Medical Center"/>
    <n v="2015"/>
    <n v="7"/>
    <s v="Medicare"/>
    <x v="2"/>
    <s v="Medicare"/>
    <n v="33446.720000000001"/>
    <n v="9791.66"/>
    <n v="0"/>
  </r>
  <r>
    <x v="4859"/>
    <s v="Peconic Bay Medical Center"/>
    <n v="2015"/>
    <n v="7"/>
    <s v="Medicare"/>
    <x v="2"/>
    <s v="Medicare"/>
    <n v="60169.14"/>
    <n v="42362.87"/>
    <n v="0"/>
  </r>
  <r>
    <x v="4860"/>
    <s v="Peconic Bay Medical Center"/>
    <n v="2015"/>
    <n v="7"/>
    <s v="Medicare"/>
    <x v="2"/>
    <s v="Medicare"/>
    <n v="30956.04"/>
    <n v="8804.8700000000008"/>
    <n v="0"/>
  </r>
  <r>
    <x v="4861"/>
    <s v="Peconic Bay Medical Center"/>
    <n v="2015"/>
    <n v="7"/>
    <s v="Medicare"/>
    <x v="2"/>
    <s v="Medicare"/>
    <n v="77702.210000000006"/>
    <n v="37983.379999999997"/>
    <n v="0"/>
  </r>
  <r>
    <x v="4862"/>
    <s v="Peconic Bay Medical Center"/>
    <n v="2015"/>
    <n v="7"/>
    <s v="Medicare"/>
    <x v="2"/>
    <s v="Medicare"/>
    <n v="33309.019999999997"/>
    <n v="9400.0400000000009"/>
    <n v="0"/>
  </r>
  <r>
    <x v="4863"/>
    <s v="Peconic Bay Medical Center"/>
    <n v="2015"/>
    <n v="7"/>
    <s v="Medicare"/>
    <x v="2"/>
    <s v="Medicare"/>
    <n v="48120.1"/>
    <n v="13628.49"/>
    <n v="0"/>
  </r>
  <r>
    <x v="4864"/>
    <s v="Peconic Bay Medical Center"/>
    <n v="2015"/>
    <n v="7"/>
    <s v="Medicare"/>
    <x v="2"/>
    <s v="Medicare"/>
    <n v="65480.959999999999"/>
    <n v="46887.78"/>
    <n v="0"/>
  </r>
  <r>
    <x v="4865"/>
    <s v="Peconic Bay Medical Center"/>
    <n v="2015"/>
    <n v="7"/>
    <s v="Medicare"/>
    <x v="2"/>
    <s v="Medicare"/>
    <n v="92826.240000000005"/>
    <n v="52505.79"/>
    <n v="0"/>
  </r>
  <r>
    <x v="4866"/>
    <s v="Peconic Bay Medical Center"/>
    <n v="2015"/>
    <n v="7"/>
    <s v="Medicare"/>
    <x v="2"/>
    <s v="Medicare"/>
    <n v="26116.799999999999"/>
    <n v="8590.91"/>
    <n v="0"/>
  </r>
  <r>
    <x v="4867"/>
    <s v="Peconic Bay Medical Center"/>
    <n v="2015"/>
    <n v="7"/>
    <s v="Medicare"/>
    <x v="2"/>
    <s v="Medicare"/>
    <n v="64581.32"/>
    <n v="24159.91"/>
    <n v="0"/>
  </r>
  <r>
    <x v="4868"/>
    <s v="Peconic Bay Medical Center"/>
    <n v="2015"/>
    <n v="7"/>
    <s v="Medicare"/>
    <x v="2"/>
    <s v="Medicare"/>
    <n v="20290.89"/>
    <n v="5912.86"/>
    <n v="0"/>
  </r>
  <r>
    <x v="4869"/>
    <s v="Peconic Bay Medical Center"/>
    <n v="2015"/>
    <n v="7"/>
    <s v="Medicare"/>
    <x v="2"/>
    <s v="Medicare"/>
    <n v="37992.720000000001"/>
    <n v="10235.370000000001"/>
    <n v="0"/>
  </r>
  <r>
    <x v="4870"/>
    <s v="Peconic Bay Medical Center"/>
    <n v="2015"/>
    <n v="7"/>
    <s v="Medicare"/>
    <x v="2"/>
    <s v="Medicare"/>
    <n v="23375.16"/>
    <n v="5901.3"/>
    <n v="0"/>
  </r>
  <r>
    <x v="4871"/>
    <s v="Peconic Bay Medical Center"/>
    <n v="2015"/>
    <n v="7"/>
    <s v="Medicare"/>
    <x v="2"/>
    <s v="Medicare"/>
    <n v="55551.96"/>
    <n v="15871.78"/>
    <n v="0"/>
  </r>
  <r>
    <x v="4872"/>
    <s v="Peconic Bay Medical Center"/>
    <n v="2015"/>
    <n v="7"/>
    <s v="Medicare"/>
    <x v="2"/>
    <s v="Medicare"/>
    <n v="68114.59"/>
    <n v="21712.55"/>
    <n v="0"/>
  </r>
  <r>
    <x v="4873"/>
    <s v="Peconic Bay Medical Center"/>
    <n v="2015"/>
    <n v="7"/>
    <s v="Medicare"/>
    <x v="2"/>
    <s v="Medicare"/>
    <n v="15374.76"/>
    <n v="3134.71"/>
    <n v="0"/>
  </r>
  <r>
    <x v="4874"/>
    <s v="Peconic Bay Medical Center"/>
    <n v="2015"/>
    <n v="7"/>
    <s v="Medicare"/>
    <x v="2"/>
    <s v="Medicare"/>
    <n v="56209.760000000002"/>
    <n v="15382.22"/>
    <n v="0"/>
  </r>
  <r>
    <x v="4875"/>
    <s v="Peconic Bay Medical Center"/>
    <n v="2015"/>
    <n v="7"/>
    <s v="Medicare"/>
    <x v="2"/>
    <s v="Medicare"/>
    <n v="43429.14"/>
    <n v="12647.74"/>
    <n v="0"/>
  </r>
  <r>
    <x v="4876"/>
    <s v="Peconic Bay Medical Center"/>
    <n v="2015"/>
    <n v="7"/>
    <s v="Medicare"/>
    <x v="2"/>
    <s v="Medicare"/>
    <n v="31951"/>
    <n v="9351.23"/>
    <n v="0"/>
  </r>
  <r>
    <x v="4877"/>
    <s v="Peconic Bay Medical Center"/>
    <n v="2015"/>
    <n v="7"/>
    <s v="Medicare"/>
    <x v="2"/>
    <s v="Medicare"/>
    <n v="52087.040000000001"/>
    <n v="15934.93"/>
    <n v="0"/>
  </r>
  <r>
    <x v="4878"/>
    <s v="Peconic Bay Medical Center"/>
    <n v="2015"/>
    <n v="7"/>
    <s v="Medicare"/>
    <x v="2"/>
    <s v="Medicare"/>
    <n v="16417.080000000002"/>
    <n v="4754.59"/>
    <n v="0"/>
  </r>
  <r>
    <x v="4879"/>
    <s v="Peconic Bay Medical Center"/>
    <n v="2015"/>
    <n v="7"/>
    <s v="Medicare"/>
    <x v="2"/>
    <s v="Medicare"/>
    <n v="25407.06"/>
    <n v="6105.04"/>
    <n v="0"/>
  </r>
  <r>
    <x v="4880"/>
    <s v="Peconic Bay Medical Center"/>
    <n v="2015"/>
    <n v="7"/>
    <s v="Medicare"/>
    <x v="2"/>
    <s v="Medicare"/>
    <n v="25340.54"/>
    <n v="7814.68"/>
    <n v="0"/>
  </r>
  <r>
    <x v="4881"/>
    <s v="Peconic Bay Medical Center"/>
    <n v="2015"/>
    <n v="7"/>
    <s v="Medicare"/>
    <x v="2"/>
    <s v="Medicare"/>
    <n v="19713.96"/>
    <n v="5114.97"/>
    <n v="0"/>
  </r>
  <r>
    <x v="4882"/>
    <s v="Peconic Bay Medical Center"/>
    <n v="2015"/>
    <n v="7"/>
    <s v="Medicare"/>
    <x v="2"/>
    <s v="Medicare"/>
    <n v="32793.72"/>
    <n v="8509.98"/>
    <n v="0"/>
  </r>
  <r>
    <x v="4883"/>
    <s v="Peconic Bay Medical Center"/>
    <n v="2015"/>
    <n v="7"/>
    <s v="Medicare"/>
    <x v="2"/>
    <s v="Medicare"/>
    <n v="56629.4"/>
    <n v="25543.5"/>
    <n v="0"/>
  </r>
  <r>
    <x v="4884"/>
    <s v="Peconic Bay Medical Center"/>
    <n v="2015"/>
    <n v="7"/>
    <s v="Medicare"/>
    <x v="2"/>
    <s v="Medicare"/>
    <n v="61803.18"/>
    <n v="19326.63"/>
    <n v="0"/>
  </r>
  <r>
    <x v="4885"/>
    <s v="Peconic Bay Medical Center"/>
    <n v="2015"/>
    <n v="7"/>
    <s v="Medicare"/>
    <x v="2"/>
    <s v="Medicare"/>
    <n v="48630.98"/>
    <n v="10954.07"/>
    <n v="0"/>
  </r>
  <r>
    <x v="4886"/>
    <s v="Peconic Bay Medical Center"/>
    <n v="2015"/>
    <n v="7"/>
    <s v="Medicare"/>
    <x v="2"/>
    <s v="Medicare"/>
    <n v="33292.879999999997"/>
    <n v="15974"/>
    <n v="0"/>
  </r>
  <r>
    <x v="4887"/>
    <s v="Peconic Bay Medical Center"/>
    <n v="2015"/>
    <n v="7"/>
    <s v="Medicare"/>
    <x v="2"/>
    <s v="Medicare"/>
    <n v="42787.78"/>
    <n v="20158.490000000002"/>
    <n v="0"/>
  </r>
  <r>
    <x v="4888"/>
    <s v="Peconic Bay Medical Center"/>
    <n v="2015"/>
    <n v="7"/>
    <s v="Medicare"/>
    <x v="2"/>
    <s v="Medicare"/>
    <n v="64714"/>
    <n v="29066.45"/>
    <n v="0"/>
  </r>
  <r>
    <x v="4889"/>
    <s v="Peconic Bay Medical Center"/>
    <n v="2015"/>
    <n v="7"/>
    <s v="Medicare"/>
    <x v="2"/>
    <s v="Medicare"/>
    <n v="120942.64"/>
    <n v="74988.240000000005"/>
    <n v="0"/>
  </r>
  <r>
    <x v="4890"/>
    <s v="Peconic Bay Medical Center"/>
    <n v="2015"/>
    <n v="7"/>
    <s v="Medicare"/>
    <x v="2"/>
    <s v="Medicare"/>
    <n v="15166.86"/>
    <n v="4032.59"/>
    <n v="0"/>
  </r>
  <r>
    <x v="4891"/>
    <s v="Peconic Bay Medical Center"/>
    <n v="2015"/>
    <n v="7"/>
    <s v="Medicare"/>
    <x v="2"/>
    <s v="Medicare"/>
    <n v="42704.46"/>
    <n v="12431.74"/>
    <n v="0"/>
  </r>
  <r>
    <x v="4892"/>
    <s v="Peconic Bay Medical Center"/>
    <n v="2015"/>
    <n v="7"/>
    <s v="Medicare"/>
    <x v="2"/>
    <s v="Medicare"/>
    <n v="21000.94"/>
    <n v="4723.84"/>
    <n v="0"/>
  </r>
  <r>
    <x v="4893"/>
    <s v="Peconic Bay Medical Center"/>
    <n v="2015"/>
    <n v="7"/>
    <s v="Medicare"/>
    <x v="2"/>
    <s v="Medicare"/>
    <n v="16170.52"/>
    <n v="4621.41"/>
    <n v="0"/>
  </r>
  <r>
    <x v="4894"/>
    <s v="Peconic Bay Medical Center"/>
    <n v="2015"/>
    <n v="7"/>
    <s v="Medicare"/>
    <x v="2"/>
    <s v="Medicare"/>
    <n v="37864.18"/>
    <n v="14496.48"/>
    <n v="0"/>
  </r>
  <r>
    <x v="4895"/>
    <s v="Peconic Bay Medical Center"/>
    <n v="2015"/>
    <n v="7"/>
    <s v="Medicare"/>
    <x v="2"/>
    <s v="Medicare"/>
    <n v="15753.01"/>
    <n v="3016.45"/>
    <n v="0"/>
  </r>
  <r>
    <x v="4896"/>
    <s v="Peconic Bay Medical Center"/>
    <n v="2015"/>
    <n v="7"/>
    <s v="Medicare"/>
    <x v="2"/>
    <s v="Medicare"/>
    <n v="33554.519999999997"/>
    <n v="13101.88"/>
    <n v="0"/>
  </r>
  <r>
    <x v="4897"/>
    <s v="Peconic Bay Medical Center"/>
    <n v="2015"/>
    <n v="7"/>
    <s v="Medicare"/>
    <x v="2"/>
    <s v="Medicare"/>
    <n v="79963.72"/>
    <n v="25062.62"/>
    <n v="0"/>
  </r>
  <r>
    <x v="4898"/>
    <s v="Peconic Bay Medical Center"/>
    <n v="2015"/>
    <n v="7"/>
    <s v="Medicare"/>
    <x v="2"/>
    <s v="Medicare"/>
    <n v="79460.98"/>
    <n v="61417.08"/>
    <n v="0"/>
  </r>
  <r>
    <x v="4899"/>
    <s v="Peconic Bay Medical Center"/>
    <n v="2015"/>
    <n v="7"/>
    <s v="Medicare"/>
    <x v="2"/>
    <s v="Medicare"/>
    <n v="28920.92"/>
    <n v="7858.75"/>
    <n v="0"/>
  </r>
  <r>
    <x v="4900"/>
    <s v="Peconic Bay Medical Center"/>
    <n v="2015"/>
    <n v="7"/>
    <s v="Medicare"/>
    <x v="2"/>
    <s v="Medicare"/>
    <n v="64301.22"/>
    <n v="21122.959999999999"/>
    <n v="0"/>
  </r>
  <r>
    <x v="4901"/>
    <s v="Peconic Bay Medical Center"/>
    <n v="2015"/>
    <n v="7"/>
    <s v="Medicare"/>
    <x v="2"/>
    <s v="Medicare"/>
    <n v="67964.88"/>
    <n v="27071.37"/>
    <n v="0"/>
  </r>
  <r>
    <x v="4902"/>
    <s v="Peconic Bay Medical Center"/>
    <n v="2015"/>
    <n v="7"/>
    <s v="Medicare"/>
    <x v="2"/>
    <s v="Medicare"/>
    <n v="32190.26"/>
    <n v="9193.73"/>
    <n v="0"/>
  </r>
  <r>
    <x v="4903"/>
    <s v="Peconic Bay Medical Center"/>
    <n v="2015"/>
    <n v="7"/>
    <s v="Medicare"/>
    <x v="2"/>
    <s v="Medicare"/>
    <n v="51630.48"/>
    <n v="13667.95"/>
    <n v="0"/>
  </r>
  <r>
    <x v="4904"/>
    <s v="Peconic Bay Medical Center"/>
    <n v="2015"/>
    <n v="7"/>
    <s v="Medicare"/>
    <x v="2"/>
    <s v="Medicare"/>
    <n v="36864.28"/>
    <n v="10193.83"/>
    <n v="0"/>
  </r>
  <r>
    <x v="4905"/>
    <s v="Peconic Bay Medical Center"/>
    <n v="2015"/>
    <n v="7"/>
    <s v="Medicare"/>
    <x v="2"/>
    <s v="Medicare"/>
    <n v="66668.84"/>
    <n v="48936.06"/>
    <n v="0"/>
  </r>
  <r>
    <x v="4906"/>
    <s v="Peconic Bay Medical Center"/>
    <n v="2015"/>
    <n v="7"/>
    <s v="Medicare"/>
    <x v="2"/>
    <s v="Medicare"/>
    <n v="21236.98"/>
    <n v="4117.79"/>
    <n v="0"/>
  </r>
  <r>
    <x v="4907"/>
    <s v="Peconic Bay Medical Center"/>
    <n v="2015"/>
    <n v="7"/>
    <s v="Medicare"/>
    <x v="2"/>
    <s v="Medicare"/>
    <n v="18050.72"/>
    <n v="5639.64"/>
    <n v="0"/>
  </r>
  <r>
    <x v="4908"/>
    <s v="Peconic Bay Medical Center"/>
    <n v="2015"/>
    <n v="7"/>
    <s v="Medicare"/>
    <x v="2"/>
    <s v="Medicare"/>
    <n v="41209.82"/>
    <n v="11960.18"/>
    <n v="0"/>
  </r>
  <r>
    <x v="4909"/>
    <s v="Peconic Bay Medical Center"/>
    <n v="2015"/>
    <n v="7"/>
    <s v="Medicare"/>
    <x v="2"/>
    <s v="Medicare"/>
    <n v="58203.78"/>
    <n v="17583.23"/>
    <n v="0"/>
  </r>
  <r>
    <x v="4910"/>
    <s v="Peconic Bay Medical Center"/>
    <n v="2015"/>
    <n v="7"/>
    <s v="Medicare"/>
    <x v="2"/>
    <s v="Medicare"/>
    <n v="105394.52"/>
    <n v="40879.32"/>
    <n v="0"/>
  </r>
  <r>
    <x v="4911"/>
    <s v="Peconic Bay Medical Center"/>
    <n v="2015"/>
    <n v="7"/>
    <s v="Medicare"/>
    <x v="2"/>
    <s v="Medicare"/>
    <n v="21305.56"/>
    <n v="6306.49"/>
    <n v="0"/>
  </r>
  <r>
    <x v="4912"/>
    <s v="Peconic Bay Medical Center"/>
    <n v="2015"/>
    <n v="7"/>
    <s v="Medicare"/>
    <x v="2"/>
    <s v="Medicare"/>
    <n v="63929.120000000003"/>
    <n v="31354.71"/>
    <n v="0"/>
  </r>
  <r>
    <x v="4913"/>
    <s v="Peconic Bay Medical Center"/>
    <n v="2015"/>
    <n v="7"/>
    <s v="Medicare"/>
    <x v="2"/>
    <s v="Medicare"/>
    <n v="39699.24"/>
    <n v="12681.99"/>
    <n v="0"/>
  </r>
  <r>
    <x v="4914"/>
    <s v="Peconic Bay Medical Center"/>
    <n v="2015"/>
    <n v="7"/>
    <s v="Medicare"/>
    <x v="2"/>
    <s v="Medicare"/>
    <n v="21433.68"/>
    <n v="5860.85"/>
    <n v="0"/>
  </r>
  <r>
    <x v="4915"/>
    <s v="Peconic Bay Medical Center"/>
    <n v="2015"/>
    <n v="7"/>
    <s v="Medicare"/>
    <x v="2"/>
    <s v="Medicare"/>
    <n v="18589.18"/>
    <n v="5838.46"/>
    <n v="0"/>
  </r>
  <r>
    <x v="4916"/>
    <s v="Peconic Bay Medical Center"/>
    <n v="2015"/>
    <n v="7"/>
    <s v="Medicare"/>
    <x v="2"/>
    <s v="Medicare"/>
    <n v="31020.880000000001"/>
    <n v="8343.7099999999991"/>
    <n v="0"/>
  </r>
  <r>
    <x v="4917"/>
    <s v="Peconic Bay Medical Center"/>
    <n v="2015"/>
    <n v="7"/>
    <s v="Medicare"/>
    <x v="2"/>
    <s v="Medicare"/>
    <n v="26989.360000000001"/>
    <n v="8205.2099999999991"/>
    <n v="0"/>
  </r>
  <r>
    <x v="4918"/>
    <s v="Peconic Bay Medical Center"/>
    <n v="2015"/>
    <n v="7"/>
    <s v="Medicare"/>
    <x v="2"/>
    <s v="Medicare"/>
    <n v="86801.24"/>
    <n v="26601.49"/>
    <n v="0"/>
  </r>
  <r>
    <x v="4919"/>
    <s v="Peconic Bay Medical Center"/>
    <n v="2015"/>
    <n v="7"/>
    <s v="Medicare"/>
    <x v="2"/>
    <s v="Medicare"/>
    <n v="24174.66"/>
    <n v="6975.89"/>
    <n v="0"/>
  </r>
  <r>
    <x v="4920"/>
    <s v="Peconic Bay Medical Center"/>
    <n v="2015"/>
    <n v="7"/>
    <s v="Medicare"/>
    <x v="2"/>
    <s v="Medicare"/>
    <n v="92907.18"/>
    <n v="30964.47"/>
    <n v="0"/>
  </r>
  <r>
    <x v="4921"/>
    <s v="Peconic Bay Medical Center"/>
    <n v="2015"/>
    <n v="7"/>
    <s v="Medicare"/>
    <x v="2"/>
    <s v="Medicare"/>
    <n v="19416.12"/>
    <n v="5538.28"/>
    <n v="0"/>
  </r>
  <r>
    <x v="4922"/>
    <s v="Peconic Bay Medical Center"/>
    <n v="2015"/>
    <n v="7"/>
    <s v="Medicare"/>
    <x v="2"/>
    <s v="Medicare"/>
    <n v="15013.22"/>
    <n v="2813.4"/>
    <n v="0"/>
  </r>
  <r>
    <x v="4923"/>
    <s v="Peconic Bay Medical Center"/>
    <n v="2015"/>
    <n v="7"/>
    <s v="Medicare"/>
    <x v="2"/>
    <s v="Medicare"/>
    <n v="31140.82"/>
    <n v="8400.5300000000007"/>
    <n v="0"/>
  </r>
  <r>
    <x v="4924"/>
    <s v="Peconic Bay Medical Center"/>
    <n v="2015"/>
    <n v="7"/>
    <s v="Medicare"/>
    <x v="2"/>
    <s v="Medicare"/>
    <n v="95486.14"/>
    <n v="47359.82"/>
    <n v="0"/>
  </r>
  <r>
    <x v="4925"/>
    <s v="Peconic Bay Medical Center"/>
    <n v="2015"/>
    <n v="7"/>
    <s v="Medicare"/>
    <x v="2"/>
    <s v="Medicare"/>
    <n v="24973.040000000001"/>
    <n v="6103.95"/>
    <n v="0"/>
  </r>
  <r>
    <x v="4926"/>
    <s v="Peconic Bay Medical Center"/>
    <n v="2015"/>
    <n v="7"/>
    <s v="Medicare"/>
    <x v="2"/>
    <s v="Medicare"/>
    <n v="21525.4"/>
    <n v="6518.97"/>
    <n v="0"/>
  </r>
  <r>
    <x v="4927"/>
    <s v="Peconic Bay Medical Center"/>
    <n v="2015"/>
    <n v="7"/>
    <s v="Medicare"/>
    <x v="2"/>
    <s v="Medicare"/>
    <n v="67584.679999999993"/>
    <n v="28371.82"/>
    <n v="0"/>
  </r>
  <r>
    <x v="4928"/>
    <s v="Peconic Bay Medical Center"/>
    <n v="2015"/>
    <n v="7"/>
    <s v="Medicare"/>
    <x v="2"/>
    <s v="Medicare"/>
    <n v="13643.16"/>
    <n v="2896.36"/>
    <n v="0"/>
  </r>
  <r>
    <x v="4929"/>
    <s v="Peconic Bay Medical Center"/>
    <n v="2015"/>
    <n v="7"/>
    <s v="Medicare"/>
    <x v="2"/>
    <s v="Medicare"/>
    <n v="28330.18"/>
    <n v="3852.81"/>
    <n v="0"/>
  </r>
  <r>
    <x v="4930"/>
    <s v="Peconic Bay Medical Center"/>
    <n v="2015"/>
    <n v="7"/>
    <s v="Medicare"/>
    <x v="2"/>
    <s v="Medicare"/>
    <n v="40505.699999999997"/>
    <n v="12709.24"/>
    <n v="0"/>
  </r>
  <r>
    <x v="4931"/>
    <s v="Peconic Bay Medical Center"/>
    <n v="2015"/>
    <n v="7"/>
    <s v="Medicare"/>
    <x v="2"/>
    <s v="Medicare"/>
    <n v="22443.74"/>
    <n v="7219.78"/>
    <n v="0"/>
  </r>
  <r>
    <x v="4932"/>
    <s v="Peconic Bay Medical Center"/>
    <n v="2015"/>
    <n v="7"/>
    <s v="Medicare"/>
    <x v="2"/>
    <s v="Medicare"/>
    <n v="28207.14"/>
    <n v="8150.08"/>
    <n v="0"/>
  </r>
  <r>
    <x v="4933"/>
    <s v="Peconic Bay Medical Center"/>
    <n v="2015"/>
    <n v="7"/>
    <s v="Medicare"/>
    <x v="2"/>
    <s v="Medicare"/>
    <n v="13714.16"/>
    <n v="3296.31"/>
    <n v="0"/>
  </r>
  <r>
    <x v="4934"/>
    <s v="Peconic Bay Medical Center"/>
    <n v="2015"/>
    <n v="7"/>
    <s v="Medicare"/>
    <x v="2"/>
    <s v="Medicare"/>
    <n v="50037.86"/>
    <n v="16452.080000000002"/>
    <n v="0"/>
  </r>
  <r>
    <x v="4935"/>
    <s v="Peconic Bay Medical Center"/>
    <n v="2015"/>
    <n v="7"/>
    <s v="Medicare"/>
    <x v="2"/>
    <s v="Medicare"/>
    <n v="19450.560000000001"/>
    <n v="4929.4399999999996"/>
    <n v="0"/>
  </r>
  <r>
    <x v="4936"/>
    <s v="Peconic Bay Medical Center"/>
    <n v="2015"/>
    <n v="7"/>
    <s v="Medicare"/>
    <x v="2"/>
    <s v="Medicare"/>
    <n v="79213.740000000005"/>
    <n v="32174.02"/>
    <n v="0"/>
  </r>
  <r>
    <x v="4937"/>
    <s v="Peconic Bay Medical Center"/>
    <n v="2015"/>
    <n v="7"/>
    <s v="Medicare"/>
    <x v="2"/>
    <s v="Medicare"/>
    <n v="63156.72"/>
    <n v="15038.98"/>
    <n v="0"/>
  </r>
  <r>
    <x v="4938"/>
    <s v="Peconic Bay Medical Center"/>
    <n v="2015"/>
    <n v="7"/>
    <s v="Medicare"/>
    <x v="2"/>
    <s v="Medicare"/>
    <n v="67884.84"/>
    <n v="53581.3"/>
    <n v="0"/>
  </r>
  <r>
    <x v="4939"/>
    <s v="Peconic Bay Medical Center"/>
    <n v="2015"/>
    <n v="7"/>
    <s v="Medicare"/>
    <x v="2"/>
    <s v="Medicare"/>
    <n v="21770.84"/>
    <n v="9027.69"/>
    <n v="0"/>
  </r>
  <r>
    <x v="4940"/>
    <s v="Peconic Bay Medical Center"/>
    <n v="2015"/>
    <n v="7"/>
    <s v="Medicare"/>
    <x v="2"/>
    <s v="Medicare"/>
    <n v="67781.919999999998"/>
    <n v="39562.550000000003"/>
    <n v="0"/>
  </r>
  <r>
    <x v="4941"/>
    <s v="Peconic Bay Medical Center"/>
    <n v="2015"/>
    <n v="7"/>
    <s v="Medicare"/>
    <x v="2"/>
    <s v="Medicare"/>
    <n v="16792.36"/>
    <n v="4633.22"/>
    <n v="0"/>
  </r>
  <r>
    <x v="4942"/>
    <s v="Peconic Bay Medical Center"/>
    <n v="2015"/>
    <n v="7"/>
    <s v="Medicare"/>
    <x v="2"/>
    <s v="Medicare"/>
    <n v="39685.699999999997"/>
    <n v="12544.31"/>
    <n v="0"/>
  </r>
  <r>
    <x v="4943"/>
    <s v="Peconic Bay Medical Center"/>
    <n v="2015"/>
    <n v="7"/>
    <s v="Medicare"/>
    <x v="2"/>
    <s v="Medicare"/>
    <n v="70824.38"/>
    <n v="57161.57"/>
    <n v="0"/>
  </r>
  <r>
    <x v="4944"/>
    <s v="Peconic Bay Medical Center"/>
    <n v="2015"/>
    <n v="7"/>
    <s v="Medicare"/>
    <x v="2"/>
    <s v="Medicare"/>
    <n v="16542.12"/>
    <n v="4853.47"/>
    <n v="0"/>
  </r>
  <r>
    <x v="4945"/>
    <s v="Peconic Bay Medical Center"/>
    <n v="2015"/>
    <n v="7"/>
    <s v="Medicare"/>
    <x v="2"/>
    <s v="Medicare"/>
    <n v="46404.160000000003"/>
    <n v="27367.03"/>
    <n v="0"/>
  </r>
  <r>
    <x v="4946"/>
    <s v="Peconic Bay Medical Center"/>
    <n v="2015"/>
    <n v="7"/>
    <s v="Medicare"/>
    <x v="2"/>
    <s v="Medicare"/>
    <n v="22691.74"/>
    <n v="5703.59"/>
    <n v="0"/>
  </r>
  <r>
    <x v="4947"/>
    <s v="Peconic Bay Medical Center"/>
    <n v="2015"/>
    <n v="7"/>
    <s v="Medicare"/>
    <x v="2"/>
    <s v="Medicare"/>
    <n v="36808.519999999997"/>
    <n v="11528.4"/>
    <n v="0"/>
  </r>
  <r>
    <x v="4948"/>
    <s v="Peconic Bay Medical Center"/>
    <n v="2015"/>
    <n v="7"/>
    <s v="Medicare"/>
    <x v="2"/>
    <s v="Medicare"/>
    <n v="141781.18"/>
    <n v="51176.33"/>
    <n v="0"/>
  </r>
  <r>
    <x v="4949"/>
    <s v="Peconic Bay Medical Center"/>
    <n v="2015"/>
    <n v="7"/>
    <s v="Medicare"/>
    <x v="2"/>
    <s v="Medicare"/>
    <n v="13604.52"/>
    <n v="3972.43"/>
    <n v="0"/>
  </r>
  <r>
    <x v="4950"/>
    <s v="Peconic Bay Medical Center"/>
    <n v="2015"/>
    <n v="7"/>
    <s v="Medicare"/>
    <x v="2"/>
    <s v="Medicare"/>
    <n v="77149.06"/>
    <n v="59099.56"/>
    <n v="0"/>
  </r>
  <r>
    <x v="4951"/>
    <s v="Peconic Bay Medical Center"/>
    <n v="2015"/>
    <n v="7"/>
    <s v="Medicare"/>
    <x v="2"/>
    <s v="Medicare"/>
    <n v="40277.26"/>
    <n v="24702.34"/>
    <n v="0"/>
  </r>
  <r>
    <x v="4952"/>
    <s v="Peconic Bay Medical Center"/>
    <n v="2015"/>
    <n v="7"/>
    <s v="Medicare"/>
    <x v="2"/>
    <s v="Medicare"/>
    <n v="27334.400000000001"/>
    <n v="8066.71"/>
    <n v="0"/>
  </r>
  <r>
    <x v="4953"/>
    <s v="Peconic Bay Medical Center"/>
    <n v="2015"/>
    <n v="7"/>
    <s v="Medicare"/>
    <x v="2"/>
    <s v="Medicare"/>
    <n v="53140.56"/>
    <n v="16282.43"/>
    <n v="0"/>
  </r>
  <r>
    <x v="4954"/>
    <s v="Peconic Bay Medical Center"/>
    <n v="2015"/>
    <n v="7"/>
    <s v="Medicare"/>
    <x v="2"/>
    <s v="Medicare"/>
    <n v="27533.7"/>
    <n v="7144.22"/>
    <n v="0"/>
  </r>
  <r>
    <x v="4955"/>
    <s v="Peconic Bay Medical Center"/>
    <n v="2015"/>
    <n v="7"/>
    <s v="Medicare"/>
    <x v="2"/>
    <s v="Medicare"/>
    <n v="67257.8"/>
    <n v="49170.99"/>
    <n v="0"/>
  </r>
  <r>
    <x v="4956"/>
    <s v="Peconic Bay Medical Center"/>
    <n v="2015"/>
    <n v="7"/>
    <s v="Medicare"/>
    <x v="2"/>
    <s v="Medicare"/>
    <n v="33804.839999999997"/>
    <n v="8710.26"/>
    <n v="0"/>
  </r>
  <r>
    <x v="4957"/>
    <s v="Peconic Bay Medical Center"/>
    <n v="2015"/>
    <n v="7"/>
    <s v="Medicare"/>
    <x v="2"/>
    <s v="Medicare"/>
    <n v="46371.48"/>
    <n v="19669.8"/>
    <n v="0"/>
  </r>
  <r>
    <x v="4958"/>
    <s v="Peconic Bay Medical Center"/>
    <n v="2015"/>
    <n v="7"/>
    <s v="Medicare"/>
    <x v="2"/>
    <s v="Medicare"/>
    <n v="60523.88"/>
    <n v="22426"/>
    <n v="0"/>
  </r>
  <r>
    <x v="4959"/>
    <s v="Peconic Bay Medical Center"/>
    <n v="2015"/>
    <n v="7"/>
    <s v="Medicare"/>
    <x v="2"/>
    <s v="Medicare"/>
    <n v="21210.799999999999"/>
    <n v="4956.7299999999996"/>
    <n v="0"/>
  </r>
  <r>
    <x v="4960"/>
    <s v="Peconic Bay Medical Center"/>
    <n v="2015"/>
    <n v="7"/>
    <s v="Medicare"/>
    <x v="2"/>
    <s v="Medicare"/>
    <n v="20162.8"/>
    <n v="4698.58"/>
    <n v="0"/>
  </r>
  <r>
    <x v="4961"/>
    <s v="Peconic Bay Medical Center"/>
    <n v="2015"/>
    <n v="7"/>
    <s v="Medicare"/>
    <x v="2"/>
    <s v="Medicare"/>
    <n v="22861.58"/>
    <n v="5908.77"/>
    <n v="0"/>
  </r>
  <r>
    <x v="4962"/>
    <s v="Peconic Bay Medical Center"/>
    <n v="2015"/>
    <n v="7"/>
    <s v="Medicare"/>
    <x v="2"/>
    <s v="Medicare"/>
    <n v="37101.980000000003"/>
    <n v="11240.08"/>
    <n v="0"/>
  </r>
  <r>
    <x v="4963"/>
    <s v="Peconic Bay Medical Center"/>
    <n v="2015"/>
    <n v="7"/>
    <s v="Medicare"/>
    <x v="2"/>
    <s v="Medicare"/>
    <n v="64583.32"/>
    <n v="48385.440000000002"/>
    <n v="0"/>
  </r>
  <r>
    <x v="4964"/>
    <s v="Peconic Bay Medical Center"/>
    <n v="2015"/>
    <n v="7"/>
    <s v="Medicare"/>
    <x v="2"/>
    <s v="Medicare"/>
    <n v="40118.58"/>
    <n v="11207.26"/>
    <n v="0"/>
  </r>
  <r>
    <x v="4965"/>
    <s v="Peconic Bay Medical Center"/>
    <n v="2015"/>
    <n v="7"/>
    <s v="Medicare"/>
    <x v="2"/>
    <s v="Medicare"/>
    <n v="24985.66"/>
    <n v="7676.1"/>
    <n v="0"/>
  </r>
  <r>
    <x v="4966"/>
    <s v="Peconic Bay Medical Center"/>
    <n v="2015"/>
    <n v="7"/>
    <s v="Medicare"/>
    <x v="2"/>
    <s v="Medicare"/>
    <n v="25094.06"/>
    <n v="5772.08"/>
    <n v="0"/>
  </r>
  <r>
    <x v="4967"/>
    <s v="Peconic Bay Medical Center"/>
    <n v="2015"/>
    <n v="7"/>
    <s v="Medicare"/>
    <x v="2"/>
    <s v="Medicare"/>
    <n v="18117.400000000001"/>
    <n v="5143.26"/>
    <n v="0"/>
  </r>
  <r>
    <x v="4968"/>
    <s v="Peconic Bay Medical Center"/>
    <n v="2015"/>
    <n v="7"/>
    <s v="Medicare"/>
    <x v="2"/>
    <s v="Medicare"/>
    <n v="23633.7"/>
    <n v="6270.86"/>
    <n v="0"/>
  </r>
  <r>
    <x v="4969"/>
    <s v="Peconic Bay Medical Center"/>
    <n v="2015"/>
    <n v="7"/>
    <s v="Medicare"/>
    <x v="2"/>
    <s v="Medicare"/>
    <n v="13586"/>
    <n v="3220.4"/>
    <n v="0"/>
  </r>
  <r>
    <x v="4970"/>
    <s v="Peconic Bay Medical Center"/>
    <n v="2015"/>
    <n v="7"/>
    <s v="Medicare"/>
    <x v="2"/>
    <s v="Medicare"/>
    <n v="61139.42"/>
    <n v="43946.55"/>
    <n v="0"/>
  </r>
  <r>
    <x v="4971"/>
    <s v="Peconic Bay Medical Center"/>
    <n v="2015"/>
    <n v="7"/>
    <s v="Medicare"/>
    <x v="2"/>
    <s v="Medicare"/>
    <n v="82497.7"/>
    <n v="25470.11"/>
    <n v="0"/>
  </r>
  <r>
    <x v="4972"/>
    <s v="Peconic Bay Medical Center"/>
    <n v="2015"/>
    <n v="7"/>
    <s v="Medicare"/>
    <x v="2"/>
    <s v="Medicare"/>
    <n v="24505.79"/>
    <n v="7624.39"/>
    <n v="0"/>
  </r>
  <r>
    <x v="4973"/>
    <s v="Peconic Bay Medical Center"/>
    <n v="2015"/>
    <n v="7"/>
    <s v="Medicare"/>
    <x v="2"/>
    <s v="Medicare"/>
    <n v="44203.24"/>
    <n v="9190.41"/>
    <n v="0"/>
  </r>
  <r>
    <x v="4974"/>
    <s v="Peconic Bay Medical Center"/>
    <n v="2015"/>
    <n v="7"/>
    <s v="Medicare"/>
    <x v="2"/>
    <s v="Medicare"/>
    <n v="109457.8"/>
    <n v="70295.25"/>
    <n v="0"/>
  </r>
  <r>
    <x v="4975"/>
    <s v="Peconic Bay Medical Center"/>
    <n v="2015"/>
    <n v="7"/>
    <s v="Medicare"/>
    <x v="2"/>
    <s v="Medicare"/>
    <n v="16737.04"/>
    <n v="3204.8"/>
    <n v="0"/>
  </r>
  <r>
    <x v="4976"/>
    <s v="Peconic Bay Medical Center"/>
    <n v="2015"/>
    <n v="7"/>
    <s v="Medicare"/>
    <x v="2"/>
    <s v="Medicare"/>
    <n v="20643.8"/>
    <n v="5812.89"/>
    <n v="0"/>
  </r>
  <r>
    <x v="4977"/>
    <s v="Peconic Bay Medical Center"/>
    <n v="2015"/>
    <n v="7"/>
    <s v="Medicare"/>
    <x v="2"/>
    <s v="Medicare"/>
    <n v="108668.76"/>
    <n v="60278.09"/>
    <n v="0"/>
  </r>
  <r>
    <x v="4978"/>
    <s v="Peconic Bay Medical Center"/>
    <n v="2015"/>
    <n v="7"/>
    <s v="Medicare"/>
    <x v="2"/>
    <s v="Medicare"/>
    <n v="33423.33"/>
    <n v="6991.1"/>
    <n v="0"/>
  </r>
  <r>
    <x v="4979"/>
    <s v="Peconic Bay Medical Center"/>
    <n v="2015"/>
    <n v="7"/>
    <s v="Medicare"/>
    <x v="2"/>
    <s v="Medicare"/>
    <n v="29210.38"/>
    <n v="8544.07"/>
    <n v="0"/>
  </r>
  <r>
    <x v="4980"/>
    <s v="Peconic Bay Medical Center"/>
    <n v="2015"/>
    <n v="7"/>
    <s v="Medicare"/>
    <x v="2"/>
    <s v="Medicare"/>
    <n v="24010.66"/>
    <n v="13621.35"/>
    <n v="0"/>
  </r>
  <r>
    <x v="4981"/>
    <s v="Peconic Bay Medical Center"/>
    <n v="2015"/>
    <n v="7"/>
    <s v="Medicare"/>
    <x v="2"/>
    <s v="Medicare"/>
    <n v="12283.8"/>
    <n v="2912.82"/>
    <n v="0"/>
  </r>
  <r>
    <x v="4982"/>
    <s v="Peconic Bay Medical Center"/>
    <n v="2015"/>
    <n v="7"/>
    <s v="Medicare"/>
    <x v="2"/>
    <s v="Medicare"/>
    <n v="37630.26"/>
    <n v="10334.09"/>
    <n v="0"/>
  </r>
  <r>
    <x v="4983"/>
    <s v="Peconic Bay Medical Center"/>
    <n v="2015"/>
    <n v="7"/>
    <s v="Medicare"/>
    <x v="2"/>
    <s v="Medicare"/>
    <n v="53241.94"/>
    <n v="16109.74"/>
    <n v="0"/>
  </r>
  <r>
    <x v="4984"/>
    <s v="Peconic Bay Medical Center"/>
    <n v="2015"/>
    <n v="7"/>
    <s v="Medicare"/>
    <x v="2"/>
    <s v="Medicare"/>
    <n v="23200.400000000001"/>
    <n v="5534.74"/>
    <n v="0"/>
  </r>
  <r>
    <x v="4985"/>
    <s v="Peconic Bay Medical Center"/>
    <n v="2015"/>
    <n v="7"/>
    <s v="Medicare"/>
    <x v="2"/>
    <s v="Medicare"/>
    <n v="35122.86"/>
    <n v="9458.84"/>
    <n v="0"/>
  </r>
  <r>
    <x v="4986"/>
    <s v="Peconic Bay Medical Center"/>
    <n v="2015"/>
    <n v="7"/>
    <s v="Medicare"/>
    <x v="2"/>
    <s v="Medicare"/>
    <n v="26967.759999999998"/>
    <n v="7082.85"/>
    <n v="0"/>
  </r>
  <r>
    <x v="4987"/>
    <s v="Peconic Bay Medical Center"/>
    <n v="2015"/>
    <n v="7"/>
    <s v="Medicare"/>
    <x v="2"/>
    <s v="Medicare"/>
    <n v="19366.82"/>
    <n v="5570.71"/>
    <n v="0"/>
  </r>
  <r>
    <x v="4988"/>
    <s v="Peconic Bay Medical Center"/>
    <n v="2015"/>
    <n v="7"/>
    <s v="Medicare"/>
    <x v="2"/>
    <s v="Medicare"/>
    <n v="54437.32"/>
    <n v="17326.3"/>
    <n v="0"/>
  </r>
  <r>
    <x v="4989"/>
    <s v="Peconic Bay Medical Center"/>
    <n v="2015"/>
    <n v="7"/>
    <s v="Medicare"/>
    <x v="2"/>
    <s v="Medicare"/>
    <n v="15881.7"/>
    <n v="3687.33"/>
    <n v="0"/>
  </r>
  <r>
    <x v="4990"/>
    <s v="Peconic Bay Medical Center"/>
    <n v="2015"/>
    <n v="7"/>
    <s v="Medicare"/>
    <x v="2"/>
    <s v="Medicare"/>
    <n v="28927.72"/>
    <n v="15849.81"/>
    <n v="0"/>
  </r>
  <r>
    <x v="4991"/>
    <s v="Peconic Bay Medical Center"/>
    <n v="2015"/>
    <n v="7"/>
    <s v="Medicare"/>
    <x v="2"/>
    <s v="Medicare"/>
    <n v="32858.76"/>
    <n v="9695.83"/>
    <n v="0"/>
  </r>
  <r>
    <x v="4992"/>
    <s v="Peconic Bay Medical Center"/>
    <n v="2015"/>
    <n v="7"/>
    <s v="Medicare"/>
    <x v="2"/>
    <s v="Medicare"/>
    <n v="22698.6"/>
    <n v="7223.82"/>
    <n v="0"/>
  </r>
  <r>
    <x v="4993"/>
    <s v="Peconic Bay Medical Center"/>
    <n v="2015"/>
    <n v="7"/>
    <s v="Medicare"/>
    <x v="2"/>
    <s v="Medicare"/>
    <n v="50458.400000000001"/>
    <n v="14897.33"/>
    <n v="0"/>
  </r>
  <r>
    <x v="4994"/>
    <s v="Peconic Bay Medical Center"/>
    <n v="2015"/>
    <n v="7"/>
    <s v="Medicare"/>
    <x v="2"/>
    <s v="Medicare"/>
    <n v="13132.46"/>
    <n v="2971.67"/>
    <n v="0"/>
  </r>
  <r>
    <x v="4995"/>
    <s v="Peconic Bay Medical Center"/>
    <n v="2015"/>
    <n v="7"/>
    <s v="Medicare"/>
    <x v="2"/>
    <s v="Medicare"/>
    <n v="55433.14"/>
    <n v="17226.400000000001"/>
    <n v="0"/>
  </r>
  <r>
    <x v="4996"/>
    <s v="Peconic Bay Medical Center"/>
    <n v="2015"/>
    <n v="7"/>
    <s v="Medicare"/>
    <x v="2"/>
    <s v="Medicare"/>
    <n v="44022.22"/>
    <n v="20780.55"/>
    <n v="0"/>
  </r>
  <r>
    <x v="4997"/>
    <s v="Peconic Bay Medical Center"/>
    <n v="2015"/>
    <n v="7"/>
    <s v="Medicare"/>
    <x v="2"/>
    <s v="Medicare"/>
    <n v="31212.36"/>
    <n v="9302.58"/>
    <n v="0"/>
  </r>
  <r>
    <x v="4998"/>
    <s v="Peconic Bay Medical Center"/>
    <n v="2015"/>
    <n v="7"/>
    <s v="Medicare"/>
    <x v="2"/>
    <s v="Medicare"/>
    <n v="30299.360000000001"/>
    <n v="7446.83"/>
    <n v="0"/>
  </r>
  <r>
    <x v="4999"/>
    <s v="Peconic Bay Medical Center"/>
    <n v="2015"/>
    <n v="7"/>
    <s v="Medicare"/>
    <x v="2"/>
    <s v="Medicare"/>
    <n v="61970.96"/>
    <n v="19225.55"/>
    <n v="0"/>
  </r>
  <r>
    <x v="5000"/>
    <s v="Peconic Bay Medical Center"/>
    <n v="2015"/>
    <n v="7"/>
    <s v="Medicare"/>
    <x v="2"/>
    <s v="Medicare"/>
    <n v="73896"/>
    <n v="31569.88"/>
    <n v="0"/>
  </r>
  <r>
    <x v="5001"/>
    <s v="Peconic Bay Medical Center"/>
    <n v="2015"/>
    <n v="7"/>
    <s v="Medicare"/>
    <x v="2"/>
    <s v="Medicare"/>
    <n v="14856.2"/>
    <n v="3917.03"/>
    <n v="0"/>
  </r>
  <r>
    <x v="5002"/>
    <s v="Peconic Bay Medical Center"/>
    <n v="2015"/>
    <n v="7"/>
    <s v="Medicare"/>
    <x v="2"/>
    <s v="Medicare"/>
    <n v="17114.759999999998"/>
    <n v="6854.78"/>
    <n v="0"/>
  </r>
  <r>
    <x v="5003"/>
    <s v="Peconic Bay Medical Center"/>
    <n v="2015"/>
    <n v="7"/>
    <s v="Medicare"/>
    <x v="2"/>
    <s v="Medicare"/>
    <n v="26656.94"/>
    <n v="6906.83"/>
    <n v="0"/>
  </r>
  <r>
    <x v="5004"/>
    <s v="Peconic Bay Medical Center"/>
    <n v="2015"/>
    <n v="7"/>
    <s v="Medicare"/>
    <x v="2"/>
    <s v="Medicare"/>
    <n v="9247.94"/>
    <n v="2525.29"/>
    <n v="0"/>
  </r>
  <r>
    <x v="5005"/>
    <s v="Peconic Bay Medical Center"/>
    <n v="2015"/>
    <n v="7"/>
    <s v="Medicare"/>
    <x v="2"/>
    <s v="Medicare"/>
    <n v="34290.36"/>
    <n v="10915.6"/>
    <n v="0"/>
  </r>
  <r>
    <x v="5006"/>
    <s v="Peconic Bay Medical Center"/>
    <n v="2015"/>
    <n v="7"/>
    <s v="Medicare"/>
    <x v="2"/>
    <s v="Medicare"/>
    <n v="35670.239999999998"/>
    <n v="10280.49"/>
    <n v="0"/>
  </r>
  <r>
    <x v="5007"/>
    <s v="Peconic Bay Medical Center"/>
    <n v="2015"/>
    <n v="7"/>
    <s v="Medicare"/>
    <x v="2"/>
    <s v="Medicare"/>
    <n v="48385.120000000003"/>
    <n v="13825.11"/>
    <n v="0"/>
  </r>
  <r>
    <x v="5008"/>
    <s v="Peconic Bay Medical Center"/>
    <n v="2015"/>
    <n v="7"/>
    <s v="Medicare"/>
    <x v="2"/>
    <s v="Medicare"/>
    <n v="67348.539999999994"/>
    <n v="49037.03"/>
    <n v="0"/>
  </r>
  <r>
    <x v="5009"/>
    <s v="Peconic Bay Medical Center"/>
    <n v="2015"/>
    <n v="7"/>
    <s v="Medicare"/>
    <x v="2"/>
    <s v="Medicare"/>
    <n v="27087.32"/>
    <n v="8572.84"/>
    <n v="0"/>
  </r>
  <r>
    <x v="5010"/>
    <s v="Peconic Bay Medical Center"/>
    <n v="2015"/>
    <n v="7"/>
    <s v="Medicare"/>
    <x v="2"/>
    <s v="Medicare"/>
    <n v="21685.5"/>
    <n v="6043.84"/>
    <n v="0"/>
  </r>
  <r>
    <x v="5011"/>
    <s v="Peconic Bay Medical Center"/>
    <n v="2015"/>
    <n v="7"/>
    <s v="Medicare"/>
    <x v="2"/>
    <s v="Medicare"/>
    <n v="26922.12"/>
    <n v="7224.38"/>
    <n v="0"/>
  </r>
  <r>
    <x v="5012"/>
    <s v="Peconic Bay Medical Center"/>
    <n v="2015"/>
    <n v="7"/>
    <s v="Medicare"/>
    <x v="2"/>
    <s v="Medicare"/>
    <n v="16258.42"/>
    <n v="4270.54"/>
    <n v="0"/>
  </r>
  <r>
    <x v="5013"/>
    <s v="Peconic Bay Medical Center"/>
    <n v="2015"/>
    <n v="7"/>
    <s v="Medicare"/>
    <x v="2"/>
    <s v="Medicare"/>
    <n v="25816.44"/>
    <n v="8016.86"/>
    <n v="0"/>
  </r>
  <r>
    <x v="5014"/>
    <s v="Peconic Bay Medical Center"/>
    <n v="2015"/>
    <n v="7"/>
    <s v="Medicare"/>
    <x v="2"/>
    <s v="Medicare"/>
    <n v="66099.520000000004"/>
    <n v="48949.58"/>
    <n v="0"/>
  </r>
  <r>
    <x v="5015"/>
    <s v="Peconic Bay Medical Center"/>
    <n v="2015"/>
    <n v="7"/>
    <s v="Medicare"/>
    <x v="2"/>
    <s v="Medicare"/>
    <n v="32864.26"/>
    <n v="5496.2"/>
    <n v="0"/>
  </r>
  <r>
    <x v="5016"/>
    <s v="Peconic Bay Medical Center"/>
    <n v="2015"/>
    <n v="7"/>
    <s v="Medicare"/>
    <x v="2"/>
    <s v="Medicare"/>
    <n v="20508.740000000002"/>
    <n v="4508.7700000000004"/>
    <n v="0"/>
  </r>
  <r>
    <x v="5017"/>
    <s v="Peconic Bay Medical Center"/>
    <n v="2015"/>
    <n v="7"/>
    <s v="Medicare"/>
    <x v="2"/>
    <s v="Medicare"/>
    <n v="68882.92"/>
    <n v="23849.3"/>
    <n v="0"/>
  </r>
  <r>
    <x v="5018"/>
    <s v="Peconic Bay Medical Center"/>
    <n v="2015"/>
    <n v="7"/>
    <s v="Medicare"/>
    <x v="2"/>
    <s v="Medicare"/>
    <n v="49222"/>
    <n v="14702.04"/>
    <n v="0"/>
  </r>
  <r>
    <x v="5019"/>
    <s v="Peconic Bay Medical Center"/>
    <n v="2015"/>
    <n v="7"/>
    <s v="Medicare"/>
    <x v="2"/>
    <s v="Medicare"/>
    <n v="35544.239999999998"/>
    <n v="21155.200000000001"/>
    <n v="0"/>
  </r>
  <r>
    <x v="5020"/>
    <s v="Peconic Bay Medical Center"/>
    <n v="2015"/>
    <n v="7"/>
    <s v="Medicare"/>
    <x v="2"/>
    <s v="Medicare"/>
    <n v="42117.24"/>
    <n v="12266.96"/>
    <n v="0"/>
  </r>
  <r>
    <x v="5021"/>
    <s v="Peconic Bay Medical Center"/>
    <n v="2015"/>
    <n v="7"/>
    <s v="Medicare"/>
    <x v="2"/>
    <s v="Medicare"/>
    <n v="35618.239999999998"/>
    <n v="11043.55"/>
    <n v="0"/>
  </r>
  <r>
    <x v="5022"/>
    <s v="Peconic Bay Medical Center"/>
    <n v="2015"/>
    <n v="7"/>
    <s v="Medicare"/>
    <x v="2"/>
    <s v="Medicare"/>
    <n v="99621.4"/>
    <n v="36213.58"/>
    <n v="0"/>
  </r>
  <r>
    <x v="5023"/>
    <s v="Peconic Bay Medical Center"/>
    <n v="2015"/>
    <n v="7"/>
    <s v="Medicare"/>
    <x v="2"/>
    <s v="Medicare"/>
    <n v="28503.599999999999"/>
    <n v="8745.0499999999993"/>
    <n v="0"/>
  </r>
  <r>
    <x v="5024"/>
    <s v="Peconic Bay Medical Center"/>
    <n v="2015"/>
    <n v="7"/>
    <s v="Medicare"/>
    <x v="2"/>
    <s v="Medicare"/>
    <n v="43259.7"/>
    <n v="12599.74"/>
    <n v="0"/>
  </r>
  <r>
    <x v="5025"/>
    <s v="Peconic Bay Medical Center"/>
    <n v="2015"/>
    <n v="7"/>
    <s v="Medicare"/>
    <x v="2"/>
    <s v="Medicare"/>
    <n v="8801.44"/>
    <n v="2349.79"/>
    <n v="0"/>
  </r>
  <r>
    <x v="5026"/>
    <s v="Peconic Bay Medical Center"/>
    <n v="2015"/>
    <n v="7"/>
    <s v="Medicare"/>
    <x v="2"/>
    <s v="Medicare"/>
    <n v="16404"/>
    <n v="4376.68"/>
    <n v="0"/>
  </r>
  <r>
    <x v="5027"/>
    <s v="Peconic Bay Medical Center"/>
    <n v="2015"/>
    <n v="7"/>
    <s v="Medicare"/>
    <x v="2"/>
    <s v="Medicare"/>
    <n v="19373.560000000001"/>
    <n v="5971.2"/>
    <n v="0"/>
  </r>
  <r>
    <x v="5028"/>
    <s v="Peconic Bay Medical Center"/>
    <n v="2015"/>
    <n v="7"/>
    <s v="Medicare"/>
    <x v="2"/>
    <s v="Medicare"/>
    <n v="18204.02"/>
    <n v="4841.3900000000003"/>
    <n v="0"/>
  </r>
  <r>
    <x v="5029"/>
    <s v="Peconic Bay Medical Center"/>
    <n v="2015"/>
    <n v="7"/>
    <s v="Medicare"/>
    <x v="2"/>
    <s v="Medicare"/>
    <n v="34410.699999999997"/>
    <n v="10694.51"/>
    <n v="0"/>
  </r>
  <r>
    <x v="5030"/>
    <s v="Peconic Bay Medical Center"/>
    <n v="2015"/>
    <n v="7"/>
    <s v="Medicare"/>
    <x v="2"/>
    <s v="Medicare"/>
    <n v="37455.79"/>
    <n v="9724.84"/>
    <n v="0"/>
  </r>
  <r>
    <x v="5031"/>
    <s v="Peconic Bay Medical Center"/>
    <n v="2015"/>
    <n v="7"/>
    <s v="Medicare"/>
    <x v="2"/>
    <s v="Medicare"/>
    <n v="29577.16"/>
    <n v="8435.49"/>
    <n v="0"/>
  </r>
  <r>
    <x v="5032"/>
    <s v="Peconic Bay Medical Center"/>
    <n v="2015"/>
    <n v="7"/>
    <s v="Medicare"/>
    <x v="2"/>
    <s v="Medicare"/>
    <n v="41183.379999999997"/>
    <n v="11877.37"/>
    <n v="0"/>
  </r>
  <r>
    <x v="5033"/>
    <s v="Peconic Bay Medical Center"/>
    <n v="2015"/>
    <n v="7"/>
    <s v="Medicare"/>
    <x v="2"/>
    <s v="Medicare"/>
    <n v="24629.82"/>
    <n v="5830.64"/>
    <n v="0"/>
  </r>
  <r>
    <x v="5034"/>
    <s v="Peconic Bay Medical Center"/>
    <n v="2015"/>
    <n v="7"/>
    <s v="Medicare"/>
    <x v="2"/>
    <s v="Medicare"/>
    <n v="9936.42"/>
    <n v="2284.6799999999998"/>
    <n v="0"/>
  </r>
  <r>
    <x v="5035"/>
    <s v="Peconic Bay Medical Center"/>
    <n v="2015"/>
    <n v="7"/>
    <s v="Medicare"/>
    <x v="2"/>
    <s v="Medicare"/>
    <n v="25621.52"/>
    <n v="7507.66"/>
    <n v="0"/>
  </r>
  <r>
    <x v="5036"/>
    <s v="Peconic Bay Medical Center"/>
    <n v="2015"/>
    <n v="7"/>
    <s v="Medicare"/>
    <x v="2"/>
    <s v="Medicare"/>
    <n v="41534.58"/>
    <n v="12757.91"/>
    <n v="0"/>
  </r>
  <r>
    <x v="5037"/>
    <s v="Peconic Bay Medical Center"/>
    <n v="2015"/>
    <n v="7"/>
    <s v="Medicare"/>
    <x v="2"/>
    <s v="Medicare"/>
    <n v="10171.74"/>
    <n v="2689.45"/>
    <n v="0"/>
  </r>
  <r>
    <x v="5038"/>
    <s v="Peconic Bay Medical Center"/>
    <n v="2015"/>
    <n v="7"/>
    <s v="Medicare"/>
    <x v="2"/>
    <s v="Medicare"/>
    <n v="81019.679999999993"/>
    <n v="57038.39"/>
    <n v="0"/>
  </r>
  <r>
    <x v="5039"/>
    <s v="Peconic Bay Medical Center"/>
    <n v="2015"/>
    <n v="7"/>
    <s v="Medicare"/>
    <x v="2"/>
    <s v="Medicare"/>
    <n v="91598.3"/>
    <n v="31486.32"/>
    <n v="0"/>
  </r>
  <r>
    <x v="5040"/>
    <s v="Peconic Bay Medical Center"/>
    <n v="2015"/>
    <n v="7"/>
    <s v="Medicare"/>
    <x v="2"/>
    <s v="Medicare"/>
    <n v="29041.759999999998"/>
    <n v="7445.62"/>
    <n v="0"/>
  </r>
  <r>
    <x v="5041"/>
    <s v="Peconic Bay Medical Center"/>
    <n v="2015"/>
    <n v="7"/>
    <s v="Medicare"/>
    <x v="2"/>
    <s v="Medicare"/>
    <n v="53143.73"/>
    <n v="16271.34"/>
    <n v="0"/>
  </r>
  <r>
    <x v="5042"/>
    <s v="Peconic Bay Medical Center"/>
    <n v="2015"/>
    <n v="7"/>
    <s v="Medicare"/>
    <x v="2"/>
    <s v="Medicare"/>
    <n v="18270.419999999998"/>
    <n v="5641.19"/>
    <n v="0"/>
  </r>
  <r>
    <x v="5043"/>
    <s v="Peconic Bay Medical Center"/>
    <n v="2015"/>
    <n v="7"/>
    <s v="Medicare"/>
    <x v="2"/>
    <s v="Medicare"/>
    <n v="22985.98"/>
    <n v="4919.3"/>
    <n v="0"/>
  </r>
  <r>
    <x v="5044"/>
    <s v="Peconic Bay Medical Center"/>
    <n v="2015"/>
    <n v="7"/>
    <s v="Medicare"/>
    <x v="2"/>
    <s v="Medicare"/>
    <n v="39469.1"/>
    <n v="11982.04"/>
    <n v="0"/>
  </r>
  <r>
    <x v="5045"/>
    <s v="Peconic Bay Medical Center"/>
    <n v="2015"/>
    <n v="7"/>
    <s v="Medicare"/>
    <x v="2"/>
    <s v="Medicare"/>
    <n v="28937.56"/>
    <n v="14309.84"/>
    <n v="0"/>
  </r>
  <r>
    <x v="5046"/>
    <s v="Peconic Bay Medical Center"/>
    <n v="2015"/>
    <n v="7"/>
    <s v="Medicare"/>
    <x v="2"/>
    <s v="Medicare"/>
    <n v="31524.04"/>
    <n v="10056.82"/>
    <n v="0"/>
  </r>
  <r>
    <x v="5047"/>
    <s v="Peconic Bay Medical Center"/>
    <n v="2015"/>
    <n v="7"/>
    <s v="Medicare"/>
    <x v="2"/>
    <s v="Medicare"/>
    <n v="58661.120000000003"/>
    <n v="23782.62"/>
    <n v="0"/>
  </r>
  <r>
    <x v="5048"/>
    <s v="Peconic Bay Medical Center"/>
    <n v="2015"/>
    <n v="7"/>
    <s v="Medicare"/>
    <x v="2"/>
    <s v="Medicare"/>
    <n v="54280.32"/>
    <n v="16824.82"/>
    <n v="0"/>
  </r>
  <r>
    <x v="5049"/>
    <s v="Peconic Bay Medical Center"/>
    <n v="2015"/>
    <n v="7"/>
    <s v="Medicare"/>
    <x v="2"/>
    <s v="Medicare"/>
    <n v="32510.959999999999"/>
    <n v="9853.89"/>
    <n v="0"/>
  </r>
  <r>
    <x v="5050"/>
    <s v="Peconic Bay Medical Center"/>
    <n v="2015"/>
    <n v="7"/>
    <s v="Medicare"/>
    <x v="2"/>
    <s v="Medicare"/>
    <n v="19494.32"/>
    <n v="5028.53"/>
    <n v="0"/>
  </r>
  <r>
    <x v="5051"/>
    <s v="Peconic Bay Medical Center"/>
    <n v="2015"/>
    <n v="7"/>
    <s v="Medicare"/>
    <x v="2"/>
    <s v="Medicare"/>
    <n v="37357.379999999997"/>
    <n v="11646.32"/>
    <n v="0"/>
  </r>
  <r>
    <x v="5052"/>
    <s v="Peconic Bay Medical Center"/>
    <n v="2015"/>
    <n v="7"/>
    <s v="Medicare"/>
    <x v="2"/>
    <s v="Medicare"/>
    <n v="71405.8"/>
    <n v="57846.720000000001"/>
    <n v="0"/>
  </r>
  <r>
    <x v="5053"/>
    <s v="Peconic Bay Medical Center"/>
    <n v="2015"/>
    <n v="7"/>
    <s v="Medicare"/>
    <x v="2"/>
    <s v="Medicare"/>
    <n v="14337.1"/>
    <n v="4285.53"/>
    <n v="0"/>
  </r>
  <r>
    <x v="5054"/>
    <s v="Peconic Bay Medical Center"/>
    <n v="2015"/>
    <n v="7"/>
    <s v="Medicare"/>
    <x v="2"/>
    <s v="Medicare"/>
    <n v="15528.34"/>
    <n v="2924.47"/>
    <n v="0"/>
  </r>
  <r>
    <x v="5055"/>
    <s v="Peconic Bay Medical Center"/>
    <n v="2015"/>
    <n v="7"/>
    <s v="Medicare"/>
    <x v="2"/>
    <s v="Medicare"/>
    <n v="88903.06"/>
    <n v="63639.42"/>
    <n v="0"/>
  </r>
  <r>
    <x v="5056"/>
    <s v="Peconic Bay Medical Center"/>
    <n v="2015"/>
    <n v="7"/>
    <s v="Medicare"/>
    <x v="2"/>
    <s v="Medicare"/>
    <n v="69285.100000000006"/>
    <n v="49681.09"/>
    <n v="0"/>
  </r>
  <r>
    <x v="5057"/>
    <s v="Peconic Bay Medical Center"/>
    <n v="2015"/>
    <n v="7"/>
    <s v="Medicare"/>
    <x v="2"/>
    <s v="Medicare"/>
    <n v="21374.38"/>
    <n v="4942.96"/>
    <n v="0"/>
  </r>
  <r>
    <x v="5058"/>
    <s v="Peconic Bay Medical Center"/>
    <n v="2015"/>
    <n v="7"/>
    <s v="Medicare"/>
    <x v="2"/>
    <s v="Medicare"/>
    <n v="21251.200000000001"/>
    <n v="5798.26"/>
    <n v="0"/>
  </r>
  <r>
    <x v="5059"/>
    <s v="Peconic Bay Medical Center"/>
    <n v="2015"/>
    <n v="7"/>
    <s v="Medicare"/>
    <x v="2"/>
    <s v="Medicare"/>
    <n v="14470.28"/>
    <n v="3306.87"/>
    <n v="0"/>
  </r>
  <r>
    <x v="5060"/>
    <s v="Peconic Bay Medical Center"/>
    <n v="2015"/>
    <n v="7"/>
    <s v="Medicare"/>
    <x v="2"/>
    <s v="Medicare"/>
    <n v="87563.48"/>
    <n v="61969.24"/>
    <n v="0"/>
  </r>
  <r>
    <x v="5061"/>
    <s v="Peconic Bay Medical Center"/>
    <n v="2015"/>
    <n v="7"/>
    <s v="Medicare"/>
    <x v="2"/>
    <s v="Medicare"/>
    <n v="50705.7"/>
    <n v="14938.04"/>
    <n v="0"/>
  </r>
  <r>
    <x v="5062"/>
    <s v="Peconic Bay Medical Center"/>
    <n v="2015"/>
    <n v="7"/>
    <s v="Medicare"/>
    <x v="2"/>
    <s v="Medicare"/>
    <n v="66750.06"/>
    <n v="34057.67"/>
    <n v="0"/>
  </r>
  <r>
    <x v="5063"/>
    <s v="Peconic Bay Medical Center"/>
    <n v="2015"/>
    <n v="7"/>
    <s v="Medicare"/>
    <x v="2"/>
    <s v="Medicare"/>
    <n v="65346.86"/>
    <n v="47116.84"/>
    <n v="0"/>
  </r>
  <r>
    <x v="5064"/>
    <s v="Peconic Bay Medical Center"/>
    <n v="2015"/>
    <n v="7"/>
    <s v="Medicare"/>
    <x v="2"/>
    <s v="Medicare"/>
    <n v="30234.32"/>
    <n v="7590.89"/>
    <n v="0"/>
  </r>
  <r>
    <x v="5065"/>
    <s v="Peconic Bay Medical Center"/>
    <n v="2015"/>
    <n v="7"/>
    <s v="Medicare"/>
    <x v="2"/>
    <s v="Medicare"/>
    <n v="39748.239999999998"/>
    <n v="11587.47"/>
    <n v="0"/>
  </r>
  <r>
    <x v="5066"/>
    <s v="Peconic Bay Medical Center"/>
    <n v="2015"/>
    <n v="7"/>
    <s v="Medicare"/>
    <x v="2"/>
    <s v="Medicare"/>
    <n v="31046.94"/>
    <n v="9534.67"/>
    <n v="0"/>
  </r>
  <r>
    <x v="5067"/>
    <s v="Peconic Bay Medical Center"/>
    <n v="2015"/>
    <n v="7"/>
    <s v="Medicare"/>
    <x v="2"/>
    <s v="Medicare"/>
    <n v="22729.86"/>
    <n v="4429.74"/>
    <n v="0"/>
  </r>
  <r>
    <x v="5068"/>
    <s v="Peconic Bay Medical Center"/>
    <n v="2015"/>
    <n v="7"/>
    <s v="Medicare"/>
    <x v="2"/>
    <s v="Medicare"/>
    <n v="24814.2"/>
    <n v="6758.14"/>
    <n v="0"/>
  </r>
  <r>
    <x v="5069"/>
    <s v="Peconic Bay Medical Center"/>
    <n v="2015"/>
    <n v="7"/>
    <s v="Medicare"/>
    <x v="2"/>
    <s v="Medicare"/>
    <n v="77851.44"/>
    <n v="57288.91"/>
    <n v="0"/>
  </r>
  <r>
    <x v="5070"/>
    <s v="Peconic Bay Medical Center"/>
    <n v="2015"/>
    <n v="7"/>
    <s v="Medicare"/>
    <x v="2"/>
    <s v="Medicare"/>
    <n v="26617.599999999999"/>
    <n v="8082.51"/>
    <n v="0"/>
  </r>
  <r>
    <x v="5071"/>
    <s v="Peconic Bay Medical Center"/>
    <n v="2015"/>
    <n v="7"/>
    <s v="Medicare"/>
    <x v="2"/>
    <s v="Medicare"/>
    <n v="132176.48000000001"/>
    <n v="52488.23"/>
    <n v="0"/>
  </r>
  <r>
    <x v="5072"/>
    <s v="Peconic Bay Medical Center"/>
    <n v="2015"/>
    <n v="7"/>
    <s v="Medicare"/>
    <x v="2"/>
    <s v="Medicare"/>
    <n v="15002.56"/>
    <n v="3470.8"/>
    <n v="0"/>
  </r>
  <r>
    <x v="5073"/>
    <s v="Peconic Bay Medical Center"/>
    <n v="2015"/>
    <n v="7"/>
    <s v="Medicare"/>
    <x v="2"/>
    <s v="Medicare"/>
    <n v="161683.84"/>
    <n v="71292.59"/>
    <n v="0"/>
  </r>
  <r>
    <x v="5074"/>
    <s v="Peconic Bay Medical Center"/>
    <n v="2015"/>
    <n v="7"/>
    <s v="Medicare"/>
    <x v="2"/>
    <s v="Medicare"/>
    <n v="29146.62"/>
    <n v="8508.7199999999993"/>
    <n v="0"/>
  </r>
  <r>
    <x v="5075"/>
    <s v="Peconic Bay Medical Center"/>
    <n v="2015"/>
    <n v="7"/>
    <s v="Medicare"/>
    <x v="2"/>
    <s v="Medicare"/>
    <n v="30386.880000000001"/>
    <n v="8144.17"/>
    <n v="0"/>
  </r>
  <r>
    <x v="5076"/>
    <s v="Peconic Bay Medical Center"/>
    <n v="2015"/>
    <n v="7"/>
    <s v="Medicare"/>
    <x v="2"/>
    <s v="Medicare"/>
    <n v="78534.78"/>
    <n v="26041.79"/>
    <n v="0"/>
  </r>
  <r>
    <x v="5077"/>
    <s v="Peconic Bay Medical Center"/>
    <n v="2015"/>
    <n v="7"/>
    <s v="Medicare"/>
    <x v="2"/>
    <s v="Medicare"/>
    <n v="22627.919999999998"/>
    <n v="10795.68"/>
    <n v="0"/>
  </r>
  <r>
    <x v="5078"/>
    <s v="Peconic Bay Medical Center"/>
    <n v="2015"/>
    <n v="7"/>
    <s v="Medicare"/>
    <x v="2"/>
    <s v="Medicare"/>
    <n v="65485.38"/>
    <n v="20268.759999999998"/>
    <n v="0"/>
  </r>
  <r>
    <x v="5079"/>
    <s v="Peconic Bay Medical Center"/>
    <n v="2015"/>
    <n v="7"/>
    <s v="Medicare"/>
    <x v="2"/>
    <s v="Medicare"/>
    <n v="97367.8"/>
    <n v="45244.69"/>
    <n v="0"/>
  </r>
  <r>
    <x v="5080"/>
    <s v="Peconic Bay Medical Center"/>
    <n v="2015"/>
    <n v="7"/>
    <s v="Medicare"/>
    <x v="2"/>
    <s v="Medicare"/>
    <n v="71648.820000000007"/>
    <n v="53959.79"/>
    <n v="0"/>
  </r>
  <r>
    <x v="5081"/>
    <s v="Peconic Bay Medical Center"/>
    <n v="2015"/>
    <n v="7"/>
    <s v="Medicare"/>
    <x v="2"/>
    <s v="Medicare"/>
    <n v="28691.200000000001"/>
    <n v="17887.84"/>
    <n v="0"/>
  </r>
  <r>
    <x v="5082"/>
    <s v="Peconic Bay Medical Center"/>
    <n v="2015"/>
    <n v="7"/>
    <s v="Medicare"/>
    <x v="2"/>
    <s v="Medicare"/>
    <n v="22680.02"/>
    <n v="6783.13"/>
    <n v="0"/>
  </r>
  <r>
    <x v="5083"/>
    <s v="Peconic Bay Medical Center"/>
    <n v="2015"/>
    <n v="7"/>
    <s v="Medicare"/>
    <x v="2"/>
    <s v="Medicare"/>
    <n v="18916.16"/>
    <n v="4171.5"/>
    <n v="0"/>
  </r>
  <r>
    <x v="5084"/>
    <s v="Peconic Bay Medical Center"/>
    <n v="2015"/>
    <n v="7"/>
    <s v="Medicare"/>
    <x v="2"/>
    <s v="Medicare"/>
    <n v="12159.7"/>
    <n v="2946.68"/>
    <n v="0"/>
  </r>
  <r>
    <x v="5085"/>
    <s v="Peconic Bay Medical Center"/>
    <n v="2015"/>
    <n v="7"/>
    <s v="Medicare"/>
    <x v="2"/>
    <s v="Medicare"/>
    <n v="68831.86"/>
    <n v="53922.44"/>
    <n v="0"/>
  </r>
  <r>
    <x v="5086"/>
    <s v="Peconic Bay Medical Center"/>
    <n v="2015"/>
    <n v="7"/>
    <s v="Medicare"/>
    <x v="2"/>
    <s v="Medicare"/>
    <n v="21972.400000000001"/>
    <n v="5688.13"/>
    <n v="0"/>
  </r>
  <r>
    <x v="5087"/>
    <s v="Peconic Bay Medical Center"/>
    <n v="2015"/>
    <n v="7"/>
    <s v="Medicare"/>
    <x v="2"/>
    <s v="Medicare"/>
    <n v="12823.02"/>
    <n v="3045.66"/>
    <n v="0"/>
  </r>
  <r>
    <x v="5088"/>
    <s v="Peconic Bay Medical Center"/>
    <n v="2015"/>
    <n v="7"/>
    <s v="Medicare"/>
    <x v="2"/>
    <s v="Medicare"/>
    <n v="32412.79"/>
    <n v="9083.69"/>
    <n v="0"/>
  </r>
  <r>
    <x v="5089"/>
    <s v="Peconic Bay Medical Center"/>
    <n v="2015"/>
    <n v="7"/>
    <s v="Medicare"/>
    <x v="2"/>
    <s v="Medicare"/>
    <n v="12442.8"/>
    <n v="2407.33"/>
    <n v="0"/>
  </r>
  <r>
    <x v="5090"/>
    <s v="Peconic Bay Medical Center"/>
    <n v="2015"/>
    <n v="7"/>
    <s v="Medicare"/>
    <x v="2"/>
    <s v="Medicare"/>
    <n v="22373.7"/>
    <n v="4840.7"/>
    <n v="0"/>
  </r>
  <r>
    <x v="5091"/>
    <s v="Peconic Bay Medical Center"/>
    <n v="2015"/>
    <n v="7"/>
    <s v="Medicare"/>
    <x v="2"/>
    <s v="Medicare"/>
    <n v="22366.46"/>
    <n v="6192.27"/>
    <n v="0"/>
  </r>
  <r>
    <x v="5092"/>
    <s v="Peconic Bay Medical Center"/>
    <n v="2015"/>
    <n v="7"/>
    <s v="Medicare"/>
    <x v="2"/>
    <s v="Medicare"/>
    <n v="78010.559999999998"/>
    <n v="44844.9"/>
    <n v="0"/>
  </r>
  <r>
    <x v="5093"/>
    <s v="Peconic Bay Medical Center"/>
    <n v="2015"/>
    <n v="7"/>
    <s v="Medicare"/>
    <x v="2"/>
    <s v="Medicare"/>
    <n v="25724.52"/>
    <n v="6095.62"/>
    <n v="0"/>
  </r>
  <r>
    <x v="5094"/>
    <s v="Peconic Bay Medical Center"/>
    <n v="2015"/>
    <n v="7"/>
    <s v="Medicare"/>
    <x v="2"/>
    <s v="Medicare"/>
    <n v="102907.48"/>
    <n v="65982.33"/>
    <n v="0"/>
  </r>
  <r>
    <x v="5095"/>
    <s v="Peconic Bay Medical Center"/>
    <n v="2015"/>
    <n v="7"/>
    <s v="Medicare"/>
    <x v="2"/>
    <s v="Medicare"/>
    <n v="55521"/>
    <n v="17265.09"/>
    <n v="0"/>
  </r>
  <r>
    <x v="5096"/>
    <s v="Peconic Bay Medical Center"/>
    <n v="2015"/>
    <n v="7"/>
    <s v="Medicare"/>
    <x v="2"/>
    <s v="Medicare"/>
    <n v="23892.18"/>
    <n v="7461.57"/>
    <n v="0"/>
  </r>
  <r>
    <x v="5097"/>
    <s v="Peconic Bay Medical Center"/>
    <n v="2015"/>
    <n v="7"/>
    <s v="Medicare"/>
    <x v="2"/>
    <s v="Medicare"/>
    <n v="9264.02"/>
    <n v="2387.73"/>
    <n v="0"/>
  </r>
  <r>
    <x v="5098"/>
    <s v="Peconic Bay Medical Center"/>
    <n v="2015"/>
    <n v="7"/>
    <s v="Medicare"/>
    <x v="2"/>
    <s v="Medicare"/>
    <n v="24055.3"/>
    <n v="6609.46"/>
    <n v="0"/>
  </r>
  <r>
    <x v="5099"/>
    <s v="Peconic Bay Medical Center"/>
    <n v="2015"/>
    <n v="7"/>
    <s v="Medicare"/>
    <x v="2"/>
    <s v="Medicare"/>
    <n v="52543.46"/>
    <n v="16856.759999999998"/>
    <n v="0"/>
  </r>
  <r>
    <x v="5100"/>
    <s v="Peconic Bay Medical Center"/>
    <n v="2015"/>
    <n v="7"/>
    <s v="Medicare"/>
    <x v="2"/>
    <s v="Medicare"/>
    <n v="47150.95"/>
    <n v="24061.29"/>
    <n v="0"/>
  </r>
  <r>
    <x v="5101"/>
    <s v="Peconic Bay Medical Center"/>
    <n v="2015"/>
    <n v="7"/>
    <s v="Medicare"/>
    <x v="2"/>
    <s v="Medicare"/>
    <n v="30552.36"/>
    <n v="7348.61"/>
    <n v="0"/>
  </r>
  <r>
    <x v="5102"/>
    <s v="Peconic Bay Medical Center"/>
    <n v="2015"/>
    <n v="7"/>
    <s v="Medicare"/>
    <x v="2"/>
    <s v="Medicare"/>
    <n v="75560.2"/>
    <n v="46529.57"/>
    <n v="0"/>
  </r>
  <r>
    <x v="5103"/>
    <s v="Peconic Bay Medical Center"/>
    <n v="2015"/>
    <n v="7"/>
    <s v="Medicare"/>
    <x v="2"/>
    <s v="Medicare"/>
    <n v="21939.94"/>
    <n v="4830.05"/>
    <n v="0"/>
  </r>
  <r>
    <x v="5104"/>
    <s v="Peconic Bay Medical Center"/>
    <n v="2015"/>
    <n v="7"/>
    <s v="Medicare"/>
    <x v="2"/>
    <s v="Medicare"/>
    <n v="11454.6"/>
    <n v="2961.71"/>
    <n v="0"/>
  </r>
  <r>
    <x v="5105"/>
    <s v="Peconic Bay Medical Center"/>
    <n v="2015"/>
    <n v="7"/>
    <s v="Medicare"/>
    <x v="2"/>
    <s v="Medicare"/>
    <n v="23528.82"/>
    <n v="6445.69"/>
    <n v="0"/>
  </r>
  <r>
    <x v="5106"/>
    <s v="Peconic Bay Medical Center"/>
    <n v="2015"/>
    <n v="7"/>
    <s v="Medicare"/>
    <x v="2"/>
    <s v="Medicare"/>
    <n v="90018.6"/>
    <n v="24944.14"/>
    <n v="0"/>
  </r>
  <r>
    <x v="5107"/>
    <s v="Peconic Bay Medical Center"/>
    <n v="2015"/>
    <n v="7"/>
    <s v="Medicare"/>
    <x v="2"/>
    <s v="Medicare"/>
    <n v="30407.919999999998"/>
    <n v="9038.2199999999993"/>
    <n v="0"/>
  </r>
  <r>
    <x v="5108"/>
    <s v="Peconic Bay Medical Center"/>
    <n v="2015"/>
    <n v="7"/>
    <s v="Medicare"/>
    <x v="2"/>
    <s v="Medicare"/>
    <n v="147592.35999999999"/>
    <n v="42604.63"/>
    <n v="0"/>
  </r>
  <r>
    <x v="5109"/>
    <s v="Peconic Bay Medical Center"/>
    <n v="2015"/>
    <n v="7"/>
    <s v="Medicare"/>
    <x v="2"/>
    <s v="Medicare"/>
    <n v="9521.42"/>
    <n v="2626.97"/>
    <n v="0"/>
  </r>
  <r>
    <x v="5110"/>
    <s v="Peconic Bay Medical Center"/>
    <n v="2015"/>
    <n v="7"/>
    <s v="Medicare"/>
    <x v="2"/>
    <s v="Medicare"/>
    <n v="76492.960000000006"/>
    <n v="21093.09"/>
    <n v="0"/>
  </r>
  <r>
    <x v="5111"/>
    <s v="Peconic Bay Medical Center"/>
    <n v="2015"/>
    <n v="7"/>
    <s v="Medicare"/>
    <x v="2"/>
    <s v="Medicare"/>
    <n v="17820.560000000001"/>
    <n v="4769.7299999999996"/>
    <n v="0"/>
  </r>
  <r>
    <x v="5112"/>
    <s v="Peconic Bay Medical Center"/>
    <n v="2015"/>
    <n v="7"/>
    <s v="Medicare"/>
    <x v="2"/>
    <s v="Medicare"/>
    <n v="20111.28"/>
    <n v="4825.1099999999997"/>
    <n v="0"/>
  </r>
  <r>
    <x v="5113"/>
    <s v="Peconic Bay Medical Center"/>
    <n v="2015"/>
    <n v="7"/>
    <s v="Medicare"/>
    <x v="2"/>
    <s v="Medicare"/>
    <n v="20147.12"/>
    <n v="4824.67"/>
    <n v="0"/>
  </r>
  <r>
    <x v="5114"/>
    <s v="Peconic Bay Medical Center"/>
    <n v="2015"/>
    <n v="7"/>
    <s v="Medicare"/>
    <x v="2"/>
    <s v="Medicare"/>
    <n v="42730.6"/>
    <n v="10015.459999999999"/>
    <n v="0"/>
  </r>
  <r>
    <x v="5115"/>
    <s v="Peconic Bay Medical Center"/>
    <n v="2015"/>
    <n v="7"/>
    <s v="Medicare"/>
    <x v="2"/>
    <s v="Medicare"/>
    <n v="21959.86"/>
    <n v="5659.97"/>
    <n v="0"/>
  </r>
  <r>
    <x v="5116"/>
    <s v="Peconic Bay Medical Center"/>
    <n v="2015"/>
    <n v="7"/>
    <s v="Medicare"/>
    <x v="2"/>
    <s v="Medicare"/>
    <n v="87670.98"/>
    <n v="27226.73"/>
    <n v="0"/>
  </r>
  <r>
    <x v="5117"/>
    <s v="Peconic Bay Medical Center"/>
    <n v="2015"/>
    <n v="7"/>
    <s v="Medicare"/>
    <x v="2"/>
    <s v="Medicare"/>
    <n v="31916.57"/>
    <n v="13927.4"/>
    <n v="0"/>
  </r>
  <r>
    <x v="5118"/>
    <s v="Peconic Bay Medical Center"/>
    <n v="2015"/>
    <n v="7"/>
    <s v="Medicare"/>
    <x v="2"/>
    <s v="Medicare"/>
    <n v="27889.3"/>
    <n v="17880.849999999999"/>
    <n v="0"/>
  </r>
  <r>
    <x v="5119"/>
    <s v="Peconic Bay Medical Center"/>
    <n v="2015"/>
    <n v="7"/>
    <s v="Medicare"/>
    <x v="2"/>
    <s v="Medicare"/>
    <n v="11012.64"/>
    <n v="2486.1799999999998"/>
    <n v="0"/>
  </r>
  <r>
    <x v="5120"/>
    <s v="Peconic Bay Medical Center"/>
    <n v="2015"/>
    <n v="7"/>
    <s v="Medicare"/>
    <x v="2"/>
    <s v="Medicare"/>
    <n v="41960.959999999999"/>
    <n v="23295.58"/>
    <n v="0"/>
  </r>
  <r>
    <x v="5121"/>
    <s v="Peconic Bay Medical Center"/>
    <n v="2015"/>
    <n v="7"/>
    <s v="Medicare"/>
    <x v="2"/>
    <s v="Medicare"/>
    <n v="21597.040000000001"/>
    <n v="5930.44"/>
    <n v="0"/>
  </r>
  <r>
    <x v="5122"/>
    <s v="Peconic Bay Medical Center"/>
    <n v="2015"/>
    <n v="7"/>
    <s v="Medicare"/>
    <x v="2"/>
    <s v="Medicare"/>
    <n v="66343.72"/>
    <n v="47945.05"/>
    <n v="0"/>
  </r>
  <r>
    <x v="5123"/>
    <s v="Peconic Bay Medical Center"/>
    <n v="2015"/>
    <n v="7"/>
    <s v="Medicare"/>
    <x v="2"/>
    <s v="Medicare"/>
    <n v="20283.38"/>
    <n v="5476.73"/>
    <n v="0"/>
  </r>
  <r>
    <x v="5124"/>
    <s v="Peconic Bay Medical Center"/>
    <n v="2015"/>
    <n v="7"/>
    <s v="Medicare"/>
    <x v="2"/>
    <s v="Medicare"/>
    <n v="24738.32"/>
    <n v="6843.03"/>
    <n v="0"/>
  </r>
  <r>
    <x v="5125"/>
    <s v="Peconic Bay Medical Center"/>
    <n v="2015"/>
    <n v="7"/>
    <s v="Medicare"/>
    <x v="2"/>
    <s v="Medicare"/>
    <n v="29705.34"/>
    <n v="7518.26"/>
    <n v="0"/>
  </r>
  <r>
    <x v="5126"/>
    <s v="Peconic Bay Medical Center"/>
    <n v="2015"/>
    <n v="7"/>
    <s v="Medicare"/>
    <x v="2"/>
    <s v="Medicare"/>
    <n v="12393.46"/>
    <n v="3217.16"/>
    <n v="0"/>
  </r>
  <r>
    <x v="5127"/>
    <s v="Peconic Bay Medical Center"/>
    <n v="2015"/>
    <n v="7"/>
    <s v="Medicare"/>
    <x v="2"/>
    <s v="Medicare"/>
    <n v="44285.2"/>
    <n v="13151.11"/>
    <n v="0"/>
  </r>
  <r>
    <x v="5128"/>
    <s v="Peconic Bay Medical Center"/>
    <n v="2015"/>
    <n v="7"/>
    <s v="Medicare"/>
    <x v="2"/>
    <s v="Medicare"/>
    <n v="9160.56"/>
    <n v="2673.06"/>
    <n v="0"/>
  </r>
  <r>
    <x v="5129"/>
    <s v="Peconic Bay Medical Center"/>
    <n v="2015"/>
    <n v="7"/>
    <s v="Medicare"/>
    <x v="2"/>
    <s v="Medicare"/>
    <n v="31425.72"/>
    <n v="11258.34"/>
    <n v="0"/>
  </r>
  <r>
    <x v="5130"/>
    <s v="Peconic Bay Medical Center"/>
    <n v="2015"/>
    <n v="7"/>
    <s v="Medicare"/>
    <x v="2"/>
    <s v="Medicare"/>
    <n v="10463.08"/>
    <n v="2696.15"/>
    <n v="0"/>
  </r>
  <r>
    <x v="5131"/>
    <s v="Peconic Bay Medical Center"/>
    <n v="2015"/>
    <n v="7"/>
    <s v="Medicare"/>
    <x v="2"/>
    <s v="Medicare"/>
    <n v="30598.560000000001"/>
    <n v="8493.2900000000009"/>
    <n v="0"/>
  </r>
  <r>
    <x v="5132"/>
    <s v="Peconic Bay Medical Center"/>
    <n v="2015"/>
    <n v="7"/>
    <s v="Medicare"/>
    <x v="2"/>
    <s v="Medicare"/>
    <n v="200962.82"/>
    <n v="95038.28"/>
    <n v="0"/>
  </r>
  <r>
    <x v="5133"/>
    <s v="Peconic Bay Medical Center"/>
    <n v="2015"/>
    <n v="7"/>
    <s v="Medicare"/>
    <x v="2"/>
    <s v="Medicare"/>
    <n v="30377.599999999999"/>
    <n v="8253.15"/>
    <n v="0"/>
  </r>
  <r>
    <x v="5134"/>
    <s v="Peconic Bay Medical Center"/>
    <n v="2015"/>
    <n v="7"/>
    <s v="Medicare"/>
    <x v="2"/>
    <s v="Medicare"/>
    <n v="26253.32"/>
    <n v="7121.8"/>
    <n v="0"/>
  </r>
  <r>
    <x v="5135"/>
    <s v="Peconic Bay Medical Center"/>
    <n v="2015"/>
    <n v="7"/>
    <s v="Medicare"/>
    <x v="2"/>
    <s v="Medicare"/>
    <n v="12762.58"/>
    <n v="2900.68"/>
    <n v="0"/>
  </r>
  <r>
    <x v="5136"/>
    <s v="Peconic Bay Medical Center"/>
    <n v="2015"/>
    <n v="7"/>
    <s v="Medicare"/>
    <x v="2"/>
    <s v="Medicare"/>
    <n v="45751.6"/>
    <n v="21595.02"/>
    <n v="0"/>
  </r>
  <r>
    <x v="5137"/>
    <s v="Peconic Bay Medical Center"/>
    <n v="2015"/>
    <n v="7"/>
    <s v="Medicare"/>
    <x v="2"/>
    <s v="Medicare"/>
    <n v="174775.8"/>
    <n v="115540.82"/>
    <n v="0"/>
  </r>
  <r>
    <x v="5138"/>
    <s v="Peconic Bay Medical Center"/>
    <n v="2015"/>
    <n v="7"/>
    <s v="Medicare"/>
    <x v="2"/>
    <s v="Medicare"/>
    <n v="38331.660000000003"/>
    <n v="15581.41"/>
    <n v="0"/>
  </r>
  <r>
    <x v="5139"/>
    <s v="Peconic Bay Medical Center"/>
    <n v="2015"/>
    <n v="7"/>
    <s v="Medicare"/>
    <x v="2"/>
    <s v="Medicare"/>
    <n v="38723.54"/>
    <n v="11290.39"/>
    <n v="0"/>
  </r>
  <r>
    <x v="5140"/>
    <s v="Peconic Bay Medical Center"/>
    <n v="2015"/>
    <n v="7"/>
    <s v="Medicare"/>
    <x v="2"/>
    <s v="Medicare"/>
    <n v="24120.7"/>
    <n v="6380.7"/>
    <n v="0"/>
  </r>
  <r>
    <x v="5141"/>
    <s v="Peconic Bay Medical Center"/>
    <n v="2015"/>
    <n v="7"/>
    <s v="Medicare"/>
    <x v="2"/>
    <s v="Medicare"/>
    <n v="45092.2"/>
    <n v="13099.05"/>
    <n v="0"/>
  </r>
  <r>
    <x v="5142"/>
    <s v="Peconic Bay Medical Center"/>
    <n v="2015"/>
    <n v="7"/>
    <s v="Medicare"/>
    <x v="2"/>
    <s v="Medicare"/>
    <n v="23320.5"/>
    <n v="6989.35"/>
    <n v="0"/>
  </r>
  <r>
    <x v="5143"/>
    <s v="Peconic Bay Medical Center"/>
    <n v="2015"/>
    <n v="7"/>
    <s v="Medicare"/>
    <x v="2"/>
    <s v="Medicare"/>
    <n v="24032.12"/>
    <n v="6541.9"/>
    <n v="0"/>
  </r>
  <r>
    <x v="5144"/>
    <s v="Peconic Bay Medical Center"/>
    <n v="2015"/>
    <n v="7"/>
    <s v="Medicare"/>
    <x v="2"/>
    <s v="Medicare"/>
    <n v="65599.820000000007"/>
    <n v="46624.54"/>
    <n v="0"/>
  </r>
  <r>
    <x v="5145"/>
    <s v="Peconic Bay Medical Center"/>
    <n v="2015"/>
    <n v="7"/>
    <s v="Medicare"/>
    <x v="2"/>
    <s v="Medicare"/>
    <n v="23647.46"/>
    <n v="6841.47"/>
    <n v="0"/>
  </r>
  <r>
    <x v="5146"/>
    <s v="Peconic Bay Medical Center"/>
    <n v="2015"/>
    <n v="7"/>
    <s v="Medicare"/>
    <x v="2"/>
    <s v="Medicare"/>
    <n v="29399.3"/>
    <n v="8715.11"/>
    <n v="0"/>
  </r>
  <r>
    <x v="5147"/>
    <s v="Peconic Bay Medical Center"/>
    <n v="2015"/>
    <n v="7"/>
    <s v="Medicare"/>
    <x v="2"/>
    <s v="Medicare"/>
    <n v="28273.86"/>
    <n v="7548.83"/>
    <n v="0"/>
  </r>
  <r>
    <x v="5148"/>
    <s v="Peconic Bay Medical Center"/>
    <n v="2015"/>
    <n v="7"/>
    <s v="Medicare"/>
    <x v="2"/>
    <s v="Medicare"/>
    <n v="35702.58"/>
    <n v="10670.23"/>
    <n v="0"/>
  </r>
  <r>
    <x v="5149"/>
    <s v="Peconic Bay Medical Center"/>
    <n v="2015"/>
    <n v="7"/>
    <s v="Medicare"/>
    <x v="2"/>
    <s v="Medicare"/>
    <n v="40806.199999999997"/>
    <n v="25073.73"/>
    <n v="0"/>
  </r>
  <r>
    <x v="5150"/>
    <s v="Peconic Bay Medical Center"/>
    <n v="2015"/>
    <n v="7"/>
    <s v="Medicare"/>
    <x v="2"/>
    <s v="Medicare"/>
    <n v="22063.22"/>
    <n v="6515.9"/>
    <n v="0"/>
  </r>
  <r>
    <x v="5151"/>
    <s v="Peconic Bay Medical Center"/>
    <n v="2015"/>
    <n v="7"/>
    <s v="Medicare"/>
    <x v="2"/>
    <s v="Medicare"/>
    <n v="18739.400000000001"/>
    <n v="5120.8100000000004"/>
    <n v="0"/>
  </r>
  <r>
    <x v="5152"/>
    <s v="Peconic Bay Medical Center"/>
    <n v="2015"/>
    <n v="7"/>
    <s v="Medicare"/>
    <x v="2"/>
    <s v="Medicare"/>
    <n v="60002.74"/>
    <n v="18196.740000000002"/>
    <n v="0"/>
  </r>
  <r>
    <x v="5153"/>
    <s v="Peconic Bay Medical Center"/>
    <n v="2015"/>
    <n v="7"/>
    <s v="Medicare"/>
    <x v="2"/>
    <s v="Medicare"/>
    <n v="15025.46"/>
    <n v="4428.95"/>
    <n v="0"/>
  </r>
  <r>
    <x v="5154"/>
    <s v="Peconic Bay Medical Center"/>
    <n v="2015"/>
    <n v="7"/>
    <s v="Medicare"/>
    <x v="2"/>
    <s v="Medicare"/>
    <n v="10545.06"/>
    <n v="2816.8"/>
    <n v="0"/>
  </r>
  <r>
    <x v="5155"/>
    <s v="Peconic Bay Medical Center"/>
    <n v="2015"/>
    <n v="7"/>
    <s v="Medicare"/>
    <x v="2"/>
    <s v="Medicare"/>
    <n v="29434.400000000001"/>
    <n v="8563.0400000000009"/>
    <n v="0"/>
  </r>
  <r>
    <x v="5156"/>
    <s v="Peconic Bay Medical Center"/>
    <n v="2015"/>
    <n v="7"/>
    <s v="Medicare"/>
    <x v="2"/>
    <s v="Medicare"/>
    <n v="13949.84"/>
    <n v="4109.82"/>
    <n v="0"/>
  </r>
  <r>
    <x v="5157"/>
    <s v="Peconic Bay Medical Center"/>
    <n v="2015"/>
    <n v="7"/>
    <s v="Medicare"/>
    <x v="2"/>
    <s v="Medicare"/>
    <n v="21864.16"/>
    <n v="5930.86"/>
    <n v="0"/>
  </r>
  <r>
    <x v="5158"/>
    <s v="Peconic Bay Medical Center"/>
    <n v="2015"/>
    <n v="7"/>
    <s v="Medicare"/>
    <x v="2"/>
    <s v="Medicare"/>
    <n v="37791.699999999997"/>
    <n v="11584.32"/>
    <n v="0"/>
  </r>
  <r>
    <x v="5159"/>
    <s v="Peconic Bay Medical Center"/>
    <n v="2015"/>
    <n v="7"/>
    <s v="Medicare"/>
    <x v="2"/>
    <s v="Medicare"/>
    <n v="59601.9"/>
    <n v="23572.9"/>
    <n v="0"/>
  </r>
  <r>
    <x v="5160"/>
    <s v="Peconic Bay Medical Center"/>
    <n v="2015"/>
    <n v="7"/>
    <s v="Medicare"/>
    <x v="2"/>
    <s v="Medicare"/>
    <n v="24548.3"/>
    <n v="5938.79"/>
    <n v="0"/>
  </r>
  <r>
    <x v="5161"/>
    <s v="Peconic Bay Medical Center"/>
    <n v="2015"/>
    <n v="7"/>
    <s v="Medicare"/>
    <x v="2"/>
    <s v="Medicare"/>
    <n v="34622.1"/>
    <n v="19570.13"/>
    <n v="0"/>
  </r>
  <r>
    <x v="5162"/>
    <s v="Peconic Bay Medical Center"/>
    <n v="2015"/>
    <n v="7"/>
    <s v="Medicare"/>
    <x v="2"/>
    <s v="Medicare"/>
    <n v="27402.98"/>
    <n v="8201.17"/>
    <n v="0"/>
  </r>
  <r>
    <x v="5163"/>
    <s v="Peconic Bay Medical Center"/>
    <n v="2015"/>
    <n v="7"/>
    <s v="Medicare"/>
    <x v="2"/>
    <s v="Medicare"/>
    <n v="74569.919999999998"/>
    <n v="41055.29"/>
    <n v="0"/>
  </r>
  <r>
    <x v="5164"/>
    <s v="Peconic Bay Medical Center"/>
    <n v="2015"/>
    <n v="7"/>
    <s v="Medicare"/>
    <x v="2"/>
    <s v="Medicare"/>
    <n v="29505.119999999999"/>
    <n v="8690.8799999999992"/>
    <n v="0"/>
  </r>
  <r>
    <x v="5165"/>
    <s v="Peconic Bay Medical Center"/>
    <n v="2015"/>
    <n v="7"/>
    <s v="Medicare"/>
    <x v="2"/>
    <s v="Medicare"/>
    <n v="144160.28"/>
    <n v="52712.61"/>
    <n v="0"/>
  </r>
  <r>
    <x v="5166"/>
    <s v="Peconic Bay Medical Center"/>
    <n v="2015"/>
    <n v="7"/>
    <s v="Medicare"/>
    <x v="2"/>
    <s v="Medicare"/>
    <n v="27712.22"/>
    <n v="5547"/>
    <n v="0"/>
  </r>
  <r>
    <x v="5167"/>
    <s v="Peconic Bay Medical Center"/>
    <n v="2015"/>
    <n v="7"/>
    <s v="Medicare"/>
    <x v="2"/>
    <s v="Medicare"/>
    <n v="13648.5"/>
    <n v="3501.04"/>
    <n v="0"/>
  </r>
  <r>
    <x v="5168"/>
    <s v="Peconic Bay Medical Center"/>
    <n v="2015"/>
    <n v="7"/>
    <s v="Medicare"/>
    <x v="2"/>
    <s v="Medicare"/>
    <n v="111191.9"/>
    <n v="56000.22"/>
    <n v="0"/>
  </r>
  <r>
    <x v="5169"/>
    <s v="Peconic Bay Medical Center"/>
    <n v="2015"/>
    <n v="7"/>
    <s v="Medicare"/>
    <x v="2"/>
    <s v="Medicare"/>
    <n v="54123.54"/>
    <n v="17143.080000000002"/>
    <n v="0"/>
  </r>
  <r>
    <x v="5170"/>
    <s v="Peconic Bay Medical Center"/>
    <n v="2015"/>
    <n v="7"/>
    <s v="Medicare"/>
    <x v="2"/>
    <s v="Medicare"/>
    <n v="38178.019999999997"/>
    <n v="11806.44"/>
    <n v="0"/>
  </r>
  <r>
    <x v="5171"/>
    <s v="Peconic Bay Medical Center"/>
    <n v="2015"/>
    <n v="7"/>
    <s v="Medicare"/>
    <x v="2"/>
    <s v="Medicare"/>
    <n v="40629.5"/>
    <n v="15527.77"/>
    <n v="0"/>
  </r>
  <r>
    <x v="5172"/>
    <s v="Peconic Bay Medical Center"/>
    <n v="2015"/>
    <n v="7"/>
    <s v="Medicare"/>
    <x v="2"/>
    <s v="Medicare"/>
    <n v="10508.14"/>
    <n v="2569.04"/>
    <n v="0"/>
  </r>
  <r>
    <x v="5173"/>
    <s v="Peconic Bay Medical Center"/>
    <n v="2015"/>
    <n v="7"/>
    <s v="Medicare"/>
    <x v="2"/>
    <s v="Medicare"/>
    <n v="37756.980000000003"/>
    <n v="14184.57"/>
    <n v="0"/>
  </r>
  <r>
    <x v="5174"/>
    <s v="Peconic Bay Medical Center"/>
    <n v="2015"/>
    <n v="7"/>
    <s v="Medicare"/>
    <x v="2"/>
    <s v="Medicare"/>
    <n v="24720.84"/>
    <n v="7381.38"/>
    <n v="0"/>
  </r>
  <r>
    <x v="5175"/>
    <s v="Peconic Bay Medical Center"/>
    <n v="2015"/>
    <n v="7"/>
    <s v="Medicare"/>
    <x v="2"/>
    <s v="Medicare"/>
    <n v="8646.32"/>
    <n v="2381.44"/>
    <n v="0"/>
  </r>
  <r>
    <x v="5176"/>
    <s v="Peconic Bay Medical Center"/>
    <n v="2015"/>
    <n v="7"/>
    <s v="Medicare"/>
    <x v="2"/>
    <s v="Medicare"/>
    <n v="44461.279999999999"/>
    <n v="13571.13"/>
    <n v="0"/>
  </r>
  <r>
    <x v="5177"/>
    <s v="Peconic Bay Medical Center"/>
    <n v="2015"/>
    <n v="7"/>
    <s v="Medicare"/>
    <x v="2"/>
    <s v="Medicare"/>
    <n v="19940.259999999998"/>
    <n v="6091.38"/>
    <n v="0"/>
  </r>
  <r>
    <x v="5178"/>
    <s v="Peconic Bay Medical Center"/>
    <n v="2015"/>
    <n v="7"/>
    <s v="Medicare"/>
    <x v="2"/>
    <s v="Medicare"/>
    <n v="35368.9"/>
    <n v="10310.99"/>
    <n v="0"/>
  </r>
  <r>
    <x v="5179"/>
    <s v="Peconic Bay Medical Center"/>
    <n v="2015"/>
    <n v="7"/>
    <s v="Medicare"/>
    <x v="2"/>
    <s v="Medicare"/>
    <n v="16750.04"/>
    <n v="4804.5"/>
    <n v="0"/>
  </r>
  <r>
    <x v="5180"/>
    <s v="Peconic Bay Medical Center"/>
    <n v="2015"/>
    <n v="7"/>
    <s v="Medicare"/>
    <x v="2"/>
    <s v="Medicare"/>
    <n v="23807.58"/>
    <n v="6796.84"/>
    <n v="0"/>
  </r>
  <r>
    <x v="5181"/>
    <s v="Peconic Bay Medical Center"/>
    <n v="2015"/>
    <n v="7"/>
    <s v="Medicare"/>
    <x v="2"/>
    <s v="Medicare"/>
    <n v="18966.2"/>
    <n v="4949"/>
    <n v="0"/>
  </r>
  <r>
    <x v="5182"/>
    <s v="Peconic Bay Medical Center"/>
    <n v="2015"/>
    <n v="7"/>
    <s v="Medicare"/>
    <x v="2"/>
    <s v="Medicare"/>
    <n v="10869.98"/>
    <n v="3047.18"/>
    <n v="0"/>
  </r>
  <r>
    <x v="5183"/>
    <s v="Peconic Bay Medical Center"/>
    <n v="2015"/>
    <n v="7"/>
    <s v="Medicare"/>
    <x v="2"/>
    <s v="Medicare"/>
    <n v="25092.560000000001"/>
    <n v="8144.11"/>
    <n v="0"/>
  </r>
  <r>
    <x v="5184"/>
    <s v="Peconic Bay Medical Center"/>
    <n v="2015"/>
    <n v="7"/>
    <s v="Medicare"/>
    <x v="2"/>
    <s v="Medicare"/>
    <n v="12418.22"/>
    <n v="2524.3200000000002"/>
    <n v="0"/>
  </r>
  <r>
    <x v="5185"/>
    <s v="Peconic Bay Medical Center"/>
    <n v="2015"/>
    <n v="7"/>
    <s v="Medicare"/>
    <x v="2"/>
    <s v="Medicare"/>
    <n v="85396.34"/>
    <n v="60921.55"/>
    <n v="0"/>
  </r>
  <r>
    <x v="5186"/>
    <s v="Peconic Bay Medical Center"/>
    <n v="2015"/>
    <n v="7"/>
    <s v="Medicare"/>
    <x v="2"/>
    <s v="Medicare"/>
    <n v="40716.76"/>
    <n v="11159.01"/>
    <n v="0"/>
  </r>
  <r>
    <x v="5187"/>
    <s v="Peconic Bay Medical Center"/>
    <n v="2015"/>
    <n v="7"/>
    <s v="Medicare"/>
    <x v="2"/>
    <s v="Medicare"/>
    <n v="44219.06"/>
    <n v="13103.66"/>
    <n v="0"/>
  </r>
  <r>
    <x v="5188"/>
    <s v="Peconic Bay Medical Center"/>
    <n v="2015"/>
    <n v="7"/>
    <s v="Medicare"/>
    <x v="2"/>
    <s v="Medicare"/>
    <n v="24674.12"/>
    <n v="5516.03"/>
    <n v="0"/>
  </r>
  <r>
    <x v="5189"/>
    <s v="Peconic Bay Medical Center"/>
    <n v="2015"/>
    <n v="7"/>
    <s v="Medicare"/>
    <x v="2"/>
    <s v="Medicare"/>
    <n v="113614.96"/>
    <n v="67789.17"/>
    <n v="0"/>
  </r>
  <r>
    <x v="5190"/>
    <s v="Peconic Bay Medical Center"/>
    <n v="2015"/>
    <n v="7"/>
    <s v="Medicare"/>
    <x v="2"/>
    <s v="Medicare"/>
    <n v="67609.399999999994"/>
    <n v="22392.11"/>
    <n v="0"/>
  </r>
  <r>
    <x v="5191"/>
    <s v="Peconic Bay Medical Center"/>
    <n v="2015"/>
    <n v="7"/>
    <s v="Medicare"/>
    <x v="2"/>
    <s v="Medicare"/>
    <n v="81283.38"/>
    <n v="42372.72"/>
    <n v="0"/>
  </r>
  <r>
    <x v="5192"/>
    <s v="Peconic Bay Medical Center"/>
    <n v="2015"/>
    <n v="7"/>
    <s v="Medicare"/>
    <x v="2"/>
    <s v="Medicare"/>
    <n v="27669.56"/>
    <n v="8044.21"/>
    <n v="0"/>
  </r>
  <r>
    <x v="5193"/>
    <s v="Peconic Bay Medical Center"/>
    <n v="2015"/>
    <n v="7"/>
    <s v="Medicare"/>
    <x v="2"/>
    <s v="Medicare"/>
    <n v="18311.52"/>
    <n v="5707.27"/>
    <n v="0"/>
  </r>
  <r>
    <x v="5194"/>
    <s v="Peconic Bay Medical Center"/>
    <n v="2015"/>
    <n v="7"/>
    <s v="Medicare"/>
    <x v="2"/>
    <s v="Medicare"/>
    <n v="26220.54"/>
    <n v="8291.7099999999991"/>
    <n v="0"/>
  </r>
  <r>
    <x v="5195"/>
    <s v="Peconic Bay Medical Center"/>
    <n v="2015"/>
    <n v="7"/>
    <s v="Medicare"/>
    <x v="2"/>
    <s v="Medicare"/>
    <n v="28576.080000000002"/>
    <n v="8061.49"/>
    <n v="0"/>
  </r>
  <r>
    <x v="5196"/>
    <s v="Peconic Bay Medical Center"/>
    <n v="2015"/>
    <n v="7"/>
    <s v="Medicare"/>
    <x v="2"/>
    <s v="Medicare"/>
    <n v="16101.82"/>
    <n v="5074.07"/>
    <n v="0"/>
  </r>
  <r>
    <x v="5197"/>
    <s v="Peconic Bay Medical Center"/>
    <n v="2015"/>
    <n v="7"/>
    <s v="Medicare"/>
    <x v="2"/>
    <s v="Medicare"/>
    <n v="118229.62"/>
    <n v="57865.21"/>
    <n v="0"/>
  </r>
  <r>
    <x v="5198"/>
    <s v="Peconic Bay Medical Center"/>
    <n v="2015"/>
    <n v="7"/>
    <s v="Medicare"/>
    <x v="2"/>
    <s v="Medicare"/>
    <n v="19061.28"/>
    <n v="4927.58"/>
    <n v="0"/>
  </r>
  <r>
    <x v="5199"/>
    <s v="Peconic Bay Medical Center"/>
    <n v="2015"/>
    <n v="7"/>
    <s v="Medicare"/>
    <x v="2"/>
    <s v="Medicare"/>
    <n v="16498.34"/>
    <n v="4628.33"/>
    <n v="0"/>
  </r>
  <r>
    <x v="5200"/>
    <s v="Peconic Bay Medical Center"/>
    <n v="2015"/>
    <n v="7"/>
    <s v="Medicare"/>
    <x v="2"/>
    <s v="Medicare"/>
    <n v="71795.58"/>
    <n v="23177.75"/>
    <n v="0"/>
  </r>
  <r>
    <x v="5201"/>
    <s v="Peconic Bay Medical Center"/>
    <n v="2015"/>
    <n v="7"/>
    <s v="Medicare"/>
    <x v="2"/>
    <s v="Medicare"/>
    <n v="26307"/>
    <n v="8250.01"/>
    <n v="0"/>
  </r>
  <r>
    <x v="5202"/>
    <s v="Peconic Bay Medical Center"/>
    <n v="2015"/>
    <n v="7"/>
    <s v="Medicare"/>
    <x v="2"/>
    <s v="Medicare"/>
    <n v="11533.02"/>
    <n v="2905.18"/>
    <n v="0"/>
  </r>
  <r>
    <x v="5203"/>
    <s v="Peconic Bay Medical Center"/>
    <n v="2015"/>
    <n v="7"/>
    <s v="Medicare"/>
    <x v="2"/>
    <s v="Medicare"/>
    <n v="20521.7"/>
    <n v="5717.61"/>
    <n v="0"/>
  </r>
  <r>
    <x v="5204"/>
    <s v="Peconic Bay Medical Center"/>
    <n v="2015"/>
    <n v="7"/>
    <s v="Medicare"/>
    <x v="2"/>
    <s v="Medicare"/>
    <n v="21359.119999999999"/>
    <n v="4494.8999999999996"/>
    <n v="0"/>
  </r>
  <r>
    <x v="5205"/>
    <s v="Peconic Bay Medical Center"/>
    <n v="2015"/>
    <n v="7"/>
    <s v="Medicare"/>
    <x v="2"/>
    <s v="Medicare"/>
    <n v="11428.66"/>
    <n v="2588.81"/>
    <n v="0"/>
  </r>
  <r>
    <x v="5206"/>
    <s v="Peconic Bay Medical Center"/>
    <n v="2015"/>
    <n v="7"/>
    <s v="Medicare"/>
    <x v="2"/>
    <s v="Medicare"/>
    <n v="114521.44"/>
    <n v="81209.98"/>
    <n v="0"/>
  </r>
  <r>
    <x v="5207"/>
    <s v="Peconic Bay Medical Center"/>
    <n v="2015"/>
    <n v="7"/>
    <s v="Medicare"/>
    <x v="2"/>
    <s v="Medicare"/>
    <n v="22360.98"/>
    <n v="5787.49"/>
    <n v="0"/>
  </r>
  <r>
    <x v="5208"/>
    <s v="Peconic Bay Medical Center"/>
    <n v="2015"/>
    <n v="7"/>
    <s v="Medicare"/>
    <x v="2"/>
    <s v="Medicare"/>
    <n v="21065.38"/>
    <n v="5946.08"/>
    <n v="0"/>
  </r>
  <r>
    <x v="5209"/>
    <s v="Peconic Bay Medical Center"/>
    <n v="2015"/>
    <n v="7"/>
    <s v="Medicare"/>
    <x v="2"/>
    <s v="Medicare"/>
    <n v="42217.94"/>
    <n v="13259.82"/>
    <n v="0"/>
  </r>
  <r>
    <x v="5210"/>
    <s v="Peconic Bay Medical Center"/>
    <n v="2015"/>
    <n v="7"/>
    <s v="Medicare"/>
    <x v="2"/>
    <s v="Medicare"/>
    <n v="80367.100000000006"/>
    <n v="52992.68"/>
    <n v="0"/>
  </r>
  <r>
    <x v="5211"/>
    <s v="Peconic Bay Medical Center"/>
    <n v="2015"/>
    <n v="7"/>
    <s v="Medicare"/>
    <x v="2"/>
    <s v="Medicare"/>
    <n v="16739.560000000001"/>
    <n v="4398.45"/>
    <n v="0"/>
  </r>
  <r>
    <x v="5212"/>
    <s v="Peconic Bay Medical Center"/>
    <n v="2015"/>
    <n v="7"/>
    <s v="Medicare"/>
    <x v="2"/>
    <s v="Medicare"/>
    <n v="28811.1"/>
    <n v="8252.1"/>
    <n v="0"/>
  </r>
  <r>
    <x v="5213"/>
    <s v="Peconic Bay Medical Center"/>
    <n v="2015"/>
    <n v="7"/>
    <s v="Medicare"/>
    <x v="2"/>
    <s v="Medicare"/>
    <n v="20714.259999999998"/>
    <n v="6641.27"/>
    <n v="0"/>
  </r>
  <r>
    <x v="5214"/>
    <s v="Peconic Bay Medical Center"/>
    <n v="2015"/>
    <n v="7"/>
    <s v="Medicare"/>
    <x v="2"/>
    <s v="Medicare"/>
    <n v="209817.76"/>
    <n v="75413.33"/>
    <n v="0"/>
  </r>
  <r>
    <x v="5215"/>
    <s v="Peconic Bay Medical Center"/>
    <n v="2015"/>
    <n v="7"/>
    <s v="Medicare"/>
    <x v="2"/>
    <s v="Medicare"/>
    <n v="16352.08"/>
    <n v="3137.15"/>
    <n v="0"/>
  </r>
  <r>
    <x v="5216"/>
    <s v="Peconic Bay Medical Center"/>
    <n v="2015"/>
    <n v="7"/>
    <s v="Medicare"/>
    <x v="2"/>
    <s v="Medicare"/>
    <n v="42034.38"/>
    <n v="13293.86"/>
    <n v="0"/>
  </r>
  <r>
    <x v="5217"/>
    <s v="Peconic Bay Medical Center"/>
    <n v="2015"/>
    <n v="7"/>
    <s v="Medicare"/>
    <x v="2"/>
    <s v="Medicare"/>
    <n v="52635.82"/>
    <n v="16161.38"/>
    <n v="0"/>
  </r>
  <r>
    <x v="5218"/>
    <s v="Peconic Bay Medical Center"/>
    <n v="2015"/>
    <n v="7"/>
    <s v="Medicare"/>
    <x v="2"/>
    <s v="Medicare"/>
    <n v="52190.84"/>
    <n v="20361.509999999998"/>
    <n v="0"/>
  </r>
  <r>
    <x v="5219"/>
    <s v="Peconic Bay Medical Center"/>
    <n v="2015"/>
    <n v="7"/>
    <s v="Medicare"/>
    <x v="2"/>
    <s v="Medicare"/>
    <n v="20266.38"/>
    <n v="4335.78"/>
    <n v="0"/>
  </r>
  <r>
    <x v="5220"/>
    <s v="Peconic Bay Medical Center"/>
    <n v="2015"/>
    <n v="7"/>
    <s v="Medicare"/>
    <x v="2"/>
    <s v="Medicare"/>
    <n v="36484.160000000003"/>
    <n v="10671.71"/>
    <n v="0"/>
  </r>
  <r>
    <x v="5221"/>
    <s v="Peconic Bay Medical Center"/>
    <n v="2015"/>
    <n v="7"/>
    <s v="Medicare"/>
    <x v="2"/>
    <s v="Medicare"/>
    <n v="29224.44"/>
    <n v="8178.13"/>
    <n v="0"/>
  </r>
  <r>
    <x v="5222"/>
    <s v="Peconic Bay Medical Center"/>
    <n v="2015"/>
    <n v="7"/>
    <s v="Medicare"/>
    <x v="2"/>
    <s v="Medicare"/>
    <n v="26467.54"/>
    <n v="7665.28"/>
    <n v="0"/>
  </r>
  <r>
    <x v="5223"/>
    <s v="Peconic Bay Medical Center"/>
    <n v="2015"/>
    <n v="7"/>
    <s v="Medicare"/>
    <x v="2"/>
    <s v="Medicare"/>
    <n v="42920.68"/>
    <n v="13489.4"/>
    <n v="0"/>
  </r>
  <r>
    <x v="5224"/>
    <s v="Peconic Bay Medical Center"/>
    <n v="2015"/>
    <n v="7"/>
    <s v="Medicare"/>
    <x v="2"/>
    <s v="Medicare"/>
    <n v="70883.360000000001"/>
    <n v="31879.81"/>
    <n v="0"/>
  </r>
  <r>
    <x v="5225"/>
    <s v="Peconic Bay Medical Center"/>
    <n v="2015"/>
    <n v="7"/>
    <s v="Medicare"/>
    <x v="2"/>
    <s v="Medicare"/>
    <n v="40471.379999999997"/>
    <n v="11950.09"/>
    <n v="0"/>
  </r>
  <r>
    <x v="5226"/>
    <s v="Peconic Bay Medical Center"/>
    <n v="2015"/>
    <n v="7"/>
    <s v="Medicare"/>
    <x v="2"/>
    <s v="Medicare"/>
    <n v="8078.42"/>
    <n v="2216.71"/>
    <n v="0"/>
  </r>
  <r>
    <x v="5227"/>
    <s v="Peconic Bay Medical Center"/>
    <n v="2015"/>
    <n v="7"/>
    <s v="Medicare"/>
    <x v="2"/>
    <s v="Medicare"/>
    <n v="37899.980000000003"/>
    <n v="24005.040000000001"/>
    <n v="0"/>
  </r>
  <r>
    <x v="5228"/>
    <s v="Peconic Bay Medical Center"/>
    <n v="2015"/>
    <n v="7"/>
    <s v="Medicare"/>
    <x v="2"/>
    <s v="Medicare"/>
    <n v="23137.02"/>
    <n v="6232.12"/>
    <n v="0"/>
  </r>
  <r>
    <x v="5229"/>
    <s v="Peconic Bay Medical Center"/>
    <n v="2015"/>
    <n v="7"/>
    <s v="Medicare"/>
    <x v="2"/>
    <s v="Medicare"/>
    <n v="22361.14"/>
    <n v="6639.92"/>
    <n v="0"/>
  </r>
  <r>
    <x v="5230"/>
    <s v="Peconic Bay Medical Center"/>
    <n v="2015"/>
    <n v="7"/>
    <s v="Medicare"/>
    <x v="2"/>
    <s v="Medicare"/>
    <n v="114007.62"/>
    <n v="51014.92"/>
    <n v="0"/>
  </r>
  <r>
    <x v="5231"/>
    <s v="Peconic Bay Medical Center"/>
    <n v="2015"/>
    <n v="7"/>
    <s v="Medicare"/>
    <x v="2"/>
    <s v="Medicare"/>
    <n v="30220.62"/>
    <n v="8061.26"/>
    <n v="0"/>
  </r>
  <r>
    <x v="5232"/>
    <s v="Peconic Bay Medical Center"/>
    <n v="2015"/>
    <n v="7"/>
    <s v="Medicare"/>
    <x v="2"/>
    <s v="Medicare"/>
    <n v="25789.9"/>
    <n v="7367.06"/>
    <n v="0"/>
  </r>
  <r>
    <x v="5233"/>
    <s v="Peconic Bay Medical Center"/>
    <n v="2015"/>
    <n v="7"/>
    <s v="Medicare"/>
    <x v="2"/>
    <s v="Medicare"/>
    <n v="46989.68"/>
    <n v="26231.47"/>
    <n v="0"/>
  </r>
  <r>
    <x v="5234"/>
    <s v="Peconic Bay Medical Center"/>
    <n v="2015"/>
    <n v="7"/>
    <s v="Medicare"/>
    <x v="2"/>
    <s v="Medicare"/>
    <n v="33775.58"/>
    <n v="8015.91"/>
    <n v="0"/>
  </r>
  <r>
    <x v="5235"/>
    <s v="Peconic Bay Medical Center"/>
    <n v="2015"/>
    <n v="7"/>
    <s v="Medicare"/>
    <x v="2"/>
    <s v="Medicare"/>
    <n v="40709.54"/>
    <n v="12759.65"/>
    <n v="0"/>
  </r>
  <r>
    <x v="5236"/>
    <s v="Peconic Bay Medical Center"/>
    <n v="2015"/>
    <n v="7"/>
    <s v="Medicare"/>
    <x v="2"/>
    <s v="Medicare"/>
    <n v="56564.86"/>
    <n v="16968.25"/>
    <n v="0"/>
  </r>
  <r>
    <x v="5237"/>
    <s v="Peconic Bay Medical Center"/>
    <n v="2015"/>
    <n v="7"/>
    <s v="Medicare"/>
    <x v="2"/>
    <s v="Medicare"/>
    <n v="37115.019999999997"/>
    <n v="25458.69"/>
    <n v="0"/>
  </r>
  <r>
    <x v="5238"/>
    <s v="Peconic Bay Medical Center"/>
    <n v="2015"/>
    <n v="7"/>
    <s v="Medicare"/>
    <x v="2"/>
    <s v="Medicare"/>
    <n v="33505.82"/>
    <n v="9431.0400000000009"/>
    <n v="0"/>
  </r>
  <r>
    <x v="5239"/>
    <s v="Peconic Bay Medical Center"/>
    <n v="2015"/>
    <n v="7"/>
    <s v="Medicare"/>
    <x v="2"/>
    <s v="Medicare"/>
    <n v="36061.800000000003"/>
    <n v="11166.56"/>
    <n v="0"/>
  </r>
  <r>
    <x v="5240"/>
    <s v="Peconic Bay Medical Center"/>
    <n v="2015"/>
    <n v="7"/>
    <s v="Medicare"/>
    <x v="2"/>
    <s v="Medicare"/>
    <n v="19274.22"/>
    <n v="5473.98"/>
    <n v="0"/>
  </r>
  <r>
    <x v="5241"/>
    <s v="Peconic Bay Medical Center"/>
    <n v="2015"/>
    <n v="7"/>
    <s v="Medicare"/>
    <x v="2"/>
    <s v="Medicare"/>
    <n v="30259.1"/>
    <n v="9075.2000000000007"/>
    <n v="0"/>
  </r>
  <r>
    <x v="5242"/>
    <s v="Peconic Bay Medical Center"/>
    <n v="2015"/>
    <n v="7"/>
    <s v="Medicare"/>
    <x v="2"/>
    <s v="Medicare"/>
    <n v="26804.42"/>
    <n v="7768.51"/>
    <n v="0"/>
  </r>
  <r>
    <x v="5243"/>
    <s v="Peconic Bay Medical Center"/>
    <n v="2015"/>
    <n v="7"/>
    <s v="Medicare"/>
    <x v="2"/>
    <s v="Medicare"/>
    <n v="28494.34"/>
    <n v="14875.9"/>
    <n v="0"/>
  </r>
  <r>
    <x v="5244"/>
    <s v="Peconic Bay Medical Center"/>
    <n v="2015"/>
    <n v="7"/>
    <s v="Medicare"/>
    <x v="2"/>
    <s v="Medicare"/>
    <n v="54813.440000000002"/>
    <n v="16295.82"/>
    <n v="0"/>
  </r>
  <r>
    <x v="5245"/>
    <s v="Peconic Bay Medical Center"/>
    <n v="2015"/>
    <n v="7"/>
    <s v="Medicare"/>
    <x v="2"/>
    <s v="Medicare"/>
    <n v="23961.38"/>
    <n v="6294.41"/>
    <n v="0"/>
  </r>
  <r>
    <x v="5246"/>
    <s v="Peconic Bay Medical Center"/>
    <n v="2015"/>
    <n v="7"/>
    <s v="Medicare"/>
    <x v="2"/>
    <s v="Medicare"/>
    <n v="13219.5"/>
    <n v="3697.58"/>
    <n v="0"/>
  </r>
  <r>
    <x v="5247"/>
    <s v="Peconic Bay Medical Center"/>
    <n v="2015"/>
    <n v="7"/>
    <s v="Medicare"/>
    <x v="2"/>
    <s v="Medicare"/>
    <n v="9404.92"/>
    <n v="2558.62"/>
    <n v="0"/>
  </r>
  <r>
    <x v="5248"/>
    <s v="Peconic Bay Medical Center"/>
    <n v="2015"/>
    <n v="7"/>
    <s v="Medicare"/>
    <x v="2"/>
    <s v="Medicare"/>
    <n v="14188.2"/>
    <n v="3095.67"/>
    <n v="0"/>
  </r>
  <r>
    <x v="5249"/>
    <s v="Peconic Bay Medical Center"/>
    <n v="2015"/>
    <n v="7"/>
    <s v="Medicare"/>
    <x v="2"/>
    <s v="Medicare"/>
    <n v="29483"/>
    <n v="8623.61"/>
    <n v="0"/>
  </r>
  <r>
    <x v="5250"/>
    <s v="Peconic Bay Medical Center"/>
    <n v="2015"/>
    <n v="7"/>
    <s v="Medicare"/>
    <x v="2"/>
    <s v="Medicare"/>
    <n v="47339.9"/>
    <n v="14108.71"/>
    <n v="0"/>
  </r>
  <r>
    <x v="5251"/>
    <s v="Peconic Bay Medical Center"/>
    <n v="2015"/>
    <n v="7"/>
    <s v="Medicare"/>
    <x v="2"/>
    <s v="Medicare"/>
    <n v="23074"/>
    <n v="5254.89"/>
    <n v="0"/>
  </r>
  <r>
    <x v="5252"/>
    <s v="Peconic Bay Medical Center"/>
    <n v="2015"/>
    <n v="7"/>
    <s v="Medicare"/>
    <x v="2"/>
    <s v="Medicare"/>
    <n v="27689.56"/>
    <n v="8642.8799999999992"/>
    <n v="0"/>
  </r>
  <r>
    <x v="5253"/>
    <s v="Peconic Bay Medical Center"/>
    <n v="2015"/>
    <n v="7"/>
    <s v="Medicare"/>
    <x v="2"/>
    <s v="Medicare"/>
    <n v="81218.399999999994"/>
    <n v="38090.42"/>
    <n v="0"/>
  </r>
  <r>
    <x v="5254"/>
    <s v="Peconic Bay Medical Center"/>
    <n v="2015"/>
    <n v="7"/>
    <s v="Medicare"/>
    <x v="2"/>
    <s v="Medicare"/>
    <n v="22140"/>
    <n v="6235.09"/>
    <n v="0"/>
  </r>
  <r>
    <x v="5255"/>
    <s v="Peconic Bay Medical Center"/>
    <n v="2015"/>
    <n v="7"/>
    <s v="Medicare"/>
    <x v="2"/>
    <s v="Medicare"/>
    <n v="60404.959999999999"/>
    <n v="15733.98"/>
    <n v="0"/>
  </r>
  <r>
    <x v="5256"/>
    <s v="Peconic Bay Medical Center"/>
    <n v="2015"/>
    <n v="7"/>
    <s v="Medicare"/>
    <x v="2"/>
    <s v="Medicare"/>
    <n v="10731.38"/>
    <n v="2672.34"/>
    <n v="0"/>
  </r>
  <r>
    <x v="5257"/>
    <s v="Peconic Bay Medical Center"/>
    <n v="2015"/>
    <n v="7"/>
    <s v="Medicare"/>
    <x v="2"/>
    <s v="Medicare"/>
    <n v="26830.1"/>
    <n v="7117.97"/>
    <n v="0"/>
  </r>
  <r>
    <x v="5258"/>
    <s v="Peconic Bay Medical Center"/>
    <n v="2015"/>
    <n v="7"/>
    <s v="Medicare"/>
    <x v="2"/>
    <s v="Medicare"/>
    <n v="94322.46"/>
    <n v="40541.47"/>
    <n v="0"/>
  </r>
  <r>
    <x v="5259"/>
    <s v="Peconic Bay Medical Center"/>
    <n v="2015"/>
    <n v="7"/>
    <s v="Medicare"/>
    <x v="2"/>
    <s v="Medicare"/>
    <n v="20467.740000000002"/>
    <n v="5041.16"/>
    <n v="0"/>
  </r>
  <r>
    <x v="5260"/>
    <s v="Peconic Bay Medical Center"/>
    <n v="2015"/>
    <n v="7"/>
    <s v="Medicare"/>
    <x v="2"/>
    <s v="Medicare"/>
    <n v="150639.48000000001"/>
    <n v="49466.67"/>
    <n v="0"/>
  </r>
  <r>
    <x v="5261"/>
    <s v="Peconic Bay Medical Center"/>
    <n v="2015"/>
    <n v="7"/>
    <s v="Medicare"/>
    <x v="2"/>
    <s v="Medicare"/>
    <n v="23002.080000000002"/>
    <n v="6344.93"/>
    <n v="0"/>
  </r>
  <r>
    <x v="5262"/>
    <s v="Peconic Bay Medical Center"/>
    <n v="2015"/>
    <n v="7"/>
    <s v="Medicare"/>
    <x v="2"/>
    <s v="Medicare"/>
    <n v="19515.52"/>
    <n v="5697.1"/>
    <n v="0"/>
  </r>
  <r>
    <x v="5263"/>
    <s v="Peconic Bay Medical Center"/>
    <n v="2015"/>
    <n v="7"/>
    <s v="Medicare"/>
    <x v="2"/>
    <s v="Medicare"/>
    <n v="124074.28"/>
    <n v="48658.22"/>
    <n v="0"/>
  </r>
  <r>
    <x v="5264"/>
    <s v="Peconic Bay Medical Center"/>
    <n v="2015"/>
    <n v="7"/>
    <s v="Medicare"/>
    <x v="2"/>
    <s v="Medicare"/>
    <n v="18045.939999999999"/>
    <n v="4690.04"/>
    <n v="0"/>
  </r>
  <r>
    <x v="5265"/>
    <s v="Peconic Bay Medical Center"/>
    <n v="2015"/>
    <n v="7"/>
    <s v="Medicare"/>
    <x v="2"/>
    <s v="Medicare"/>
    <n v="52778.8"/>
    <n v="28109.51"/>
    <n v="0"/>
  </r>
  <r>
    <x v="5266"/>
    <s v="Peconic Bay Medical Center"/>
    <n v="2015"/>
    <n v="7"/>
    <s v="Medicare"/>
    <x v="2"/>
    <s v="Medicare"/>
    <n v="13547.42"/>
    <n v="3179.55"/>
    <n v="0"/>
  </r>
  <r>
    <x v="5267"/>
    <s v="Peconic Bay Medical Center"/>
    <n v="2015"/>
    <n v="7"/>
    <s v="Medicare"/>
    <x v="2"/>
    <s v="Medicare"/>
    <n v="22613.02"/>
    <n v="6534.27"/>
    <n v="0"/>
  </r>
  <r>
    <x v="5268"/>
    <s v="Peconic Bay Medical Center"/>
    <n v="2015"/>
    <n v="7"/>
    <s v="Medicare"/>
    <x v="2"/>
    <s v="Medicare"/>
    <n v="18118.439999999999"/>
    <n v="4158.5"/>
    <n v="0"/>
  </r>
  <r>
    <x v="5269"/>
    <s v="Peconic Bay Medical Center"/>
    <n v="2015"/>
    <n v="7"/>
    <s v="Medicare"/>
    <x v="2"/>
    <s v="Medicare"/>
    <n v="32978.080000000002"/>
    <n v="9686.2099999999991"/>
    <n v="0"/>
  </r>
  <r>
    <x v="5270"/>
    <s v="Peconic Bay Medical Center"/>
    <n v="2015"/>
    <n v="7"/>
    <s v="Medicare"/>
    <x v="2"/>
    <s v="Medicare"/>
    <n v="74799.94"/>
    <n v="22667.43"/>
    <n v="0"/>
  </r>
  <r>
    <x v="5271"/>
    <s v="Peconic Bay Medical Center"/>
    <n v="2015"/>
    <n v="7"/>
    <s v="Medicare"/>
    <x v="2"/>
    <s v="Medicare"/>
    <n v="25038.3"/>
    <n v="9679.11"/>
    <n v="0"/>
  </r>
  <r>
    <x v="5272"/>
    <s v="Peconic Bay Medical Center"/>
    <n v="2015"/>
    <n v="7"/>
    <s v="Medicare"/>
    <x v="2"/>
    <s v="Medicare"/>
    <n v="20735.48"/>
    <n v="5482.28"/>
    <n v="0"/>
  </r>
  <r>
    <x v="5273"/>
    <s v="Peconic Bay Medical Center"/>
    <n v="2015"/>
    <n v="7"/>
    <s v="Medicare"/>
    <x v="2"/>
    <s v="Medicare"/>
    <n v="50729.52"/>
    <n v="14817.46"/>
    <n v="0"/>
  </r>
  <r>
    <x v="5274"/>
    <s v="Peconic Bay Medical Center"/>
    <n v="2015"/>
    <n v="7"/>
    <s v="Medicare"/>
    <x v="2"/>
    <s v="Medicare"/>
    <n v="260648.06"/>
    <n v="150595.26999999999"/>
    <n v="0"/>
  </r>
  <r>
    <x v="5275"/>
    <s v="Peconic Bay Medical Center"/>
    <n v="2015"/>
    <n v="7"/>
    <s v="Medicare"/>
    <x v="2"/>
    <s v="Medicare"/>
    <n v="52157.54"/>
    <n v="27815.68"/>
    <n v="0"/>
  </r>
  <r>
    <x v="5276"/>
    <s v="Peconic Bay Medical Center"/>
    <n v="2015"/>
    <n v="7"/>
    <s v="Medicare"/>
    <x v="2"/>
    <s v="Medicare"/>
    <n v="6474.06"/>
    <n v="1906.19"/>
    <n v="0"/>
  </r>
  <r>
    <x v="5277"/>
    <s v="Peconic Bay Medical Center"/>
    <n v="2015"/>
    <n v="7"/>
    <s v="Medicare"/>
    <x v="2"/>
    <s v="Medicare"/>
    <n v="12624.6"/>
    <n v="3470.96"/>
    <n v="0"/>
  </r>
  <r>
    <x v="5278"/>
    <s v="Peconic Bay Medical Center"/>
    <n v="2015"/>
    <n v="7"/>
    <s v="Medicare"/>
    <x v="2"/>
    <s v="Medicare"/>
    <n v="29156.48"/>
    <n v="7796.92"/>
    <n v="0"/>
  </r>
  <r>
    <x v="5279"/>
    <s v="Peconic Bay Medical Center"/>
    <n v="2015"/>
    <n v="7"/>
    <s v="Medicare"/>
    <x v="2"/>
    <s v="Medicare"/>
    <n v="207479.84"/>
    <n v="112607.58"/>
    <n v="0"/>
  </r>
  <r>
    <x v="5280"/>
    <s v="Peconic Bay Medical Center"/>
    <n v="2015"/>
    <n v="7"/>
    <s v="Medicare"/>
    <x v="2"/>
    <s v="Medicare"/>
    <n v="19486.66"/>
    <n v="5248.11"/>
    <n v="0"/>
  </r>
  <r>
    <x v="5281"/>
    <s v="Peconic Bay Medical Center"/>
    <n v="2015"/>
    <n v="7"/>
    <s v="Medicare"/>
    <x v="2"/>
    <s v="Medicare"/>
    <n v="24875.82"/>
    <n v="5902.27"/>
    <n v="0"/>
  </r>
  <r>
    <x v="5282"/>
    <s v="Peconic Bay Medical Center"/>
    <n v="2015"/>
    <n v="7"/>
    <s v="Medicare"/>
    <x v="2"/>
    <s v="Medicare"/>
    <n v="37226.94"/>
    <n v="8236.2999999999993"/>
    <n v="0"/>
  </r>
  <r>
    <x v="5283"/>
    <s v="Peconic Bay Medical Center"/>
    <n v="2015"/>
    <n v="7"/>
    <s v="Medicare"/>
    <x v="2"/>
    <s v="Medicare"/>
    <n v="93936.54"/>
    <n v="49178.68"/>
    <n v="0"/>
  </r>
  <r>
    <x v="5284"/>
    <s v="Peconic Bay Medical Center"/>
    <n v="2015"/>
    <n v="7"/>
    <s v="Medicare"/>
    <x v="2"/>
    <s v="Medicare"/>
    <n v="54407.54"/>
    <n v="16764.8"/>
    <n v="0"/>
  </r>
  <r>
    <x v="5285"/>
    <s v="Peconic Bay Medical Center"/>
    <n v="2015"/>
    <n v="7"/>
    <s v="Medicare"/>
    <x v="2"/>
    <s v="Medicare"/>
    <n v="41072.199999999997"/>
    <n v="11988.87"/>
    <n v="0"/>
  </r>
  <r>
    <x v="5286"/>
    <s v="Peconic Bay Medical Center"/>
    <n v="2015"/>
    <n v="7"/>
    <s v="Medicare"/>
    <x v="2"/>
    <s v="Medicare"/>
    <n v="58205.74"/>
    <n v="16483.91"/>
    <n v="0"/>
  </r>
  <r>
    <x v="5287"/>
    <s v="Peconic Bay Medical Center"/>
    <n v="2015"/>
    <n v="7"/>
    <s v="Medicare"/>
    <x v="2"/>
    <s v="Medicare"/>
    <n v="77064.92"/>
    <n v="34039.279999999999"/>
    <n v="0"/>
  </r>
  <r>
    <x v="5288"/>
    <s v="Peconic Bay Medical Center"/>
    <n v="2015"/>
    <n v="7"/>
    <s v="Medicare"/>
    <x v="2"/>
    <s v="Medicare"/>
    <n v="21477.759999999998"/>
    <n v="5398.11"/>
    <n v="0"/>
  </r>
  <r>
    <x v="5289"/>
    <s v="Peconic Bay Medical Center"/>
    <n v="2015"/>
    <n v="7"/>
    <s v="Medicare"/>
    <x v="2"/>
    <s v="Medicare"/>
    <n v="51611.72"/>
    <n v="16316.55"/>
    <n v="0"/>
  </r>
  <r>
    <x v="5290"/>
    <s v="Peconic Bay Medical Center"/>
    <n v="2015"/>
    <n v="7"/>
    <s v="Medicare"/>
    <x v="2"/>
    <s v="Medicare"/>
    <n v="13958.32"/>
    <n v="4131.8"/>
    <n v="0"/>
  </r>
  <r>
    <x v="5291"/>
    <s v="Peconic Bay Medical Center"/>
    <n v="2015"/>
    <n v="7"/>
    <s v="Medicare"/>
    <x v="2"/>
    <s v="Medicare"/>
    <n v="12868.64"/>
    <n v="2868.26"/>
    <n v="0"/>
  </r>
  <r>
    <x v="5292"/>
    <s v="Peconic Bay Medical Center"/>
    <n v="2015"/>
    <n v="7"/>
    <s v="Medicare"/>
    <x v="2"/>
    <s v="Medicare"/>
    <n v="49951.96"/>
    <n v="15033.59"/>
    <n v="0"/>
  </r>
  <r>
    <x v="5293"/>
    <s v="Peconic Bay Medical Center"/>
    <n v="2015"/>
    <n v="7"/>
    <s v="Medicare"/>
    <x v="2"/>
    <s v="Medicare"/>
    <n v="17384.900000000001"/>
    <n v="5150.51"/>
    <n v="0"/>
  </r>
  <r>
    <x v="5294"/>
    <s v="Peconic Bay Medical Center"/>
    <n v="2015"/>
    <n v="7"/>
    <s v="Medicare"/>
    <x v="2"/>
    <s v="Medicare"/>
    <n v="33292.42"/>
    <n v="10701.91"/>
    <n v="0"/>
  </r>
  <r>
    <x v="5295"/>
    <s v="Peconic Bay Medical Center"/>
    <n v="2015"/>
    <n v="7"/>
    <s v="Medicare"/>
    <x v="2"/>
    <s v="Medicare"/>
    <n v="52505.66"/>
    <n v="16644.87"/>
    <n v="0"/>
  </r>
  <r>
    <x v="5296"/>
    <s v="Peconic Bay Medical Center"/>
    <n v="2015"/>
    <n v="7"/>
    <s v="Medicare"/>
    <x v="2"/>
    <s v="Medicare"/>
    <n v="10225.120000000001"/>
    <n v="2851.1"/>
    <n v="0"/>
  </r>
  <r>
    <x v="5297"/>
    <s v="Peconic Bay Medical Center"/>
    <n v="2015"/>
    <n v="7"/>
    <s v="Medicare"/>
    <x v="2"/>
    <s v="Medicare"/>
    <n v="11924.02"/>
    <n v="2765.54"/>
    <n v="0"/>
  </r>
  <r>
    <x v="5298"/>
    <s v="Peconic Bay Medical Center"/>
    <n v="2015"/>
    <n v="7"/>
    <s v="Medicare"/>
    <x v="2"/>
    <s v="Medicare"/>
    <n v="28629.5"/>
    <n v="6612.9"/>
    <n v="0"/>
  </r>
  <r>
    <x v="5299"/>
    <s v="Peconic Bay Medical Center"/>
    <n v="2015"/>
    <n v="7"/>
    <s v="Medicare"/>
    <x v="2"/>
    <s v="Medicare"/>
    <n v="12769.98"/>
    <n v="2889.34"/>
    <n v="0"/>
  </r>
  <r>
    <x v="5300"/>
    <s v="Peconic Bay Medical Center"/>
    <n v="2015"/>
    <n v="7"/>
    <s v="Medicare"/>
    <x v="2"/>
    <s v="Medicare"/>
    <n v="56351.02"/>
    <n v="16008.58"/>
    <n v="0"/>
  </r>
  <r>
    <x v="5301"/>
    <s v="Peconic Bay Medical Center"/>
    <n v="2015"/>
    <n v="7"/>
    <s v="Medicare"/>
    <x v="2"/>
    <s v="Medicare"/>
    <n v="20487.419999999998"/>
    <n v="6221.77"/>
    <n v="0"/>
  </r>
  <r>
    <x v="5302"/>
    <s v="Peconic Bay Medical Center"/>
    <n v="2015"/>
    <n v="7"/>
    <s v="Medicare"/>
    <x v="2"/>
    <s v="Medicare"/>
    <n v="24112.400000000001"/>
    <n v="7508.05"/>
    <n v="0"/>
  </r>
  <r>
    <x v="5303"/>
    <s v="Peconic Bay Medical Center"/>
    <n v="2015"/>
    <n v="7"/>
    <s v="Medicare"/>
    <x v="2"/>
    <s v="Medicare"/>
    <n v="27006.560000000001"/>
    <n v="4793.92"/>
    <n v="0"/>
  </r>
  <r>
    <x v="5304"/>
    <s v="Peconic Bay Medical Center"/>
    <n v="2015"/>
    <n v="7"/>
    <s v="Medicare"/>
    <x v="2"/>
    <s v="Medicare"/>
    <n v="13483.82"/>
    <n v="2645.47"/>
    <n v="0"/>
  </r>
  <r>
    <x v="5305"/>
    <s v="Peconic Bay Medical Center"/>
    <n v="2015"/>
    <n v="7"/>
    <s v="Medicare"/>
    <x v="2"/>
    <s v="Medicare"/>
    <n v="48242.26"/>
    <n v="13261.61"/>
    <n v="0"/>
  </r>
  <r>
    <x v="5306"/>
    <s v="Peconic Bay Medical Center"/>
    <n v="2015"/>
    <n v="7"/>
    <s v="Medicare"/>
    <x v="2"/>
    <s v="Medicare"/>
    <n v="14605.4"/>
    <n v="3021.54"/>
    <n v="0"/>
  </r>
  <r>
    <x v="5307"/>
    <s v="Peconic Bay Medical Center"/>
    <n v="2015"/>
    <n v="7"/>
    <s v="Medicare"/>
    <x v="2"/>
    <s v="Medicare"/>
    <n v="22855.06"/>
    <n v="6891.17"/>
    <n v="0"/>
  </r>
  <r>
    <x v="5308"/>
    <s v="Peconic Bay Medical Center"/>
    <n v="2015"/>
    <n v="7"/>
    <s v="Medicare"/>
    <x v="2"/>
    <s v="Medicare"/>
    <n v="19203.64"/>
    <n v="5873.66"/>
    <n v="0"/>
  </r>
  <r>
    <x v="5309"/>
    <s v="Peconic Bay Medical Center"/>
    <n v="2015"/>
    <n v="7"/>
    <s v="Medicare"/>
    <x v="2"/>
    <s v="Medicare"/>
    <n v="36914.58"/>
    <n v="11035.07"/>
    <n v="0"/>
  </r>
  <r>
    <x v="5310"/>
    <s v="Peconic Bay Medical Center"/>
    <n v="2015"/>
    <n v="7"/>
    <s v="Medicare"/>
    <x v="2"/>
    <s v="Medicare"/>
    <n v="24126.560000000001"/>
    <n v="5843.47"/>
    <n v="0"/>
  </r>
  <r>
    <x v="5311"/>
    <s v="Peconic Bay Medical Center"/>
    <n v="2015"/>
    <n v="7"/>
    <s v="Medicare"/>
    <x v="2"/>
    <s v="Medicare"/>
    <n v="10352.16"/>
    <n v="2820.09"/>
    <n v="0"/>
  </r>
  <r>
    <x v="5312"/>
    <s v="Peconic Bay Medical Center"/>
    <n v="2015"/>
    <n v="7"/>
    <s v="Medicare"/>
    <x v="2"/>
    <s v="Medicare"/>
    <n v="30923.48"/>
    <n v="9697.2999999999993"/>
    <n v="0"/>
  </r>
  <r>
    <x v="5313"/>
    <s v="Peconic Bay Medical Center"/>
    <n v="2015"/>
    <n v="7"/>
    <s v="Medicare"/>
    <x v="2"/>
    <s v="Medicare"/>
    <n v="18726.14"/>
    <n v="5757.07"/>
    <n v="0"/>
  </r>
  <r>
    <x v="5314"/>
    <s v="Peconic Bay Medical Center"/>
    <n v="2015"/>
    <n v="7"/>
    <s v="Medicare"/>
    <x v="2"/>
    <s v="Medicare"/>
    <n v="119899.52"/>
    <n v="52791.57"/>
    <n v="0"/>
  </r>
  <r>
    <x v="5315"/>
    <s v="Peconic Bay Medical Center"/>
    <n v="2015"/>
    <n v="7"/>
    <s v="Medicare"/>
    <x v="2"/>
    <s v="Medicare"/>
    <n v="21477.72"/>
    <n v="5264.72"/>
    <n v="0"/>
  </r>
  <r>
    <x v="5316"/>
    <s v="Peconic Bay Medical Center"/>
    <n v="2015"/>
    <n v="7"/>
    <s v="Medicare"/>
    <x v="2"/>
    <s v="Medicare"/>
    <n v="13253.3"/>
    <n v="3118.89"/>
    <n v="0"/>
  </r>
  <r>
    <x v="5317"/>
    <s v="Peconic Bay Medical Center"/>
    <n v="2015"/>
    <n v="7"/>
    <s v="Medicare"/>
    <x v="2"/>
    <s v="Medicare"/>
    <n v="48720.480000000003"/>
    <n v="14450.91"/>
    <n v="0"/>
  </r>
  <r>
    <x v="5318"/>
    <s v="Peconic Bay Medical Center"/>
    <n v="2015"/>
    <n v="7"/>
    <s v="Medicare"/>
    <x v="2"/>
    <s v="Medicare"/>
    <n v="34129.22"/>
    <n v="9035.9"/>
    <n v="0"/>
  </r>
  <r>
    <x v="5319"/>
    <s v="Peconic Bay Medical Center"/>
    <n v="2015"/>
    <n v="7"/>
    <s v="Medicare"/>
    <x v="2"/>
    <s v="Medicare"/>
    <n v="18239.099999999999"/>
    <n v="2988.84"/>
    <n v="0"/>
  </r>
  <r>
    <x v="5320"/>
    <s v="Peconic Bay Medical Center"/>
    <n v="2015"/>
    <n v="7"/>
    <s v="Medicare"/>
    <x v="2"/>
    <s v="Medicare"/>
    <n v="19661.16"/>
    <n v="5935.42"/>
    <n v="0"/>
  </r>
  <r>
    <x v="5321"/>
    <s v="Peconic Bay Medical Center"/>
    <n v="2015"/>
    <n v="7"/>
    <s v="Medicare"/>
    <x v="2"/>
    <s v="Medicare"/>
    <n v="13244.36"/>
    <n v="3845.15"/>
    <n v="0"/>
  </r>
  <r>
    <x v="5322"/>
    <s v="Peconic Bay Medical Center"/>
    <n v="2015"/>
    <n v="7"/>
    <s v="Medicare"/>
    <x v="2"/>
    <s v="Medicare"/>
    <n v="22895.84"/>
    <n v="6415.36"/>
    <n v="0"/>
  </r>
  <r>
    <x v="5323"/>
    <s v="Peconic Bay Medical Center"/>
    <n v="2015"/>
    <n v="7"/>
    <s v="Medicare"/>
    <x v="2"/>
    <s v="Medicare"/>
    <n v="20335.82"/>
    <n v="12128.83"/>
    <n v="0"/>
  </r>
  <r>
    <x v="5324"/>
    <s v="Peconic Bay Medical Center"/>
    <n v="2015"/>
    <n v="7"/>
    <s v="Medicare"/>
    <x v="2"/>
    <s v="Medicare"/>
    <n v="49870.14"/>
    <n v="14412.23"/>
    <n v="0"/>
  </r>
  <r>
    <x v="5325"/>
    <s v="Peconic Bay Medical Center"/>
    <n v="2015"/>
    <n v="7"/>
    <s v="Medicare"/>
    <x v="2"/>
    <s v="Medicare"/>
    <n v="16202.86"/>
    <n v="4773.41"/>
    <n v="0"/>
  </r>
  <r>
    <x v="5326"/>
    <s v="Peconic Bay Medical Center"/>
    <n v="2015"/>
    <n v="7"/>
    <s v="Medicare"/>
    <x v="2"/>
    <s v="Medicare"/>
    <n v="17241.82"/>
    <n v="4870.32"/>
    <n v="0"/>
  </r>
  <r>
    <x v="5327"/>
    <s v="Peconic Bay Medical Center"/>
    <n v="2015"/>
    <n v="7"/>
    <s v="Medicare"/>
    <x v="2"/>
    <s v="Medicare"/>
    <n v="73253.37"/>
    <n v="23493.53"/>
    <n v="0"/>
  </r>
  <r>
    <x v="5328"/>
    <s v="Peconic Bay Medical Center"/>
    <n v="2015"/>
    <n v="7"/>
    <s v="Medicare"/>
    <x v="2"/>
    <s v="Medicare"/>
    <n v="67060.259999999995"/>
    <n v="41954.13"/>
    <n v="0"/>
  </r>
  <r>
    <x v="5329"/>
    <s v="Peconic Bay Medical Center"/>
    <n v="2015"/>
    <n v="7"/>
    <s v="Medicare"/>
    <x v="2"/>
    <s v="Medicare"/>
    <n v="8621.42"/>
    <n v="2372.4299999999998"/>
    <n v="0"/>
  </r>
  <r>
    <x v="5330"/>
    <s v="Peconic Bay Medical Center"/>
    <n v="2015"/>
    <n v="7"/>
    <s v="Medicare"/>
    <x v="2"/>
    <s v="Medicare"/>
    <n v="91690.84"/>
    <n v="28662.52"/>
    <n v="0"/>
  </r>
  <r>
    <x v="5331"/>
    <s v="Peconic Bay Medical Center"/>
    <n v="2015"/>
    <n v="7"/>
    <s v="Medicare"/>
    <x v="2"/>
    <s v="Medicare"/>
    <n v="32152.26"/>
    <n v="9566.32"/>
    <n v="0"/>
  </r>
  <r>
    <x v="5332"/>
    <s v="Peconic Bay Medical Center"/>
    <n v="2015"/>
    <n v="7"/>
    <s v="Medicare"/>
    <x v="2"/>
    <s v="Medicare"/>
    <n v="13184.82"/>
    <n v="3375.98"/>
    <n v="0"/>
  </r>
  <r>
    <x v="5333"/>
    <s v="Peconic Bay Medical Center"/>
    <n v="2015"/>
    <n v="7"/>
    <s v="Medicare"/>
    <x v="2"/>
    <s v="Medicare"/>
    <n v="13624.6"/>
    <n v="4033.7"/>
    <n v="0"/>
  </r>
  <r>
    <x v="5334"/>
    <s v="Peconic Bay Medical Center"/>
    <n v="2015"/>
    <n v="7"/>
    <s v="Medicare"/>
    <x v="2"/>
    <s v="Medicare"/>
    <n v="19910.52"/>
    <n v="6102.23"/>
    <n v="0"/>
  </r>
  <r>
    <x v="5335"/>
    <s v="Peconic Bay Medical Center"/>
    <n v="2015"/>
    <n v="7"/>
    <s v="Medicare"/>
    <x v="2"/>
    <s v="Medicare"/>
    <n v="27065.759999999998"/>
    <n v="7223.67"/>
    <n v="0"/>
  </r>
  <r>
    <x v="5336"/>
    <s v="Peconic Bay Medical Center"/>
    <n v="2015"/>
    <n v="7"/>
    <s v="Medicare"/>
    <x v="2"/>
    <s v="Medicare"/>
    <n v="24498.400000000001"/>
    <n v="6820.15"/>
    <n v="0"/>
  </r>
  <r>
    <x v="5337"/>
    <s v="Peconic Bay Medical Center"/>
    <n v="2015"/>
    <n v="7"/>
    <s v="Medicare"/>
    <x v="2"/>
    <s v="Medicare"/>
    <n v="35783.279999999999"/>
    <n v="10100.02"/>
    <n v="0"/>
  </r>
  <r>
    <x v="5338"/>
    <s v="Peconic Bay Medical Center"/>
    <n v="2015"/>
    <n v="7"/>
    <s v="Medicare"/>
    <x v="2"/>
    <s v="Medicare"/>
    <n v="31048.02"/>
    <n v="9058.82"/>
    <n v="0"/>
  </r>
  <r>
    <x v="5339"/>
    <s v="Peconic Bay Medical Center"/>
    <n v="2015"/>
    <n v="7"/>
    <s v="Medicare"/>
    <x v="2"/>
    <s v="Medicare"/>
    <n v="47501.02"/>
    <n v="15580.9"/>
    <n v="0"/>
  </r>
  <r>
    <x v="5340"/>
    <s v="Peconic Bay Medical Center"/>
    <n v="2015"/>
    <n v="7"/>
    <s v="Medicare"/>
    <x v="2"/>
    <s v="Medicare"/>
    <n v="119187.6"/>
    <n v="66233.25"/>
    <n v="0"/>
  </r>
  <r>
    <x v="5341"/>
    <s v="Peconic Bay Medical Center"/>
    <n v="2015"/>
    <n v="7"/>
    <s v="Medicare"/>
    <x v="2"/>
    <s v="Medicare"/>
    <n v="50590.96"/>
    <n v="16127.16"/>
    <n v="0"/>
  </r>
  <r>
    <x v="5342"/>
    <s v="Peconic Bay Medical Center"/>
    <n v="2015"/>
    <n v="7"/>
    <s v="Medicare"/>
    <x v="2"/>
    <s v="Medicare"/>
    <n v="58741.72"/>
    <n v="24575.27"/>
    <n v="0"/>
  </r>
  <r>
    <x v="5343"/>
    <s v="Peconic Bay Medical Center"/>
    <n v="2015"/>
    <n v="7"/>
    <s v="Medicare"/>
    <x v="2"/>
    <s v="Medicare"/>
    <n v="31289.84"/>
    <n v="8567.73"/>
    <n v="0"/>
  </r>
  <r>
    <x v="5344"/>
    <s v="Peconic Bay Medical Center"/>
    <n v="2015"/>
    <n v="7"/>
    <s v="Medicare"/>
    <x v="2"/>
    <s v="Medicare"/>
    <n v="99555.08"/>
    <n v="39490"/>
    <n v="0"/>
  </r>
  <r>
    <x v="5345"/>
    <s v="Peconic Bay Medical Center"/>
    <n v="2015"/>
    <n v="7"/>
    <s v="Medicare"/>
    <x v="2"/>
    <s v="Medicare"/>
    <n v="26328.84"/>
    <n v="7240.5"/>
    <n v="0"/>
  </r>
  <r>
    <x v="5346"/>
    <s v="Peconic Bay Medical Center"/>
    <n v="2015"/>
    <n v="7"/>
    <s v="Medicare"/>
    <x v="2"/>
    <s v="Medicare"/>
    <n v="34321.300000000003"/>
    <n v="10038.290000000001"/>
    <n v="0"/>
  </r>
  <r>
    <x v="5347"/>
    <s v="Peconic Bay Medical Center"/>
    <n v="2015"/>
    <n v="7"/>
    <s v="Medicare"/>
    <x v="2"/>
    <s v="Medicare"/>
    <n v="74116.72"/>
    <n v="36730.76"/>
    <n v="0"/>
  </r>
  <r>
    <x v="5348"/>
    <s v="Peconic Bay Medical Center"/>
    <n v="2015"/>
    <n v="7"/>
    <s v="Medicare"/>
    <x v="2"/>
    <s v="Medicare"/>
    <n v="22416.34"/>
    <n v="6660.22"/>
    <n v="0"/>
  </r>
  <r>
    <x v="5349"/>
    <s v="Peconic Bay Medical Center"/>
    <n v="2015"/>
    <n v="7"/>
    <s v="Medicare"/>
    <x v="2"/>
    <s v="Medicare"/>
    <n v="74388.800000000003"/>
    <n v="29133.21"/>
    <n v="0"/>
  </r>
  <r>
    <x v="5350"/>
    <s v="Peconic Bay Medical Center"/>
    <n v="2015"/>
    <n v="7"/>
    <s v="Medicare"/>
    <x v="2"/>
    <s v="Medicare"/>
    <n v="22961.42"/>
    <n v="6670.85"/>
    <n v="0"/>
  </r>
  <r>
    <x v="5351"/>
    <s v="Peconic Bay Medical Center"/>
    <n v="2015"/>
    <n v="7"/>
    <s v="Medicare"/>
    <x v="2"/>
    <s v="Medicare"/>
    <n v="26753.08"/>
    <n v="7426.55"/>
    <n v="0"/>
  </r>
  <r>
    <x v="5352"/>
    <s v="Peconic Bay Medical Center"/>
    <n v="2015"/>
    <n v="7"/>
    <s v="Medicare"/>
    <x v="2"/>
    <s v="Medicare"/>
    <n v="8796.06"/>
    <n v="2334.33"/>
    <n v="0"/>
  </r>
  <r>
    <x v="5353"/>
    <s v="Peconic Bay Medical Center"/>
    <n v="2015"/>
    <n v="7"/>
    <s v="Medicare"/>
    <x v="2"/>
    <s v="Medicare"/>
    <n v="27825.88"/>
    <n v="6308.05"/>
    <n v="0"/>
  </r>
  <r>
    <x v="5354"/>
    <s v="Peconic Bay Medical Center"/>
    <n v="2015"/>
    <n v="7"/>
    <s v="Medicare"/>
    <x v="2"/>
    <s v="Medicare"/>
    <n v="51523"/>
    <n v="14299.03"/>
    <n v="0"/>
  </r>
  <r>
    <x v="5355"/>
    <s v="Peconic Bay Medical Center"/>
    <n v="2015"/>
    <n v="7"/>
    <s v="Medicare"/>
    <x v="2"/>
    <s v="Medicare"/>
    <n v="82999.42"/>
    <n v="40246.61"/>
    <n v="0"/>
  </r>
  <r>
    <x v="5356"/>
    <s v="Peconic Bay Medical Center"/>
    <n v="2015"/>
    <n v="7"/>
    <s v="Medicare"/>
    <x v="2"/>
    <s v="Medicare"/>
    <n v="63851.9"/>
    <n v="20630.63"/>
    <n v="0"/>
  </r>
  <r>
    <x v="5357"/>
    <s v="Peconic Bay Medical Center"/>
    <n v="2015"/>
    <n v="7"/>
    <s v="Medicare"/>
    <x v="2"/>
    <s v="Medicare"/>
    <n v="24650.02"/>
    <n v="10156.5"/>
    <n v="0"/>
  </r>
  <r>
    <x v="5358"/>
    <s v="Peconic Bay Medical Center"/>
    <n v="2015"/>
    <n v="7"/>
    <s v="Medicare"/>
    <x v="2"/>
    <s v="Medicare"/>
    <n v="34041.54"/>
    <n v="9516.42"/>
    <n v="0"/>
  </r>
  <r>
    <x v="5359"/>
    <s v="Peconic Bay Medical Center"/>
    <n v="2015"/>
    <n v="7"/>
    <s v="Medicare"/>
    <x v="2"/>
    <s v="Medicare"/>
    <n v="18124.5"/>
    <n v="3397.31"/>
    <n v="0"/>
  </r>
  <r>
    <x v="5360"/>
    <s v="Peconic Bay Medical Center"/>
    <n v="2015"/>
    <n v="7"/>
    <s v="Medicare"/>
    <x v="2"/>
    <s v="Medicare"/>
    <n v="21718.959999999999"/>
    <n v="5131.4399999999996"/>
    <n v="0"/>
  </r>
  <r>
    <x v="5361"/>
    <s v="Peconic Bay Medical Center"/>
    <n v="2015"/>
    <n v="7"/>
    <s v="Medicare"/>
    <x v="2"/>
    <s v="Medicare"/>
    <n v="276264.44"/>
    <n v="69302.38"/>
    <n v="0"/>
  </r>
  <r>
    <x v="5362"/>
    <s v="Peconic Bay Medical Center"/>
    <n v="2015"/>
    <n v="7"/>
    <s v="Medicare"/>
    <x v="2"/>
    <s v="Medicare"/>
    <n v="22020.44"/>
    <n v="5263.91"/>
    <n v="0"/>
  </r>
  <r>
    <x v="5363"/>
    <s v="Peconic Bay Medical Center"/>
    <n v="2015"/>
    <n v="7"/>
    <s v="Medicare"/>
    <x v="2"/>
    <s v="Medicare"/>
    <n v="25138.14"/>
    <n v="6870.11"/>
    <n v="0"/>
  </r>
  <r>
    <x v="5364"/>
    <s v="Peconic Bay Medical Center"/>
    <n v="2015"/>
    <n v="7"/>
    <s v="Medicare"/>
    <x v="2"/>
    <s v="Medicare"/>
    <n v="58624.84"/>
    <n v="15170.13"/>
    <n v="0"/>
  </r>
  <r>
    <x v="5365"/>
    <s v="Peconic Bay Medical Center"/>
    <n v="2015"/>
    <n v="7"/>
    <s v="Medicare"/>
    <x v="2"/>
    <s v="Medicare"/>
    <n v="43522.22"/>
    <n v="12894.72"/>
    <n v="0"/>
  </r>
  <r>
    <x v="5366"/>
    <s v="Peconic Bay Medical Center"/>
    <n v="2015"/>
    <n v="7"/>
    <s v="Medicare"/>
    <x v="2"/>
    <s v="Medicare"/>
    <n v="23025.08"/>
    <n v="6970.38"/>
    <n v="0"/>
  </r>
  <r>
    <x v="5367"/>
    <s v="Peconic Bay Medical Center"/>
    <n v="2015"/>
    <n v="7"/>
    <s v="Medicare"/>
    <x v="2"/>
    <s v="Medicare"/>
    <n v="115024.92"/>
    <n v="36826.79"/>
    <n v="0"/>
  </r>
  <r>
    <x v="5368"/>
    <s v="Peconic Bay Medical Center"/>
    <n v="2015"/>
    <n v="7"/>
    <s v="Medicare"/>
    <x v="2"/>
    <s v="Medicare"/>
    <n v="123352.68"/>
    <n v="48537.83"/>
    <n v="0"/>
  </r>
  <r>
    <x v="5369"/>
    <s v="Peconic Bay Medical Center"/>
    <n v="2015"/>
    <n v="7"/>
    <s v="Medicare"/>
    <x v="2"/>
    <s v="Medicare"/>
    <n v="28295.52"/>
    <n v="8471.6200000000008"/>
    <n v="0"/>
  </r>
  <r>
    <x v="5370"/>
    <s v="Peconic Bay Medical Center"/>
    <n v="2015"/>
    <n v="7"/>
    <s v="Medicare"/>
    <x v="2"/>
    <s v="Medicare"/>
    <n v="125178.52"/>
    <n v="64568.02"/>
    <n v="0"/>
  </r>
  <r>
    <x v="5371"/>
    <s v="Peconic Bay Medical Center"/>
    <n v="2015"/>
    <n v="7"/>
    <s v="Medicare"/>
    <x v="2"/>
    <s v="Medicare"/>
    <n v="39941.06"/>
    <n v="18549.04"/>
    <n v="0"/>
  </r>
  <r>
    <x v="5372"/>
    <s v="Peconic Bay Medical Center"/>
    <n v="2015"/>
    <n v="7"/>
    <s v="Medicare"/>
    <x v="2"/>
    <s v="Medicare"/>
    <n v="98463.15"/>
    <n v="52278.29"/>
    <n v="0"/>
  </r>
  <r>
    <x v="5373"/>
    <s v="Peconic Bay Medical Center"/>
    <n v="2015"/>
    <n v="7"/>
    <s v="Medicare"/>
    <x v="2"/>
    <s v="Medicare"/>
    <n v="44284.78"/>
    <n v="13987.6"/>
    <n v="0"/>
  </r>
  <r>
    <x v="5374"/>
    <s v="Peconic Bay Medical Center"/>
    <n v="2015"/>
    <n v="7"/>
    <s v="Medicare"/>
    <x v="2"/>
    <s v="Medicare"/>
    <n v="18059.52"/>
    <n v="4960.21"/>
    <n v="0"/>
  </r>
  <r>
    <x v="5375"/>
    <s v="Peconic Bay Medical Center"/>
    <n v="2015"/>
    <n v="7"/>
    <s v="Medicare"/>
    <x v="2"/>
    <s v="Medicare"/>
    <n v="54218.400000000001"/>
    <n v="14491.16"/>
    <n v="0"/>
  </r>
  <r>
    <x v="5376"/>
    <s v="Peconic Bay Medical Center"/>
    <n v="2015"/>
    <n v="7"/>
    <s v="Medicare"/>
    <x v="2"/>
    <s v="Medicare"/>
    <n v="14898.2"/>
    <n v="3429.02"/>
    <n v="0"/>
  </r>
  <r>
    <x v="5377"/>
    <s v="Peconic Bay Medical Center"/>
    <n v="2015"/>
    <n v="7"/>
    <s v="Medicare"/>
    <x v="2"/>
    <s v="Medicare"/>
    <n v="64255.78"/>
    <n v="26714.59"/>
    <n v="0"/>
  </r>
  <r>
    <x v="5378"/>
    <s v="Peconic Bay Medical Center"/>
    <n v="2015"/>
    <n v="7"/>
    <s v="Medicare"/>
    <x v="2"/>
    <s v="Medicare"/>
    <n v="30895.46"/>
    <n v="9611.06"/>
    <n v="0"/>
  </r>
  <r>
    <x v="5379"/>
    <s v="Peconic Bay Medical Center"/>
    <n v="2015"/>
    <n v="7"/>
    <s v="Medicare"/>
    <x v="2"/>
    <s v="Medicare"/>
    <n v="54429.5"/>
    <n v="17621.349999999999"/>
    <n v="0"/>
  </r>
  <r>
    <x v="5380"/>
    <s v="Peconic Bay Medical Center"/>
    <n v="2015"/>
    <n v="7"/>
    <s v="Medicare"/>
    <x v="2"/>
    <s v="Medicare"/>
    <n v="49741.5"/>
    <n v="15651.18"/>
    <n v="0"/>
  </r>
  <r>
    <x v="5381"/>
    <s v="Peconic Bay Medical Center"/>
    <n v="2015"/>
    <n v="7"/>
    <s v="Medicare"/>
    <x v="2"/>
    <s v="Medicare"/>
    <n v="97239.28"/>
    <n v="29789.69"/>
    <n v="0"/>
  </r>
  <r>
    <x v="5382"/>
    <s v="Peconic Bay Medical Center"/>
    <n v="2015"/>
    <n v="7"/>
    <s v="Medicare"/>
    <x v="2"/>
    <s v="Medicare"/>
    <n v="42625.279999999999"/>
    <n v="12331.33"/>
    <n v="0"/>
  </r>
  <r>
    <x v="5383"/>
    <s v="Peconic Bay Medical Center"/>
    <n v="2015"/>
    <n v="7"/>
    <s v="Medicare"/>
    <x v="2"/>
    <s v="Medicare"/>
    <n v="10505.16"/>
    <n v="2714.84"/>
    <n v="0"/>
  </r>
  <r>
    <x v="5384"/>
    <s v="Peconic Bay Medical Center"/>
    <n v="2015"/>
    <n v="7"/>
    <s v="Medicare"/>
    <x v="2"/>
    <s v="Medicare"/>
    <n v="25132.48"/>
    <n v="7255.58"/>
    <n v="0"/>
  </r>
  <r>
    <x v="5385"/>
    <s v="Peconic Bay Medical Center"/>
    <n v="2015"/>
    <n v="7"/>
    <s v="Medicare"/>
    <x v="2"/>
    <s v="Medicare"/>
    <n v="18932.64"/>
    <n v="5978.41"/>
    <n v="0"/>
  </r>
  <r>
    <x v="5386"/>
    <s v="Peconic Bay Medical Center"/>
    <n v="2015"/>
    <n v="7"/>
    <s v="Medicare"/>
    <x v="2"/>
    <s v="Medicare"/>
    <n v="104576.32000000001"/>
    <n v="30935.99"/>
    <n v="0"/>
  </r>
  <r>
    <x v="5387"/>
    <s v="Peconic Bay Medical Center"/>
    <n v="2015"/>
    <n v="7"/>
    <s v="Medicare"/>
    <x v="2"/>
    <s v="Medicare"/>
    <n v="15557.68"/>
    <n v="4464.9399999999996"/>
    <n v="0"/>
  </r>
  <r>
    <x v="5388"/>
    <s v="Peconic Bay Medical Center"/>
    <n v="2015"/>
    <n v="7"/>
    <s v="Medicare"/>
    <x v="2"/>
    <s v="Medicare"/>
    <n v="30370.34"/>
    <n v="8858.26"/>
    <n v="0"/>
  </r>
  <r>
    <x v="5389"/>
    <s v="Peconic Bay Medical Center"/>
    <n v="2015"/>
    <n v="7"/>
    <s v="Medicare"/>
    <x v="2"/>
    <s v="Medicare"/>
    <n v="17962.060000000001"/>
    <n v="4844.21"/>
    <n v="0"/>
  </r>
  <r>
    <x v="5390"/>
    <s v="Peconic Bay Medical Center"/>
    <n v="2015"/>
    <n v="7"/>
    <s v="Medicare"/>
    <x v="2"/>
    <s v="Medicare"/>
    <n v="68279.17"/>
    <n v="37340.69"/>
    <n v="0"/>
  </r>
  <r>
    <x v="5391"/>
    <s v="Peconic Bay Medical Center"/>
    <n v="2015"/>
    <n v="7"/>
    <s v="Medicare"/>
    <x v="2"/>
    <s v="Medicare"/>
    <n v="88145"/>
    <n v="34700.78"/>
    <n v="0"/>
  </r>
  <r>
    <x v="5392"/>
    <s v="Peconic Bay Medical Center"/>
    <n v="2015"/>
    <n v="7"/>
    <s v="Medicare"/>
    <x v="2"/>
    <s v="Medicare"/>
    <n v="42909.98"/>
    <n v="14567.62"/>
    <n v="0"/>
  </r>
  <r>
    <x v="5393"/>
    <s v="Peconic Bay Medical Center"/>
    <n v="2015"/>
    <n v="7"/>
    <s v="Medicare"/>
    <x v="2"/>
    <s v="Medicare"/>
    <n v="18968.939999999999"/>
    <n v="4775.6499999999996"/>
    <n v="0"/>
  </r>
  <r>
    <x v="5394"/>
    <s v="Peconic Bay Medical Center"/>
    <n v="2015"/>
    <n v="7"/>
    <s v="Medicare"/>
    <x v="2"/>
    <s v="Medicare"/>
    <n v="20314.8"/>
    <n v="6278.56"/>
    <n v="0"/>
  </r>
  <r>
    <x v="5395"/>
    <s v="Peconic Bay Medical Center"/>
    <n v="2015"/>
    <n v="7"/>
    <s v="Medicare"/>
    <x v="2"/>
    <s v="Medicare"/>
    <n v="11269.9"/>
    <n v="2891.2"/>
    <n v="0"/>
  </r>
  <r>
    <x v="5396"/>
    <s v="Peconic Bay Medical Center"/>
    <n v="2015"/>
    <n v="7"/>
    <s v="Medicare"/>
    <x v="2"/>
    <s v="Medicare"/>
    <n v="25744.240000000002"/>
    <n v="8072.31"/>
    <n v="0"/>
  </r>
  <r>
    <x v="5397"/>
    <s v="Peconic Bay Medical Center"/>
    <n v="2015"/>
    <n v="7"/>
    <s v="Medicare"/>
    <x v="2"/>
    <s v="Medicare"/>
    <n v="33022.699999999997"/>
    <n v="9053.34"/>
    <n v="0"/>
  </r>
  <r>
    <x v="5398"/>
    <s v="Peconic Bay Medical Center"/>
    <n v="2015"/>
    <n v="7"/>
    <s v="Medicare"/>
    <x v="2"/>
    <s v="Medicare"/>
    <n v="25576.06"/>
    <n v="7217.53"/>
    <n v="0"/>
  </r>
  <r>
    <x v="5399"/>
    <s v="Peconic Bay Medical Center"/>
    <n v="2015"/>
    <n v="7"/>
    <s v="Medicare"/>
    <x v="2"/>
    <s v="Medicare"/>
    <n v="16131.98"/>
    <n v="4182"/>
    <n v="0"/>
  </r>
  <r>
    <x v="5400"/>
    <s v="Peconic Bay Medical Center"/>
    <n v="2015"/>
    <n v="7"/>
    <s v="Medicare"/>
    <x v="2"/>
    <s v="Medicare"/>
    <n v="9907.5"/>
    <n v="2733.2"/>
    <n v="0"/>
  </r>
  <r>
    <x v="5401"/>
    <s v="Peconic Bay Medical Center"/>
    <n v="2015"/>
    <n v="7"/>
    <s v="Medicare"/>
    <x v="2"/>
    <s v="Medicare"/>
    <n v="33643.08"/>
    <n v="9417.67"/>
    <n v="0"/>
  </r>
  <r>
    <x v="5402"/>
    <s v="Peconic Bay Medical Center"/>
    <n v="2015"/>
    <n v="7"/>
    <s v="Medicare"/>
    <x v="2"/>
    <s v="Medicare"/>
    <n v="20281.72"/>
    <n v="5178.43"/>
    <n v="0"/>
  </r>
  <r>
    <x v="5403"/>
    <s v="Peconic Bay Medical Center"/>
    <n v="2015"/>
    <n v="7"/>
    <s v="Medicare"/>
    <x v="2"/>
    <s v="Medicare"/>
    <n v="23908.22"/>
    <n v="7341.09"/>
    <n v="0"/>
  </r>
  <r>
    <x v="5404"/>
    <s v="Peconic Bay Medical Center"/>
    <n v="2015"/>
    <n v="7"/>
    <s v="Medicare"/>
    <x v="2"/>
    <s v="Medicare"/>
    <n v="47634.080000000002"/>
    <n v="16458.8"/>
    <n v="0"/>
  </r>
  <r>
    <x v="5405"/>
    <s v="Peconic Bay Medical Center"/>
    <n v="2015"/>
    <n v="7"/>
    <s v="Medicare"/>
    <x v="2"/>
    <s v="Medicare"/>
    <n v="19288.16"/>
    <n v="6370.92"/>
    <n v="0"/>
  </r>
  <r>
    <x v="5406"/>
    <s v="Peconic Bay Medical Center"/>
    <n v="2015"/>
    <n v="7"/>
    <s v="Medicare"/>
    <x v="2"/>
    <s v="Medicare"/>
    <n v="25779.279999999999"/>
    <n v="6305.93"/>
    <n v="0"/>
  </r>
  <r>
    <x v="5407"/>
    <s v="Peconic Bay Medical Center"/>
    <n v="2015"/>
    <n v="7"/>
    <s v="Medicare"/>
    <x v="2"/>
    <s v="Medicare"/>
    <n v="25000.1"/>
    <n v="7423.76"/>
    <n v="0"/>
  </r>
  <r>
    <x v="5408"/>
    <s v="Peconic Bay Medical Center"/>
    <n v="2015"/>
    <n v="7"/>
    <s v="Medicare"/>
    <x v="2"/>
    <s v="Medicare"/>
    <n v="28349.96"/>
    <n v="9302.5499999999993"/>
    <n v="0"/>
  </r>
  <r>
    <x v="5409"/>
    <s v="Peconic Bay Medical Center"/>
    <n v="2015"/>
    <n v="7"/>
    <s v="Medicare"/>
    <x v="2"/>
    <s v="Medicare"/>
    <n v="52079.56"/>
    <n v="16403.61"/>
    <n v="0"/>
  </r>
  <r>
    <x v="5410"/>
    <s v="Peconic Bay Medical Center"/>
    <n v="2015"/>
    <n v="7"/>
    <s v="Medicare"/>
    <x v="2"/>
    <s v="Medicare"/>
    <n v="54798.080000000002"/>
    <n v="29780.37"/>
    <n v="0"/>
  </r>
  <r>
    <x v="5411"/>
    <s v="Peconic Bay Medical Center"/>
    <n v="2015"/>
    <n v="7"/>
    <s v="Medicare"/>
    <x v="2"/>
    <s v="Medicare"/>
    <n v="46318.400000000001"/>
    <n v="14409.77"/>
    <n v="0"/>
  </r>
  <r>
    <x v="5412"/>
    <s v="Peconic Bay Medical Center"/>
    <n v="2015"/>
    <n v="7"/>
    <s v="Medicare"/>
    <x v="2"/>
    <s v="Medicare"/>
    <n v="37449.660000000003"/>
    <n v="9238.61"/>
    <n v="0"/>
  </r>
  <r>
    <x v="5413"/>
    <s v="Peconic Bay Medical Center"/>
    <n v="2015"/>
    <n v="7"/>
    <s v="Medicare"/>
    <x v="2"/>
    <s v="Medicare"/>
    <n v="89689.62"/>
    <n v="27066.71"/>
    <n v="0"/>
  </r>
  <r>
    <x v="5414"/>
    <s v="Peconic Bay Medical Center"/>
    <n v="2015"/>
    <n v="7"/>
    <s v="Medicare"/>
    <x v="2"/>
    <s v="Medicare"/>
    <n v="62464.68"/>
    <n v="27377.96"/>
    <n v="0"/>
  </r>
  <r>
    <x v="5415"/>
    <s v="Peconic Bay Medical Center"/>
    <n v="2015"/>
    <n v="7"/>
    <s v="Medicare"/>
    <x v="2"/>
    <s v="Medicare"/>
    <n v="15964.16"/>
    <n v="4636.78"/>
    <n v="0"/>
  </r>
  <r>
    <x v="5416"/>
    <s v="Peconic Bay Medical Center"/>
    <n v="2015"/>
    <n v="7"/>
    <s v="Medicare"/>
    <x v="2"/>
    <s v="Medicare"/>
    <n v="70349.460000000006"/>
    <n v="17199.16"/>
    <n v="0"/>
  </r>
  <r>
    <x v="5417"/>
    <s v="Peconic Bay Medical Center"/>
    <n v="2015"/>
    <n v="7"/>
    <s v="Medicare"/>
    <x v="2"/>
    <s v="Medicare"/>
    <n v="30321.3"/>
    <n v="15653.84"/>
    <n v="0"/>
  </r>
  <r>
    <x v="5418"/>
    <s v="Peconic Bay Medical Center"/>
    <n v="2015"/>
    <n v="7"/>
    <s v="Medicare"/>
    <x v="2"/>
    <s v="Medicare"/>
    <n v="29804.26"/>
    <n v="7293.73"/>
    <n v="0"/>
  </r>
  <r>
    <x v="5419"/>
    <s v="Peconic Bay Medical Center"/>
    <n v="2015"/>
    <n v="7"/>
    <s v="Medicare"/>
    <x v="2"/>
    <s v="Medicare"/>
    <n v="15860.36"/>
    <n v="3527.52"/>
    <n v="0"/>
  </r>
  <r>
    <x v="5420"/>
    <s v="Peconic Bay Medical Center"/>
    <n v="2015"/>
    <n v="7"/>
    <s v="Medicare"/>
    <x v="2"/>
    <s v="Medicare"/>
    <n v="17414.18"/>
    <n v="2644.61"/>
    <n v="0"/>
  </r>
  <r>
    <x v="5421"/>
    <s v="Peconic Bay Medical Center"/>
    <n v="2015"/>
    <n v="7"/>
    <s v="Medicare"/>
    <x v="2"/>
    <s v="Medicare"/>
    <n v="8294.66"/>
    <n v="2211.5100000000002"/>
    <n v="0"/>
  </r>
  <r>
    <x v="5422"/>
    <s v="Peconic Bay Medical Center"/>
    <n v="2015"/>
    <n v="7"/>
    <s v="Medicare"/>
    <x v="2"/>
    <s v="Medicare"/>
    <n v="30550.58"/>
    <n v="6780.8"/>
    <n v="0"/>
  </r>
  <r>
    <x v="5423"/>
    <s v="Peconic Bay Medical Center"/>
    <n v="2015"/>
    <n v="7"/>
    <s v="Medicare"/>
    <x v="2"/>
    <s v="Medicare"/>
    <n v="60364.38"/>
    <n v="32120.92"/>
    <n v="0"/>
  </r>
  <r>
    <x v="5424"/>
    <s v="Peconic Bay Medical Center"/>
    <n v="2015"/>
    <n v="7"/>
    <s v="Medicare"/>
    <x v="2"/>
    <s v="Medicare"/>
    <n v="67284.52"/>
    <n v="37211.15"/>
    <n v="0"/>
  </r>
  <r>
    <x v="5425"/>
    <s v="Peconic Bay Medical Center"/>
    <n v="2015"/>
    <n v="7"/>
    <s v="Medicare"/>
    <x v="2"/>
    <s v="Medicare"/>
    <n v="112718.62"/>
    <n v="70029.83"/>
    <n v="0"/>
  </r>
  <r>
    <x v="5426"/>
    <s v="Peconic Bay Medical Center"/>
    <n v="2015"/>
    <n v="7"/>
    <s v="Medicare"/>
    <x v="2"/>
    <s v="Medicare"/>
    <n v="20316.3"/>
    <n v="6237.21"/>
    <n v="0"/>
  </r>
  <r>
    <x v="5427"/>
    <s v="Peconic Bay Medical Center"/>
    <n v="2015"/>
    <n v="7"/>
    <s v="Medicare"/>
    <x v="2"/>
    <s v="Medicare"/>
    <n v="26476.98"/>
    <n v="13356.9"/>
    <n v="0"/>
  </r>
  <r>
    <x v="5428"/>
    <s v="Peconic Bay Medical Center"/>
    <n v="2015"/>
    <n v="7"/>
    <s v="Medicare"/>
    <x v="2"/>
    <s v="Medicare"/>
    <n v="15382.58"/>
    <n v="3689.02"/>
    <n v="0"/>
  </r>
  <r>
    <x v="5429"/>
    <s v="Peconic Bay Medical Center"/>
    <n v="2015"/>
    <n v="7"/>
    <s v="Medicare"/>
    <x v="2"/>
    <s v="Medicare"/>
    <n v="25999.94"/>
    <n v="7925.89"/>
    <n v="0"/>
  </r>
  <r>
    <x v="5430"/>
    <s v="Peconic Bay Medical Center"/>
    <n v="2015"/>
    <n v="7"/>
    <s v="Medicare"/>
    <x v="2"/>
    <s v="Medicare"/>
    <n v="9686.7000000000007"/>
    <n v="2654.32"/>
    <n v="0"/>
  </r>
  <r>
    <x v="5431"/>
    <s v="Peconic Bay Medical Center"/>
    <n v="2015"/>
    <n v="7"/>
    <s v="Medicare"/>
    <x v="2"/>
    <s v="Medicare"/>
    <n v="20421.12"/>
    <n v="5039.67"/>
    <n v="0"/>
  </r>
  <r>
    <x v="5432"/>
    <s v="Peconic Bay Medical Center"/>
    <n v="2015"/>
    <n v="7"/>
    <s v="Medicare"/>
    <x v="2"/>
    <s v="Medicare"/>
    <n v="26658.06"/>
    <n v="6534.79"/>
    <n v="0"/>
  </r>
  <r>
    <x v="5433"/>
    <s v="Peconic Bay Medical Center"/>
    <n v="2015"/>
    <n v="7"/>
    <s v="Medicare"/>
    <x v="2"/>
    <s v="Medicare"/>
    <n v="28065.18"/>
    <n v="6766.66"/>
    <n v="0"/>
  </r>
  <r>
    <x v="5434"/>
    <s v="Peconic Bay Medical Center"/>
    <n v="2015"/>
    <n v="7"/>
    <s v="Medicare"/>
    <x v="2"/>
    <s v="Medicare"/>
    <n v="32492.58"/>
    <n v="9063.1"/>
    <n v="0"/>
  </r>
  <r>
    <x v="5435"/>
    <s v="Peconic Bay Medical Center"/>
    <n v="2015"/>
    <n v="7"/>
    <s v="Medicare"/>
    <x v="2"/>
    <s v="Medicare"/>
    <n v="19986.16"/>
    <n v="5181.76"/>
    <n v="0"/>
  </r>
  <r>
    <x v="5436"/>
    <s v="Peconic Bay Medical Center"/>
    <n v="2015"/>
    <n v="7"/>
    <s v="Medicare"/>
    <x v="2"/>
    <s v="Medicare"/>
    <n v="125740.88"/>
    <n v="43335.19"/>
    <n v="0"/>
  </r>
  <r>
    <x v="5437"/>
    <s v="Peconic Bay Medical Center"/>
    <n v="2015"/>
    <n v="7"/>
    <s v="Medicare"/>
    <x v="2"/>
    <s v="Medicare"/>
    <n v="104928.38"/>
    <n v="79832.820000000007"/>
    <n v="0"/>
  </r>
  <r>
    <x v="5438"/>
    <s v="Peconic Bay Medical Center"/>
    <n v="2015"/>
    <n v="7"/>
    <s v="Medicare"/>
    <x v="2"/>
    <s v="Medicare"/>
    <n v="16355.88"/>
    <n v="3069.23"/>
    <n v="0"/>
  </r>
  <r>
    <x v="5439"/>
    <s v="Peconic Bay Medical Center"/>
    <n v="2015"/>
    <n v="7"/>
    <s v="Medicare"/>
    <x v="2"/>
    <s v="Medicare"/>
    <n v="17678.46"/>
    <n v="4831.5600000000004"/>
    <n v="0"/>
  </r>
  <r>
    <x v="5440"/>
    <s v="Peconic Bay Medical Center"/>
    <n v="2015"/>
    <n v="7"/>
    <s v="Medicare"/>
    <x v="2"/>
    <s v="Medicare"/>
    <n v="33927.800000000003"/>
    <n v="8573.3799999999992"/>
    <n v="0"/>
  </r>
  <r>
    <x v="5441"/>
    <s v="Peconic Bay Medical Center"/>
    <n v="2015"/>
    <n v="7"/>
    <s v="Medicare"/>
    <x v="2"/>
    <s v="Medicare"/>
    <n v="17056.32"/>
    <n v="5278.71"/>
    <n v="0"/>
  </r>
  <r>
    <x v="5442"/>
    <s v="Peconic Bay Medical Center"/>
    <n v="2015"/>
    <n v="7"/>
    <s v="Medicare"/>
    <x v="2"/>
    <s v="Medicare"/>
    <n v="31213.56"/>
    <n v="7771.81"/>
    <n v="0"/>
  </r>
  <r>
    <x v="5443"/>
    <s v="Peconic Bay Medical Center"/>
    <n v="2015"/>
    <n v="7"/>
    <s v="Medicare"/>
    <x v="2"/>
    <s v="Medicare"/>
    <n v="28681.78"/>
    <n v="8103.74"/>
    <n v="0"/>
  </r>
  <r>
    <x v="5444"/>
    <s v="Peconic Bay Medical Center"/>
    <n v="2015"/>
    <n v="7"/>
    <s v="Medicare"/>
    <x v="2"/>
    <s v="Medicare"/>
    <n v="82712.42"/>
    <n v="33278.449999999997"/>
    <n v="0"/>
  </r>
  <r>
    <x v="5445"/>
    <s v="Peconic Bay Medical Center"/>
    <n v="2015"/>
    <n v="7"/>
    <s v="Medicare"/>
    <x v="2"/>
    <s v="Medicare"/>
    <n v="33334.300000000003"/>
    <n v="9508.9"/>
    <n v="0"/>
  </r>
  <r>
    <x v="5446"/>
    <s v="Peconic Bay Medical Center"/>
    <n v="2015"/>
    <n v="7"/>
    <s v="Medicare"/>
    <x v="2"/>
    <s v="Medicare"/>
    <n v="27710.98"/>
    <n v="8922.6299999999992"/>
    <n v="0"/>
  </r>
  <r>
    <x v="5447"/>
    <s v="Peconic Bay Medical Center"/>
    <n v="2015"/>
    <n v="7"/>
    <s v="Medicare"/>
    <x v="2"/>
    <s v="Medicare"/>
    <n v="12204.14"/>
    <n v="3248.6"/>
    <n v="0"/>
  </r>
  <r>
    <x v="5448"/>
    <s v="Peconic Bay Medical Center"/>
    <n v="2015"/>
    <n v="7"/>
    <s v="Medicare"/>
    <x v="2"/>
    <s v="Medicare"/>
    <n v="41060.199999999997"/>
    <n v="12773.06"/>
    <n v="0"/>
  </r>
  <r>
    <x v="5449"/>
    <s v="Peconic Bay Medical Center"/>
    <n v="2015"/>
    <n v="7"/>
    <s v="Medicare"/>
    <x v="2"/>
    <s v="Medicare"/>
    <n v="39975.019999999997"/>
    <n v="12530.11"/>
    <n v="0"/>
  </r>
  <r>
    <x v="5450"/>
    <s v="Peconic Bay Medical Center"/>
    <n v="2015"/>
    <n v="7"/>
    <s v="Medicare"/>
    <x v="2"/>
    <s v="Medicare"/>
    <n v="13780.66"/>
    <n v="3202.8"/>
    <n v="0"/>
  </r>
  <r>
    <x v="5451"/>
    <s v="Peconic Bay Medical Center"/>
    <n v="2015"/>
    <n v="7"/>
    <s v="Medicare"/>
    <x v="2"/>
    <s v="Medicare"/>
    <n v="48234.98"/>
    <n v="14234.04"/>
    <n v="0"/>
  </r>
  <r>
    <x v="5452"/>
    <s v="Peconic Bay Medical Center"/>
    <n v="2015"/>
    <n v="7"/>
    <s v="Medicare"/>
    <x v="2"/>
    <s v="Medicare"/>
    <n v="28648.84"/>
    <n v="8126.96"/>
    <n v="0"/>
  </r>
  <r>
    <x v="5453"/>
    <s v="Peconic Bay Medical Center"/>
    <n v="2015"/>
    <n v="7"/>
    <s v="Medicare"/>
    <x v="2"/>
    <s v="Medicare"/>
    <n v="119543.32"/>
    <n v="35071.760000000002"/>
    <n v="0"/>
  </r>
  <r>
    <x v="5454"/>
    <s v="Peconic Bay Medical Center"/>
    <n v="2015"/>
    <n v="7"/>
    <s v="Medicare"/>
    <x v="2"/>
    <s v="Medicare"/>
    <n v="73979.399999999994"/>
    <n v="42315.040000000001"/>
    <n v="0"/>
  </r>
  <r>
    <x v="5455"/>
    <s v="Peconic Bay Medical Center"/>
    <n v="2015"/>
    <n v="7"/>
    <s v="Medicare"/>
    <x v="2"/>
    <s v="Medicare"/>
    <n v="17410.96"/>
    <n v="7041.37"/>
    <n v="0"/>
  </r>
  <r>
    <x v="5456"/>
    <s v="Peconic Bay Medical Center"/>
    <n v="2015"/>
    <n v="7"/>
    <s v="Medicare"/>
    <x v="2"/>
    <s v="Medicare"/>
    <n v="54226"/>
    <n v="15847.46"/>
    <n v="0"/>
  </r>
  <r>
    <x v="5457"/>
    <s v="Peconic Bay Medical Center"/>
    <n v="2015"/>
    <n v="7"/>
    <s v="Medicare"/>
    <x v="2"/>
    <s v="Medicare"/>
    <n v="45139.12"/>
    <n v="14652.97"/>
    <n v="0"/>
  </r>
  <r>
    <x v="5458"/>
    <s v="Peconic Bay Medical Center"/>
    <n v="2015"/>
    <n v="7"/>
    <s v="Medicare"/>
    <x v="2"/>
    <s v="Medicare"/>
    <n v="10050.82"/>
    <n v="2746.55"/>
    <n v="0"/>
  </r>
  <r>
    <x v="5459"/>
    <s v="Peconic Bay Medical Center"/>
    <n v="2015"/>
    <n v="7"/>
    <s v="Medicare"/>
    <x v="2"/>
    <s v="Medicare"/>
    <n v="21146.959999999999"/>
    <n v="5917.01"/>
    <n v="0"/>
  </r>
  <r>
    <x v="5460"/>
    <s v="Peconic Bay Medical Center"/>
    <n v="2015"/>
    <n v="7"/>
    <s v="Medicare"/>
    <x v="2"/>
    <s v="Medicare"/>
    <n v="63534.13"/>
    <n v="28430.74"/>
    <n v="0"/>
  </r>
  <r>
    <x v="5461"/>
    <s v="Peconic Bay Medical Center"/>
    <n v="2015"/>
    <n v="7"/>
    <s v="Medicare"/>
    <x v="2"/>
    <s v="Medicare"/>
    <n v="28401.58"/>
    <n v="6140.8"/>
    <n v="0"/>
  </r>
  <r>
    <x v="5462"/>
    <s v="Peconic Bay Medical Center"/>
    <n v="2015"/>
    <n v="7"/>
    <s v="Medicare"/>
    <x v="2"/>
    <s v="Medicare"/>
    <n v="103333.75999999999"/>
    <n v="39373.120000000003"/>
    <n v="0"/>
  </r>
  <r>
    <x v="5463"/>
    <s v="Peconic Bay Medical Center"/>
    <n v="2015"/>
    <n v="7"/>
    <s v="Medicare"/>
    <x v="2"/>
    <s v="Medicare"/>
    <n v="30822.080000000002"/>
    <n v="7448.64"/>
    <n v="0"/>
  </r>
  <r>
    <x v="5464"/>
    <s v="Peconic Bay Medical Center"/>
    <n v="2015"/>
    <n v="7"/>
    <s v="Medicare"/>
    <x v="2"/>
    <s v="Medicare"/>
    <n v="33628"/>
    <n v="9776.5300000000007"/>
    <n v="0"/>
  </r>
  <r>
    <x v="5465"/>
    <s v="Peconic Bay Medical Center"/>
    <n v="2015"/>
    <n v="7"/>
    <s v="Medicare"/>
    <x v="2"/>
    <s v="Medicare"/>
    <n v="51074.84"/>
    <n v="15920.06"/>
    <n v="0"/>
  </r>
  <r>
    <x v="5466"/>
    <s v="Peconic Bay Medical Center"/>
    <n v="2015"/>
    <n v="7"/>
    <s v="Medicare"/>
    <x v="2"/>
    <s v="Medicare"/>
    <n v="16585.88"/>
    <n v="4664.09"/>
    <n v="0"/>
  </r>
  <r>
    <x v="5467"/>
    <s v="Peconic Bay Medical Center"/>
    <n v="2015"/>
    <n v="7"/>
    <s v="Medicare"/>
    <x v="2"/>
    <s v="Medicare"/>
    <n v="36926.480000000003"/>
    <n v="10929.99"/>
    <n v="0"/>
  </r>
  <r>
    <x v="5468"/>
    <s v="Peconic Bay Medical Center"/>
    <n v="2015"/>
    <n v="7"/>
    <s v="Medicare"/>
    <x v="2"/>
    <s v="Medicare"/>
    <n v="82410.64"/>
    <n v="47700.31"/>
    <n v="0"/>
  </r>
  <r>
    <x v="5469"/>
    <s v="Peconic Bay Medical Center"/>
    <n v="2015"/>
    <n v="7"/>
    <s v="Medicare"/>
    <x v="2"/>
    <s v="Medicare"/>
    <n v="18063.52"/>
    <n v="4761.63"/>
    <n v="0"/>
  </r>
  <r>
    <x v="5470"/>
    <s v="Peconic Bay Medical Center"/>
    <n v="2015"/>
    <n v="7"/>
    <s v="Medicare"/>
    <x v="2"/>
    <s v="Medicare"/>
    <n v="37406.42"/>
    <n v="11640.72"/>
    <n v="0"/>
  </r>
  <r>
    <x v="5471"/>
    <s v="Peconic Bay Medical Center"/>
    <n v="2015"/>
    <n v="7"/>
    <s v="Medicare"/>
    <x v="2"/>
    <s v="Medicare"/>
    <n v="18802.599999999999"/>
    <n v="5371.09"/>
    <n v="0"/>
  </r>
  <r>
    <x v="5472"/>
    <s v="Peconic Bay Medical Center"/>
    <n v="2015"/>
    <n v="7"/>
    <s v="Medicare"/>
    <x v="2"/>
    <s v="Medicare"/>
    <n v="8645.1200000000008"/>
    <n v="2225.0100000000002"/>
    <n v="0"/>
  </r>
  <r>
    <x v="5473"/>
    <s v="Peconic Bay Medical Center"/>
    <n v="2015"/>
    <n v="7"/>
    <s v="Medicare"/>
    <x v="2"/>
    <s v="Medicare"/>
    <n v="78951"/>
    <n v="30916.32"/>
    <n v="0"/>
  </r>
  <r>
    <x v="5474"/>
    <s v="Peconic Bay Medical Center"/>
    <n v="2015"/>
    <n v="7"/>
    <s v="Medicare"/>
    <x v="2"/>
    <s v="Medicare"/>
    <n v="82844.34"/>
    <n v="36440.01"/>
    <n v="0"/>
  </r>
  <r>
    <x v="5475"/>
    <s v="Peconic Bay Medical Center"/>
    <n v="2015"/>
    <n v="7"/>
    <s v="Medicare"/>
    <x v="2"/>
    <s v="Medicare"/>
    <n v="26683.34"/>
    <n v="7210.51"/>
    <n v="0"/>
  </r>
  <r>
    <x v="5476"/>
    <s v="Peconic Bay Medical Center"/>
    <n v="2015"/>
    <n v="7"/>
    <s v="Medicare"/>
    <x v="2"/>
    <s v="Medicare"/>
    <n v="90255.14"/>
    <n v="52280.56"/>
    <n v="0"/>
  </r>
  <r>
    <x v="5477"/>
    <s v="Peconic Bay Medical Center"/>
    <n v="2015"/>
    <n v="7"/>
    <s v="Medicare"/>
    <x v="2"/>
    <s v="Medicare"/>
    <n v="33052.14"/>
    <n v="9672.81"/>
    <n v="0"/>
  </r>
  <r>
    <x v="5478"/>
    <s v="Peconic Bay Medical Center"/>
    <n v="2015"/>
    <n v="7"/>
    <s v="Medicare"/>
    <x v="2"/>
    <s v="Medicare"/>
    <n v="74967.48"/>
    <n v="31997.81"/>
    <n v="0"/>
  </r>
  <r>
    <x v="5479"/>
    <s v="Peconic Bay Medical Center"/>
    <n v="2015"/>
    <n v="7"/>
    <s v="Medicare"/>
    <x v="2"/>
    <s v="Medicare"/>
    <n v="62735.22"/>
    <n v="18844.16"/>
    <n v="0"/>
  </r>
  <r>
    <x v="5480"/>
    <s v="Peconic Bay Medical Center"/>
    <n v="2015"/>
    <n v="7"/>
    <s v="Medicare"/>
    <x v="2"/>
    <s v="Medicare"/>
    <n v="38131.08"/>
    <n v="10964.32"/>
    <n v="0"/>
  </r>
  <r>
    <x v="5481"/>
    <s v="Peconic Bay Medical Center"/>
    <n v="2015"/>
    <n v="7"/>
    <s v="Medicare"/>
    <x v="2"/>
    <s v="Medicare"/>
    <n v="22341.599999999999"/>
    <n v="6723.33"/>
    <n v="0"/>
  </r>
  <r>
    <x v="5482"/>
    <s v="Peconic Bay Medical Center"/>
    <n v="2015"/>
    <n v="7"/>
    <s v="Medicare"/>
    <x v="2"/>
    <s v="Medicare"/>
    <n v="28627.42"/>
    <n v="8200.74"/>
    <n v="0"/>
  </r>
  <r>
    <x v="5483"/>
    <s v="Peconic Bay Medical Center"/>
    <n v="2015"/>
    <n v="7"/>
    <s v="Medicare"/>
    <x v="2"/>
    <s v="Medicare"/>
    <n v="42762.93"/>
    <n v="18905.240000000002"/>
    <n v="0"/>
  </r>
  <r>
    <x v="5484"/>
    <s v="Peconic Bay Medical Center"/>
    <n v="2015"/>
    <n v="7"/>
    <s v="Medicare"/>
    <x v="2"/>
    <s v="Medicare"/>
    <n v="18035.52"/>
    <n v="5638.53"/>
    <n v="0"/>
  </r>
  <r>
    <x v="5485"/>
    <s v="Peconic Bay Medical Center"/>
    <n v="2015"/>
    <n v="7"/>
    <s v="Medicare"/>
    <x v="2"/>
    <s v="Medicare"/>
    <n v="33845.96"/>
    <n v="8495.3700000000008"/>
    <n v="0"/>
  </r>
  <r>
    <x v="5486"/>
    <s v="Peconic Bay Medical Center"/>
    <n v="2015"/>
    <n v="7"/>
    <s v="Medicare"/>
    <x v="2"/>
    <s v="Medicare"/>
    <n v="74637.64"/>
    <n v="19456.66"/>
    <n v="0"/>
  </r>
  <r>
    <x v="5487"/>
    <s v="Peconic Bay Medical Center"/>
    <n v="2015"/>
    <n v="7"/>
    <s v="Medicare"/>
    <x v="2"/>
    <s v="Medicare"/>
    <n v="21813.64"/>
    <n v="4634.2700000000004"/>
    <n v="0"/>
  </r>
  <r>
    <x v="5488"/>
    <s v="Peconic Bay Medical Center"/>
    <n v="2015"/>
    <n v="7"/>
    <s v="Medicare"/>
    <x v="2"/>
    <s v="Medicare"/>
    <n v="15316.74"/>
    <n v="5419.81"/>
    <n v="0"/>
  </r>
  <r>
    <x v="5489"/>
    <s v="Peconic Bay Medical Center"/>
    <n v="2015"/>
    <n v="7"/>
    <s v="Medicare"/>
    <x v="2"/>
    <s v="Medicare"/>
    <n v="14834.5"/>
    <n v="3701.79"/>
    <n v="0"/>
  </r>
  <r>
    <x v="5490"/>
    <s v="Peconic Bay Medical Center"/>
    <n v="2015"/>
    <n v="7"/>
    <s v="Medicare"/>
    <x v="2"/>
    <s v="Medicare"/>
    <n v="19536.740000000002"/>
    <n v="3520.48"/>
    <n v="0"/>
  </r>
  <r>
    <x v="5491"/>
    <s v="Peconic Bay Medical Center"/>
    <n v="2015"/>
    <n v="7"/>
    <s v="Medicare"/>
    <x v="2"/>
    <s v="Medicare"/>
    <n v="49098.98"/>
    <n v="15494.58"/>
    <n v="0"/>
  </r>
  <r>
    <x v="5492"/>
    <s v="Peconic Bay Medical Center"/>
    <n v="2015"/>
    <n v="7"/>
    <s v="Medicare"/>
    <x v="2"/>
    <s v="Medicare"/>
    <n v="19728.060000000001"/>
    <n v="5965.58"/>
    <n v="0"/>
  </r>
  <r>
    <x v="5493"/>
    <s v="Peconic Bay Medical Center"/>
    <n v="2015"/>
    <n v="7"/>
    <s v="Medicare"/>
    <x v="2"/>
    <s v="Medicare"/>
    <n v="66995.399999999994"/>
    <n v="26968.41"/>
    <n v="0"/>
  </r>
  <r>
    <x v="5494"/>
    <s v="Peconic Bay Medical Center"/>
    <n v="2015"/>
    <n v="7"/>
    <s v="Medicare"/>
    <x v="2"/>
    <s v="Medicare"/>
    <n v="44229.279999999999"/>
    <n v="13353.03"/>
    <n v="0"/>
  </r>
  <r>
    <x v="5495"/>
    <s v="Peconic Bay Medical Center"/>
    <n v="2015"/>
    <n v="7"/>
    <s v="Medicare"/>
    <x v="2"/>
    <s v="Medicare"/>
    <n v="21331.84"/>
    <n v="6258.55"/>
    <n v="0"/>
  </r>
  <r>
    <x v="5496"/>
    <s v="Peconic Bay Medical Center"/>
    <n v="2015"/>
    <n v="7"/>
    <s v="Medicare"/>
    <x v="2"/>
    <s v="Medicare"/>
    <n v="22496.12"/>
    <n v="7348.28"/>
    <n v="0"/>
  </r>
  <r>
    <x v="5497"/>
    <s v="Peconic Bay Medical Center"/>
    <n v="2015"/>
    <n v="7"/>
    <s v="Medicare"/>
    <x v="2"/>
    <s v="Medicare"/>
    <n v="27082.12"/>
    <n v="8656.92"/>
    <n v="0"/>
  </r>
  <r>
    <x v="5498"/>
    <s v="Peconic Bay Medical Center"/>
    <n v="2015"/>
    <n v="7"/>
    <s v="Medicare"/>
    <x v="2"/>
    <s v="Medicare"/>
    <n v="15055.58"/>
    <n v="3954.34"/>
    <n v="0"/>
  </r>
  <r>
    <x v="5499"/>
    <s v="Peconic Bay Medical Center"/>
    <n v="2015"/>
    <n v="7"/>
    <s v="Medicare"/>
    <x v="2"/>
    <s v="Medicare"/>
    <n v="13568.06"/>
    <n v="3478.85"/>
    <n v="0"/>
  </r>
  <r>
    <x v="5500"/>
    <s v="Peconic Bay Medical Center"/>
    <n v="2015"/>
    <n v="7"/>
    <s v="Medicare"/>
    <x v="2"/>
    <s v="Medicare"/>
    <n v="55200.56"/>
    <n v="16867.48"/>
    <n v="0"/>
  </r>
  <r>
    <x v="5501"/>
    <s v="Peconic Bay Medical Center"/>
    <n v="2015"/>
    <n v="7"/>
    <s v="Medicare"/>
    <x v="2"/>
    <s v="Medicare"/>
    <n v="22622.18"/>
    <n v="6901.71"/>
    <n v="0"/>
  </r>
  <r>
    <x v="5502"/>
    <s v="Peconic Bay Medical Center"/>
    <n v="2015"/>
    <n v="7"/>
    <s v="Medicare"/>
    <x v="2"/>
    <s v="Medicare"/>
    <n v="73719.12"/>
    <n v="36135.61"/>
    <n v="0"/>
  </r>
  <r>
    <x v="5503"/>
    <s v="Peconic Bay Medical Center"/>
    <n v="2015"/>
    <n v="7"/>
    <s v="Medicare"/>
    <x v="2"/>
    <s v="Medicare"/>
    <n v="56571.56"/>
    <n v="16301.75"/>
    <n v="0"/>
  </r>
  <r>
    <x v="5504"/>
    <s v="Peconic Bay Medical Center"/>
    <n v="2015"/>
    <n v="7"/>
    <s v="Medicare"/>
    <x v="2"/>
    <s v="Medicare"/>
    <n v="50781.98"/>
    <n v="14852.44"/>
    <n v="0"/>
  </r>
  <r>
    <x v="5505"/>
    <s v="Peconic Bay Medical Center"/>
    <n v="2015"/>
    <n v="7"/>
    <s v="Medicare"/>
    <x v="2"/>
    <s v="Medicare"/>
    <n v="18595.34"/>
    <n v="4728.12"/>
    <n v="0"/>
  </r>
  <r>
    <x v="5506"/>
    <s v="Peconic Bay Medical Center"/>
    <n v="2015"/>
    <n v="7"/>
    <s v="Medicare"/>
    <x v="2"/>
    <s v="Medicare"/>
    <n v="42006.76"/>
    <n v="16178.36"/>
    <n v="0"/>
  </r>
  <r>
    <x v="5507"/>
    <s v="Peconic Bay Medical Center"/>
    <n v="2015"/>
    <n v="7"/>
    <s v="Medicare"/>
    <x v="2"/>
    <s v="Medicare"/>
    <n v="19088.080000000002"/>
    <n v="5857.34"/>
    <n v="0"/>
  </r>
  <r>
    <x v="5508"/>
    <s v="Peconic Bay Medical Center"/>
    <n v="2015"/>
    <n v="7"/>
    <s v="Medicare"/>
    <x v="2"/>
    <s v="Medicare"/>
    <n v="25146.82"/>
    <n v="7549.56"/>
    <n v="0"/>
  </r>
  <r>
    <x v="5509"/>
    <s v="Peconic Bay Medical Center"/>
    <n v="2015"/>
    <n v="7"/>
    <s v="Medicare"/>
    <x v="2"/>
    <s v="Medicare"/>
    <n v="19185.78"/>
    <n v="11654.52"/>
    <n v="0"/>
  </r>
  <r>
    <x v="5510"/>
    <s v="Peconic Bay Medical Center"/>
    <n v="2015"/>
    <n v="7"/>
    <s v="Medicare"/>
    <x v="2"/>
    <s v="Medicare"/>
    <n v="93622.3"/>
    <n v="60076.67"/>
    <n v="0"/>
  </r>
  <r>
    <x v="5511"/>
    <s v="Peconic Bay Medical Center"/>
    <n v="2015"/>
    <n v="7"/>
    <s v="Medicare"/>
    <x v="2"/>
    <s v="Medicare"/>
    <n v="56117.58"/>
    <n v="16727.38"/>
    <n v="0"/>
  </r>
  <r>
    <x v="5512"/>
    <s v="Peconic Bay Medical Center"/>
    <n v="2015"/>
    <n v="7"/>
    <s v="Medicare"/>
    <x v="2"/>
    <s v="Medicare"/>
    <n v="28596.66"/>
    <n v="17904.07"/>
    <n v="0"/>
  </r>
  <r>
    <x v="5513"/>
    <s v="Peconic Bay Medical Center"/>
    <n v="2015"/>
    <n v="7"/>
    <s v="Medicare"/>
    <x v="2"/>
    <s v="Medicare"/>
    <n v="37656.68"/>
    <n v="8622.7199999999993"/>
    <n v="0"/>
  </r>
  <r>
    <x v="5514"/>
    <s v="Peconic Bay Medical Center"/>
    <n v="2015"/>
    <n v="7"/>
    <s v="Medicare"/>
    <x v="2"/>
    <s v="Medicare"/>
    <n v="33517.839999999997"/>
    <n v="9865.74"/>
    <n v="0"/>
  </r>
  <r>
    <x v="5515"/>
    <s v="Peconic Bay Medical Center"/>
    <n v="2015"/>
    <n v="7"/>
    <s v="Medicare"/>
    <x v="2"/>
    <s v="Medicare"/>
    <n v="53294.3"/>
    <n v="16658.64"/>
    <n v="0"/>
  </r>
  <r>
    <x v="5516"/>
    <s v="Peconic Bay Medical Center"/>
    <n v="2015"/>
    <n v="7"/>
    <s v="Medicare"/>
    <x v="2"/>
    <s v="Medicare"/>
    <n v="12336.58"/>
    <n v="2395.1799999999998"/>
    <n v="0"/>
  </r>
  <r>
    <x v="5517"/>
    <s v="Peconic Bay Medical Center"/>
    <n v="2015"/>
    <n v="7"/>
    <s v="Medicare"/>
    <x v="2"/>
    <s v="Medicare"/>
    <n v="41653.120000000003"/>
    <n v="18747.32"/>
    <n v="0"/>
  </r>
  <r>
    <x v="5518"/>
    <s v="Peconic Bay Medical Center"/>
    <n v="2015"/>
    <n v="7"/>
    <s v="Medicare"/>
    <x v="2"/>
    <s v="Medicare"/>
    <n v="39274.660000000003"/>
    <n v="11118.49"/>
    <n v="0"/>
  </r>
  <r>
    <x v="5519"/>
    <s v="Peconic Bay Medical Center"/>
    <n v="2015"/>
    <n v="7"/>
    <s v="Medicare"/>
    <x v="2"/>
    <s v="Medicare"/>
    <n v="19308.46"/>
    <n v="4322.63"/>
    <n v="0"/>
  </r>
  <r>
    <x v="5520"/>
    <s v="Peconic Bay Medical Center"/>
    <n v="2015"/>
    <n v="7"/>
    <s v="Medicare"/>
    <x v="2"/>
    <s v="Medicare"/>
    <n v="75076.320000000007"/>
    <n v="28193.86"/>
    <n v="0"/>
  </r>
  <r>
    <x v="5521"/>
    <s v="Peconic Bay Medical Center"/>
    <n v="2015"/>
    <n v="7"/>
    <s v="Medicare"/>
    <x v="2"/>
    <s v="Medicare"/>
    <n v="50174.720000000001"/>
    <n v="12153.17"/>
    <n v="0"/>
  </r>
  <r>
    <x v="5522"/>
    <s v="Peconic Bay Medical Center"/>
    <n v="2015"/>
    <n v="7"/>
    <s v="Medicare"/>
    <x v="2"/>
    <s v="Medicare"/>
    <n v="23198.74"/>
    <n v="4562.58"/>
    <n v="0"/>
  </r>
  <r>
    <x v="5523"/>
    <s v="Peconic Bay Medical Center"/>
    <n v="2015"/>
    <n v="7"/>
    <s v="Medicare"/>
    <x v="2"/>
    <s v="Medicare"/>
    <n v="31968.53"/>
    <n v="12027.62"/>
    <n v="0"/>
  </r>
  <r>
    <x v="5524"/>
    <s v="Peconic Bay Medical Center"/>
    <n v="2015"/>
    <n v="7"/>
    <s v="Medicare"/>
    <x v="2"/>
    <s v="Medicare"/>
    <n v="34285.08"/>
    <n v="9934.2900000000009"/>
    <n v="0"/>
  </r>
  <r>
    <x v="5525"/>
    <s v="Peconic Bay Medical Center"/>
    <n v="2015"/>
    <n v="7"/>
    <s v="Medicare"/>
    <x v="2"/>
    <s v="Medicare"/>
    <n v="12153.66"/>
    <n v="2745.05"/>
    <n v="0"/>
  </r>
  <r>
    <x v="5526"/>
    <s v="Peconic Bay Medical Center"/>
    <n v="2015"/>
    <n v="7"/>
    <s v="Medicare"/>
    <x v="2"/>
    <s v="Medicare"/>
    <n v="19825.099999999999"/>
    <n v="5249.49"/>
    <n v="0"/>
  </r>
  <r>
    <x v="5527"/>
    <s v="Peconic Bay Medical Center"/>
    <n v="2015"/>
    <n v="7"/>
    <s v="Medicare"/>
    <x v="2"/>
    <s v="Medicare"/>
    <n v="46610.8"/>
    <n v="12364.65"/>
    <n v="0"/>
  </r>
  <r>
    <x v="5528"/>
    <s v="Peconic Bay Medical Center"/>
    <n v="2015"/>
    <n v="7"/>
    <s v="Medicare"/>
    <x v="2"/>
    <s v="Medicare"/>
    <n v="95104.18"/>
    <n v="65061.36"/>
    <n v="0"/>
  </r>
  <r>
    <x v="5529"/>
    <s v="Peconic Bay Medical Center"/>
    <n v="2015"/>
    <n v="7"/>
    <s v="Medicare"/>
    <x v="2"/>
    <s v="Medicare"/>
    <n v="40881.42"/>
    <n v="11656.29"/>
    <n v="0"/>
  </r>
  <r>
    <x v="5530"/>
    <s v="Peconic Bay Medical Center"/>
    <n v="2015"/>
    <n v="7"/>
    <s v="Medicare"/>
    <x v="2"/>
    <s v="Medicare"/>
    <n v="25936.639999999999"/>
    <n v="7803.26"/>
    <n v="0"/>
  </r>
  <r>
    <x v="5531"/>
    <s v="Peconic Bay Medical Center"/>
    <n v="2015"/>
    <n v="7"/>
    <s v="Medicare"/>
    <x v="2"/>
    <s v="Medicare"/>
    <n v="20200.52"/>
    <n v="4593.68"/>
    <n v="0"/>
  </r>
  <r>
    <x v="5532"/>
    <s v="Peconic Bay Medical Center"/>
    <n v="2015"/>
    <n v="7"/>
    <s v="Medicare"/>
    <x v="2"/>
    <s v="Medicare"/>
    <n v="11641.14"/>
    <n v="3002.24"/>
    <n v="0"/>
  </r>
  <r>
    <x v="5533"/>
    <s v="Peconic Bay Medical Center"/>
    <n v="2015"/>
    <n v="7"/>
    <s v="Medicare"/>
    <x v="2"/>
    <s v="Medicare"/>
    <n v="20575.72"/>
    <n v="6233.7"/>
    <n v="0"/>
  </r>
  <r>
    <x v="5534"/>
    <s v="Peconic Bay Medical Center"/>
    <n v="2015"/>
    <n v="7"/>
    <s v="Medicare"/>
    <x v="2"/>
    <s v="Medicare"/>
    <n v="40039.24"/>
    <n v="12018.12"/>
    <n v="0"/>
  </r>
  <r>
    <x v="5535"/>
    <s v="Peconic Bay Medical Center"/>
    <n v="2015"/>
    <n v="7"/>
    <s v="Medicare"/>
    <x v="2"/>
    <s v="Medicare"/>
    <n v="77403.16"/>
    <n v="23779.200000000001"/>
    <n v="0"/>
  </r>
  <r>
    <x v="5536"/>
    <s v="Peconic Bay Medical Center"/>
    <n v="2015"/>
    <n v="7"/>
    <s v="Medicare"/>
    <x v="2"/>
    <s v="Medicare"/>
    <n v="13736.26"/>
    <n v="2714.05"/>
    <n v="0"/>
  </r>
  <r>
    <x v="5537"/>
    <s v="Peconic Bay Medical Center"/>
    <n v="2015"/>
    <n v="7"/>
    <s v="Medicare"/>
    <x v="2"/>
    <s v="Medicare"/>
    <n v="23030.22"/>
    <n v="6325.39"/>
    <n v="0"/>
  </r>
  <r>
    <x v="5538"/>
    <s v="Peconic Bay Medical Center"/>
    <n v="2015"/>
    <n v="7"/>
    <s v="Medicare"/>
    <x v="2"/>
    <s v="Medicare"/>
    <n v="15123.78"/>
    <n v="4074.42"/>
    <n v="0"/>
  </r>
  <r>
    <x v="5539"/>
    <s v="Peconic Bay Medical Center"/>
    <n v="2015"/>
    <n v="7"/>
    <s v="Medicare"/>
    <x v="2"/>
    <s v="Medicare"/>
    <n v="16275.02"/>
    <n v="4995.92"/>
    <n v="0"/>
  </r>
  <r>
    <x v="5540"/>
    <s v="Peconic Bay Medical Center"/>
    <n v="2015"/>
    <n v="7"/>
    <s v="Medicare"/>
    <x v="2"/>
    <s v="Medicare"/>
    <n v="51014.080000000002"/>
    <n v="13470.93"/>
    <n v="0"/>
  </r>
  <r>
    <x v="5541"/>
    <s v="Peconic Bay Medical Center"/>
    <n v="2015"/>
    <n v="7"/>
    <s v="Medicare"/>
    <x v="2"/>
    <s v="Medicare"/>
    <n v="133586.54"/>
    <n v="80121.45"/>
    <n v="0"/>
  </r>
  <r>
    <x v="5542"/>
    <s v="Peconic Bay Medical Center"/>
    <n v="2015"/>
    <n v="7"/>
    <s v="Medicare"/>
    <x v="2"/>
    <s v="Medicare"/>
    <n v="64091.28"/>
    <n v="18091.43"/>
    <n v="0"/>
  </r>
  <r>
    <x v="5543"/>
    <s v="Peconic Bay Medical Center"/>
    <n v="2015"/>
    <n v="7"/>
    <s v="Medicare"/>
    <x v="2"/>
    <s v="Medicare"/>
    <n v="37064.92"/>
    <n v="8957.1299999999992"/>
    <n v="0"/>
  </r>
  <r>
    <x v="5544"/>
    <s v="Peconic Bay Medical Center"/>
    <n v="2015"/>
    <n v="7"/>
    <s v="Medicare"/>
    <x v="2"/>
    <s v="Medicare"/>
    <n v="65867.12"/>
    <n v="19695.38"/>
    <n v="0"/>
  </r>
  <r>
    <x v="5545"/>
    <s v="Peconic Bay Medical Center"/>
    <n v="2015"/>
    <n v="7"/>
    <s v="Medicare"/>
    <x v="2"/>
    <s v="Medicare"/>
    <n v="54778.74"/>
    <n v="26012.23"/>
    <n v="0"/>
  </r>
  <r>
    <x v="5546"/>
    <s v="Peconic Bay Medical Center"/>
    <n v="2015"/>
    <n v="7"/>
    <s v="Medicare"/>
    <x v="2"/>
    <s v="Medicare"/>
    <n v="18205.939999999999"/>
    <n v="4664.01"/>
    <n v="0"/>
  </r>
  <r>
    <x v="5547"/>
    <s v="Peconic Bay Medical Center"/>
    <n v="2015"/>
    <n v="7"/>
    <s v="Medicare"/>
    <x v="2"/>
    <s v="Medicare"/>
    <n v="25828.799999999999"/>
    <n v="6270.2"/>
    <n v="0"/>
  </r>
  <r>
    <x v="5548"/>
    <s v="Peconic Bay Medical Center"/>
    <n v="2015"/>
    <n v="7"/>
    <s v="Medicare"/>
    <x v="2"/>
    <s v="Medicare"/>
    <n v="29808.42"/>
    <n v="8424.08"/>
    <n v="0"/>
  </r>
  <r>
    <x v="5549"/>
    <s v="Peconic Bay Medical Center"/>
    <n v="2015"/>
    <n v="7"/>
    <s v="Medicare"/>
    <x v="2"/>
    <s v="Medicare"/>
    <n v="40519.72"/>
    <n v="7186.95"/>
    <n v="0"/>
  </r>
  <r>
    <x v="5550"/>
    <s v="Peconic Bay Medical Center"/>
    <n v="2015"/>
    <n v="7"/>
    <s v="Medicare"/>
    <x v="2"/>
    <s v="Medicare"/>
    <n v="8620.18"/>
    <n v="2278.5"/>
    <n v="0"/>
  </r>
  <r>
    <x v="5551"/>
    <s v="Peconic Bay Medical Center"/>
    <n v="2015"/>
    <n v="7"/>
    <s v="Medicare"/>
    <x v="2"/>
    <s v="Medicare"/>
    <n v="16020.74"/>
    <n v="4095.82"/>
    <n v="0"/>
  </r>
  <r>
    <x v="5552"/>
    <s v="Peconic Bay Medical Center"/>
    <n v="2015"/>
    <n v="7"/>
    <s v="Medicare"/>
    <x v="2"/>
    <s v="Medicare"/>
    <n v="22967.14"/>
    <n v="5779.5"/>
    <n v="0"/>
  </r>
  <r>
    <x v="5553"/>
    <s v="Peconic Bay Medical Center"/>
    <n v="2015"/>
    <n v="7"/>
    <s v="Medicare"/>
    <x v="2"/>
    <s v="Medicare"/>
    <n v="10188.08"/>
    <n v="2706.56"/>
    <n v="0"/>
  </r>
  <r>
    <x v="5554"/>
    <s v="Peconic Bay Medical Center"/>
    <n v="2015"/>
    <n v="7"/>
    <s v="Medicare"/>
    <x v="2"/>
    <s v="Medicare"/>
    <n v="49674.1"/>
    <n v="13620.06"/>
    <n v="0"/>
  </r>
  <r>
    <x v="5555"/>
    <s v="Peconic Bay Medical Center"/>
    <n v="2015"/>
    <n v="7"/>
    <s v="Medicare"/>
    <x v="2"/>
    <s v="Medicare"/>
    <n v="11766.08"/>
    <n v="3332.11"/>
    <n v="0"/>
  </r>
  <r>
    <x v="5556"/>
    <s v="Peconic Bay Medical Center"/>
    <n v="2015"/>
    <n v="7"/>
    <s v="Medicare"/>
    <x v="2"/>
    <s v="Medicare"/>
    <n v="21444.639999999999"/>
    <n v="6285.32"/>
    <n v="0"/>
  </r>
  <r>
    <x v="5557"/>
    <s v="Peconic Bay Medical Center"/>
    <n v="2015"/>
    <n v="7"/>
    <s v="Medicare"/>
    <x v="2"/>
    <s v="Medicare"/>
    <n v="100911.34"/>
    <n v="47364.12"/>
    <n v="0"/>
  </r>
  <r>
    <x v="5558"/>
    <s v="Peconic Bay Medical Center"/>
    <n v="2015"/>
    <n v="7"/>
    <s v="Medicare"/>
    <x v="2"/>
    <s v="Medicare"/>
    <n v="15193.44"/>
    <n v="3289.16"/>
    <n v="0"/>
  </r>
  <r>
    <x v="5559"/>
    <s v="Peconic Bay Medical Center"/>
    <n v="2015"/>
    <n v="7"/>
    <s v="Medicare"/>
    <x v="2"/>
    <s v="Medicare"/>
    <n v="39828.18"/>
    <n v="11289.85"/>
    <n v="0"/>
  </r>
  <r>
    <x v="5560"/>
    <s v="Peconic Bay Medical Center"/>
    <n v="2015"/>
    <n v="7"/>
    <s v="Medicare"/>
    <x v="2"/>
    <s v="Medicare"/>
    <n v="14210.4"/>
    <n v="2739.5"/>
    <n v="0"/>
  </r>
  <r>
    <x v="5561"/>
    <s v="Peconic Bay Medical Center"/>
    <n v="2015"/>
    <n v="7"/>
    <s v="Medicare"/>
    <x v="2"/>
    <s v="Medicare"/>
    <n v="25662.48"/>
    <n v="3184.06"/>
    <n v="0"/>
  </r>
  <r>
    <x v="5562"/>
    <s v="Peconic Bay Medical Center"/>
    <n v="2015"/>
    <n v="7"/>
    <s v="Medicare"/>
    <x v="2"/>
    <s v="Medicare"/>
    <n v="9319.7000000000007"/>
    <n v="2464.34"/>
    <n v="0"/>
  </r>
  <r>
    <x v="5563"/>
    <s v="Peconic Bay Medical Center"/>
    <n v="2015"/>
    <n v="7"/>
    <s v="Medicare"/>
    <x v="2"/>
    <s v="Medicare"/>
    <n v="150987.42000000001"/>
    <n v="82038.759999999995"/>
    <n v="0"/>
  </r>
  <r>
    <x v="5564"/>
    <s v="Peconic Bay Medical Center"/>
    <n v="2015"/>
    <n v="7"/>
    <s v="Medicare"/>
    <x v="2"/>
    <s v="Medicare"/>
    <n v="141313.94"/>
    <n v="41661.730000000003"/>
    <n v="0"/>
  </r>
  <r>
    <x v="5565"/>
    <s v="Peconic Bay Medical Center"/>
    <n v="2015"/>
    <n v="7"/>
    <s v="Medicare"/>
    <x v="2"/>
    <s v="Medicare"/>
    <n v="24955.919999999998"/>
    <n v="7151.92"/>
    <n v="0"/>
  </r>
  <r>
    <x v="5566"/>
    <s v="Peconic Bay Medical Center"/>
    <n v="2015"/>
    <n v="7"/>
    <s v="Medicare"/>
    <x v="2"/>
    <s v="Medicare"/>
    <n v="132678.49"/>
    <n v="76386.070000000007"/>
    <n v="0"/>
  </r>
  <r>
    <x v="5567"/>
    <s v="Peconic Bay Medical Center"/>
    <n v="2015"/>
    <n v="7"/>
    <s v="Medicare"/>
    <x v="2"/>
    <s v="Medicare"/>
    <n v="30413.16"/>
    <n v="9455.6"/>
    <n v="0"/>
  </r>
  <r>
    <x v="5568"/>
    <s v="Peconic Bay Medical Center"/>
    <n v="2015"/>
    <n v="7"/>
    <s v="Medicare"/>
    <x v="2"/>
    <s v="Medicare"/>
    <n v="34157.78"/>
    <n v="9922"/>
    <n v="0"/>
  </r>
  <r>
    <x v="5569"/>
    <s v="Peconic Bay Medical Center"/>
    <n v="2015"/>
    <n v="7"/>
    <s v="Medicare"/>
    <x v="2"/>
    <s v="Medicare"/>
    <n v="68403.12"/>
    <n v="36873.379999999997"/>
    <n v="0"/>
  </r>
  <r>
    <x v="5570"/>
    <s v="Peconic Bay Medical Center"/>
    <n v="2015"/>
    <n v="7"/>
    <s v="Medicare"/>
    <x v="2"/>
    <s v="Medicare"/>
    <n v="7926.92"/>
    <n v="2178.66"/>
    <n v="0"/>
  </r>
  <r>
    <x v="5571"/>
    <s v="Peconic Bay Medical Center"/>
    <n v="2015"/>
    <n v="7"/>
    <s v="Medicare"/>
    <x v="2"/>
    <s v="Medicare"/>
    <n v="30852.7"/>
    <n v="9248.7099999999991"/>
    <n v="0"/>
  </r>
  <r>
    <x v="5572"/>
    <s v="Peconic Bay Medical Center"/>
    <n v="2015"/>
    <n v="7"/>
    <s v="Medicare"/>
    <x v="2"/>
    <s v="Medicare"/>
    <n v="36185.839999999997"/>
    <n v="11686.49"/>
    <n v="0"/>
  </r>
  <r>
    <x v="5573"/>
    <s v="Peconic Bay Medical Center"/>
    <n v="2015"/>
    <n v="7"/>
    <s v="Medicare"/>
    <x v="2"/>
    <s v="Medicare"/>
    <n v="20328.14"/>
    <n v="5874.72"/>
    <n v="0"/>
  </r>
  <r>
    <x v="5574"/>
    <s v="Peconic Bay Medical Center"/>
    <n v="2015"/>
    <n v="7"/>
    <s v="Medicare"/>
    <x v="2"/>
    <s v="Medicare"/>
    <n v="15304.32"/>
    <n v="4346.22"/>
    <n v="0"/>
  </r>
  <r>
    <x v="5575"/>
    <s v="Peconic Bay Medical Center"/>
    <n v="2015"/>
    <n v="7"/>
    <s v="Medicare"/>
    <x v="2"/>
    <s v="Medicare"/>
    <n v="34297.4"/>
    <n v="10110.6"/>
    <n v="0"/>
  </r>
  <r>
    <x v="5576"/>
    <s v="Peconic Bay Medical Center"/>
    <n v="2015"/>
    <n v="7"/>
    <s v="Medicare"/>
    <x v="2"/>
    <s v="Medicare"/>
    <n v="245540.8"/>
    <n v="132957.96"/>
    <n v="0"/>
  </r>
  <r>
    <x v="5577"/>
    <s v="Peconic Bay Medical Center"/>
    <n v="2015"/>
    <n v="7"/>
    <s v="Medicare"/>
    <x v="2"/>
    <s v="Medicare"/>
    <n v="30431.52"/>
    <n v="7379.66"/>
    <n v="0"/>
  </r>
  <r>
    <x v="5578"/>
    <s v="Peconic Bay Medical Center"/>
    <n v="2015"/>
    <n v="7"/>
    <s v="Medicare"/>
    <x v="2"/>
    <s v="Medicare"/>
    <n v="34568.26"/>
    <n v="10363.780000000001"/>
    <n v="0"/>
  </r>
  <r>
    <x v="5579"/>
    <s v="Peconic Bay Medical Center"/>
    <n v="2015"/>
    <n v="7"/>
    <s v="Medicare"/>
    <x v="2"/>
    <s v="Medicare"/>
    <n v="118937.66"/>
    <n v="63873.71"/>
    <n v="0"/>
  </r>
  <r>
    <x v="5580"/>
    <s v="Peconic Bay Medical Center"/>
    <n v="2015"/>
    <n v="7"/>
    <s v="Medicare"/>
    <x v="2"/>
    <s v="Medicare"/>
    <n v="87724.56"/>
    <n v="49155.3"/>
    <n v="0"/>
  </r>
  <r>
    <x v="5581"/>
    <s v="Peconic Bay Medical Center"/>
    <n v="2015"/>
    <n v="7"/>
    <s v="Medicare"/>
    <x v="2"/>
    <s v="Medicare"/>
    <n v="45055.08"/>
    <n v="13907.87"/>
    <n v="0"/>
  </r>
  <r>
    <x v="5582"/>
    <s v="Peconic Bay Medical Center"/>
    <n v="2015"/>
    <n v="7"/>
    <s v="Medicare"/>
    <x v="2"/>
    <s v="Medicare"/>
    <n v="17814.16"/>
    <n v="4731.46"/>
    <n v="0"/>
  </r>
  <r>
    <x v="5583"/>
    <s v="Peconic Bay Medical Center"/>
    <n v="2015"/>
    <n v="7"/>
    <s v="Medicare"/>
    <x v="2"/>
    <s v="Medicare"/>
    <n v="80714.899999999994"/>
    <n v="34314.17"/>
    <n v="0"/>
  </r>
  <r>
    <x v="5584"/>
    <s v="Peconic Bay Medical Center"/>
    <n v="2015"/>
    <n v="7"/>
    <s v="Medicare"/>
    <x v="2"/>
    <s v="Medicare"/>
    <n v="64061"/>
    <n v="20137.47"/>
    <n v="0"/>
  </r>
  <r>
    <x v="5585"/>
    <s v="Peconic Bay Medical Center"/>
    <n v="2015"/>
    <n v="7"/>
    <s v="Medicare"/>
    <x v="2"/>
    <s v="Medicare"/>
    <n v="23893.7"/>
    <n v="7094.34"/>
    <n v="0"/>
  </r>
  <r>
    <x v="5586"/>
    <s v="Peconic Bay Medical Center"/>
    <n v="2015"/>
    <n v="7"/>
    <s v="Medicare"/>
    <x v="2"/>
    <s v="Medicare"/>
    <n v="39268.86"/>
    <n v="19274.07"/>
    <n v="0"/>
  </r>
  <r>
    <x v="5587"/>
    <s v="Peconic Bay Medical Center"/>
    <n v="2015"/>
    <n v="7"/>
    <s v="Medicare"/>
    <x v="2"/>
    <s v="Medicare"/>
    <n v="100083.88"/>
    <n v="48778.87"/>
    <n v="0"/>
  </r>
  <r>
    <x v="5588"/>
    <s v="Peconic Bay Medical Center"/>
    <n v="2015"/>
    <n v="7"/>
    <s v="Medicare"/>
    <x v="2"/>
    <s v="Medicare"/>
    <n v="28606.880000000001"/>
    <n v="8454.33"/>
    <n v="0"/>
  </r>
  <r>
    <x v="5589"/>
    <s v="Peconic Bay Medical Center"/>
    <n v="2015"/>
    <n v="7"/>
    <s v="Medicare"/>
    <x v="2"/>
    <s v="Medicare"/>
    <n v="16161.84"/>
    <n v="5146.18"/>
    <n v="0"/>
  </r>
  <r>
    <x v="5590"/>
    <s v="Peconic Bay Medical Center"/>
    <n v="2015"/>
    <n v="7"/>
    <s v="Medicare"/>
    <x v="2"/>
    <s v="Medicare"/>
    <n v="65373.26"/>
    <n v="19754.57"/>
    <n v="0"/>
  </r>
  <r>
    <x v="5591"/>
    <s v="Peconic Bay Medical Center"/>
    <n v="2015"/>
    <n v="7"/>
    <s v="Medicare"/>
    <x v="2"/>
    <s v="Medicare"/>
    <n v="51853.120000000003"/>
    <n v="34748.120000000003"/>
    <n v="0"/>
  </r>
  <r>
    <x v="5592"/>
    <s v="Peconic Bay Medical Center"/>
    <n v="2015"/>
    <n v="7"/>
    <s v="Medicare"/>
    <x v="2"/>
    <s v="Medicare"/>
    <n v="56476.160000000003"/>
    <n v="17978.68"/>
    <n v="0"/>
  </r>
  <r>
    <x v="5593"/>
    <s v="Peconic Bay Medical Center"/>
    <n v="2015"/>
    <n v="7"/>
    <s v="Medicare"/>
    <x v="2"/>
    <s v="Medicare"/>
    <n v="16700.919999999998"/>
    <n v="2548.52"/>
    <n v="0"/>
  </r>
  <r>
    <x v="5594"/>
    <s v="Peconic Bay Medical Center"/>
    <n v="2015"/>
    <n v="7"/>
    <s v="Medicare"/>
    <x v="2"/>
    <s v="Medicare"/>
    <n v="22164.14"/>
    <n v="6673.36"/>
    <n v="0"/>
  </r>
  <r>
    <x v="5595"/>
    <s v="Peconic Bay Medical Center"/>
    <n v="2015"/>
    <n v="7"/>
    <s v="Medicare"/>
    <x v="2"/>
    <s v="Medicare"/>
    <n v="31535.24"/>
    <n v="7242.06"/>
    <n v="0"/>
  </r>
  <r>
    <x v="5596"/>
    <s v="Peconic Bay Medical Center"/>
    <n v="2015"/>
    <n v="7"/>
    <s v="Medicare"/>
    <x v="2"/>
    <s v="Medicare"/>
    <n v="58657.3"/>
    <n v="35277.199999999997"/>
    <n v="0"/>
  </r>
  <r>
    <x v="5597"/>
    <s v="Peconic Bay Medical Center"/>
    <n v="2015"/>
    <n v="7"/>
    <s v="Medicare"/>
    <x v="2"/>
    <s v="Medicare"/>
    <n v="10422.9"/>
    <n v="2383.0300000000002"/>
    <n v="0"/>
  </r>
  <r>
    <x v="5598"/>
    <s v="Peconic Bay Medical Center"/>
    <n v="2015"/>
    <n v="7"/>
    <s v="Medicare"/>
    <x v="2"/>
    <s v="Medicare"/>
    <n v="12312.8"/>
    <n v="3423.73"/>
    <n v="0"/>
  </r>
  <r>
    <x v="5599"/>
    <s v="Peconic Bay Medical Center"/>
    <n v="2015"/>
    <n v="7"/>
    <s v="Medicare"/>
    <x v="2"/>
    <s v="Medicare"/>
    <n v="18739.64"/>
    <n v="4645.38"/>
    <n v="0"/>
  </r>
  <r>
    <x v="5600"/>
    <s v="Peconic Bay Medical Center"/>
    <n v="2015"/>
    <n v="7"/>
    <s v="Medicare"/>
    <x v="2"/>
    <s v="Medicare"/>
    <n v="79776.179999999993"/>
    <n v="24962.959999999999"/>
    <n v="0"/>
  </r>
  <r>
    <x v="5601"/>
    <s v="Peconic Bay Medical Center"/>
    <n v="2015"/>
    <n v="7"/>
    <s v="Medicare"/>
    <x v="2"/>
    <s v="Medicare"/>
    <n v="43491.5"/>
    <n v="12041.8"/>
    <n v="0"/>
  </r>
  <r>
    <x v="5602"/>
    <s v="Peconic Bay Medical Center"/>
    <n v="2015"/>
    <n v="7"/>
    <s v="Medicare"/>
    <x v="2"/>
    <s v="Medicare"/>
    <n v="60386.46"/>
    <n v="26254.78"/>
    <n v="0"/>
  </r>
  <r>
    <x v="5603"/>
    <s v="Peconic Bay Medical Center"/>
    <n v="2015"/>
    <n v="7"/>
    <s v="Medicare"/>
    <x v="2"/>
    <s v="Medicare"/>
    <n v="20320.400000000001"/>
    <n v="6319.09"/>
    <n v="0"/>
  </r>
  <r>
    <x v="5604"/>
    <s v="Peconic Bay Medical Center"/>
    <n v="2015"/>
    <n v="7"/>
    <s v="Medicare"/>
    <x v="2"/>
    <s v="Medicare"/>
    <n v="11345.14"/>
    <n v="2392.31"/>
    <n v="0"/>
  </r>
  <r>
    <x v="5605"/>
    <s v="Peconic Bay Medical Center"/>
    <n v="2015"/>
    <n v="7"/>
    <s v="Medicare"/>
    <x v="2"/>
    <s v="Medicare"/>
    <n v="20220.16"/>
    <n v="6037.18"/>
    <n v="0"/>
  </r>
  <r>
    <x v="5606"/>
    <s v="Peconic Bay Medical Center"/>
    <n v="2015"/>
    <n v="7"/>
    <s v="Medicare"/>
    <x v="2"/>
    <s v="Medicare"/>
    <n v="29862.94"/>
    <n v="8923.84"/>
    <n v="0"/>
  </r>
  <r>
    <x v="5607"/>
    <s v="Peconic Bay Medical Center"/>
    <n v="2015"/>
    <n v="7"/>
    <s v="Medicare"/>
    <x v="2"/>
    <s v="Medicare"/>
    <n v="13523.06"/>
    <n v="4015.61"/>
    <n v="0"/>
  </r>
  <r>
    <x v="5608"/>
    <s v="Peconic Bay Medical Center"/>
    <n v="2015"/>
    <n v="7"/>
    <s v="Medicare"/>
    <x v="2"/>
    <s v="Medicare"/>
    <n v="35790.58"/>
    <n v="11292.03"/>
    <n v="0"/>
  </r>
  <r>
    <x v="5609"/>
    <s v="Peconic Bay Medical Center"/>
    <n v="2015"/>
    <n v="7"/>
    <s v="Medicare"/>
    <x v="2"/>
    <s v="Medicare"/>
    <n v="47789.120000000003"/>
    <n v="12482.69"/>
    <n v="0"/>
  </r>
  <r>
    <x v="5610"/>
    <s v="Peconic Bay Medical Center"/>
    <n v="2015"/>
    <n v="7"/>
    <s v="Medicare"/>
    <x v="2"/>
    <s v="Medicare"/>
    <n v="14909.52"/>
    <n v="4288.8900000000003"/>
    <n v="0"/>
  </r>
  <r>
    <x v="5611"/>
    <s v="Peconic Bay Medical Center"/>
    <n v="2015"/>
    <n v="7"/>
    <s v="Medicare"/>
    <x v="2"/>
    <s v="Medicare"/>
    <n v="22483.8"/>
    <n v="6216.91"/>
    <n v="0"/>
  </r>
  <r>
    <x v="5612"/>
    <s v="Peconic Bay Medical Center"/>
    <n v="2015"/>
    <n v="7"/>
    <s v="Medicare"/>
    <x v="2"/>
    <s v="Medicare"/>
    <n v="64882.52"/>
    <n v="16692.77"/>
    <n v="0"/>
  </r>
  <r>
    <x v="5613"/>
    <s v="Peconic Bay Medical Center"/>
    <n v="2015"/>
    <n v="7"/>
    <s v="Medicare"/>
    <x v="2"/>
    <s v="Medicare"/>
    <n v="13996.2"/>
    <n v="3162.69"/>
    <n v="0"/>
  </r>
  <r>
    <x v="5614"/>
    <s v="Peconic Bay Medical Center"/>
    <n v="2015"/>
    <n v="7"/>
    <s v="Medicare"/>
    <x v="2"/>
    <s v="Medicare"/>
    <n v="33963.22"/>
    <n v="9372.09"/>
    <n v="0"/>
  </r>
  <r>
    <x v="5615"/>
    <s v="Peconic Bay Medical Center"/>
    <n v="2015"/>
    <n v="7"/>
    <s v="Medicare"/>
    <x v="2"/>
    <s v="Medicare"/>
    <n v="11448.26"/>
    <n v="2970.56"/>
    <n v="0"/>
  </r>
  <r>
    <x v="5616"/>
    <s v="Peconic Bay Medical Center"/>
    <n v="2015"/>
    <n v="7"/>
    <s v="Medicare"/>
    <x v="2"/>
    <s v="Medicare"/>
    <n v="18926.259999999998"/>
    <n v="5311.76"/>
    <n v="0"/>
  </r>
  <r>
    <x v="5617"/>
    <s v="Peconic Bay Medical Center"/>
    <n v="2015"/>
    <n v="7"/>
    <s v="Medicare"/>
    <x v="2"/>
    <s v="Medicare"/>
    <n v="19241.46"/>
    <n v="4853.0200000000004"/>
    <n v="0"/>
  </r>
  <r>
    <x v="5618"/>
    <s v="Peconic Bay Medical Center"/>
    <n v="2015"/>
    <n v="7"/>
    <s v="Medicare"/>
    <x v="2"/>
    <s v="Medicare"/>
    <n v="27967.360000000001"/>
    <n v="8367.01"/>
    <n v="0"/>
  </r>
  <r>
    <x v="5619"/>
    <s v="Peconic Bay Medical Center"/>
    <n v="2015"/>
    <n v="7"/>
    <s v="Medicare"/>
    <x v="2"/>
    <s v="Medicare"/>
    <n v="16630.740000000002"/>
    <n v="4897.6099999999997"/>
    <n v="0"/>
  </r>
  <r>
    <x v="5620"/>
    <s v="Peconic Bay Medical Center"/>
    <n v="2015"/>
    <n v="7"/>
    <s v="Medicare"/>
    <x v="2"/>
    <s v="Medicare"/>
    <n v="39255.339999999997"/>
    <n v="12270.98"/>
    <n v="0"/>
  </r>
  <r>
    <x v="5621"/>
    <s v="Peconic Bay Medical Center"/>
    <n v="2015"/>
    <n v="7"/>
    <s v="Medicare"/>
    <x v="2"/>
    <s v="Medicare"/>
    <n v="66501.42"/>
    <n v="33234.85"/>
    <n v="0"/>
  </r>
  <r>
    <x v="5622"/>
    <s v="Peconic Bay Medical Center"/>
    <n v="2015"/>
    <n v="7"/>
    <s v="Medicare"/>
    <x v="2"/>
    <s v="Medicare"/>
    <n v="31710.04"/>
    <n v="8005.8"/>
    <n v="0"/>
  </r>
  <r>
    <x v="5623"/>
    <s v="Peconic Bay Medical Center"/>
    <n v="2015"/>
    <n v="7"/>
    <s v="Medicare"/>
    <x v="2"/>
    <s v="Medicare"/>
    <n v="15042.48"/>
    <n v="3984.92"/>
    <n v="0"/>
  </r>
  <r>
    <x v="5624"/>
    <s v="Peconic Bay Medical Center"/>
    <n v="2015"/>
    <n v="7"/>
    <s v="Medicare"/>
    <x v="2"/>
    <s v="Medicare"/>
    <n v="22085.74"/>
    <n v="3265.85"/>
    <n v="0"/>
  </r>
  <r>
    <x v="5625"/>
    <s v="Peconic Bay Medical Center"/>
    <n v="2015"/>
    <n v="7"/>
    <s v="Medicare"/>
    <x v="2"/>
    <s v="Medicare"/>
    <n v="16738.580000000002"/>
    <n v="4446.3100000000004"/>
    <n v="0"/>
  </r>
  <r>
    <x v="5626"/>
    <s v="Peconic Bay Medical Center"/>
    <n v="2015"/>
    <n v="7"/>
    <s v="Medicare"/>
    <x v="2"/>
    <s v="Medicare"/>
    <n v="33112.339999999997"/>
    <n v="10223.16"/>
    <n v="0"/>
  </r>
  <r>
    <x v="5627"/>
    <s v="Peconic Bay Medical Center"/>
    <n v="2015"/>
    <n v="7"/>
    <s v="Medicare"/>
    <x v="2"/>
    <s v="Medicare"/>
    <n v="54369.86"/>
    <n v="13476.6"/>
    <n v="0"/>
  </r>
  <r>
    <x v="5628"/>
    <s v="Peconic Bay Medical Center"/>
    <n v="2015"/>
    <n v="7"/>
    <s v="Medicare"/>
    <x v="2"/>
    <s v="Medicare"/>
    <n v="33181.519999999997"/>
    <n v="9831.01"/>
    <n v="0"/>
  </r>
  <r>
    <x v="5629"/>
    <s v="Peconic Bay Medical Center"/>
    <n v="2015"/>
    <n v="7"/>
    <s v="Medicare"/>
    <x v="2"/>
    <s v="Medicare"/>
    <n v="35755.980000000003"/>
    <n v="10429.08"/>
    <n v="0"/>
  </r>
  <r>
    <x v="5630"/>
    <s v="Peconic Bay Medical Center"/>
    <n v="2015"/>
    <n v="7"/>
    <s v="Medicare"/>
    <x v="2"/>
    <s v="Medicare"/>
    <n v="31199.040000000001"/>
    <n v="9742.4699999999993"/>
    <n v="0"/>
  </r>
  <r>
    <x v="5631"/>
    <s v="Peconic Bay Medical Center"/>
    <n v="2015"/>
    <n v="7"/>
    <s v="Medicare"/>
    <x v="2"/>
    <s v="Medicare"/>
    <n v="35841.5"/>
    <n v="11186.2"/>
    <n v="0"/>
  </r>
  <r>
    <x v="5632"/>
    <s v="Peconic Bay Medical Center"/>
    <n v="2015"/>
    <n v="7"/>
    <s v="Medicare"/>
    <x v="2"/>
    <s v="Medicare"/>
    <n v="19505.16"/>
    <n v="5634.36"/>
    <n v="0"/>
  </r>
  <r>
    <x v="5633"/>
    <s v="Peconic Bay Medical Center"/>
    <n v="2015"/>
    <n v="7"/>
    <s v="Medicare"/>
    <x v="2"/>
    <s v="Medicare"/>
    <n v="76762.039999999994"/>
    <n v="26246.22"/>
    <n v="0"/>
  </r>
  <r>
    <x v="5634"/>
    <s v="Peconic Bay Medical Center"/>
    <n v="2015"/>
    <n v="7"/>
    <s v="Medicare"/>
    <x v="2"/>
    <s v="Medicare"/>
    <n v="23843.8"/>
    <n v="7554.36"/>
    <n v="0"/>
  </r>
  <r>
    <x v="5635"/>
    <s v="Peconic Bay Medical Center"/>
    <n v="2015"/>
    <n v="7"/>
    <s v="Medicare"/>
    <x v="2"/>
    <s v="Medicare"/>
    <n v="37340.18"/>
    <n v="19693.560000000001"/>
    <n v="0"/>
  </r>
  <r>
    <x v="5636"/>
    <s v="Peconic Bay Medical Center"/>
    <n v="2015"/>
    <n v="7"/>
    <s v="Medicare"/>
    <x v="2"/>
    <s v="Medicare"/>
    <n v="28425.68"/>
    <n v="8626.02"/>
    <n v="0"/>
  </r>
  <r>
    <x v="5637"/>
    <s v="Peconic Bay Medical Center"/>
    <n v="2015"/>
    <n v="7"/>
    <s v="Medicare"/>
    <x v="2"/>
    <s v="Medicare"/>
    <n v="43366.62"/>
    <n v="11738.01"/>
    <n v="0"/>
  </r>
  <r>
    <x v="5638"/>
    <s v="Peconic Bay Medical Center"/>
    <n v="2015"/>
    <n v="7"/>
    <s v="Medicare"/>
    <x v="2"/>
    <s v="Medicare"/>
    <n v="27567.040000000001"/>
    <n v="8563.34"/>
    <n v="0"/>
  </r>
  <r>
    <x v="5639"/>
    <s v="Peconic Bay Medical Center"/>
    <n v="2015"/>
    <n v="7"/>
    <s v="Medicare"/>
    <x v="2"/>
    <s v="Medicare"/>
    <n v="26881.1"/>
    <n v="6903.55"/>
    <n v="0"/>
  </r>
  <r>
    <x v="5640"/>
    <s v="Peconic Bay Medical Center"/>
    <n v="2015"/>
    <n v="7"/>
    <s v="Medicare"/>
    <x v="2"/>
    <s v="Medicare"/>
    <n v="23131.26"/>
    <n v="5125.3"/>
    <n v="0"/>
  </r>
  <r>
    <x v="5641"/>
    <s v="Peconic Bay Medical Center"/>
    <n v="2015"/>
    <n v="7"/>
    <s v="Medicare"/>
    <x v="2"/>
    <s v="Medicare"/>
    <n v="18123.259999999998"/>
    <n v="2878.37"/>
    <n v="0"/>
  </r>
  <r>
    <x v="5642"/>
    <s v="Peconic Bay Medical Center"/>
    <n v="2015"/>
    <n v="7"/>
    <s v="Medicare"/>
    <x v="2"/>
    <s v="Medicare"/>
    <n v="89021.759999999995"/>
    <n v="38993.21"/>
    <n v="0"/>
  </r>
  <r>
    <x v="5643"/>
    <s v="Peconic Bay Medical Center"/>
    <n v="2015"/>
    <n v="7"/>
    <s v="Medicare"/>
    <x v="2"/>
    <s v="Medicare"/>
    <n v="24141.439999999999"/>
    <n v="6600.83"/>
    <n v="0"/>
  </r>
  <r>
    <x v="5644"/>
    <s v="Peconic Bay Medical Center"/>
    <n v="2015"/>
    <n v="7"/>
    <s v="Medicare"/>
    <x v="2"/>
    <s v="Medicare"/>
    <n v="69042.42"/>
    <n v="21589.82"/>
    <n v="0"/>
  </r>
  <r>
    <x v="5645"/>
    <s v="Peconic Bay Medical Center"/>
    <n v="2015"/>
    <n v="7"/>
    <s v="Medicare"/>
    <x v="2"/>
    <s v="Medicare"/>
    <n v="34864.68"/>
    <n v="9009.09"/>
    <n v="0"/>
  </r>
  <r>
    <x v="5646"/>
    <s v="Peconic Bay Medical Center"/>
    <n v="2015"/>
    <n v="7"/>
    <s v="Medicare"/>
    <x v="2"/>
    <s v="Medicare"/>
    <n v="21154.02"/>
    <n v="6359.51"/>
    <n v="0"/>
  </r>
  <r>
    <x v="5647"/>
    <s v="Peconic Bay Medical Center"/>
    <n v="2015"/>
    <n v="7"/>
    <s v="Medicare"/>
    <x v="2"/>
    <s v="Medicare"/>
    <n v="21566.68"/>
    <n v="5911.39"/>
    <n v="0"/>
  </r>
  <r>
    <x v="5648"/>
    <s v="Peconic Bay Medical Center"/>
    <n v="2015"/>
    <n v="7"/>
    <s v="Medicare"/>
    <x v="2"/>
    <s v="Medicare"/>
    <n v="31260.6"/>
    <n v="6975.73"/>
    <n v="0"/>
  </r>
  <r>
    <x v="5649"/>
    <s v="Peconic Bay Medical Center"/>
    <n v="2015"/>
    <n v="7"/>
    <s v="Medicare"/>
    <x v="2"/>
    <s v="Medicare"/>
    <n v="13581.68"/>
    <n v="3767.23"/>
    <n v="0"/>
  </r>
  <r>
    <x v="5650"/>
    <s v="Peconic Bay Medical Center"/>
    <n v="2015"/>
    <n v="7"/>
    <s v="Medicare"/>
    <x v="2"/>
    <s v="Medicare"/>
    <n v="33247.760000000002"/>
    <n v="9482.33"/>
    <n v="0"/>
  </r>
  <r>
    <x v="5651"/>
    <s v="Peconic Bay Medical Center"/>
    <n v="2015"/>
    <n v="7"/>
    <s v="Medicare"/>
    <x v="2"/>
    <s v="Medicare"/>
    <n v="31715.119999999999"/>
    <n v="9840.35"/>
    <n v="0"/>
  </r>
  <r>
    <x v="5652"/>
    <s v="Peconic Bay Medical Center"/>
    <n v="2015"/>
    <n v="7"/>
    <s v="Medicare"/>
    <x v="2"/>
    <s v="Medicare"/>
    <n v="17069.759999999998"/>
    <n v="4395.57"/>
    <n v="0"/>
  </r>
  <r>
    <x v="5653"/>
    <s v="Peconic Bay Medical Center"/>
    <n v="2015"/>
    <n v="7"/>
    <s v="Medicare"/>
    <x v="2"/>
    <s v="Medicare"/>
    <n v="46704.56"/>
    <n v="14917.56"/>
    <n v="0"/>
  </r>
  <r>
    <x v="5654"/>
    <s v="Peconic Bay Medical Center"/>
    <n v="2015"/>
    <n v="7"/>
    <s v="Medicare"/>
    <x v="2"/>
    <s v="Medicare"/>
    <n v="34041.03"/>
    <n v="10596.31"/>
    <n v="0"/>
  </r>
  <r>
    <x v="5655"/>
    <s v="Peconic Bay Medical Center"/>
    <n v="2015"/>
    <n v="7"/>
    <s v="Medicare"/>
    <x v="2"/>
    <s v="Medicare"/>
    <n v="30172.46"/>
    <n v="9098.16"/>
    <n v="0"/>
  </r>
  <r>
    <x v="5656"/>
    <s v="Peconic Bay Medical Center"/>
    <n v="2015"/>
    <n v="7"/>
    <s v="Medicare"/>
    <x v="2"/>
    <s v="Medicare"/>
    <n v="69072.84"/>
    <n v="21184.7"/>
    <n v="0"/>
  </r>
  <r>
    <x v="5657"/>
    <s v="Peconic Bay Medical Center"/>
    <n v="2015"/>
    <n v="7"/>
    <s v="Medicare"/>
    <x v="2"/>
    <s v="Medicare"/>
    <n v="15035.64"/>
    <n v="4442.07"/>
    <n v="0"/>
  </r>
  <r>
    <x v="5658"/>
    <s v="Peconic Bay Medical Center"/>
    <n v="2015"/>
    <n v="7"/>
    <s v="Medicare"/>
    <x v="2"/>
    <s v="Medicare"/>
    <n v="26593.66"/>
    <n v="7947.1"/>
    <n v="0"/>
  </r>
  <r>
    <x v="5659"/>
    <s v="Peconic Bay Medical Center"/>
    <n v="2015"/>
    <n v="7"/>
    <s v="Medicare"/>
    <x v="2"/>
    <s v="Medicare"/>
    <n v="32245.18"/>
    <n v="7118.82"/>
    <n v="0"/>
  </r>
  <r>
    <x v="5660"/>
    <s v="Peconic Bay Medical Center"/>
    <n v="2015"/>
    <n v="7"/>
    <s v="Medicare"/>
    <x v="2"/>
    <s v="Medicare"/>
    <n v="44743.1"/>
    <n v="13000.56"/>
    <n v="0"/>
  </r>
  <r>
    <x v="5661"/>
    <s v="Peconic Bay Medical Center"/>
    <n v="2015"/>
    <n v="7"/>
    <s v="Medicare"/>
    <x v="2"/>
    <s v="Medicare"/>
    <n v="65427.98"/>
    <n v="17175.21"/>
    <n v="0"/>
  </r>
  <r>
    <x v="5662"/>
    <s v="Peconic Bay Medical Center"/>
    <n v="2015"/>
    <n v="7"/>
    <s v="Medicare"/>
    <x v="2"/>
    <s v="Medicare"/>
    <n v="14938.88"/>
    <n v="4503.79"/>
    <n v="0"/>
  </r>
  <r>
    <x v="5663"/>
    <s v="Peconic Bay Medical Center"/>
    <n v="2015"/>
    <n v="7"/>
    <s v="Medicare"/>
    <x v="2"/>
    <s v="Medicare"/>
    <n v="19788.64"/>
    <n v="5134.3500000000004"/>
    <n v="0"/>
  </r>
  <r>
    <x v="5664"/>
    <s v="Peconic Bay Medical Center"/>
    <n v="2015"/>
    <n v="7"/>
    <s v="Medicare"/>
    <x v="2"/>
    <s v="Medicare"/>
    <n v="8725.06"/>
    <n v="2371.8000000000002"/>
    <n v="0"/>
  </r>
  <r>
    <x v="5665"/>
    <s v="Peconic Bay Medical Center"/>
    <n v="2015"/>
    <n v="7"/>
    <s v="Medicare"/>
    <x v="2"/>
    <s v="Medicare"/>
    <n v="79659.460000000006"/>
    <n v="22904.560000000001"/>
    <n v="0"/>
  </r>
  <r>
    <x v="5666"/>
    <s v="Peconic Bay Medical Center"/>
    <n v="2015"/>
    <n v="7"/>
    <s v="Medicare"/>
    <x v="2"/>
    <s v="Medicare"/>
    <n v="24148.68"/>
    <n v="6486.11"/>
    <n v="0"/>
  </r>
  <r>
    <x v="5667"/>
    <s v="Peconic Bay Medical Center"/>
    <n v="2015"/>
    <n v="7"/>
    <s v="Medicare"/>
    <x v="2"/>
    <s v="Medicare"/>
    <n v="22940.06"/>
    <n v="5207.55"/>
    <n v="0"/>
  </r>
  <r>
    <x v="5668"/>
    <s v="Peconic Bay Medical Center"/>
    <n v="2015"/>
    <n v="7"/>
    <s v="Medicare"/>
    <x v="2"/>
    <s v="Medicare"/>
    <n v="7656.78"/>
    <n v="2219.0300000000002"/>
    <n v="0"/>
  </r>
  <r>
    <x v="5669"/>
    <s v="Peconic Bay Medical Center"/>
    <n v="2015"/>
    <n v="7"/>
    <s v="Medicare"/>
    <x v="2"/>
    <s v="Medicare"/>
    <n v="22962.66"/>
    <n v="7159.13"/>
    <n v="0"/>
  </r>
  <r>
    <x v="5670"/>
    <s v="Peconic Bay Medical Center"/>
    <n v="2015"/>
    <n v="7"/>
    <s v="Medicare"/>
    <x v="2"/>
    <s v="Medicare"/>
    <n v="18227.96"/>
    <n v="4849.54"/>
    <n v="0"/>
  </r>
  <r>
    <x v="5671"/>
    <s v="Peconic Bay Medical Center"/>
    <n v="2015"/>
    <n v="7"/>
    <s v="Medicare"/>
    <x v="2"/>
    <s v="Medicare"/>
    <n v="27553.48"/>
    <n v="8281.4"/>
    <n v="0"/>
  </r>
  <r>
    <x v="5672"/>
    <s v="Peconic Bay Medical Center"/>
    <n v="2015"/>
    <n v="7"/>
    <s v="Medicare"/>
    <x v="2"/>
    <s v="Medicare"/>
    <n v="28340.32"/>
    <n v="7840.02"/>
    <n v="0"/>
  </r>
  <r>
    <x v="5673"/>
    <s v="Peconic Bay Medical Center"/>
    <n v="2015"/>
    <n v="7"/>
    <s v="Medicare"/>
    <x v="2"/>
    <s v="Medicare"/>
    <n v="71341.66"/>
    <n v="36917.199999999997"/>
    <n v="0"/>
  </r>
  <r>
    <x v="5674"/>
    <s v="Peconic Bay Medical Center"/>
    <n v="2015"/>
    <n v="7"/>
    <s v="Medicare"/>
    <x v="2"/>
    <s v="Medicare"/>
    <n v="12167.32"/>
    <n v="2844.68"/>
    <n v="0"/>
  </r>
  <r>
    <x v="5675"/>
    <s v="Peconic Bay Medical Center"/>
    <n v="2015"/>
    <n v="7"/>
    <s v="Medicare"/>
    <x v="2"/>
    <s v="Medicare"/>
    <n v="27647.24"/>
    <n v="6944.84"/>
    <n v="0"/>
  </r>
  <r>
    <x v="5676"/>
    <s v="Peconic Bay Medical Center"/>
    <n v="2015"/>
    <n v="7"/>
    <s v="Medicare"/>
    <x v="2"/>
    <s v="Medicare"/>
    <n v="36245"/>
    <n v="10252.42"/>
    <n v="0"/>
  </r>
  <r>
    <x v="5677"/>
    <s v="Peconic Bay Medical Center"/>
    <n v="2015"/>
    <n v="7"/>
    <s v="Medicare"/>
    <x v="2"/>
    <s v="Medicare"/>
    <n v="14051.62"/>
    <n v="3033.98"/>
    <n v="0"/>
  </r>
  <r>
    <x v="5678"/>
    <s v="Peconic Bay Medical Center"/>
    <n v="2015"/>
    <n v="7"/>
    <s v="Medicare"/>
    <x v="2"/>
    <s v="Medicare"/>
    <n v="162209.4"/>
    <n v="47791.12"/>
    <n v="0"/>
  </r>
  <r>
    <x v="5679"/>
    <s v="Peconic Bay Medical Center"/>
    <n v="2015"/>
    <n v="7"/>
    <s v="Medicare"/>
    <x v="2"/>
    <s v="Medicare"/>
    <n v="35942.879999999997"/>
    <n v="18260.79"/>
    <n v="0"/>
  </r>
  <r>
    <x v="5680"/>
    <s v="Peconic Bay Medical Center"/>
    <n v="2015"/>
    <n v="7"/>
    <s v="Medicare"/>
    <x v="2"/>
    <s v="Medicare"/>
    <n v="45162.04"/>
    <n v="9994.61"/>
    <n v="0"/>
  </r>
  <r>
    <x v="5681"/>
    <s v="Peconic Bay Medical Center"/>
    <n v="2015"/>
    <n v="7"/>
    <s v="Medicare"/>
    <x v="2"/>
    <s v="Medicare"/>
    <n v="30466.22"/>
    <n v="7960.31"/>
    <n v="0"/>
  </r>
  <r>
    <x v="5682"/>
    <s v="Peconic Bay Medical Center"/>
    <n v="2015"/>
    <n v="7"/>
    <s v="Medicare"/>
    <x v="2"/>
    <s v="Medicare"/>
    <n v="57896.04"/>
    <n v="23719.72"/>
    <n v="0"/>
  </r>
  <r>
    <x v="5683"/>
    <s v="Peconic Bay Medical Center"/>
    <n v="2015"/>
    <n v="7"/>
    <s v="Medicare"/>
    <x v="2"/>
    <s v="Medicare"/>
    <n v="70414.14"/>
    <n v="22463.599999999999"/>
    <n v="0"/>
  </r>
  <r>
    <x v="5684"/>
    <s v="Peconic Bay Medical Center"/>
    <n v="2015"/>
    <n v="7"/>
    <s v="Medicare"/>
    <x v="2"/>
    <s v="Medicare"/>
    <n v="18580.439999999999"/>
    <n v="5954.19"/>
    <n v="0"/>
  </r>
  <r>
    <x v="5685"/>
    <s v="Peconic Bay Medical Center"/>
    <n v="2015"/>
    <n v="7"/>
    <s v="Medicare"/>
    <x v="2"/>
    <s v="Medicare"/>
    <n v="17025.060000000001"/>
    <n v="3701.42"/>
    <n v="0"/>
  </r>
  <r>
    <x v="5686"/>
    <s v="Peconic Bay Medical Center"/>
    <n v="2015"/>
    <n v="7"/>
    <s v="Medicare"/>
    <x v="2"/>
    <s v="Medicare"/>
    <n v="25058.76"/>
    <n v="5954.22"/>
    <n v="0"/>
  </r>
  <r>
    <x v="5687"/>
    <s v="Peconic Bay Medical Center"/>
    <n v="2015"/>
    <n v="7"/>
    <s v="Medicare"/>
    <x v="2"/>
    <s v="Medicare"/>
    <n v="19674.46"/>
    <n v="4902.29"/>
    <n v="0"/>
  </r>
  <r>
    <x v="5688"/>
    <s v="Peconic Bay Medical Center"/>
    <n v="2015"/>
    <n v="7"/>
    <s v="Medicare"/>
    <x v="2"/>
    <s v="Medicare"/>
    <n v="36135.22"/>
    <n v="11088"/>
    <n v="0"/>
  </r>
  <r>
    <x v="5689"/>
    <s v="Peconic Bay Medical Center"/>
    <n v="2015"/>
    <n v="7"/>
    <s v="Medicare"/>
    <x v="2"/>
    <s v="Medicare"/>
    <n v="37761.72"/>
    <n v="10947.38"/>
    <n v="0"/>
  </r>
  <r>
    <x v="5690"/>
    <s v="Peconic Bay Medical Center"/>
    <n v="2015"/>
    <n v="7"/>
    <s v="Medicare"/>
    <x v="2"/>
    <s v="Medicare"/>
    <n v="14201.04"/>
    <n v="2970.44"/>
    <n v="0"/>
  </r>
  <r>
    <x v="5691"/>
    <s v="Peconic Bay Medical Center"/>
    <n v="2015"/>
    <n v="7"/>
    <s v="Medicare"/>
    <x v="2"/>
    <s v="Medicare"/>
    <n v="40787.94"/>
    <n v="12003.45"/>
    <n v="0"/>
  </r>
  <r>
    <x v="5692"/>
    <s v="Peconic Bay Medical Center"/>
    <n v="2015"/>
    <n v="7"/>
    <s v="Medicare"/>
    <x v="2"/>
    <s v="Medicare"/>
    <n v="161793.9"/>
    <n v="65795.78"/>
    <n v="0"/>
  </r>
  <r>
    <x v="5693"/>
    <s v="Peconic Bay Medical Center"/>
    <n v="2015"/>
    <n v="7"/>
    <s v="Medicare"/>
    <x v="2"/>
    <s v="Medicare"/>
    <n v="28166.02"/>
    <n v="8274.86"/>
    <n v="0"/>
  </r>
  <r>
    <x v="5694"/>
    <s v="Peconic Bay Medical Center"/>
    <n v="2015"/>
    <n v="7"/>
    <s v="Medicare"/>
    <x v="2"/>
    <s v="Medicare"/>
    <n v="35429.120000000003"/>
    <n v="9386.9599999999991"/>
    <n v="0"/>
  </r>
  <r>
    <x v="5695"/>
    <s v="Peconic Bay Medical Center"/>
    <n v="2015"/>
    <n v="7"/>
    <s v="Medicare"/>
    <x v="2"/>
    <s v="Medicare"/>
    <n v="40487.839999999997"/>
    <n v="13178.25"/>
    <n v="0"/>
  </r>
  <r>
    <x v="5696"/>
    <s v="Peconic Bay Medical Center"/>
    <n v="2015"/>
    <n v="7"/>
    <s v="Medicare"/>
    <x v="2"/>
    <s v="Medicare"/>
    <n v="31565.56"/>
    <n v="9500.9699999999993"/>
    <n v="0"/>
  </r>
  <r>
    <x v="5697"/>
    <s v="Peconic Bay Medical Center"/>
    <n v="2015"/>
    <n v="7"/>
    <s v="Medicare"/>
    <x v="2"/>
    <s v="Medicare"/>
    <n v="25633.08"/>
    <n v="7337.11"/>
    <n v="0"/>
  </r>
  <r>
    <x v="5698"/>
    <s v="Peconic Bay Medical Center"/>
    <n v="2015"/>
    <n v="7"/>
    <s v="Medicare"/>
    <x v="2"/>
    <s v="Medicare"/>
    <n v="154583.18"/>
    <n v="50850.01"/>
    <n v="0"/>
  </r>
  <r>
    <x v="5699"/>
    <s v="Peconic Bay Medical Center"/>
    <n v="2015"/>
    <n v="7"/>
    <s v="Medicare"/>
    <x v="2"/>
    <s v="Medicare"/>
    <n v="26155.64"/>
    <n v="8152.21"/>
    <n v="0"/>
  </r>
  <r>
    <x v="5700"/>
    <s v="Peconic Bay Medical Center"/>
    <n v="2015"/>
    <n v="7"/>
    <s v="Medicare"/>
    <x v="2"/>
    <s v="Medicare"/>
    <n v="134302.94"/>
    <n v="58233.3"/>
    <n v="0"/>
  </r>
  <r>
    <x v="5701"/>
    <s v="Peconic Bay Medical Center"/>
    <n v="2015"/>
    <n v="7"/>
    <s v="Medicare"/>
    <x v="2"/>
    <s v="Medicare"/>
    <n v="11908.9"/>
    <n v="2817.94"/>
    <n v="0"/>
  </r>
  <r>
    <x v="5702"/>
    <s v="Peconic Bay Medical Center"/>
    <n v="2015"/>
    <n v="7"/>
    <s v="Medicare"/>
    <x v="2"/>
    <s v="Medicare"/>
    <n v="44457.24"/>
    <n v="12403.39"/>
    <n v="0"/>
  </r>
  <r>
    <x v="5703"/>
    <s v="Peconic Bay Medical Center"/>
    <n v="2015"/>
    <n v="7"/>
    <s v="Medicare"/>
    <x v="2"/>
    <s v="Medicare"/>
    <n v="67147.08"/>
    <n v="25623.83"/>
    <n v="0"/>
  </r>
  <r>
    <x v="5704"/>
    <s v="Peconic Bay Medical Center"/>
    <n v="2015"/>
    <n v="7"/>
    <s v="Medicare"/>
    <x v="2"/>
    <s v="Medicare"/>
    <n v="13838.12"/>
    <n v="3586.72"/>
    <n v="0"/>
  </r>
  <r>
    <x v="5705"/>
    <s v="Peconic Bay Medical Center"/>
    <n v="2015"/>
    <n v="7"/>
    <s v="Medicare"/>
    <x v="2"/>
    <s v="Medicare"/>
    <n v="80122.559999999998"/>
    <n v="24830.38"/>
    <n v="0"/>
  </r>
  <r>
    <x v="5706"/>
    <s v="Peconic Bay Medical Center"/>
    <n v="2015"/>
    <n v="7"/>
    <s v="Medicare"/>
    <x v="2"/>
    <s v="Medicare"/>
    <n v="12054.96"/>
    <n v="2578.52"/>
    <n v="0"/>
  </r>
  <r>
    <x v="5707"/>
    <s v="Peconic Bay Medical Center"/>
    <n v="2015"/>
    <n v="7"/>
    <s v="Medicare"/>
    <x v="2"/>
    <s v="Medicare"/>
    <n v="16329.26"/>
    <n v="4664.8100000000004"/>
    <n v="0"/>
  </r>
  <r>
    <x v="5708"/>
    <s v="Peconic Bay Medical Center"/>
    <n v="2015"/>
    <n v="7"/>
    <s v="Medicare"/>
    <x v="2"/>
    <s v="Medicare"/>
    <n v="19467.3"/>
    <n v="5630.65"/>
    <n v="0"/>
  </r>
  <r>
    <x v="5709"/>
    <s v="Peconic Bay Medical Center"/>
    <n v="2015"/>
    <n v="7"/>
    <s v="Medicare"/>
    <x v="2"/>
    <s v="Medicare"/>
    <n v="72411.56"/>
    <n v="39080.82"/>
    <n v="0"/>
  </r>
  <r>
    <x v="5710"/>
    <s v="Peconic Bay Medical Center"/>
    <n v="2015"/>
    <n v="7"/>
    <s v="Medicare"/>
    <x v="2"/>
    <s v="Medicare"/>
    <n v="13513.2"/>
    <n v="4358.43"/>
    <n v="0"/>
  </r>
  <r>
    <x v="5711"/>
    <s v="Peconic Bay Medical Center"/>
    <n v="2015"/>
    <n v="7"/>
    <s v="Medicare"/>
    <x v="2"/>
    <s v="Medicare"/>
    <n v="7457.5"/>
    <n v="2063.3000000000002"/>
    <n v="0"/>
  </r>
  <r>
    <x v="5712"/>
    <s v="Peconic Bay Medical Center"/>
    <n v="2015"/>
    <n v="7"/>
    <s v="Medicare"/>
    <x v="2"/>
    <s v="Medicare"/>
    <n v="40307.160000000003"/>
    <n v="12378.53"/>
    <n v="0"/>
  </r>
  <r>
    <x v="5713"/>
    <s v="Peconic Bay Medical Center"/>
    <n v="2015"/>
    <n v="7"/>
    <s v="Medicare"/>
    <x v="2"/>
    <s v="Medicare"/>
    <n v="30937.9"/>
    <n v="9320.16"/>
    <n v="0"/>
  </r>
  <r>
    <x v="5714"/>
    <s v="Peconic Bay Medical Center"/>
    <n v="2015"/>
    <n v="7"/>
    <s v="Medicare"/>
    <x v="2"/>
    <s v="Medicare"/>
    <n v="29592.36"/>
    <n v="5312.25"/>
    <n v="0"/>
  </r>
  <r>
    <x v="5715"/>
    <s v="Peconic Bay Medical Center"/>
    <n v="2015"/>
    <n v="7"/>
    <s v="Medicare"/>
    <x v="2"/>
    <s v="Medicare"/>
    <n v="20771.32"/>
    <n v="4981.1899999999996"/>
    <n v="0"/>
  </r>
  <r>
    <x v="5716"/>
    <s v="Peconic Bay Medical Center"/>
    <n v="2015"/>
    <n v="7"/>
    <s v="Medicare"/>
    <x v="2"/>
    <s v="Medicare"/>
    <n v="25218.1"/>
    <n v="6801.91"/>
    <n v="0"/>
  </r>
  <r>
    <x v="5717"/>
    <s v="Peconic Bay Medical Center"/>
    <n v="2015"/>
    <n v="7"/>
    <s v="Medicare"/>
    <x v="2"/>
    <s v="Medicare"/>
    <n v="28645.360000000001"/>
    <n v="7455.42"/>
    <n v="0"/>
  </r>
  <r>
    <x v="5718"/>
    <s v="Peconic Bay Medical Center"/>
    <n v="2015"/>
    <n v="7"/>
    <s v="Medicare"/>
    <x v="2"/>
    <s v="Medicare"/>
    <n v="17878.22"/>
    <n v="4753.43"/>
    <n v="0"/>
  </r>
  <r>
    <x v="5719"/>
    <s v="Peconic Bay Medical Center"/>
    <n v="2015"/>
    <n v="7"/>
    <s v="Medicare"/>
    <x v="2"/>
    <s v="Medicare"/>
    <n v="23180"/>
    <n v="6540.99"/>
    <n v="0"/>
  </r>
  <r>
    <x v="5720"/>
    <s v="Peconic Bay Medical Center"/>
    <n v="2015"/>
    <n v="7"/>
    <s v="Medicare"/>
    <x v="2"/>
    <s v="Medicare"/>
    <n v="54028.74"/>
    <n v="24466.48"/>
    <n v="0"/>
  </r>
  <r>
    <x v="5721"/>
    <s v="Peconic Bay Medical Center"/>
    <n v="2015"/>
    <n v="7"/>
    <s v="Medicare"/>
    <x v="2"/>
    <s v="Medicare"/>
    <n v="40075.120000000003"/>
    <n v="17480.96"/>
    <n v="0"/>
  </r>
  <r>
    <x v="5722"/>
    <s v="Peconic Bay Medical Center"/>
    <n v="2015"/>
    <n v="7"/>
    <s v="Medicare"/>
    <x v="2"/>
    <s v="Medicare"/>
    <n v="58320"/>
    <n v="18045.59"/>
    <n v="0"/>
  </r>
  <r>
    <x v="5723"/>
    <s v="Peconic Bay Medical Center"/>
    <n v="2015"/>
    <n v="7"/>
    <s v="Medicare"/>
    <x v="2"/>
    <s v="Medicare"/>
    <n v="20260.560000000001"/>
    <n v="5920.45"/>
    <n v="0"/>
  </r>
  <r>
    <x v="5724"/>
    <s v="Peconic Bay Medical Center"/>
    <n v="2015"/>
    <n v="7"/>
    <s v="Medicare"/>
    <x v="2"/>
    <s v="Medicare"/>
    <n v="32596.14"/>
    <n v="8850.67"/>
    <n v="0"/>
  </r>
  <r>
    <x v="5725"/>
    <s v="Peconic Bay Medical Center"/>
    <n v="2015"/>
    <n v="7"/>
    <s v="Medicare"/>
    <x v="2"/>
    <s v="Medicare"/>
    <n v="58774.1"/>
    <n v="14132.79"/>
    <n v="0"/>
  </r>
  <r>
    <x v="5726"/>
    <s v="Peconic Bay Medical Center"/>
    <n v="2015"/>
    <n v="7"/>
    <s v="Medicare"/>
    <x v="2"/>
    <s v="Medicare"/>
    <n v="11843.42"/>
    <n v="3009.16"/>
    <n v="0"/>
  </r>
  <r>
    <x v="5727"/>
    <s v="Peconic Bay Medical Center"/>
    <n v="2015"/>
    <n v="7"/>
    <s v="Medicare"/>
    <x v="2"/>
    <s v="Medicare"/>
    <n v="79837.919999999998"/>
    <n v="22234.47"/>
    <n v="0"/>
  </r>
  <r>
    <x v="5728"/>
    <s v="Peconic Bay Medical Center"/>
    <n v="2015"/>
    <n v="7"/>
    <s v="Medicare"/>
    <x v="2"/>
    <s v="Medicare"/>
    <n v="48078.68"/>
    <n v="14797.91"/>
    <n v="0"/>
  </r>
  <r>
    <x v="5729"/>
    <s v="Peconic Bay Medical Center"/>
    <n v="2015"/>
    <n v="7"/>
    <s v="Medicare"/>
    <x v="2"/>
    <s v="Medicare"/>
    <n v="43959.64"/>
    <n v="13662.2"/>
    <n v="0"/>
  </r>
  <r>
    <x v="5730"/>
    <s v="Peconic Bay Medical Center"/>
    <n v="2015"/>
    <n v="7"/>
    <s v="Medicare"/>
    <x v="2"/>
    <s v="Medicare"/>
    <n v="21322.82"/>
    <n v="5056.1499999999996"/>
    <n v="0"/>
  </r>
  <r>
    <x v="5731"/>
    <s v="Peconic Bay Medical Center"/>
    <n v="2015"/>
    <n v="7"/>
    <s v="Medicare"/>
    <x v="2"/>
    <s v="Medicare"/>
    <n v="14083.16"/>
    <n v="3093.36"/>
    <n v="0"/>
  </r>
  <r>
    <x v="5732"/>
    <s v="Peconic Bay Medical Center"/>
    <n v="2015"/>
    <n v="7"/>
    <s v="Medicare"/>
    <x v="2"/>
    <s v="Medicare"/>
    <n v="11476.06"/>
    <n v="2939.08"/>
    <n v="0"/>
  </r>
  <r>
    <x v="5733"/>
    <s v="Peconic Bay Medical Center"/>
    <n v="2015"/>
    <n v="7"/>
    <s v="Medicare"/>
    <x v="2"/>
    <s v="Medicare"/>
    <n v="58560.24"/>
    <n v="19566.46"/>
    <n v="0"/>
  </r>
  <r>
    <x v="5734"/>
    <s v="Peconic Bay Medical Center"/>
    <n v="2015"/>
    <n v="7"/>
    <s v="Medicare"/>
    <x v="2"/>
    <s v="Medicare"/>
    <n v="20067.32"/>
    <n v="5617.22"/>
    <n v="0"/>
  </r>
  <r>
    <x v="5735"/>
    <s v="Peconic Bay Medical Center"/>
    <n v="2015"/>
    <n v="7"/>
    <s v="Medicare"/>
    <x v="2"/>
    <s v="Medicare"/>
    <n v="18416.14"/>
    <n v="4734.59"/>
    <n v="0"/>
  </r>
  <r>
    <x v="5736"/>
    <s v="Peconic Bay Medical Center"/>
    <n v="2015"/>
    <n v="7"/>
    <s v="Medicare"/>
    <x v="2"/>
    <s v="Medicare"/>
    <n v="43731.1"/>
    <n v="13869.96"/>
    <n v="0"/>
  </r>
  <r>
    <x v="5737"/>
    <s v="Peconic Bay Medical Center"/>
    <n v="2015"/>
    <n v="7"/>
    <s v="Medicare"/>
    <x v="2"/>
    <s v="Medicare"/>
    <n v="51445.48"/>
    <n v="16142.37"/>
    <n v="0"/>
  </r>
  <r>
    <x v="5738"/>
    <s v="Peconic Bay Medical Center"/>
    <n v="2015"/>
    <n v="7"/>
    <s v="Medicare"/>
    <x v="2"/>
    <s v="Medicare"/>
    <n v="52865.8"/>
    <n v="15088.7"/>
    <n v="0"/>
  </r>
  <r>
    <x v="5739"/>
    <s v="Peconic Bay Medical Center"/>
    <n v="2015"/>
    <n v="7"/>
    <s v="Medicare"/>
    <x v="2"/>
    <s v="Medicare"/>
    <n v="84452.28"/>
    <n v="41167.08"/>
    <n v="0"/>
  </r>
  <r>
    <x v="5740"/>
    <s v="Peconic Bay Medical Center"/>
    <n v="2015"/>
    <n v="7"/>
    <s v="Medicare"/>
    <x v="2"/>
    <s v="Medicare"/>
    <n v="27707.06"/>
    <n v="6315.46"/>
    <n v="0"/>
  </r>
  <r>
    <x v="5741"/>
    <s v="Peconic Bay Medical Center"/>
    <n v="2015"/>
    <n v="7"/>
    <s v="Medicare"/>
    <x v="2"/>
    <s v="Medicare"/>
    <n v="9129.1"/>
    <n v="2439.9699999999998"/>
    <n v="0"/>
  </r>
  <r>
    <x v="5742"/>
    <s v="Peconic Bay Medical Center"/>
    <n v="2015"/>
    <n v="7"/>
    <s v="Medicare"/>
    <x v="2"/>
    <s v="Medicare"/>
    <n v="59935.12"/>
    <n v="25062.63"/>
    <n v="0"/>
  </r>
  <r>
    <x v="5743"/>
    <s v="Peconic Bay Medical Center"/>
    <n v="2015"/>
    <n v="7"/>
    <s v="Medicare"/>
    <x v="2"/>
    <s v="Medicare"/>
    <n v="15868.28"/>
    <n v="4329.7"/>
    <n v="0"/>
  </r>
  <r>
    <x v="5744"/>
    <s v="Peconic Bay Medical Center"/>
    <n v="2015"/>
    <n v="7"/>
    <s v="Medicare"/>
    <x v="2"/>
    <s v="Medicare"/>
    <n v="28194.2"/>
    <n v="7785.2"/>
    <n v="0"/>
  </r>
  <r>
    <x v="5745"/>
    <s v="Peconic Bay Medical Center"/>
    <n v="2015"/>
    <n v="7"/>
    <s v="Medicare"/>
    <x v="2"/>
    <s v="Medicare"/>
    <n v="20795.62"/>
    <n v="5849.06"/>
    <n v="0"/>
  </r>
  <r>
    <x v="5746"/>
    <s v="Peconic Bay Medical Center"/>
    <n v="2015"/>
    <n v="7"/>
    <s v="Medicare"/>
    <x v="2"/>
    <s v="Medicare"/>
    <n v="15039.92"/>
    <n v="3508.04"/>
    <n v="0"/>
  </r>
  <r>
    <x v="5747"/>
    <s v="Peconic Bay Medical Center"/>
    <n v="2015"/>
    <n v="7"/>
    <s v="Medicare"/>
    <x v="2"/>
    <s v="Medicare"/>
    <n v="25209.599999999999"/>
    <n v="7276.35"/>
    <n v="0"/>
  </r>
  <r>
    <x v="5748"/>
    <s v="Peconic Bay Medical Center"/>
    <n v="2015"/>
    <n v="7"/>
    <s v="Medicare"/>
    <x v="2"/>
    <s v="Medicare"/>
    <n v="31704.78"/>
    <n v="9446.58"/>
    <n v="0"/>
  </r>
  <r>
    <x v="5749"/>
    <s v="Peconic Bay Medical Center"/>
    <n v="2015"/>
    <n v="7"/>
    <s v="Medicare"/>
    <x v="2"/>
    <s v="Medicare"/>
    <n v="27813.46"/>
    <n v="6988.98"/>
    <n v="0"/>
  </r>
  <r>
    <x v="5750"/>
    <s v="Peconic Bay Medical Center"/>
    <n v="2015"/>
    <n v="7"/>
    <s v="Medicare"/>
    <x v="2"/>
    <s v="Medicare"/>
    <n v="64816.800000000003"/>
    <n v="19412.95"/>
    <n v="0"/>
  </r>
  <r>
    <x v="5751"/>
    <s v="Peconic Bay Medical Center"/>
    <n v="2015"/>
    <n v="7"/>
    <s v="Medicare"/>
    <x v="2"/>
    <s v="Medicare"/>
    <n v="33459.279999999999"/>
    <n v="10751.78"/>
    <n v="0"/>
  </r>
  <r>
    <x v="5752"/>
    <s v="Peconic Bay Medical Center"/>
    <n v="2015"/>
    <n v="7"/>
    <s v="Medicare"/>
    <x v="2"/>
    <s v="Medicare"/>
    <n v="74382.36"/>
    <n v="35028.410000000003"/>
    <n v="0"/>
  </r>
  <r>
    <x v="5753"/>
    <s v="Peconic Bay Medical Center"/>
    <n v="2015"/>
    <n v="7"/>
    <s v="Medicare"/>
    <x v="2"/>
    <s v="Medicare"/>
    <n v="26921.3"/>
    <n v="7603.53"/>
    <n v="0"/>
  </r>
  <r>
    <x v="5754"/>
    <s v="Peconic Bay Medical Center"/>
    <n v="2015"/>
    <n v="7"/>
    <s v="Medicare"/>
    <x v="2"/>
    <s v="Medicare"/>
    <n v="25779.88"/>
    <n v="7318"/>
    <n v="0"/>
  </r>
  <r>
    <x v="5755"/>
    <s v="Peconic Bay Medical Center"/>
    <n v="2015"/>
    <n v="7"/>
    <s v="Medicare"/>
    <x v="2"/>
    <s v="Medicare"/>
    <n v="48836.9"/>
    <n v="16036.86"/>
    <n v="0"/>
  </r>
  <r>
    <x v="5756"/>
    <s v="Peconic Bay Medical Center"/>
    <n v="2015"/>
    <n v="7"/>
    <s v="Medicare"/>
    <x v="2"/>
    <s v="Medicare"/>
    <n v="85629.64"/>
    <n v="38156.07"/>
    <n v="0"/>
  </r>
  <r>
    <x v="5757"/>
    <s v="Peconic Bay Medical Center"/>
    <n v="2015"/>
    <n v="7"/>
    <s v="Medicare"/>
    <x v="2"/>
    <s v="Medicare"/>
    <n v="26352.959999999999"/>
    <n v="7952.36"/>
    <n v="0"/>
  </r>
  <r>
    <x v="5758"/>
    <s v="Peconic Bay Medical Center"/>
    <n v="2015"/>
    <n v="7"/>
    <s v="Medicare"/>
    <x v="2"/>
    <s v="Medicare"/>
    <n v="14160.68"/>
    <n v="7527.33"/>
    <n v="0"/>
  </r>
  <r>
    <x v="5759"/>
    <s v="Peconic Bay Medical Center"/>
    <n v="2015"/>
    <n v="7"/>
    <s v="Medicare"/>
    <x v="2"/>
    <s v="Medicare"/>
    <n v="21393.06"/>
    <n v="6110.89"/>
    <n v="0"/>
  </r>
  <r>
    <x v="5760"/>
    <s v="Peconic Bay Medical Center"/>
    <n v="2015"/>
    <n v="7"/>
    <s v="Medicare"/>
    <x v="2"/>
    <s v="Medicare"/>
    <n v="28451.439999999999"/>
    <n v="8123.36"/>
    <n v="0"/>
  </r>
  <r>
    <x v="5761"/>
    <s v="Peconic Bay Medical Center"/>
    <n v="2015"/>
    <n v="7"/>
    <s v="Medicare"/>
    <x v="2"/>
    <s v="Medicare"/>
    <n v="11669.16"/>
    <n v="2962.93"/>
    <n v="0"/>
  </r>
  <r>
    <x v="5762"/>
    <s v="Peconic Bay Medical Center"/>
    <n v="2015"/>
    <n v="7"/>
    <s v="Medicare"/>
    <x v="2"/>
    <s v="Medicare"/>
    <n v="48515.76"/>
    <n v="14726.31"/>
    <n v="0"/>
  </r>
  <r>
    <x v="5763"/>
    <s v="Peconic Bay Medical Center"/>
    <n v="2015"/>
    <n v="7"/>
    <s v="Medicare"/>
    <x v="2"/>
    <s v="Medicare"/>
    <n v="41470.639999999999"/>
    <n v="11447.86"/>
    <n v="0"/>
  </r>
  <r>
    <x v="5764"/>
    <s v="Peconic Bay Medical Center"/>
    <n v="2015"/>
    <n v="7"/>
    <s v="Medicare"/>
    <x v="2"/>
    <s v="Medicare"/>
    <n v="41356.22"/>
    <n v="11785.83"/>
    <n v="0"/>
  </r>
  <r>
    <x v="5765"/>
    <s v="Peconic Bay Medical Center"/>
    <n v="2015"/>
    <n v="7"/>
    <s v="Medicare"/>
    <x v="2"/>
    <s v="Medicare"/>
    <n v="66072.02"/>
    <n v="33319.980000000003"/>
    <n v="0"/>
  </r>
  <r>
    <x v="5766"/>
    <s v="Peconic Bay Medical Center"/>
    <n v="2015"/>
    <n v="7"/>
    <s v="Medicare"/>
    <x v="2"/>
    <s v="Medicare"/>
    <n v="15485.84"/>
    <n v="4533.8"/>
    <n v="0"/>
  </r>
  <r>
    <x v="5767"/>
    <s v="Peconic Bay Medical Center"/>
    <n v="2015"/>
    <n v="7"/>
    <s v="Medicare"/>
    <x v="2"/>
    <s v="Medicare"/>
    <n v="98756.94"/>
    <n v="54719.33"/>
    <n v="0"/>
  </r>
  <r>
    <x v="5768"/>
    <s v="Peconic Bay Medical Center"/>
    <n v="2015"/>
    <n v="7"/>
    <s v="Medicare"/>
    <x v="2"/>
    <s v="Medicare"/>
    <n v="32401.8"/>
    <n v="9380.85"/>
    <n v="0"/>
  </r>
  <r>
    <x v="5769"/>
    <s v="Peconic Bay Medical Center"/>
    <n v="2015"/>
    <n v="7"/>
    <s v="Medicare"/>
    <x v="2"/>
    <s v="Medicare"/>
    <n v="38381.22"/>
    <n v="11437.14"/>
    <n v="0"/>
  </r>
  <r>
    <x v="5770"/>
    <s v="Peconic Bay Medical Center"/>
    <n v="2015"/>
    <n v="7"/>
    <s v="Medicare"/>
    <x v="2"/>
    <s v="Medicare"/>
    <n v="18615.64"/>
    <n v="4731.57"/>
    <n v="0"/>
  </r>
  <r>
    <x v="5771"/>
    <s v="Peconic Bay Medical Center"/>
    <n v="2015"/>
    <n v="7"/>
    <s v="Medicare"/>
    <x v="2"/>
    <s v="Medicare"/>
    <n v="37146.160000000003"/>
    <n v="8260.08"/>
    <n v="0"/>
  </r>
  <r>
    <x v="5772"/>
    <s v="Peconic Bay Medical Center"/>
    <n v="2015"/>
    <n v="7"/>
    <s v="Medicare"/>
    <x v="2"/>
    <s v="Medicare"/>
    <n v="25144.52"/>
    <n v="8999.84"/>
    <n v="0"/>
  </r>
  <r>
    <x v="5773"/>
    <s v="Peconic Bay Medical Center"/>
    <n v="2015"/>
    <n v="7"/>
    <s v="Medicare"/>
    <x v="2"/>
    <s v="Medicare"/>
    <n v="20713.740000000002"/>
    <n v="4978.92"/>
    <n v="0"/>
  </r>
  <r>
    <x v="5774"/>
    <s v="Peconic Bay Medical Center"/>
    <n v="2015"/>
    <n v="7"/>
    <s v="Medicare"/>
    <x v="2"/>
    <s v="Medicare"/>
    <n v="85862.52"/>
    <n v="48240.49"/>
    <n v="0"/>
  </r>
  <r>
    <x v="5775"/>
    <s v="Peconic Bay Medical Center"/>
    <n v="2015"/>
    <n v="7"/>
    <s v="Medicare"/>
    <x v="2"/>
    <s v="Medicare"/>
    <n v="72955.08"/>
    <n v="49527.28"/>
    <n v="0"/>
  </r>
  <r>
    <x v="5776"/>
    <s v="Peconic Bay Medical Center"/>
    <n v="2015"/>
    <n v="7"/>
    <s v="Medicare"/>
    <x v="2"/>
    <s v="Medicare"/>
    <n v="17558.16"/>
    <n v="4984.63"/>
    <n v="0"/>
  </r>
  <r>
    <x v="5777"/>
    <s v="Peconic Bay Medical Center"/>
    <n v="2015"/>
    <n v="7"/>
    <s v="Medicare"/>
    <x v="2"/>
    <s v="Medicare"/>
    <n v="124532.98"/>
    <n v="80565.070000000007"/>
    <n v="0"/>
  </r>
  <r>
    <x v="5778"/>
    <s v="Peconic Bay Medical Center"/>
    <n v="2015"/>
    <n v="7"/>
    <s v="Medicare"/>
    <x v="2"/>
    <s v="Medicare"/>
    <n v="66118.820000000007"/>
    <n v="20196.599999999999"/>
    <n v="0"/>
  </r>
  <r>
    <x v="5779"/>
    <s v="Peconic Bay Medical Center"/>
    <n v="2015"/>
    <n v="7"/>
    <s v="Medicare"/>
    <x v="2"/>
    <s v="Medicare"/>
    <n v="14450.64"/>
    <n v="2999.98"/>
    <n v="0"/>
  </r>
  <r>
    <x v="5780"/>
    <s v="Peconic Bay Medical Center"/>
    <n v="2015"/>
    <n v="7"/>
    <s v="Medicare"/>
    <x v="2"/>
    <s v="Medicare"/>
    <n v="30025.040000000001"/>
    <n v="7288.94"/>
    <n v="0"/>
  </r>
  <r>
    <x v="5781"/>
    <s v="Peconic Bay Medical Center"/>
    <n v="2015"/>
    <n v="7"/>
    <s v="Medicare"/>
    <x v="2"/>
    <s v="Medicare"/>
    <n v="17348.740000000002"/>
    <n v="3769.48"/>
    <n v="0"/>
  </r>
  <r>
    <x v="5782"/>
    <s v="Peconic Bay Medical Center"/>
    <n v="2015"/>
    <n v="7"/>
    <s v="Medicare"/>
    <x v="2"/>
    <s v="Medicare"/>
    <n v="39673.120000000003"/>
    <n v="11567.97"/>
    <n v="0"/>
  </r>
  <r>
    <x v="5783"/>
    <s v="Peconic Bay Medical Center"/>
    <n v="2015"/>
    <n v="7"/>
    <s v="Medicare"/>
    <x v="2"/>
    <s v="Medicare"/>
    <n v="36288.239999999998"/>
    <n v="10938.83"/>
    <n v="0"/>
  </r>
  <r>
    <x v="5784"/>
    <s v="Peconic Bay Medical Center"/>
    <n v="2015"/>
    <n v="7"/>
    <s v="Medicare"/>
    <x v="2"/>
    <s v="Medicare"/>
    <n v="9221.7999999999993"/>
    <n v="2508.33"/>
    <n v="0"/>
  </r>
  <r>
    <x v="5785"/>
    <s v="Peconic Bay Medical Center"/>
    <n v="2015"/>
    <n v="7"/>
    <s v="Medicare"/>
    <x v="2"/>
    <s v="Medicare"/>
    <n v="20738.939999999999"/>
    <n v="6317.32"/>
    <n v="0"/>
  </r>
  <r>
    <x v="5786"/>
    <s v="Peconic Bay Medical Center"/>
    <n v="2015"/>
    <n v="7"/>
    <s v="Medicare"/>
    <x v="2"/>
    <s v="Medicare"/>
    <n v="27336.74"/>
    <n v="7831.57"/>
    <n v="0"/>
  </r>
  <r>
    <x v="5787"/>
    <s v="Peconic Bay Medical Center"/>
    <n v="2015"/>
    <n v="7"/>
    <s v="Medicare"/>
    <x v="2"/>
    <s v="Medicare"/>
    <n v="38927.1"/>
    <n v="14851.62"/>
    <n v="0"/>
  </r>
  <r>
    <x v="5788"/>
    <s v="Peconic Bay Medical Center"/>
    <n v="2015"/>
    <n v="7"/>
    <s v="Medicare"/>
    <x v="2"/>
    <s v="Medicare"/>
    <n v="14104.6"/>
    <n v="4203"/>
    <n v="0"/>
  </r>
  <r>
    <x v="5789"/>
    <s v="Peconic Bay Medical Center"/>
    <n v="2015"/>
    <n v="7"/>
    <s v="Medicare"/>
    <x v="2"/>
    <s v="Medicare"/>
    <n v="28882.560000000001"/>
    <n v="8836.35"/>
    <n v="0"/>
  </r>
  <r>
    <x v="5790"/>
    <s v="Peconic Bay Medical Center"/>
    <n v="2015"/>
    <n v="7"/>
    <s v="Medicare"/>
    <x v="2"/>
    <s v="Medicare"/>
    <n v="19906.64"/>
    <n v="5281.81"/>
    <n v="0"/>
  </r>
  <r>
    <x v="5791"/>
    <s v="Peconic Bay Medical Center"/>
    <n v="2015"/>
    <n v="7"/>
    <s v="Medicare"/>
    <x v="2"/>
    <s v="Medicare"/>
    <n v="36094.06"/>
    <n v="10822.15"/>
    <n v="0"/>
  </r>
  <r>
    <x v="5792"/>
    <s v="Peconic Bay Medical Center"/>
    <n v="2015"/>
    <n v="7"/>
    <s v="Medicare"/>
    <x v="2"/>
    <s v="Medicare"/>
    <n v="45994.559999999998"/>
    <n v="11537.39"/>
    <n v="0"/>
  </r>
  <r>
    <x v="5793"/>
    <s v="Peconic Bay Medical Center"/>
    <n v="2015"/>
    <n v="7"/>
    <s v="Medicare"/>
    <x v="2"/>
    <s v="Medicare"/>
    <n v="23421.06"/>
    <n v="5911.81"/>
    <n v="0"/>
  </r>
  <r>
    <x v="5794"/>
    <s v="Peconic Bay Medical Center"/>
    <n v="2015"/>
    <n v="7"/>
    <s v="Medicare"/>
    <x v="2"/>
    <s v="Medicare"/>
    <n v="71100.460000000006"/>
    <n v="29053.26"/>
    <n v="0"/>
  </r>
  <r>
    <x v="5795"/>
    <s v="Peconic Bay Medical Center"/>
    <n v="2015"/>
    <n v="7"/>
    <s v="Medicare"/>
    <x v="2"/>
    <s v="Medicare"/>
    <n v="28009.58"/>
    <n v="8540.2999999999993"/>
    <n v="0"/>
  </r>
  <r>
    <x v="5796"/>
    <s v="Peconic Bay Medical Center"/>
    <n v="2015"/>
    <n v="7"/>
    <s v="Medicare"/>
    <x v="2"/>
    <s v="Medicare"/>
    <n v="22742.639999999999"/>
    <n v="5934.79"/>
    <n v="0"/>
  </r>
  <r>
    <x v="5797"/>
    <s v="Peconic Bay Medical Center"/>
    <n v="2015"/>
    <n v="7"/>
    <s v="Medicare"/>
    <x v="2"/>
    <s v="Medicare"/>
    <n v="10655.9"/>
    <n v="2470.4899999999998"/>
    <n v="0"/>
  </r>
  <r>
    <x v="5798"/>
    <s v="Peconic Bay Medical Center"/>
    <n v="2015"/>
    <n v="7"/>
    <s v="Medicare"/>
    <x v="2"/>
    <s v="Medicare"/>
    <n v="9524.42"/>
    <n v="2363.69"/>
    <n v="0"/>
  </r>
  <r>
    <x v="5799"/>
    <s v="Peconic Bay Medical Center"/>
    <n v="2015"/>
    <n v="7"/>
    <s v="Medicare"/>
    <x v="2"/>
    <s v="Medicare"/>
    <n v="48760.22"/>
    <n v="14077.4"/>
    <n v="0"/>
  </r>
  <r>
    <x v="5800"/>
    <s v="Peconic Bay Medical Center"/>
    <n v="2015"/>
    <n v="7"/>
    <s v="Medicare"/>
    <x v="2"/>
    <s v="Medicare"/>
    <n v="37947.74"/>
    <n v="12350.84"/>
    <n v="0"/>
  </r>
  <r>
    <x v="5801"/>
    <s v="Peconic Bay Medical Center"/>
    <n v="2015"/>
    <n v="7"/>
    <s v="Medicare"/>
    <x v="2"/>
    <s v="Medicare"/>
    <n v="12520.32"/>
    <n v="2963.06"/>
    <n v="0"/>
  </r>
  <r>
    <x v="5802"/>
    <s v="Peconic Bay Medical Center"/>
    <n v="2015"/>
    <n v="7"/>
    <s v="Medicare"/>
    <x v="2"/>
    <s v="Medicare"/>
    <n v="19475.3"/>
    <n v="5445.44"/>
    <n v="0"/>
  </r>
  <r>
    <x v="5803"/>
    <s v="Peconic Bay Medical Center"/>
    <n v="2015"/>
    <n v="7"/>
    <s v="Medicare"/>
    <x v="2"/>
    <s v="Medicare"/>
    <n v="45143.68"/>
    <n v="19227.28"/>
    <n v="0"/>
  </r>
  <r>
    <x v="5804"/>
    <s v="Peconic Bay Medical Center"/>
    <n v="2015"/>
    <n v="7"/>
    <s v="Medicare"/>
    <x v="2"/>
    <s v="Medicare"/>
    <n v="29891.8"/>
    <n v="7489.42"/>
    <n v="0"/>
  </r>
  <r>
    <x v="5805"/>
    <s v="Peconic Bay Medical Center"/>
    <n v="2015"/>
    <n v="7"/>
    <s v="Medicare"/>
    <x v="2"/>
    <s v="Medicare"/>
    <n v="70820.66"/>
    <n v="22324.75"/>
    <n v="0"/>
  </r>
  <r>
    <x v="5806"/>
    <s v="Peconic Bay Medical Center"/>
    <n v="2015"/>
    <n v="7"/>
    <s v="Medicare"/>
    <x v="2"/>
    <s v="Medicare"/>
    <n v="72630.3"/>
    <n v="22051.18"/>
    <n v="0"/>
  </r>
  <r>
    <x v="5807"/>
    <s v="Peconic Bay Medical Center"/>
    <n v="2015"/>
    <n v="7"/>
    <s v="Medicare"/>
    <x v="2"/>
    <s v="Medicare"/>
    <n v="73538.320000000007"/>
    <n v="21310.13"/>
    <n v="0"/>
  </r>
  <r>
    <x v="5808"/>
    <s v="Peconic Bay Medical Center"/>
    <n v="2015"/>
    <n v="7"/>
    <s v="Medicare"/>
    <x v="2"/>
    <s v="Medicare"/>
    <n v="22412.34"/>
    <n v="7094.53"/>
    <n v="0"/>
  </r>
  <r>
    <x v="5809"/>
    <s v="Peconic Bay Medical Center"/>
    <n v="2015"/>
    <n v="7"/>
    <s v="Medicare"/>
    <x v="2"/>
    <s v="Medicare"/>
    <n v="18313.38"/>
    <n v="4680.3100000000004"/>
    <n v="0"/>
  </r>
  <r>
    <x v="5810"/>
    <s v="Peconic Bay Medical Center"/>
    <n v="2015"/>
    <n v="7"/>
    <s v="Medicare"/>
    <x v="2"/>
    <s v="Medicare"/>
    <n v="175619.16"/>
    <n v="56027.22"/>
    <n v="0"/>
  </r>
  <r>
    <x v="5811"/>
    <s v="Peconic Bay Medical Center"/>
    <n v="2015"/>
    <n v="7"/>
    <s v="Medicare"/>
    <x v="2"/>
    <s v="Medicare"/>
    <n v="37180.92"/>
    <n v="10633.8"/>
    <n v="0"/>
  </r>
  <r>
    <x v="5812"/>
    <s v="Peconic Bay Medical Center"/>
    <n v="2015"/>
    <n v="7"/>
    <s v="Medicare"/>
    <x v="2"/>
    <s v="Medicare"/>
    <n v="24730.16"/>
    <n v="9801.83"/>
    <n v="0"/>
  </r>
  <r>
    <x v="5813"/>
    <s v="Peconic Bay Medical Center"/>
    <n v="2015"/>
    <n v="7"/>
    <s v="Medicare"/>
    <x v="2"/>
    <s v="Medicare"/>
    <n v="43194.32"/>
    <n v="12881.56"/>
    <n v="0"/>
  </r>
  <r>
    <x v="5814"/>
    <s v="Peconic Bay Medical Center"/>
    <n v="2015"/>
    <n v="7"/>
    <s v="Medicare"/>
    <x v="2"/>
    <s v="Medicare"/>
    <n v="54293.5"/>
    <n v="16807.41"/>
    <n v="0"/>
  </r>
  <r>
    <x v="5815"/>
    <s v="Peconic Bay Medical Center"/>
    <n v="2015"/>
    <n v="7"/>
    <s v="Medicare"/>
    <x v="2"/>
    <s v="Medicare"/>
    <n v="40755.5"/>
    <n v="11586.45"/>
    <n v="0"/>
  </r>
  <r>
    <x v="5816"/>
    <s v="Peconic Bay Medical Center"/>
    <n v="2015"/>
    <n v="7"/>
    <s v="Medicare"/>
    <x v="2"/>
    <s v="Medicare"/>
    <n v="17798.12"/>
    <n v="5103.6099999999997"/>
    <n v="0"/>
  </r>
  <r>
    <x v="5817"/>
    <s v="Peconic Bay Medical Center"/>
    <n v="2015"/>
    <n v="7"/>
    <s v="Medicare"/>
    <x v="2"/>
    <s v="Medicare"/>
    <n v="29512.36"/>
    <n v="8034.35"/>
    <n v="0"/>
  </r>
  <r>
    <x v="5818"/>
    <s v="Peconic Bay Medical Center"/>
    <n v="2015"/>
    <n v="7"/>
    <s v="Medicare"/>
    <x v="2"/>
    <s v="Medicare"/>
    <n v="84187.7"/>
    <n v="26046"/>
    <n v="0"/>
  </r>
  <r>
    <x v="5819"/>
    <s v="Peconic Bay Medical Center"/>
    <n v="2015"/>
    <n v="7"/>
    <s v="Medicare"/>
    <x v="2"/>
    <s v="Medicare"/>
    <n v="58103.199999999997"/>
    <n v="16248.13"/>
    <n v="0"/>
  </r>
  <r>
    <x v="5820"/>
    <s v="Peconic Bay Medical Center"/>
    <n v="2015"/>
    <n v="7"/>
    <s v="Medicare"/>
    <x v="2"/>
    <s v="Medicare"/>
    <n v="103127.58"/>
    <n v="30874.95"/>
    <n v="0"/>
  </r>
  <r>
    <x v="5821"/>
    <s v="Peconic Bay Medical Center"/>
    <n v="2015"/>
    <n v="7"/>
    <s v="Medicare"/>
    <x v="2"/>
    <s v="Medicare"/>
    <n v="11158.68"/>
    <n v="2612.14"/>
    <n v="0"/>
  </r>
  <r>
    <x v="5822"/>
    <s v="Peconic Bay Medical Center"/>
    <n v="2015"/>
    <n v="7"/>
    <s v="Medicare"/>
    <x v="2"/>
    <s v="Medicare"/>
    <n v="34727.919999999998"/>
    <n v="8785.8700000000008"/>
    <n v="0"/>
  </r>
  <r>
    <x v="5823"/>
    <s v="Peconic Bay Medical Center"/>
    <n v="2015"/>
    <n v="7"/>
    <s v="Medicare"/>
    <x v="2"/>
    <s v="Medicare"/>
    <n v="22604.58"/>
    <n v="6614.59"/>
    <n v="0"/>
  </r>
  <r>
    <x v="5824"/>
    <s v="Peconic Bay Medical Center"/>
    <n v="2015"/>
    <n v="7"/>
    <s v="Medicare"/>
    <x v="2"/>
    <s v="Medicare"/>
    <n v="28312.400000000001"/>
    <n v="7977.06"/>
    <n v="0"/>
  </r>
  <r>
    <x v="5825"/>
    <s v="Peconic Bay Medical Center"/>
    <n v="2015"/>
    <n v="7"/>
    <s v="Medicare"/>
    <x v="2"/>
    <s v="Medicare"/>
    <n v="249122.98"/>
    <n v="140309.26"/>
    <n v="0"/>
  </r>
  <r>
    <x v="5826"/>
    <s v="Peconic Bay Medical Center"/>
    <n v="2015"/>
    <n v="7"/>
    <s v="Medicare"/>
    <x v="2"/>
    <s v="Medicare"/>
    <n v="12204"/>
    <n v="2832.81"/>
    <n v="0"/>
  </r>
  <r>
    <x v="5827"/>
    <s v="Peconic Bay Medical Center"/>
    <n v="2015"/>
    <n v="7"/>
    <s v="Medicare"/>
    <x v="2"/>
    <s v="Medicare"/>
    <n v="33183.72"/>
    <n v="12796.05"/>
    <n v="0"/>
  </r>
  <r>
    <x v="5828"/>
    <s v="Peconic Bay Medical Center"/>
    <n v="2015"/>
    <n v="7"/>
    <s v="Medicare"/>
    <x v="2"/>
    <s v="Medicare"/>
    <n v="54872.38"/>
    <n v="15053.58"/>
    <n v="0"/>
  </r>
  <r>
    <x v="5829"/>
    <s v="Peconic Bay Medical Center"/>
    <n v="2015"/>
    <n v="7"/>
    <s v="Medicare"/>
    <x v="2"/>
    <s v="Medicare"/>
    <n v="36020.06"/>
    <n v="12581.44"/>
    <n v="0"/>
  </r>
  <r>
    <x v="5830"/>
    <s v="Peconic Bay Medical Center"/>
    <n v="2015"/>
    <n v="7"/>
    <s v="Medicare"/>
    <x v="2"/>
    <s v="Medicare"/>
    <n v="16778.72"/>
    <n v="4768.84"/>
    <n v="0"/>
  </r>
  <r>
    <x v="5831"/>
    <s v="Peconic Bay Medical Center"/>
    <n v="2015"/>
    <n v="7"/>
    <s v="Medicare"/>
    <x v="2"/>
    <s v="Medicare"/>
    <n v="26483.200000000001"/>
    <n v="8208.36"/>
    <n v="0"/>
  </r>
  <r>
    <x v="5832"/>
    <s v="Peconic Bay Medical Center"/>
    <n v="2015"/>
    <n v="7"/>
    <s v="Medicare"/>
    <x v="2"/>
    <s v="Medicare"/>
    <n v="41770.160000000003"/>
    <n v="19504.97"/>
    <n v="0"/>
  </r>
  <r>
    <x v="5833"/>
    <s v="Peconic Bay Medical Center"/>
    <n v="2015"/>
    <n v="7"/>
    <s v="Medicare"/>
    <x v="2"/>
    <s v="Medicare"/>
    <n v="17473.8"/>
    <n v="5101.8599999999997"/>
    <n v="0"/>
  </r>
  <r>
    <x v="5834"/>
    <s v="Peconic Bay Medical Center"/>
    <n v="2015"/>
    <n v="7"/>
    <s v="Medicare"/>
    <x v="2"/>
    <s v="Medicare"/>
    <n v="68709.94"/>
    <n v="38903.550000000003"/>
    <n v="0"/>
  </r>
  <r>
    <x v="5835"/>
    <s v="Peconic Bay Medical Center"/>
    <n v="2015"/>
    <n v="7"/>
    <s v="Medicare"/>
    <x v="2"/>
    <s v="Medicare"/>
    <n v="30322.04"/>
    <n v="7510.77"/>
    <n v="0"/>
  </r>
  <r>
    <x v="5836"/>
    <s v="Peconic Bay Medical Center"/>
    <n v="2015"/>
    <n v="7"/>
    <s v="Medicare"/>
    <x v="2"/>
    <s v="Medicare"/>
    <n v="118145.26"/>
    <n v="42361.47"/>
    <n v="0"/>
  </r>
  <r>
    <x v="5837"/>
    <s v="Peconic Bay Medical Center"/>
    <n v="2015"/>
    <n v="7"/>
    <s v="Medicare"/>
    <x v="2"/>
    <s v="Medicare"/>
    <n v="17876.759999999998"/>
    <n v="5512.13"/>
    <n v="0"/>
  </r>
  <r>
    <x v="5838"/>
    <s v="Peconic Bay Medical Center"/>
    <n v="2015"/>
    <n v="7"/>
    <s v="Medicare"/>
    <x v="2"/>
    <s v="Medicare"/>
    <n v="19436.28"/>
    <n v="4613.72"/>
    <n v="0"/>
  </r>
  <r>
    <x v="5839"/>
    <s v="Peconic Bay Medical Center"/>
    <n v="2015"/>
    <n v="7"/>
    <s v="Medicare"/>
    <x v="2"/>
    <s v="Medicare"/>
    <n v="13346.74"/>
    <n v="3767.33"/>
    <n v="0"/>
  </r>
  <r>
    <x v="5840"/>
    <s v="Peconic Bay Medical Center"/>
    <n v="2015"/>
    <n v="7"/>
    <s v="Medicare"/>
    <x v="2"/>
    <s v="Medicare"/>
    <n v="15714.42"/>
    <n v="4308.34"/>
    <n v="0"/>
  </r>
  <r>
    <x v="5841"/>
    <s v="Peconic Bay Medical Center"/>
    <n v="2015"/>
    <n v="7"/>
    <s v="Medicare"/>
    <x v="2"/>
    <s v="Medicare"/>
    <n v="11518.82"/>
    <n v="3612.87"/>
    <n v="0"/>
  </r>
  <r>
    <x v="5842"/>
    <s v="Peconic Bay Medical Center"/>
    <n v="2015"/>
    <n v="7"/>
    <s v="Medicare"/>
    <x v="2"/>
    <s v="Medicare"/>
    <n v="115356.98"/>
    <n v="43255.199999999997"/>
    <n v="0"/>
  </r>
  <r>
    <x v="5843"/>
    <s v="Peconic Bay Medical Center"/>
    <n v="2015"/>
    <n v="7"/>
    <s v="Medicare"/>
    <x v="2"/>
    <s v="Medicare"/>
    <n v="30608.46"/>
    <n v="9032.41"/>
    <n v="0"/>
  </r>
  <r>
    <x v="5844"/>
    <s v="Peconic Bay Medical Center"/>
    <n v="2015"/>
    <n v="7"/>
    <s v="Medicare"/>
    <x v="2"/>
    <s v="Medicare"/>
    <n v="38125.120000000003"/>
    <n v="11086.24"/>
    <n v="0"/>
  </r>
  <r>
    <x v="5845"/>
    <s v="Peconic Bay Medical Center"/>
    <n v="2015"/>
    <n v="7"/>
    <s v="Medicare"/>
    <x v="2"/>
    <s v="Medicare"/>
    <n v="27164.52"/>
    <n v="6964.34"/>
    <n v="0"/>
  </r>
  <r>
    <x v="5846"/>
    <s v="Peconic Bay Medical Center"/>
    <n v="2015"/>
    <n v="7"/>
    <s v="Medicare"/>
    <x v="2"/>
    <s v="Medicare"/>
    <n v="57968.6"/>
    <n v="18883.490000000002"/>
    <n v="0"/>
  </r>
  <r>
    <x v="5847"/>
    <s v="Peconic Bay Medical Center"/>
    <n v="2015"/>
    <n v="7"/>
    <s v="Medicare"/>
    <x v="2"/>
    <s v="Medicare"/>
    <n v="17645.16"/>
    <n v="5039.66"/>
    <n v="0"/>
  </r>
  <r>
    <x v="5848"/>
    <s v="Peconic Bay Medical Center"/>
    <n v="2015"/>
    <n v="7"/>
    <s v="Medicare"/>
    <x v="2"/>
    <s v="Medicare"/>
    <n v="17169.02"/>
    <n v="4880.01"/>
    <n v="0"/>
  </r>
  <r>
    <x v="5849"/>
    <s v="Peconic Bay Medical Center"/>
    <n v="2015"/>
    <n v="7"/>
    <s v="Medicare"/>
    <x v="2"/>
    <s v="Medicare"/>
    <n v="87518.28"/>
    <n v="46570.78"/>
    <n v="0"/>
  </r>
  <r>
    <x v="5850"/>
    <s v="Peconic Bay Medical Center"/>
    <n v="2015"/>
    <n v="7"/>
    <s v="Medicare"/>
    <x v="2"/>
    <s v="Medicare"/>
    <n v="18516.240000000002"/>
    <n v="5248.6"/>
    <n v="0"/>
  </r>
  <r>
    <x v="5851"/>
    <s v="Peconic Bay Medical Center"/>
    <n v="2015"/>
    <n v="7"/>
    <s v="Medicare"/>
    <x v="2"/>
    <s v="Medicare"/>
    <n v="34681.26"/>
    <n v="12026.98"/>
    <n v="0"/>
  </r>
  <r>
    <x v="5852"/>
    <s v="Peconic Bay Medical Center"/>
    <n v="2015"/>
    <n v="7"/>
    <s v="Medicare"/>
    <x v="2"/>
    <s v="Medicare"/>
    <n v="18703.240000000002"/>
    <n v="5375.08"/>
    <n v="0"/>
  </r>
  <r>
    <x v="5853"/>
    <s v="Peconic Bay Medical Center"/>
    <n v="2015"/>
    <n v="7"/>
    <s v="Medicare"/>
    <x v="2"/>
    <s v="Medicare"/>
    <n v="34769.699999999997"/>
    <n v="10526.23"/>
    <n v="0"/>
  </r>
  <r>
    <x v="5854"/>
    <s v="Peconic Bay Medical Center"/>
    <n v="2015"/>
    <n v="7"/>
    <s v="Medicare"/>
    <x v="2"/>
    <s v="Medicare"/>
    <n v="52213.4"/>
    <n v="13357.37"/>
    <n v="0"/>
  </r>
  <r>
    <x v="5855"/>
    <s v="Peconic Bay Medical Center"/>
    <n v="2015"/>
    <n v="7"/>
    <s v="Medicare"/>
    <x v="2"/>
    <s v="Medicare"/>
    <n v="11297.48"/>
    <n v="2826.33"/>
    <n v="0"/>
  </r>
  <r>
    <x v="5856"/>
    <s v="Peconic Bay Medical Center"/>
    <n v="2015"/>
    <n v="7"/>
    <s v="Medicare"/>
    <x v="2"/>
    <s v="Medicare"/>
    <n v="20640.900000000001"/>
    <n v="5725.8"/>
    <n v="0"/>
  </r>
  <r>
    <x v="5857"/>
    <s v="Peconic Bay Medical Center"/>
    <n v="2015"/>
    <n v="7"/>
    <s v="Medicare"/>
    <x v="2"/>
    <s v="Medicare"/>
    <n v="109923.58"/>
    <n v="43076.19"/>
    <n v="0"/>
  </r>
  <r>
    <x v="5858"/>
    <s v="Peconic Bay Medical Center"/>
    <n v="2015"/>
    <n v="7"/>
    <s v="Medicare"/>
    <x v="2"/>
    <s v="Medicare"/>
    <n v="13371.34"/>
    <n v="3983.46"/>
    <n v="0"/>
  </r>
  <r>
    <x v="5859"/>
    <s v="Peconic Bay Medical Center"/>
    <n v="2015"/>
    <n v="7"/>
    <s v="Medicare"/>
    <x v="2"/>
    <s v="Medicare"/>
    <n v="30868.34"/>
    <n v="8428.65"/>
    <n v="0"/>
  </r>
  <r>
    <x v="5860"/>
    <s v="Peconic Bay Medical Center"/>
    <n v="2015"/>
    <n v="7"/>
    <s v="Medicare"/>
    <x v="2"/>
    <s v="Medicare"/>
    <n v="17117.88"/>
    <n v="4990.07"/>
    <n v="0"/>
  </r>
  <r>
    <x v="5861"/>
    <s v="Peconic Bay Medical Center"/>
    <n v="2015"/>
    <n v="7"/>
    <s v="Medicare"/>
    <x v="2"/>
    <s v="Medicare"/>
    <n v="31822.18"/>
    <n v="9629.11"/>
    <n v="0"/>
  </r>
  <r>
    <x v="5862"/>
    <s v="Peconic Bay Medical Center"/>
    <n v="2015"/>
    <n v="7"/>
    <s v="Medicare"/>
    <x v="2"/>
    <s v="Medicare"/>
    <n v="25265.64"/>
    <n v="8219.33"/>
    <n v="0"/>
  </r>
  <r>
    <x v="5863"/>
    <s v="Peconic Bay Medical Center"/>
    <n v="2015"/>
    <n v="7"/>
    <s v="Medicare"/>
    <x v="2"/>
    <s v="Medicare"/>
    <n v="84601.5"/>
    <n v="38328.959999999999"/>
    <n v="0"/>
  </r>
  <r>
    <x v="5864"/>
    <s v="Peconic Bay Medical Center"/>
    <n v="2015"/>
    <n v="7"/>
    <s v="Medicare"/>
    <x v="2"/>
    <s v="Medicare"/>
    <n v="14279.32"/>
    <n v="6833.07"/>
    <n v="0"/>
  </r>
  <r>
    <x v="5865"/>
    <s v="Peconic Bay Medical Center"/>
    <n v="2015"/>
    <n v="7"/>
    <s v="Medicare"/>
    <x v="2"/>
    <s v="Medicare"/>
    <n v="24106.9"/>
    <n v="6606.89"/>
    <n v="0"/>
  </r>
  <r>
    <x v="5866"/>
    <s v="Peconic Bay Medical Center"/>
    <n v="2015"/>
    <n v="7"/>
    <s v="Medicare"/>
    <x v="2"/>
    <s v="Medicare"/>
    <n v="25954.5"/>
    <n v="7640.14"/>
    <n v="0"/>
  </r>
  <r>
    <x v="5867"/>
    <s v="Peconic Bay Medical Center"/>
    <n v="2015"/>
    <n v="7"/>
    <s v="Medicare"/>
    <x v="2"/>
    <s v="Medicare"/>
    <n v="44389.7"/>
    <n v="13550.91"/>
    <n v="0"/>
  </r>
  <r>
    <x v="5868"/>
    <s v="Peconic Bay Medical Center"/>
    <n v="2015"/>
    <n v="7"/>
    <s v="Medicare"/>
    <x v="2"/>
    <s v="Medicare"/>
    <n v="43091.18"/>
    <n v="18841.05"/>
    <n v="0"/>
  </r>
  <r>
    <x v="5869"/>
    <s v="Peconic Bay Medical Center"/>
    <n v="2015"/>
    <n v="7"/>
    <s v="Medicare"/>
    <x v="2"/>
    <s v="Medicare"/>
    <n v="26158.66"/>
    <n v="7068.22"/>
    <n v="0"/>
  </r>
  <r>
    <x v="5870"/>
    <s v="Peconic Bay Medical Center"/>
    <n v="2015"/>
    <n v="7"/>
    <s v="Medicare"/>
    <x v="2"/>
    <s v="Medicare"/>
    <n v="66806.92"/>
    <n v="14341.32"/>
    <n v="0"/>
  </r>
  <r>
    <x v="5871"/>
    <s v="Peconic Bay Medical Center"/>
    <n v="2015"/>
    <n v="7"/>
    <s v="Medicare"/>
    <x v="2"/>
    <s v="Medicare"/>
    <n v="27000.98"/>
    <n v="6045.18"/>
    <n v="0"/>
  </r>
  <r>
    <x v="5872"/>
    <s v="Peconic Bay Medical Center"/>
    <n v="2015"/>
    <n v="7"/>
    <s v="Medicare"/>
    <x v="2"/>
    <s v="Medicare"/>
    <n v="26360.1"/>
    <n v="6290.83"/>
    <n v="0"/>
  </r>
  <r>
    <x v="5873"/>
    <s v="Peconic Bay Medical Center"/>
    <n v="2015"/>
    <n v="7"/>
    <s v="Medicare"/>
    <x v="2"/>
    <s v="Medicare"/>
    <n v="52125.56"/>
    <n v="17825.21"/>
    <n v="0"/>
  </r>
  <r>
    <x v="5874"/>
    <s v="Peconic Bay Medical Center"/>
    <n v="2015"/>
    <n v="7"/>
    <s v="Medicare"/>
    <x v="2"/>
    <s v="Medicare"/>
    <n v="56823.98"/>
    <n v="17054.97"/>
    <n v="0"/>
  </r>
  <r>
    <x v="5875"/>
    <s v="Peconic Bay Medical Center"/>
    <n v="2015"/>
    <n v="7"/>
    <s v="Medicare"/>
    <x v="2"/>
    <s v="Medicare"/>
    <n v="28067.279999999999"/>
    <n v="8330.27"/>
    <n v="0"/>
  </r>
  <r>
    <x v="5876"/>
    <s v="Peconic Bay Medical Center"/>
    <n v="2015"/>
    <n v="7"/>
    <s v="Medicare"/>
    <x v="2"/>
    <s v="Medicare"/>
    <n v="20084"/>
    <n v="12215.41"/>
    <n v="0"/>
  </r>
  <r>
    <x v="5877"/>
    <s v="Peconic Bay Medical Center"/>
    <n v="2015"/>
    <n v="7"/>
    <s v="Medicare"/>
    <x v="2"/>
    <s v="Medicare"/>
    <n v="40279.18"/>
    <n v="17979.560000000001"/>
    <n v="0"/>
  </r>
  <r>
    <x v="5878"/>
    <s v="Peconic Bay Medical Center"/>
    <n v="2015"/>
    <n v="7"/>
    <s v="Medicare"/>
    <x v="2"/>
    <s v="Medicare"/>
    <n v="53224.44"/>
    <n v="14172.2"/>
    <n v="0"/>
  </r>
  <r>
    <x v="5879"/>
    <s v="Peconic Bay Medical Center"/>
    <n v="2015"/>
    <n v="7"/>
    <s v="Medicare"/>
    <x v="2"/>
    <s v="Medicare"/>
    <n v="54136.1"/>
    <n v="16118.43"/>
    <n v="0"/>
  </r>
  <r>
    <x v="5880"/>
    <s v="Peconic Bay Medical Center"/>
    <n v="2015"/>
    <n v="7"/>
    <s v="Medicare"/>
    <x v="2"/>
    <s v="Medicare"/>
    <n v="224776.38"/>
    <n v="137289.31"/>
    <n v="0"/>
  </r>
  <r>
    <x v="5881"/>
    <s v="Peconic Bay Medical Center"/>
    <n v="2015"/>
    <n v="7"/>
    <s v="Medicare"/>
    <x v="2"/>
    <s v="Medicare"/>
    <n v="34743.1"/>
    <n v="10568.48"/>
    <n v="0"/>
  </r>
  <r>
    <x v="5882"/>
    <s v="Peconic Bay Medical Center"/>
    <n v="2015"/>
    <n v="7"/>
    <s v="Medicare"/>
    <x v="2"/>
    <s v="Medicare"/>
    <n v="16289.02"/>
    <n v="3829.32"/>
    <n v="0"/>
  </r>
  <r>
    <x v="5883"/>
    <s v="Peconic Bay Medical Center"/>
    <n v="2015"/>
    <n v="7"/>
    <s v="Medicare"/>
    <x v="2"/>
    <s v="Medicare"/>
    <n v="195713.9"/>
    <n v="62534.84"/>
    <n v="0"/>
  </r>
  <r>
    <x v="5884"/>
    <s v="Peconic Bay Medical Center"/>
    <n v="2015"/>
    <n v="7"/>
    <s v="Medicare"/>
    <x v="2"/>
    <s v="Medicare"/>
    <n v="47983.98"/>
    <n v="14226.81"/>
    <n v="0"/>
  </r>
  <r>
    <x v="5885"/>
    <s v="Peconic Bay Medical Center"/>
    <n v="2015"/>
    <n v="7"/>
    <s v="Medicare"/>
    <x v="2"/>
    <s v="Medicare"/>
    <n v="21680.32"/>
    <n v="6594.2"/>
    <n v="0"/>
  </r>
  <r>
    <x v="5886"/>
    <s v="Peconic Bay Medical Center"/>
    <n v="2015"/>
    <n v="7"/>
    <s v="Medicare"/>
    <x v="2"/>
    <s v="Medicare"/>
    <n v="23526.92"/>
    <n v="6966.38"/>
    <n v="0"/>
  </r>
  <r>
    <x v="5887"/>
    <s v="Peconic Bay Medical Center"/>
    <n v="2015"/>
    <n v="7"/>
    <s v="Medicare"/>
    <x v="2"/>
    <s v="Medicare"/>
    <n v="45893.54"/>
    <n v="13934.4"/>
    <n v="0"/>
  </r>
  <r>
    <x v="5888"/>
    <s v="Peconic Bay Medical Center"/>
    <n v="2015"/>
    <n v="7"/>
    <s v="Medicare"/>
    <x v="2"/>
    <s v="Medicare"/>
    <n v="11149.02"/>
    <n v="2600.19"/>
    <n v="0"/>
  </r>
  <r>
    <x v="5889"/>
    <s v="Peconic Bay Medical Center"/>
    <n v="2015"/>
    <n v="7"/>
    <s v="Medicare"/>
    <x v="2"/>
    <s v="Medicare"/>
    <n v="79427.12"/>
    <n v="40764.39"/>
    <n v="0"/>
  </r>
  <r>
    <x v="5890"/>
    <s v="Peconic Bay Medical Center"/>
    <n v="2015"/>
    <n v="7"/>
    <s v="Medicare"/>
    <x v="2"/>
    <s v="Medicare"/>
    <n v="17172.8"/>
    <n v="4761.1899999999996"/>
    <n v="0"/>
  </r>
  <r>
    <x v="5891"/>
    <s v="Peconic Bay Medical Center"/>
    <n v="2015"/>
    <n v="7"/>
    <s v="Medicare"/>
    <x v="2"/>
    <s v="Medicare"/>
    <n v="17416.240000000002"/>
    <n v="5187.41"/>
    <n v="0"/>
  </r>
  <r>
    <x v="5892"/>
    <s v="Peconic Bay Medical Center"/>
    <n v="2015"/>
    <n v="7"/>
    <s v="Medicare"/>
    <x v="2"/>
    <s v="Medicare"/>
    <n v="49099.62"/>
    <n v="20724.150000000001"/>
    <n v="0"/>
  </r>
  <r>
    <x v="5893"/>
    <s v="Peconic Bay Medical Center"/>
    <n v="2015"/>
    <n v="7"/>
    <s v="Medicare"/>
    <x v="2"/>
    <s v="Medicare"/>
    <n v="119315.8"/>
    <n v="37974.31"/>
    <n v="0"/>
  </r>
  <r>
    <x v="5894"/>
    <s v="Peconic Bay Medical Center"/>
    <n v="2015"/>
    <n v="7"/>
    <s v="Medicare"/>
    <x v="2"/>
    <s v="Medicare"/>
    <n v="32793.58"/>
    <n v="9776.5300000000007"/>
    <n v="0"/>
  </r>
  <r>
    <x v="5895"/>
    <s v="Peconic Bay Medical Center"/>
    <n v="2015"/>
    <n v="7"/>
    <s v="Medicare"/>
    <x v="2"/>
    <s v="Medicare"/>
    <n v="61551.14"/>
    <n v="18868.990000000002"/>
    <n v="0"/>
  </r>
  <r>
    <x v="5896"/>
    <s v="Peconic Bay Medical Center"/>
    <n v="2015"/>
    <n v="7"/>
    <s v="Medicare"/>
    <x v="2"/>
    <s v="Medicare"/>
    <n v="73636.679999999993"/>
    <n v="35992.49"/>
    <n v="0"/>
  </r>
  <r>
    <x v="5897"/>
    <s v="Peconic Bay Medical Center"/>
    <n v="2015"/>
    <n v="7"/>
    <s v="Medicare"/>
    <x v="2"/>
    <s v="Medicare"/>
    <n v="18572"/>
    <n v="5262.68"/>
    <n v="0"/>
  </r>
  <r>
    <x v="5898"/>
    <s v="Peconic Bay Medical Center"/>
    <n v="2015"/>
    <n v="7"/>
    <s v="Medicare"/>
    <x v="2"/>
    <s v="Medicare"/>
    <n v="63970.06"/>
    <n v="17250.59"/>
    <n v="0"/>
  </r>
  <r>
    <x v="5899"/>
    <s v="Peconic Bay Medical Center"/>
    <n v="2015"/>
    <n v="7"/>
    <s v="Medicare"/>
    <x v="2"/>
    <s v="Medicare"/>
    <n v="12658.52"/>
    <n v="3371.09"/>
    <n v="0"/>
  </r>
  <r>
    <x v="5900"/>
    <s v="Peconic Bay Medical Center"/>
    <n v="2015"/>
    <n v="7"/>
    <s v="Medicare"/>
    <x v="2"/>
    <s v="Medicare"/>
    <n v="27670.22"/>
    <n v="7395.06"/>
    <n v="0"/>
  </r>
  <r>
    <x v="5901"/>
    <s v="Peconic Bay Medical Center"/>
    <n v="2015"/>
    <n v="7"/>
    <s v="Medicare"/>
    <x v="2"/>
    <s v="Medicare"/>
    <n v="35052.68"/>
    <n v="10066.41"/>
    <n v="0"/>
  </r>
  <r>
    <x v="5902"/>
    <s v="Peconic Bay Medical Center"/>
    <n v="2015"/>
    <n v="7"/>
    <s v="Medicare"/>
    <x v="2"/>
    <s v="Medicare"/>
    <n v="16336.22"/>
    <n v="7960.62"/>
    <n v="0"/>
  </r>
  <r>
    <x v="5903"/>
    <s v="Peconic Bay Medical Center"/>
    <n v="2015"/>
    <n v="7"/>
    <s v="Medicare"/>
    <x v="2"/>
    <s v="Medicare"/>
    <n v="34469.06"/>
    <n v="9909.3799999999992"/>
    <n v="0"/>
  </r>
  <r>
    <x v="5904"/>
    <s v="Peconic Bay Medical Center"/>
    <n v="2015"/>
    <n v="7"/>
    <s v="Medicare"/>
    <x v="2"/>
    <s v="Medicare"/>
    <n v="56521.279999999999"/>
    <n v="30315.599999999999"/>
    <n v="0"/>
  </r>
  <r>
    <x v="5905"/>
    <s v="Peconic Bay Medical Center"/>
    <n v="2015"/>
    <n v="7"/>
    <s v="Medicare"/>
    <x v="2"/>
    <s v="Medicare"/>
    <n v="38075"/>
    <n v="9898.59"/>
    <n v="0"/>
  </r>
  <r>
    <x v="5906"/>
    <s v="Peconic Bay Medical Center"/>
    <n v="2015"/>
    <n v="7"/>
    <s v="Medicare"/>
    <x v="2"/>
    <s v="Medicare"/>
    <n v="16628.240000000002"/>
    <n v="4420.45"/>
    <n v="0"/>
  </r>
  <r>
    <x v="5907"/>
    <s v="Peconic Bay Medical Center"/>
    <n v="2015"/>
    <n v="7"/>
    <s v="Medicare"/>
    <x v="2"/>
    <s v="Medicare"/>
    <n v="31665.68"/>
    <n v="7547.41"/>
    <n v="0"/>
  </r>
  <r>
    <x v="5908"/>
    <s v="Peconic Bay Medical Center"/>
    <n v="2015"/>
    <n v="7"/>
    <s v="Medicare"/>
    <x v="2"/>
    <s v="Medicare"/>
    <n v="30877.08"/>
    <n v="7341.7"/>
    <n v="0"/>
  </r>
  <r>
    <x v="5909"/>
    <s v="Peconic Bay Medical Center"/>
    <n v="2015"/>
    <n v="7"/>
    <s v="Medicare"/>
    <x v="2"/>
    <s v="Medicare"/>
    <n v="12348.56"/>
    <n v="2778.16"/>
    <n v="0"/>
  </r>
  <r>
    <x v="5910"/>
    <s v="Peconic Bay Medical Center"/>
    <n v="2015"/>
    <n v="7"/>
    <s v="Medicare"/>
    <x v="2"/>
    <s v="Medicare"/>
    <n v="35282.22"/>
    <n v="24178.41"/>
    <n v="0"/>
  </r>
  <r>
    <x v="5911"/>
    <s v="Peconic Bay Medical Center"/>
    <n v="2015"/>
    <n v="7"/>
    <s v="Medicare"/>
    <x v="2"/>
    <s v="Medicare"/>
    <n v="53920.800000000003"/>
    <n v="17325.560000000001"/>
    <n v="0"/>
  </r>
  <r>
    <x v="5912"/>
    <s v="Peconic Bay Medical Center"/>
    <n v="2015"/>
    <n v="7"/>
    <s v="Medicare"/>
    <x v="2"/>
    <s v="Medicare"/>
    <n v="24272.58"/>
    <n v="7339.41"/>
    <n v="0"/>
  </r>
  <r>
    <x v="5913"/>
    <s v="Peconic Bay Medical Center"/>
    <n v="2015"/>
    <n v="7"/>
    <s v="Medicare"/>
    <x v="2"/>
    <s v="Medicare"/>
    <n v="40649.760000000002"/>
    <n v="25395.29"/>
    <n v="0"/>
  </r>
  <r>
    <x v="5914"/>
    <s v="Peconic Bay Medical Center"/>
    <n v="2015"/>
    <n v="7"/>
    <s v="Medicare"/>
    <x v="2"/>
    <s v="Medicare"/>
    <n v="175500.98"/>
    <n v="61634.29"/>
    <n v="0"/>
  </r>
  <r>
    <x v="5915"/>
    <s v="Peconic Bay Medical Center"/>
    <n v="2015"/>
    <n v="7"/>
    <s v="Medicare"/>
    <x v="2"/>
    <s v="Medicare"/>
    <n v="71914.58"/>
    <n v="23255.06"/>
    <n v="0"/>
  </r>
  <r>
    <x v="5916"/>
    <s v="Peconic Bay Medical Center"/>
    <n v="2015"/>
    <n v="7"/>
    <s v="Medicare"/>
    <x v="2"/>
    <s v="Medicare"/>
    <n v="222123.67"/>
    <n v="190365.83"/>
    <n v="0"/>
  </r>
  <r>
    <x v="5917"/>
    <s v="Peconic Bay Medical Center"/>
    <n v="2015"/>
    <n v="7"/>
    <s v="Medicare"/>
    <x v="2"/>
    <s v="Medicare"/>
    <n v="15145.52"/>
    <n v="4434.8599999999997"/>
    <n v="0"/>
  </r>
  <r>
    <x v="5918"/>
    <s v="Peconic Bay Medical Center"/>
    <n v="2015"/>
    <n v="7"/>
    <s v="Medicare"/>
    <x v="2"/>
    <s v="Medicare"/>
    <n v="30122.58"/>
    <n v="8173.63"/>
    <n v="0"/>
  </r>
  <r>
    <x v="5919"/>
    <s v="Peconic Bay Medical Center"/>
    <n v="2015"/>
    <n v="7"/>
    <s v="Medicare"/>
    <x v="2"/>
    <s v="Medicare"/>
    <n v="20762.439999999999"/>
    <n v="6162.63"/>
    <n v="0"/>
  </r>
  <r>
    <x v="5920"/>
    <s v="Peconic Bay Medical Center"/>
    <n v="2015"/>
    <n v="7"/>
    <s v="Medicare"/>
    <x v="2"/>
    <s v="Medicare"/>
    <n v="28957.439999999999"/>
    <n v="6479.8"/>
    <n v="0"/>
  </r>
  <r>
    <x v="5921"/>
    <s v="Peconic Bay Medical Center"/>
    <n v="2015"/>
    <n v="7"/>
    <s v="Medicare"/>
    <x v="2"/>
    <s v="Medicare"/>
    <n v="44476.06"/>
    <n v="15056.55"/>
    <n v="0"/>
  </r>
  <r>
    <x v="5922"/>
    <s v="Peconic Bay Medical Center"/>
    <n v="2015"/>
    <n v="7"/>
    <s v="Medicare"/>
    <x v="2"/>
    <s v="Medicare"/>
    <n v="15853.48"/>
    <n v="3374.1"/>
    <n v="0"/>
  </r>
  <r>
    <x v="5923"/>
    <s v="Peconic Bay Medical Center"/>
    <n v="2015"/>
    <n v="7"/>
    <s v="Medicare"/>
    <x v="2"/>
    <s v="Medicare"/>
    <n v="55821.34"/>
    <n v="15913.31"/>
    <n v="0"/>
  </r>
  <r>
    <x v="5924"/>
    <s v="Peconic Bay Medical Center"/>
    <n v="2015"/>
    <n v="7"/>
    <s v="Medicare"/>
    <x v="2"/>
    <s v="Medicare"/>
    <n v="43177.32"/>
    <n v="13449.83"/>
    <n v="0"/>
  </r>
  <r>
    <x v="5925"/>
    <s v="Peconic Bay Medical Center"/>
    <n v="2015"/>
    <n v="7"/>
    <s v="Medicare"/>
    <x v="2"/>
    <s v="Medicare"/>
    <n v="34813.839999999997"/>
    <n v="10002.31"/>
    <n v="0"/>
  </r>
  <r>
    <x v="5926"/>
    <s v="Peconic Bay Medical Center"/>
    <n v="2015"/>
    <n v="7"/>
    <s v="Medicare"/>
    <x v="2"/>
    <s v="Medicare"/>
    <n v="31877.42"/>
    <n v="9691.61"/>
    <n v="0"/>
  </r>
  <r>
    <x v="5927"/>
    <s v="Peconic Bay Medical Center"/>
    <n v="2015"/>
    <n v="7"/>
    <s v="Medicare"/>
    <x v="2"/>
    <s v="Medicare"/>
    <n v="11744.14"/>
    <n v="2593.6799999999998"/>
    <n v="0"/>
  </r>
  <r>
    <x v="5928"/>
    <s v="Peconic Bay Medical Center"/>
    <n v="2015"/>
    <n v="7"/>
    <s v="Medicare"/>
    <x v="2"/>
    <s v="Medicare"/>
    <n v="64984.62"/>
    <n v="18893.84"/>
    <n v="0"/>
  </r>
  <r>
    <x v="5929"/>
    <s v="Peconic Bay Medical Center"/>
    <n v="2015"/>
    <n v="7"/>
    <s v="Medicare"/>
    <x v="2"/>
    <s v="Medicare"/>
    <n v="13128.2"/>
    <n v="6605.55"/>
    <n v="0"/>
  </r>
  <r>
    <x v="5930"/>
    <s v="Peconic Bay Medical Center"/>
    <n v="2015"/>
    <n v="7"/>
    <s v="Medicare"/>
    <x v="2"/>
    <s v="Medicare"/>
    <n v="34380.06"/>
    <n v="19621.96"/>
    <n v="0"/>
  </r>
  <r>
    <x v="5931"/>
    <s v="Peconic Bay Medical Center"/>
    <n v="2015"/>
    <n v="7"/>
    <s v="Medicare"/>
    <x v="2"/>
    <s v="Medicare"/>
    <n v="27286.400000000001"/>
    <n v="7350.21"/>
    <n v="0"/>
  </r>
  <r>
    <x v="5932"/>
    <s v="Peconic Bay Medical Center"/>
    <n v="2015"/>
    <n v="7"/>
    <s v="Medicare"/>
    <x v="2"/>
    <s v="Medicare"/>
    <n v="24794.6"/>
    <n v="7663.81"/>
    <n v="0"/>
  </r>
  <r>
    <x v="5933"/>
    <s v="Peconic Bay Medical Center"/>
    <n v="2015"/>
    <n v="7"/>
    <s v="Medicare"/>
    <x v="2"/>
    <s v="Medicare"/>
    <n v="24815.52"/>
    <n v="7267.6"/>
    <n v="0"/>
  </r>
  <r>
    <x v="5934"/>
    <s v="Peconic Bay Medical Center"/>
    <n v="2015"/>
    <n v="7"/>
    <s v="Medicare"/>
    <x v="2"/>
    <s v="Medicare"/>
    <n v="22058.400000000001"/>
    <n v="6421.91"/>
    <n v="0"/>
  </r>
  <r>
    <x v="5935"/>
    <s v="Peconic Bay Medical Center"/>
    <n v="2015"/>
    <n v="7"/>
    <s v="Medicare"/>
    <x v="2"/>
    <s v="Medicare"/>
    <n v="26637.24"/>
    <n v="7493.82"/>
    <n v="0"/>
  </r>
  <r>
    <x v="5936"/>
    <s v="Peconic Bay Medical Center"/>
    <n v="2015"/>
    <n v="7"/>
    <s v="Medicare"/>
    <x v="2"/>
    <s v="Medicare"/>
    <n v="82916.740000000005"/>
    <n v="23916.6"/>
    <n v="0"/>
  </r>
  <r>
    <x v="5937"/>
    <s v="Peconic Bay Medical Center"/>
    <n v="2015"/>
    <n v="7"/>
    <s v="Medicare"/>
    <x v="2"/>
    <s v="Medicare"/>
    <n v="18745.86"/>
    <n v="5343.21"/>
    <n v="0"/>
  </r>
  <r>
    <x v="5938"/>
    <s v="Peconic Bay Medical Center"/>
    <n v="2015"/>
    <n v="7"/>
    <s v="Medicare"/>
    <x v="2"/>
    <s v="Medicare"/>
    <n v="22763.64"/>
    <n v="6098.5"/>
    <n v="0"/>
  </r>
  <r>
    <x v="5939"/>
    <s v="Peconic Bay Medical Center"/>
    <n v="2015"/>
    <n v="7"/>
    <s v="Medicare"/>
    <x v="2"/>
    <s v="Medicare"/>
    <n v="24543.22"/>
    <n v="7535.38"/>
    <n v="0"/>
  </r>
  <r>
    <x v="5940"/>
    <s v="Peconic Bay Medical Center"/>
    <n v="2015"/>
    <n v="7"/>
    <s v="Medicare"/>
    <x v="2"/>
    <s v="Medicare"/>
    <n v="23946.28"/>
    <n v="5278.74"/>
    <n v="0"/>
  </r>
  <r>
    <x v="5941"/>
    <s v="Peconic Bay Medical Center"/>
    <n v="2015"/>
    <n v="7"/>
    <s v="Medicare"/>
    <x v="2"/>
    <s v="Medicare"/>
    <n v="16389.36"/>
    <n v="4674.41"/>
    <n v="0"/>
  </r>
  <r>
    <x v="5942"/>
    <s v="Peconic Bay Medical Center"/>
    <n v="2015"/>
    <n v="7"/>
    <s v="Medicare"/>
    <x v="2"/>
    <s v="Medicare"/>
    <n v="29187.68"/>
    <n v="8247.49"/>
    <n v="0"/>
  </r>
  <r>
    <x v="5943"/>
    <s v="Peconic Bay Medical Center"/>
    <n v="2015"/>
    <n v="7"/>
    <s v="Medicare"/>
    <x v="2"/>
    <s v="Medicare"/>
    <n v="32589.78"/>
    <n v="14623.27"/>
    <n v="0"/>
  </r>
  <r>
    <x v="5944"/>
    <s v="Peconic Bay Medical Center"/>
    <n v="2015"/>
    <n v="7"/>
    <s v="Medicare"/>
    <x v="2"/>
    <s v="Medicare"/>
    <n v="26179.26"/>
    <n v="7530.4"/>
    <n v="0"/>
  </r>
  <r>
    <x v="5945"/>
    <s v="Peconic Bay Medical Center"/>
    <n v="2015"/>
    <n v="7"/>
    <s v="Medicare"/>
    <x v="2"/>
    <s v="Medicare"/>
    <n v="48050.86"/>
    <n v="14881.39"/>
    <n v="0"/>
  </r>
  <r>
    <x v="5946"/>
    <s v="Peconic Bay Medical Center"/>
    <n v="2015"/>
    <n v="7"/>
    <s v="Medicare"/>
    <x v="2"/>
    <s v="Medicare"/>
    <n v="30454.7"/>
    <n v="9110.66"/>
    <n v="0"/>
  </r>
  <r>
    <x v="5947"/>
    <s v="Peconic Bay Medical Center"/>
    <n v="2015"/>
    <n v="7"/>
    <s v="Medicare"/>
    <x v="2"/>
    <s v="Medicare"/>
    <n v="31904.28"/>
    <n v="7927.65"/>
    <n v="0"/>
  </r>
  <r>
    <x v="5948"/>
    <s v="Peconic Bay Medical Center"/>
    <n v="2015"/>
    <n v="7"/>
    <s v="Medicare"/>
    <x v="2"/>
    <s v="Medicare"/>
    <n v="10915.54"/>
    <n v="3023.11"/>
    <n v="0"/>
  </r>
  <r>
    <x v="5949"/>
    <s v="Peconic Bay Medical Center"/>
    <n v="2015"/>
    <n v="7"/>
    <s v="Medicare"/>
    <x v="2"/>
    <s v="Medicare"/>
    <n v="13769.88"/>
    <n v="2929.41"/>
    <n v="0"/>
  </r>
  <r>
    <x v="5950"/>
    <s v="Peconic Bay Medical Center"/>
    <n v="2015"/>
    <n v="7"/>
    <s v="Medicare"/>
    <x v="2"/>
    <s v="Medicare"/>
    <n v="58455.360000000001"/>
    <n v="18537.169999999998"/>
    <n v="0"/>
  </r>
  <r>
    <x v="5951"/>
    <s v="Peconic Bay Medical Center"/>
    <n v="2015"/>
    <n v="7"/>
    <s v="Medicare"/>
    <x v="2"/>
    <s v="Medicare"/>
    <n v="25099.78"/>
    <n v="7292.13"/>
    <n v="0"/>
  </r>
  <r>
    <x v="5952"/>
    <s v="Peconic Bay Medical Center"/>
    <n v="2015"/>
    <n v="7"/>
    <s v="Medicare"/>
    <x v="2"/>
    <s v="Medicare"/>
    <n v="18794.919999999998"/>
    <n v="5295.21"/>
    <n v="0"/>
  </r>
  <r>
    <x v="5953"/>
    <s v="Peconic Bay Medical Center"/>
    <n v="2015"/>
    <n v="7"/>
    <s v="Medicare"/>
    <x v="2"/>
    <s v="Medicare"/>
    <n v="26713.68"/>
    <n v="8653.6299999999992"/>
    <n v="0"/>
  </r>
  <r>
    <x v="5954"/>
    <s v="Peconic Bay Medical Center"/>
    <n v="2015"/>
    <n v="7"/>
    <s v="Medicare"/>
    <x v="2"/>
    <s v="Medicare"/>
    <n v="52378.64"/>
    <n v="14177.22"/>
    <n v="0"/>
  </r>
  <r>
    <x v="5955"/>
    <s v="Peconic Bay Medical Center"/>
    <n v="2015"/>
    <n v="7"/>
    <s v="Medicare"/>
    <x v="2"/>
    <s v="Medicare"/>
    <n v="82632.7"/>
    <n v="53968.2"/>
    <n v="0"/>
  </r>
  <r>
    <x v="5956"/>
    <s v="Peconic Bay Medical Center"/>
    <n v="2015"/>
    <n v="7"/>
    <s v="Medicare"/>
    <x v="2"/>
    <s v="Medicare"/>
    <n v="58914"/>
    <n v="15830.32"/>
    <n v="0"/>
  </r>
  <r>
    <x v="5957"/>
    <s v="Peconic Bay Medical Center"/>
    <n v="2015"/>
    <n v="7"/>
    <s v="Medicare"/>
    <x v="2"/>
    <s v="Medicare"/>
    <n v="20928.96"/>
    <n v="6477.55"/>
    <n v="0"/>
  </r>
  <r>
    <x v="5958"/>
    <s v="Peconic Bay Medical Center"/>
    <n v="2015"/>
    <n v="7"/>
    <s v="Medicare"/>
    <x v="2"/>
    <s v="Medicare"/>
    <n v="18942.439999999999"/>
    <n v="5291.3"/>
    <n v="0"/>
  </r>
  <r>
    <x v="5959"/>
    <s v="Peconic Bay Medical Center"/>
    <n v="2015"/>
    <n v="7"/>
    <s v="Medicare"/>
    <x v="2"/>
    <s v="Medicare"/>
    <n v="48633.91"/>
    <n v="18274.25"/>
    <n v="0"/>
  </r>
  <r>
    <x v="5960"/>
    <s v="Peconic Bay Medical Center"/>
    <n v="2015"/>
    <n v="7"/>
    <s v="Medicare"/>
    <x v="2"/>
    <s v="Medicare"/>
    <n v="40679.040000000001"/>
    <n v="11765.3"/>
    <n v="0"/>
  </r>
  <r>
    <x v="5961"/>
    <s v="Peconic Bay Medical Center"/>
    <n v="2015"/>
    <n v="7"/>
    <s v="Medicare"/>
    <x v="2"/>
    <s v="Medicare"/>
    <n v="42057.120000000003"/>
    <n v="12114.03"/>
    <n v="0"/>
  </r>
  <r>
    <x v="5962"/>
    <s v="Peconic Bay Medical Center"/>
    <n v="2015"/>
    <n v="7"/>
    <s v="Medicare"/>
    <x v="2"/>
    <s v="Medicare"/>
    <n v="45649.1"/>
    <n v="12203.73"/>
    <n v="0"/>
  </r>
  <r>
    <x v="5963"/>
    <s v="Peconic Bay Medical Center"/>
    <n v="2015"/>
    <n v="7"/>
    <s v="Medicare"/>
    <x v="2"/>
    <s v="Medicare"/>
    <n v="51523.1"/>
    <n v="15564.69"/>
    <n v="0"/>
  </r>
  <r>
    <x v="5964"/>
    <s v="Peconic Bay Medical Center"/>
    <n v="2015"/>
    <n v="7"/>
    <s v="Medicare"/>
    <x v="2"/>
    <s v="Medicare"/>
    <n v="21878.44"/>
    <n v="6668.8"/>
    <n v="0"/>
  </r>
  <r>
    <x v="5965"/>
    <s v="Peconic Bay Medical Center"/>
    <n v="2015"/>
    <n v="7"/>
    <s v="Medicare"/>
    <x v="2"/>
    <s v="Medicare"/>
    <n v="50433.48"/>
    <n v="15316.55"/>
    <n v="0"/>
  </r>
  <r>
    <x v="5966"/>
    <s v="Peconic Bay Medical Center"/>
    <n v="2015"/>
    <n v="7"/>
    <s v="Medicare"/>
    <x v="2"/>
    <s v="Medicare"/>
    <n v="129963.66"/>
    <n v="48435.55"/>
    <n v="0"/>
  </r>
  <r>
    <x v="5967"/>
    <s v="Peconic Bay Medical Center"/>
    <n v="2015"/>
    <n v="7"/>
    <s v="Medicare"/>
    <x v="2"/>
    <s v="Medicare"/>
    <n v="63824.38"/>
    <n v="19351.900000000001"/>
    <n v="0"/>
  </r>
  <r>
    <x v="5968"/>
    <s v="Peconic Bay Medical Center"/>
    <n v="2015"/>
    <n v="7"/>
    <s v="Medicare"/>
    <x v="2"/>
    <s v="Medicare"/>
    <n v="33600.660000000003"/>
    <n v="9625.56"/>
    <n v="0"/>
  </r>
  <r>
    <x v="5969"/>
    <s v="Peconic Bay Medical Center"/>
    <n v="2015"/>
    <n v="7"/>
    <s v="Medicare"/>
    <x v="2"/>
    <s v="Medicare"/>
    <n v="35557.839999999997"/>
    <n v="10743.17"/>
    <n v="0"/>
  </r>
  <r>
    <x v="5970"/>
    <s v="Peconic Bay Medical Center"/>
    <n v="2015"/>
    <n v="7"/>
    <s v="Medicare"/>
    <x v="2"/>
    <s v="Medicare"/>
    <n v="16947.52"/>
    <n v="7128.02"/>
    <n v="0"/>
  </r>
  <r>
    <x v="5971"/>
    <s v="Peconic Bay Medical Center"/>
    <n v="2015"/>
    <n v="7"/>
    <s v="Medicare"/>
    <x v="2"/>
    <s v="Medicare"/>
    <n v="21605.24"/>
    <n v="6534.14"/>
    <n v="0"/>
  </r>
  <r>
    <x v="5972"/>
    <s v="Peconic Bay Medical Center"/>
    <n v="2015"/>
    <n v="7"/>
    <s v="Medicare"/>
    <x v="2"/>
    <s v="Medicare"/>
    <n v="52508.4"/>
    <n v="30559.34"/>
    <n v="0"/>
  </r>
  <r>
    <x v="5973"/>
    <s v="Peconic Bay Medical Center"/>
    <n v="2015"/>
    <n v="7"/>
    <s v="Medicare"/>
    <x v="2"/>
    <s v="Medicare"/>
    <n v="22562.3"/>
    <n v="6977.92"/>
    <n v="0"/>
  </r>
  <r>
    <x v="5974"/>
    <s v="Peconic Bay Medical Center"/>
    <n v="2015"/>
    <n v="7"/>
    <s v="Medicare"/>
    <x v="2"/>
    <s v="Medicare"/>
    <n v="16527.48"/>
    <n v="3082.55"/>
    <n v="0"/>
  </r>
  <r>
    <x v="5975"/>
    <s v="Peconic Bay Medical Center"/>
    <n v="2015"/>
    <n v="7"/>
    <s v="Medicare"/>
    <x v="2"/>
    <s v="Medicare"/>
    <n v="16597.88"/>
    <n v="4757.05"/>
    <n v="0"/>
  </r>
  <r>
    <x v="5976"/>
    <s v="Peconic Bay Medical Center"/>
    <n v="2015"/>
    <n v="7"/>
    <s v="Medicare"/>
    <x v="2"/>
    <s v="Medicare"/>
    <n v="23296.36"/>
    <n v="6848.56"/>
    <n v="0"/>
  </r>
  <r>
    <x v="5977"/>
    <s v="Peconic Bay Medical Center"/>
    <n v="2015"/>
    <n v="7"/>
    <s v="Medicare"/>
    <x v="2"/>
    <s v="Medicare"/>
    <n v="29592.16"/>
    <n v="9646.3799999999992"/>
    <n v="0"/>
  </r>
  <r>
    <x v="5978"/>
    <s v="Peconic Bay Medical Center"/>
    <n v="2015"/>
    <n v="7"/>
    <s v="Medicare"/>
    <x v="2"/>
    <s v="Medicare"/>
    <n v="13683.24"/>
    <n v="2825.77"/>
    <n v="0"/>
  </r>
  <r>
    <x v="5979"/>
    <s v="Peconic Bay Medical Center"/>
    <n v="2015"/>
    <n v="7"/>
    <s v="Medicare"/>
    <x v="2"/>
    <s v="Medicare"/>
    <n v="92419.48"/>
    <n v="28661.42"/>
    <n v="0"/>
  </r>
  <r>
    <x v="5980"/>
    <s v="Peconic Bay Medical Center"/>
    <n v="2015"/>
    <n v="7"/>
    <s v="Medicare"/>
    <x v="2"/>
    <s v="Medicare"/>
    <n v="17639.78"/>
    <n v="4621.8599999999997"/>
    <n v="0"/>
  </r>
  <r>
    <x v="5981"/>
    <s v="Peconic Bay Medical Center"/>
    <n v="2015"/>
    <n v="7"/>
    <s v="Medicare"/>
    <x v="2"/>
    <s v="Medicare"/>
    <n v="10485.200000000001"/>
    <n v="2561.6799999999998"/>
    <n v="0"/>
  </r>
  <r>
    <x v="5982"/>
    <s v="Peconic Bay Medical Center"/>
    <n v="2015"/>
    <n v="7"/>
    <s v="Medicare"/>
    <x v="2"/>
    <s v="Medicare"/>
    <n v="17161.66"/>
    <n v="3570.13"/>
    <n v="0"/>
  </r>
  <r>
    <x v="5983"/>
    <s v="Peconic Bay Medical Center"/>
    <n v="2015"/>
    <n v="7"/>
    <s v="Medicare"/>
    <x v="2"/>
    <s v="Medicare"/>
    <n v="52318.98"/>
    <n v="21930.62"/>
    <n v="0"/>
  </r>
  <r>
    <x v="5984"/>
    <s v="Peconic Bay Medical Center"/>
    <n v="2015"/>
    <n v="7"/>
    <s v="Medicare"/>
    <x v="2"/>
    <s v="Medicare"/>
    <n v="77960.240000000005"/>
    <n v="23775.86"/>
    <n v="0"/>
  </r>
  <r>
    <x v="5985"/>
    <s v="Peconic Bay Medical Center"/>
    <n v="2015"/>
    <n v="7"/>
    <s v="Medicare"/>
    <x v="2"/>
    <s v="Medicare"/>
    <n v="14402.3"/>
    <n v="4209.17"/>
    <n v="0"/>
  </r>
  <r>
    <x v="5986"/>
    <s v="Peconic Bay Medical Center"/>
    <n v="2015"/>
    <n v="7"/>
    <s v="Medicare"/>
    <x v="2"/>
    <s v="Medicare"/>
    <n v="16497.259999999998"/>
    <n v="3720.82"/>
    <n v="0"/>
  </r>
  <r>
    <x v="5987"/>
    <s v="Peconic Bay Medical Center"/>
    <n v="2015"/>
    <n v="7"/>
    <s v="Medicare"/>
    <x v="2"/>
    <s v="Medicare"/>
    <n v="63126.76"/>
    <n v="18065.3"/>
    <n v="0"/>
  </r>
  <r>
    <x v="5988"/>
    <s v="Peconic Bay Medical Center"/>
    <n v="2015"/>
    <n v="7"/>
    <s v="Medicare"/>
    <x v="2"/>
    <s v="Medicare"/>
    <n v="130702.26"/>
    <n v="40231.96"/>
    <n v="0"/>
  </r>
  <r>
    <x v="5989"/>
    <s v="Peconic Bay Medical Center"/>
    <n v="2015"/>
    <n v="7"/>
    <s v="Medicare"/>
    <x v="2"/>
    <s v="Medicare"/>
    <n v="20364.419999999998"/>
    <n v="6259.17"/>
    <n v="0"/>
  </r>
  <r>
    <x v="5990"/>
    <s v="Peconic Bay Medical Center"/>
    <n v="2015"/>
    <n v="7"/>
    <s v="Medicare"/>
    <x v="2"/>
    <s v="Medicare"/>
    <n v="12898.16"/>
    <n v="2685.26"/>
    <n v="0"/>
  </r>
  <r>
    <x v="5991"/>
    <s v="Peconic Bay Medical Center"/>
    <n v="2015"/>
    <n v="7"/>
    <s v="Medicare"/>
    <x v="2"/>
    <s v="Medicare"/>
    <n v="28479.3"/>
    <n v="8044.28"/>
    <n v="0"/>
  </r>
  <r>
    <x v="5992"/>
    <s v="Peconic Bay Medical Center"/>
    <n v="2015"/>
    <n v="7"/>
    <s v="Medicare"/>
    <x v="2"/>
    <s v="Medicare"/>
    <n v="226951.82"/>
    <n v="81347.66"/>
    <n v="0"/>
  </r>
  <r>
    <x v="5993"/>
    <s v="Peconic Bay Medical Center"/>
    <n v="2015"/>
    <n v="7"/>
    <s v="Medicare"/>
    <x v="2"/>
    <s v="Medicare"/>
    <n v="17870.740000000002"/>
    <n v="5074.21"/>
    <n v="0"/>
  </r>
  <r>
    <x v="5994"/>
    <s v="Peconic Bay Medical Center"/>
    <n v="2015"/>
    <n v="7"/>
    <s v="Medicare"/>
    <x v="2"/>
    <s v="Medicare"/>
    <n v="38623.040000000001"/>
    <n v="12654.12"/>
    <n v="0"/>
  </r>
  <r>
    <x v="5995"/>
    <s v="Peconic Bay Medical Center"/>
    <n v="2015"/>
    <n v="7"/>
    <s v="Medicare"/>
    <x v="2"/>
    <s v="Medicare"/>
    <n v="42332.34"/>
    <n v="12043.03"/>
    <n v="0"/>
  </r>
  <r>
    <x v="5996"/>
    <s v="Peconic Bay Medical Center"/>
    <n v="2015"/>
    <n v="7"/>
    <s v="Medicare"/>
    <x v="2"/>
    <s v="Medicare"/>
    <n v="33800.9"/>
    <n v="9511.92"/>
    <n v="0"/>
  </r>
  <r>
    <x v="5997"/>
    <s v="Peconic Bay Medical Center"/>
    <n v="2015"/>
    <n v="7"/>
    <s v="Medicare"/>
    <x v="2"/>
    <s v="Medicare"/>
    <n v="30303.94"/>
    <n v="8483.43"/>
    <n v="0"/>
  </r>
  <r>
    <x v="5998"/>
    <s v="Peconic Bay Medical Center"/>
    <n v="2015"/>
    <n v="7"/>
    <s v="Medicare"/>
    <x v="2"/>
    <s v="Medicare"/>
    <n v="15006.94"/>
    <n v="4451.25"/>
    <n v="0"/>
  </r>
  <r>
    <x v="5999"/>
    <s v="Peconic Bay Medical Center"/>
    <n v="2015"/>
    <n v="7"/>
    <s v="Medicare"/>
    <x v="2"/>
    <s v="Medicare"/>
    <n v="90606.31"/>
    <n v="44100.24"/>
    <n v="0"/>
  </r>
  <r>
    <x v="6000"/>
    <s v="Peconic Bay Medical Center"/>
    <n v="2015"/>
    <n v="7"/>
    <s v="Medicare"/>
    <x v="2"/>
    <s v="Medicare"/>
    <n v="64313.599999999999"/>
    <n v="37660.94"/>
    <n v="0"/>
  </r>
  <r>
    <x v="6001"/>
    <s v="Peconic Bay Medical Center"/>
    <n v="2015"/>
    <n v="7"/>
    <s v="Medicare"/>
    <x v="2"/>
    <s v="Medicare"/>
    <n v="17991.38"/>
    <n v="4816.3599999999997"/>
    <n v="0"/>
  </r>
  <r>
    <x v="6002"/>
    <s v="Peconic Bay Medical Center"/>
    <n v="2015"/>
    <n v="7"/>
    <s v="Medicare"/>
    <x v="2"/>
    <s v="Medicare"/>
    <n v="20515.36"/>
    <n v="5072.53"/>
    <n v="0"/>
  </r>
  <r>
    <x v="6003"/>
    <s v="Peconic Bay Medical Center"/>
    <n v="2015"/>
    <n v="7"/>
    <s v="Medicare"/>
    <x v="2"/>
    <s v="Medicare"/>
    <n v="16137.7"/>
    <n v="4667.1099999999997"/>
    <n v="0"/>
  </r>
  <r>
    <x v="6004"/>
    <s v="Peconic Bay Medical Center"/>
    <n v="2015"/>
    <n v="7"/>
    <s v="Medicare"/>
    <x v="2"/>
    <s v="Medicare"/>
    <n v="42376.480000000003"/>
    <n v="12656.41"/>
    <n v="0"/>
  </r>
  <r>
    <x v="6005"/>
    <s v="Peconic Bay Medical Center"/>
    <n v="2015"/>
    <n v="7"/>
    <s v="Medicare"/>
    <x v="2"/>
    <s v="Medicare"/>
    <n v="65377.54"/>
    <n v="26027.4"/>
    <n v="0"/>
  </r>
  <r>
    <x v="6006"/>
    <s v="Peconic Bay Medical Center"/>
    <n v="2015"/>
    <n v="7"/>
    <s v="Medicare"/>
    <x v="2"/>
    <s v="Medicare"/>
    <n v="13648.28"/>
    <n v="6842.62"/>
    <n v="0"/>
  </r>
  <r>
    <x v="6007"/>
    <s v="Peconic Bay Medical Center"/>
    <n v="2015"/>
    <n v="7"/>
    <s v="Medicare"/>
    <x v="2"/>
    <s v="Medicare"/>
    <n v="61051.78"/>
    <n v="30875.5"/>
    <n v="0"/>
  </r>
  <r>
    <x v="6008"/>
    <s v="Peconic Bay Medical Center"/>
    <n v="2015"/>
    <n v="7"/>
    <s v="Medicare"/>
    <x v="2"/>
    <s v="Medicare"/>
    <n v="31421.02"/>
    <n v="5548.49"/>
    <n v="0"/>
  </r>
  <r>
    <x v="6009"/>
    <s v="Peconic Bay Medical Center"/>
    <n v="2015"/>
    <n v="7"/>
    <s v="Medicare"/>
    <x v="2"/>
    <s v="Medicare"/>
    <n v="40092.32"/>
    <n v="12345.16"/>
    <n v="0"/>
  </r>
  <r>
    <x v="6010"/>
    <s v="Peconic Bay Medical Center"/>
    <n v="2015"/>
    <n v="7"/>
    <s v="Medicare"/>
    <x v="2"/>
    <s v="Medicare"/>
    <n v="33239.620000000003"/>
    <n v="9790.32"/>
    <n v="0"/>
  </r>
  <r>
    <x v="6011"/>
    <s v="Peconic Bay Medical Center"/>
    <n v="2015"/>
    <n v="7"/>
    <s v="Medicare"/>
    <x v="2"/>
    <s v="Medicare"/>
    <n v="36544.68"/>
    <n v="9923.7900000000009"/>
    <n v="0"/>
  </r>
  <r>
    <x v="6012"/>
    <s v="Peconic Bay Medical Center"/>
    <n v="2015"/>
    <n v="7"/>
    <s v="Medicare"/>
    <x v="2"/>
    <s v="Medicare"/>
    <n v="76134.98"/>
    <n v="21854.45"/>
    <n v="0"/>
  </r>
  <r>
    <x v="6013"/>
    <s v="Peconic Bay Medical Center"/>
    <n v="2015"/>
    <n v="7"/>
    <s v="Medicare"/>
    <x v="2"/>
    <s v="Medicare"/>
    <n v="12634.52"/>
    <n v="2774.87"/>
    <n v="0"/>
  </r>
  <r>
    <x v="6014"/>
    <s v="Peconic Bay Medical Center"/>
    <n v="2015"/>
    <n v="7"/>
    <s v="Medicare"/>
    <x v="2"/>
    <s v="Medicare"/>
    <n v="41728.019999999997"/>
    <n v="13332.41"/>
    <n v="0"/>
  </r>
  <r>
    <x v="6015"/>
    <s v="Peconic Bay Medical Center"/>
    <n v="2015"/>
    <n v="7"/>
    <s v="Medicare"/>
    <x v="2"/>
    <s v="Medicare"/>
    <n v="75398"/>
    <n v="30163.57"/>
    <n v="0"/>
  </r>
  <r>
    <x v="6016"/>
    <s v="Peconic Bay Medical Center"/>
    <n v="2015"/>
    <n v="7"/>
    <s v="Medicare"/>
    <x v="2"/>
    <s v="Medicare"/>
    <n v="16660.7"/>
    <n v="5195.8500000000004"/>
    <n v="0"/>
  </r>
  <r>
    <x v="6017"/>
    <s v="Peconic Bay Medical Center"/>
    <n v="2015"/>
    <n v="7"/>
    <s v="Medicare"/>
    <x v="2"/>
    <s v="Medicare"/>
    <n v="63556.1"/>
    <n v="39532.160000000003"/>
    <n v="0"/>
  </r>
  <r>
    <x v="6018"/>
    <s v="Peconic Bay Medical Center"/>
    <n v="2015"/>
    <n v="7"/>
    <s v="Medicare"/>
    <x v="2"/>
    <s v="Medicare"/>
    <n v="36797.800000000003"/>
    <n v="10154.61"/>
    <n v="0"/>
  </r>
  <r>
    <x v="6019"/>
    <s v="Peconic Bay Medical Center"/>
    <n v="2015"/>
    <n v="7"/>
    <s v="Medicare"/>
    <x v="2"/>
    <s v="Medicare"/>
    <n v="43114.5"/>
    <n v="14133.58"/>
    <n v="0"/>
  </r>
  <r>
    <x v="6020"/>
    <s v="Peconic Bay Medical Center"/>
    <n v="2015"/>
    <n v="7"/>
    <s v="Medicare"/>
    <x v="2"/>
    <s v="Medicare"/>
    <n v="13946.28"/>
    <n v="4092.6"/>
    <n v="0"/>
  </r>
  <r>
    <x v="6021"/>
    <s v="Peconic Bay Medical Center"/>
    <n v="2015"/>
    <n v="7"/>
    <s v="Medicare"/>
    <x v="2"/>
    <s v="Medicare"/>
    <n v="30037.5"/>
    <n v="9589.36"/>
    <n v="0"/>
  </r>
  <r>
    <x v="6022"/>
    <s v="Peconic Bay Medical Center"/>
    <n v="2015"/>
    <n v="7"/>
    <s v="Medicare"/>
    <x v="2"/>
    <s v="Medicare"/>
    <n v="19423.2"/>
    <n v="4679.7"/>
    <n v="0"/>
  </r>
  <r>
    <x v="6023"/>
    <s v="Peconic Bay Medical Center"/>
    <n v="2015"/>
    <n v="7"/>
    <s v="Medicare"/>
    <x v="2"/>
    <s v="Medicare"/>
    <n v="40916.980000000003"/>
    <n v="11640.72"/>
    <n v="0"/>
  </r>
  <r>
    <x v="6024"/>
    <s v="Peconic Bay Medical Center"/>
    <n v="2015"/>
    <n v="7"/>
    <s v="Medicare"/>
    <x v="2"/>
    <s v="Medicare"/>
    <n v="34606.639999999999"/>
    <n v="10233.23"/>
    <n v="0"/>
  </r>
  <r>
    <x v="6025"/>
    <s v="Peconic Bay Medical Center"/>
    <n v="2015"/>
    <n v="7"/>
    <s v="Medicare"/>
    <x v="2"/>
    <s v="Medicare"/>
    <n v="45285.82"/>
    <n v="13496.73"/>
    <n v="0"/>
  </r>
  <r>
    <x v="6026"/>
    <s v="Peconic Bay Medical Center"/>
    <n v="2015"/>
    <n v="7"/>
    <s v="Medicare"/>
    <x v="2"/>
    <s v="Medicare"/>
    <n v="65060.06"/>
    <n v="20237.599999999999"/>
    <n v="0"/>
  </r>
  <r>
    <x v="6027"/>
    <s v="Peconic Bay Medical Center"/>
    <n v="2015"/>
    <n v="7"/>
    <s v="Medicare"/>
    <x v="2"/>
    <s v="Medicare"/>
    <n v="72266.899999999994"/>
    <n v="22046.61"/>
    <n v="0"/>
  </r>
  <r>
    <x v="6028"/>
    <s v="Peconic Bay Medical Center"/>
    <n v="2015"/>
    <n v="7"/>
    <s v="Medicare"/>
    <x v="2"/>
    <s v="Medicare"/>
    <n v="47685.18"/>
    <n v="14573.76"/>
    <n v="0"/>
  </r>
  <r>
    <x v="6029"/>
    <s v="Peconic Bay Medical Center"/>
    <n v="2015"/>
    <n v="7"/>
    <s v="Medicare"/>
    <x v="2"/>
    <s v="Medicare"/>
    <n v="24394.7"/>
    <n v="4911.97"/>
    <n v="0"/>
  </r>
  <r>
    <x v="6030"/>
    <s v="Peconic Bay Medical Center"/>
    <n v="2015"/>
    <n v="7"/>
    <s v="Medicare"/>
    <x v="2"/>
    <s v="Medicare"/>
    <n v="24471.279999999999"/>
    <n v="6673.6"/>
    <n v="0"/>
  </r>
  <r>
    <x v="6031"/>
    <s v="Peconic Bay Medical Center"/>
    <n v="2015"/>
    <n v="7"/>
    <s v="Medicare"/>
    <x v="2"/>
    <s v="Medicare"/>
    <n v="24366.34"/>
    <n v="7708.15"/>
    <n v="0"/>
  </r>
  <r>
    <x v="6032"/>
    <s v="Peconic Bay Medical Center"/>
    <n v="2015"/>
    <n v="7"/>
    <s v="Medicare"/>
    <x v="2"/>
    <s v="Medicare"/>
    <n v="24720.7"/>
    <n v="7075.21"/>
    <n v="0"/>
  </r>
  <r>
    <x v="6033"/>
    <s v="Peconic Bay Medical Center"/>
    <n v="2015"/>
    <n v="7"/>
    <s v="Medicare"/>
    <x v="2"/>
    <s v="Medicare"/>
    <n v="33371.879999999997"/>
    <n v="9048.26"/>
    <n v="0"/>
  </r>
  <r>
    <x v="6034"/>
    <s v="Peconic Bay Medical Center"/>
    <n v="2015"/>
    <n v="7"/>
    <s v="Medicare"/>
    <x v="2"/>
    <s v="Medicare"/>
    <n v="136837"/>
    <n v="109451.47"/>
    <n v="0"/>
  </r>
  <r>
    <x v="6035"/>
    <s v="Peconic Bay Medical Center"/>
    <n v="2015"/>
    <n v="7"/>
    <s v="Medicare"/>
    <x v="2"/>
    <s v="Medicare"/>
    <n v="52407.6"/>
    <n v="12162.9"/>
    <n v="0"/>
  </r>
  <r>
    <x v="6036"/>
    <s v="Peconic Bay Medical Center"/>
    <n v="2015"/>
    <n v="7"/>
    <s v="Medicare"/>
    <x v="2"/>
    <s v="Medicare"/>
    <n v="26168.44"/>
    <n v="7428.4"/>
    <n v="0"/>
  </r>
  <r>
    <x v="6037"/>
    <s v="Peconic Bay Medical Center"/>
    <n v="2015"/>
    <n v="7"/>
    <s v="Medicare"/>
    <x v="2"/>
    <s v="Medicare"/>
    <n v="19301.240000000002"/>
    <n v="3321.34"/>
    <n v="0"/>
  </r>
  <r>
    <x v="6038"/>
    <s v="Peconic Bay Medical Center"/>
    <n v="2015"/>
    <n v="7"/>
    <s v="Medicare"/>
    <x v="2"/>
    <s v="Medicare"/>
    <n v="42167.040000000001"/>
    <n v="10386.64"/>
    <n v="0"/>
  </r>
  <r>
    <x v="6039"/>
    <s v="Peconic Bay Medical Center"/>
    <n v="2015"/>
    <n v="7"/>
    <s v="Medicare"/>
    <x v="2"/>
    <s v="Medicare"/>
    <n v="71925.58"/>
    <n v="31167.1"/>
    <n v="0"/>
  </r>
  <r>
    <x v="6040"/>
    <s v="Peconic Bay Medical Center"/>
    <n v="2015"/>
    <n v="7"/>
    <s v="Medicare"/>
    <x v="2"/>
    <s v="Medicare"/>
    <n v="43238.66"/>
    <n v="11947.69"/>
    <n v="0"/>
  </r>
  <r>
    <x v="6041"/>
    <s v="Peconic Bay Medical Center"/>
    <n v="2015"/>
    <n v="7"/>
    <s v="Medicare"/>
    <x v="2"/>
    <s v="Medicare"/>
    <n v="32430.32"/>
    <n v="8348.09"/>
    <n v="0"/>
  </r>
  <r>
    <x v="6042"/>
    <s v="Peconic Bay Medical Center"/>
    <n v="2015"/>
    <n v="7"/>
    <s v="Medicare"/>
    <x v="2"/>
    <s v="Medicare"/>
    <n v="26862.240000000002"/>
    <n v="7351.26"/>
    <n v="0"/>
  </r>
  <r>
    <x v="6043"/>
    <s v="Peconic Bay Medical Center"/>
    <n v="2015"/>
    <n v="7"/>
    <s v="Medicare"/>
    <x v="2"/>
    <s v="Medicare"/>
    <n v="19961.36"/>
    <n v="5604.02"/>
    <n v="0"/>
  </r>
  <r>
    <x v="6044"/>
    <s v="Peconic Bay Medical Center"/>
    <n v="2015"/>
    <n v="7"/>
    <s v="Medicare"/>
    <x v="2"/>
    <s v="Medicare"/>
    <n v="29312.560000000001"/>
    <n v="8142.6"/>
    <n v="0"/>
  </r>
  <r>
    <x v="6045"/>
    <s v="Peconic Bay Medical Center"/>
    <n v="2015"/>
    <n v="7"/>
    <s v="Medicare"/>
    <x v="2"/>
    <s v="Medicare"/>
    <n v="26929.46"/>
    <n v="7841.16"/>
    <n v="0"/>
  </r>
  <r>
    <x v="6046"/>
    <s v="Peconic Bay Medical Center"/>
    <n v="2015"/>
    <n v="7"/>
    <s v="Medicare"/>
    <x v="2"/>
    <s v="Medicare"/>
    <n v="68732.28"/>
    <n v="20317.14"/>
    <n v="0"/>
  </r>
  <r>
    <x v="6047"/>
    <s v="Peconic Bay Medical Center"/>
    <n v="2015"/>
    <n v="7"/>
    <s v="Medicare"/>
    <x v="2"/>
    <s v="Medicare"/>
    <n v="66170.039999999994"/>
    <n v="29365.72"/>
    <n v="0"/>
  </r>
  <r>
    <x v="6048"/>
    <s v="Peconic Bay Medical Center"/>
    <n v="2015"/>
    <n v="7"/>
    <s v="Medicare"/>
    <x v="2"/>
    <s v="Medicare"/>
    <n v="105853"/>
    <n v="61881.06"/>
    <n v="0"/>
  </r>
  <r>
    <x v="6049"/>
    <s v="Peconic Bay Medical Center"/>
    <n v="2015"/>
    <n v="7"/>
    <s v="Medicare"/>
    <x v="2"/>
    <s v="Medicare"/>
    <n v="32825.440000000002"/>
    <n v="7768.41"/>
    <n v="0"/>
  </r>
  <r>
    <x v="6050"/>
    <s v="Peconic Bay Medical Center"/>
    <n v="2015"/>
    <n v="7"/>
    <s v="Medicare"/>
    <x v="2"/>
    <s v="Medicare"/>
    <n v="18235.599999999999"/>
    <n v="5394.33"/>
    <n v="0"/>
  </r>
  <r>
    <x v="6051"/>
    <s v="Peconic Bay Medical Center"/>
    <n v="2015"/>
    <n v="7"/>
    <s v="Medicare"/>
    <x v="2"/>
    <s v="Medicare"/>
    <n v="65051.32"/>
    <n v="32643.79"/>
    <n v="0"/>
  </r>
  <r>
    <x v="6052"/>
    <s v="Peconic Bay Medical Center"/>
    <n v="2015"/>
    <n v="7"/>
    <s v="Medicare"/>
    <x v="2"/>
    <s v="Medicare"/>
    <n v="12161.86"/>
    <n v="2791.46"/>
    <n v="0"/>
  </r>
  <r>
    <x v="6053"/>
    <s v="Peconic Bay Medical Center"/>
    <n v="2015"/>
    <n v="7"/>
    <s v="Medicare"/>
    <x v="2"/>
    <s v="Medicare"/>
    <n v="13745.36"/>
    <n v="3124.71"/>
    <n v="0"/>
  </r>
  <r>
    <x v="6054"/>
    <s v="Peconic Bay Medical Center"/>
    <n v="2015"/>
    <n v="7"/>
    <s v="Medicare"/>
    <x v="2"/>
    <s v="Medicare"/>
    <n v="20943.099999999999"/>
    <n v="3722.66"/>
    <n v="0"/>
  </r>
  <r>
    <x v="6055"/>
    <s v="Peconic Bay Medical Center"/>
    <n v="2015"/>
    <n v="7"/>
    <s v="Medicare"/>
    <x v="2"/>
    <s v="Medicare"/>
    <n v="22824.22"/>
    <n v="6081.41"/>
    <n v="0"/>
  </r>
  <r>
    <x v="6056"/>
    <s v="Peconic Bay Medical Center"/>
    <n v="2015"/>
    <n v="7"/>
    <s v="Medicare"/>
    <x v="2"/>
    <s v="Medicare"/>
    <n v="31763.759999999998"/>
    <n v="9582.66"/>
    <n v="0"/>
  </r>
  <r>
    <x v="6057"/>
    <s v="Peconic Bay Medical Center"/>
    <n v="2015"/>
    <n v="7"/>
    <s v="Medicare"/>
    <x v="2"/>
    <s v="Medicare"/>
    <n v="41786.22"/>
    <n v="12974.44"/>
    <n v="0"/>
  </r>
  <r>
    <x v="6058"/>
    <s v="Peconic Bay Medical Center"/>
    <n v="2015"/>
    <n v="7"/>
    <s v="Medicare"/>
    <x v="2"/>
    <s v="Medicare"/>
    <n v="47949.82"/>
    <n v="14838.35"/>
    <n v="0"/>
  </r>
  <r>
    <x v="6059"/>
    <s v="Peconic Bay Medical Center"/>
    <n v="2015"/>
    <n v="7"/>
    <s v="Medicare"/>
    <x v="2"/>
    <s v="Medicare"/>
    <n v="18033.84"/>
    <n v="5204.9399999999996"/>
    <n v="0"/>
  </r>
  <r>
    <x v="6060"/>
    <s v="Peconic Bay Medical Center"/>
    <n v="2015"/>
    <n v="7"/>
    <s v="Medicare"/>
    <x v="2"/>
    <s v="Medicare"/>
    <n v="27238.880000000001"/>
    <n v="8341.25"/>
    <n v="0"/>
  </r>
  <r>
    <x v="6061"/>
    <s v="Peconic Bay Medical Center"/>
    <n v="2015"/>
    <n v="7"/>
    <s v="Medicare"/>
    <x v="2"/>
    <s v="Medicare"/>
    <n v="16941.14"/>
    <n v="2620.06"/>
    <n v="0"/>
  </r>
  <r>
    <x v="6062"/>
    <s v="Peconic Bay Medical Center"/>
    <n v="2015"/>
    <n v="7"/>
    <s v="Medicare"/>
    <x v="2"/>
    <s v="Medicare"/>
    <n v="29670.5"/>
    <n v="8719.4500000000007"/>
    <n v="0"/>
  </r>
  <r>
    <x v="6063"/>
    <s v="Peconic Bay Medical Center"/>
    <n v="2015"/>
    <n v="7"/>
    <s v="Medicare"/>
    <x v="2"/>
    <s v="Medicare"/>
    <n v="8137.24"/>
    <n v="2257.08"/>
    <n v="0"/>
  </r>
  <r>
    <x v="6064"/>
    <s v="Peconic Bay Medical Center"/>
    <n v="2015"/>
    <n v="7"/>
    <s v="Medicare"/>
    <x v="2"/>
    <s v="Medicare"/>
    <n v="20830.939999999999"/>
    <n v="6317.14"/>
    <n v="0"/>
  </r>
  <r>
    <x v="6065"/>
    <s v="Peconic Bay Medical Center"/>
    <n v="2015"/>
    <n v="7"/>
    <s v="Medicare"/>
    <x v="2"/>
    <s v="Medicare"/>
    <n v="27473.96"/>
    <n v="6524.95"/>
    <n v="0"/>
  </r>
  <r>
    <x v="6066"/>
    <s v="Peconic Bay Medical Center"/>
    <n v="2015"/>
    <n v="7"/>
    <s v="Medicare"/>
    <x v="2"/>
    <s v="Medicare"/>
    <n v="56236.94"/>
    <n v="15652.32"/>
    <n v="0"/>
  </r>
  <r>
    <x v="6067"/>
    <s v="Peconic Bay Medical Center"/>
    <n v="2015"/>
    <n v="7"/>
    <s v="Medicare"/>
    <x v="2"/>
    <s v="Medicare"/>
    <n v="9355.24"/>
    <n v="2558.36"/>
    <n v="0"/>
  </r>
  <r>
    <x v="6068"/>
    <s v="Peconic Bay Medical Center"/>
    <n v="2015"/>
    <n v="7"/>
    <s v="Medicare"/>
    <x v="2"/>
    <s v="Medicare"/>
    <n v="69471.44"/>
    <n v="46305.03"/>
    <n v="0"/>
  </r>
  <r>
    <x v="6069"/>
    <s v="Peconic Bay Medical Center"/>
    <n v="2015"/>
    <n v="7"/>
    <s v="Medicare"/>
    <x v="2"/>
    <s v="Medicare"/>
    <n v="19191.560000000001"/>
    <n v="5919.01"/>
    <n v="0"/>
  </r>
  <r>
    <x v="6070"/>
    <s v="Peconic Bay Medical Center"/>
    <n v="2015"/>
    <n v="7"/>
    <s v="Medicare"/>
    <x v="2"/>
    <s v="Medicare"/>
    <n v="47791.64"/>
    <n v="14149.99"/>
    <n v="0"/>
  </r>
  <r>
    <x v="6071"/>
    <s v="Peconic Bay Medical Center"/>
    <n v="2015"/>
    <n v="7"/>
    <s v="Medicare"/>
    <x v="2"/>
    <s v="Medicare"/>
    <n v="14225.6"/>
    <n v="3305.76"/>
    <n v="0"/>
  </r>
  <r>
    <x v="6072"/>
    <s v="Peconic Bay Medical Center"/>
    <n v="2015"/>
    <n v="7"/>
    <s v="Medicare"/>
    <x v="2"/>
    <s v="Medicare"/>
    <n v="14863.4"/>
    <n v="6544.05"/>
    <n v="0"/>
  </r>
  <r>
    <x v="6073"/>
    <s v="Peconic Bay Medical Center"/>
    <n v="2015"/>
    <n v="7"/>
    <s v="Medicare"/>
    <x v="2"/>
    <s v="Medicare"/>
    <n v="39376.639999999999"/>
    <n v="10936.16"/>
    <n v="0"/>
  </r>
  <r>
    <x v="6074"/>
    <s v="Peconic Bay Medical Center"/>
    <n v="2015"/>
    <n v="7"/>
    <s v="Medicare"/>
    <x v="2"/>
    <s v="Medicare"/>
    <n v="32400.84"/>
    <n v="9250.9"/>
    <n v="0"/>
  </r>
  <r>
    <x v="6075"/>
    <s v="Peconic Bay Medical Center"/>
    <n v="2015"/>
    <n v="7"/>
    <s v="Medicare"/>
    <x v="2"/>
    <s v="Medicare"/>
    <n v="54506.86"/>
    <n v="26406.560000000001"/>
    <n v="0"/>
  </r>
  <r>
    <x v="6076"/>
    <s v="Peconic Bay Medical Center"/>
    <n v="2015"/>
    <n v="7"/>
    <s v="Medicare"/>
    <x v="2"/>
    <s v="Medicare"/>
    <n v="52244"/>
    <n v="15510.54"/>
    <n v="0"/>
  </r>
  <r>
    <x v="6077"/>
    <s v="Peconic Bay Medical Center"/>
    <n v="2015"/>
    <n v="7"/>
    <s v="Medicare"/>
    <x v="2"/>
    <s v="Medicare"/>
    <n v="20772.34"/>
    <n v="6252.08"/>
    <n v="0"/>
  </r>
  <r>
    <x v="6078"/>
    <s v="Peconic Bay Medical Center"/>
    <n v="2015"/>
    <n v="7"/>
    <s v="Medicare"/>
    <x v="2"/>
    <s v="Medicare"/>
    <n v="90831.22"/>
    <n v="35728.620000000003"/>
    <n v="0"/>
  </r>
  <r>
    <x v="6079"/>
    <s v="Peconic Bay Medical Center"/>
    <n v="2015"/>
    <n v="7"/>
    <s v="Medicare"/>
    <x v="2"/>
    <s v="Medicare"/>
    <n v="28257.34"/>
    <n v="7770.4"/>
    <n v="0"/>
  </r>
  <r>
    <x v="6080"/>
    <s v="Peconic Bay Medical Center"/>
    <n v="2015"/>
    <n v="7"/>
    <s v="Medicare"/>
    <x v="2"/>
    <s v="Medicare"/>
    <n v="80173.64"/>
    <n v="24599.3"/>
    <n v="0"/>
  </r>
  <r>
    <x v="6081"/>
    <s v="Peconic Bay Medical Center"/>
    <n v="2015"/>
    <n v="7"/>
    <s v="Medicare"/>
    <x v="2"/>
    <s v="Medicare"/>
    <n v="9880.9"/>
    <n v="2259.16"/>
    <n v="0"/>
  </r>
  <r>
    <x v="6082"/>
    <s v="Peconic Bay Medical Center"/>
    <n v="2015"/>
    <n v="7"/>
    <s v="Medicare"/>
    <x v="2"/>
    <s v="Medicare"/>
    <n v="90378.04"/>
    <n v="51638.2"/>
    <n v="0"/>
  </r>
  <r>
    <x v="6083"/>
    <s v="Peconic Bay Medical Center"/>
    <n v="2015"/>
    <n v="7"/>
    <s v="Medicare"/>
    <x v="2"/>
    <s v="Medicare"/>
    <n v="19476.919999999998"/>
    <n v="3512.68"/>
    <n v="0"/>
  </r>
  <r>
    <x v="6084"/>
    <s v="Peconic Bay Medical Center"/>
    <n v="2015"/>
    <n v="7"/>
    <s v="Medicare"/>
    <x v="2"/>
    <s v="Medicare"/>
    <n v="18820.78"/>
    <n v="4825.34"/>
    <n v="0"/>
  </r>
  <r>
    <x v="6085"/>
    <s v="Peconic Bay Medical Center"/>
    <n v="2015"/>
    <n v="7"/>
    <s v="Medicare"/>
    <x v="2"/>
    <s v="Medicare"/>
    <n v="30196.26"/>
    <n v="9970.7800000000007"/>
    <n v="0"/>
  </r>
  <r>
    <x v="6086"/>
    <s v="Peconic Bay Medical Center"/>
    <n v="2015"/>
    <n v="7"/>
    <s v="Medicare"/>
    <x v="2"/>
    <s v="Medicare"/>
    <n v="87990.56"/>
    <n v="56324.17"/>
    <n v="0"/>
  </r>
  <r>
    <x v="6087"/>
    <s v="Peconic Bay Medical Center"/>
    <n v="2015"/>
    <n v="7"/>
    <s v="Medicare"/>
    <x v="2"/>
    <s v="Medicare"/>
    <n v="33274.980000000003"/>
    <n v="8725.86"/>
    <n v="0"/>
  </r>
  <r>
    <x v="6088"/>
    <s v="Peconic Bay Medical Center"/>
    <n v="2015"/>
    <n v="7"/>
    <s v="Medicare"/>
    <x v="2"/>
    <s v="Medicare"/>
    <n v="42332.72"/>
    <n v="20286.5"/>
    <n v="0"/>
  </r>
  <r>
    <x v="6089"/>
    <s v="Peconic Bay Medical Center"/>
    <n v="2015"/>
    <n v="7"/>
    <s v="Medicare"/>
    <x v="2"/>
    <s v="Medicare"/>
    <n v="128248.46"/>
    <n v="43016.43"/>
    <n v="0"/>
  </r>
  <r>
    <x v="6090"/>
    <s v="Peconic Bay Medical Center"/>
    <n v="2015"/>
    <n v="7"/>
    <s v="Medicare"/>
    <x v="2"/>
    <s v="Medicare"/>
    <n v="36491.760000000002"/>
    <n v="10116.84"/>
    <n v="0"/>
  </r>
  <r>
    <x v="6091"/>
    <s v="Peconic Bay Medical Center"/>
    <n v="2015"/>
    <n v="7"/>
    <s v="Medicare"/>
    <x v="2"/>
    <s v="Medicare"/>
    <n v="69436.800000000003"/>
    <n v="22117.34"/>
    <n v="0"/>
  </r>
  <r>
    <x v="6092"/>
    <s v="Peconic Bay Medical Center"/>
    <n v="2015"/>
    <n v="7"/>
    <s v="Medicare"/>
    <x v="2"/>
    <s v="Medicare"/>
    <n v="35576.32"/>
    <n v="10644.35"/>
    <n v="0"/>
  </r>
  <r>
    <x v="6093"/>
    <s v="Peconic Bay Medical Center"/>
    <n v="2015"/>
    <n v="7"/>
    <s v="Medicare"/>
    <x v="2"/>
    <s v="Medicare"/>
    <n v="44734.78"/>
    <n v="19368.560000000001"/>
    <n v="0"/>
  </r>
  <r>
    <x v="6094"/>
    <s v="Peconic Bay Medical Center"/>
    <n v="2015"/>
    <n v="7"/>
    <s v="Medicare"/>
    <x v="2"/>
    <s v="Medicare"/>
    <n v="29945.360000000001"/>
    <n v="8604.0400000000009"/>
    <n v="0"/>
  </r>
  <r>
    <x v="6095"/>
    <s v="Peconic Bay Medical Center"/>
    <n v="2015"/>
    <n v="7"/>
    <s v="Medicare"/>
    <x v="2"/>
    <s v="Medicare"/>
    <n v="12249.24"/>
    <n v="2790.86"/>
    <n v="0"/>
  </r>
  <r>
    <x v="6096"/>
    <s v="Peconic Bay Medical Center"/>
    <n v="2015"/>
    <n v="7"/>
    <s v="Medicare"/>
    <x v="2"/>
    <s v="Medicare"/>
    <n v="16587.439999999999"/>
    <n v="2604.1799999999998"/>
    <n v="0"/>
  </r>
  <r>
    <x v="6097"/>
    <s v="Peconic Bay Medical Center"/>
    <n v="2015"/>
    <n v="7"/>
    <s v="Medicare"/>
    <x v="2"/>
    <s v="Medicare"/>
    <n v="15765.98"/>
    <n v="4750"/>
    <n v="0"/>
  </r>
  <r>
    <x v="6098"/>
    <s v="Peconic Bay Medical Center"/>
    <n v="2015"/>
    <n v="7"/>
    <s v="Medicare"/>
    <x v="2"/>
    <s v="Medicare"/>
    <n v="132335.29999999999"/>
    <n v="57891.25"/>
    <n v="0"/>
  </r>
  <r>
    <x v="6099"/>
    <s v="Peconic Bay Medical Center"/>
    <n v="2015"/>
    <n v="7"/>
    <s v="Medicare"/>
    <x v="2"/>
    <s v="Medicare"/>
    <n v="44052.160000000003"/>
    <n v="12819.03"/>
    <n v="0"/>
  </r>
  <r>
    <x v="6100"/>
    <s v="Peconic Bay Medical Center"/>
    <n v="2015"/>
    <n v="7"/>
    <s v="Medicare"/>
    <x v="2"/>
    <s v="Medicare"/>
    <n v="81369.899999999994"/>
    <n v="41554.410000000003"/>
    <n v="0"/>
  </r>
  <r>
    <x v="6101"/>
    <s v="Peconic Bay Medical Center"/>
    <n v="2015"/>
    <n v="7"/>
    <s v="Medicare"/>
    <x v="2"/>
    <s v="Medicare"/>
    <n v="45859.38"/>
    <n v="11125.66"/>
    <n v="0"/>
  </r>
  <r>
    <x v="6102"/>
    <s v="Peconic Bay Medical Center"/>
    <n v="2015"/>
    <n v="7"/>
    <s v="Medicare"/>
    <x v="2"/>
    <s v="Medicare"/>
    <n v="29196.9"/>
    <n v="8391.84"/>
    <n v="0"/>
  </r>
  <r>
    <x v="6103"/>
    <s v="Peconic Bay Medical Center"/>
    <n v="2015"/>
    <n v="7"/>
    <s v="Medicare"/>
    <x v="2"/>
    <s v="Medicare"/>
    <n v="25054.02"/>
    <n v="7786.91"/>
    <n v="0"/>
  </r>
  <r>
    <x v="6104"/>
    <s v="Peconic Bay Medical Center"/>
    <n v="2015"/>
    <n v="7"/>
    <s v="Medicare"/>
    <x v="2"/>
    <s v="Medicare"/>
    <n v="22381.68"/>
    <n v="6725.1"/>
    <n v="0"/>
  </r>
  <r>
    <x v="6105"/>
    <s v="Peconic Bay Medical Center"/>
    <n v="2015"/>
    <n v="7"/>
    <s v="Medicare"/>
    <x v="2"/>
    <s v="Medicare"/>
    <n v="56923.02"/>
    <n v="35037.43"/>
    <n v="0"/>
  </r>
  <r>
    <x v="6106"/>
    <s v="Peconic Bay Medical Center"/>
    <n v="2015"/>
    <n v="7"/>
    <s v="Medicare"/>
    <x v="2"/>
    <s v="Medicare"/>
    <n v="29283.279999999999"/>
    <n v="8252.9500000000007"/>
    <n v="0"/>
  </r>
  <r>
    <x v="6107"/>
    <s v="Peconic Bay Medical Center"/>
    <n v="2015"/>
    <n v="7"/>
    <s v="Medicare"/>
    <x v="2"/>
    <s v="Medicare"/>
    <n v="15359.98"/>
    <n v="3534.67"/>
    <n v="0"/>
  </r>
  <r>
    <x v="6108"/>
    <s v="Peconic Bay Medical Center"/>
    <n v="2015"/>
    <n v="7"/>
    <s v="Medicare"/>
    <x v="2"/>
    <s v="Medicare"/>
    <n v="9660.68"/>
    <n v="2737.38"/>
    <n v="0"/>
  </r>
  <r>
    <x v="6109"/>
    <s v="Peconic Bay Medical Center"/>
    <n v="2015"/>
    <n v="7"/>
    <s v="Medicare"/>
    <x v="2"/>
    <s v="Medicare"/>
    <n v="12653.14"/>
    <n v="3150.47"/>
    <n v="0"/>
  </r>
  <r>
    <x v="6110"/>
    <s v="Peconic Bay Medical Center"/>
    <n v="2015"/>
    <n v="7"/>
    <s v="Medicare"/>
    <x v="2"/>
    <s v="Medicare"/>
    <n v="64910.58"/>
    <n v="38492.300000000003"/>
    <n v="0"/>
  </r>
  <r>
    <x v="6111"/>
    <s v="Peconic Bay Medical Center"/>
    <n v="2015"/>
    <n v="7"/>
    <s v="Medicare"/>
    <x v="2"/>
    <s v="Medicare"/>
    <n v="54462.04"/>
    <n v="16785.96"/>
    <n v="0"/>
  </r>
  <r>
    <x v="6112"/>
    <s v="Peconic Bay Medical Center"/>
    <n v="2015"/>
    <n v="7"/>
    <s v="Medicare"/>
    <x v="2"/>
    <s v="Medicare"/>
    <n v="113763.18"/>
    <n v="35323.839999999997"/>
    <n v="0"/>
  </r>
  <r>
    <x v="6113"/>
    <s v="Peconic Bay Medical Center"/>
    <n v="2015"/>
    <n v="7"/>
    <s v="Medicare"/>
    <x v="2"/>
    <s v="Medicare"/>
    <n v="27254.44"/>
    <n v="7132.44"/>
    <n v="0"/>
  </r>
  <r>
    <x v="6114"/>
    <s v="Peconic Bay Medical Center"/>
    <n v="2015"/>
    <n v="7"/>
    <s v="Medicare"/>
    <x v="2"/>
    <s v="Medicare"/>
    <n v="9678.1200000000008"/>
    <n v="2548.65"/>
    <n v="0"/>
  </r>
  <r>
    <x v="6115"/>
    <s v="Peconic Bay Medical Center"/>
    <n v="2015"/>
    <n v="7"/>
    <s v="Medicare"/>
    <x v="2"/>
    <s v="Medicare"/>
    <n v="72689.960000000006"/>
    <n v="24592.89"/>
    <n v="0"/>
  </r>
  <r>
    <x v="6116"/>
    <s v="Peconic Bay Medical Center"/>
    <n v="2015"/>
    <n v="7"/>
    <s v="Medicare"/>
    <x v="2"/>
    <s v="Medicare"/>
    <n v="10694.72"/>
    <n v="2806.46"/>
    <n v="0"/>
  </r>
  <r>
    <x v="6117"/>
    <s v="Peconic Bay Medical Center"/>
    <n v="2015"/>
    <n v="7"/>
    <s v="Medicare"/>
    <x v="2"/>
    <s v="Medicare"/>
    <n v="50191.68"/>
    <n v="15186.08"/>
    <n v="0"/>
  </r>
  <r>
    <x v="6118"/>
    <s v="Peconic Bay Medical Center"/>
    <n v="2015"/>
    <n v="7"/>
    <s v="Medicare"/>
    <x v="2"/>
    <s v="Medicare"/>
    <n v="15567.48"/>
    <n v="5964.15"/>
    <n v="0"/>
  </r>
  <r>
    <x v="6119"/>
    <s v="Peconic Bay Medical Center"/>
    <n v="2015"/>
    <n v="7"/>
    <s v="Medicare"/>
    <x v="2"/>
    <s v="Medicare"/>
    <n v="16551.22"/>
    <n v="4746.1400000000003"/>
    <n v="0"/>
  </r>
  <r>
    <x v="6120"/>
    <s v="Peconic Bay Medical Center"/>
    <n v="2015"/>
    <n v="7"/>
    <s v="Medicare"/>
    <x v="2"/>
    <s v="Medicare"/>
    <n v="48194.44"/>
    <n v="13345.75"/>
    <n v="0"/>
  </r>
  <r>
    <x v="6121"/>
    <s v="Peconic Bay Medical Center"/>
    <n v="2015"/>
    <n v="7"/>
    <s v="Medicare"/>
    <x v="2"/>
    <s v="Medicare"/>
    <n v="43980.639999999999"/>
    <n v="12851.46"/>
    <n v="0"/>
  </r>
  <r>
    <x v="6122"/>
    <s v="Peconic Bay Medical Center"/>
    <n v="2015"/>
    <n v="7"/>
    <s v="Medicare"/>
    <x v="2"/>
    <s v="Medicare"/>
    <n v="28780.78"/>
    <n v="8071.54"/>
    <n v="0"/>
  </r>
  <r>
    <x v="6123"/>
    <s v="Peconic Bay Medical Center"/>
    <n v="2015"/>
    <n v="7"/>
    <s v="Medicare"/>
    <x v="2"/>
    <s v="Medicare"/>
    <n v="14092.28"/>
    <n v="3161.58"/>
    <n v="0"/>
  </r>
  <r>
    <x v="6124"/>
    <s v="Peconic Bay Medical Center"/>
    <n v="2015"/>
    <n v="7"/>
    <s v="Medicare"/>
    <x v="2"/>
    <s v="Medicare"/>
    <n v="22703.439999999999"/>
    <n v="5480.22"/>
    <n v="0"/>
  </r>
  <r>
    <x v="6125"/>
    <s v="Peconic Bay Medical Center"/>
    <n v="2015"/>
    <n v="7"/>
    <s v="Medicare"/>
    <x v="2"/>
    <s v="Medicare"/>
    <n v="18712.34"/>
    <n v="5568.27"/>
    <n v="0"/>
  </r>
  <r>
    <x v="6126"/>
    <s v="Peconic Bay Medical Center"/>
    <n v="2015"/>
    <n v="7"/>
    <s v="Medicare"/>
    <x v="2"/>
    <s v="Medicare"/>
    <n v="60393.78"/>
    <n v="17220.650000000001"/>
    <n v="0"/>
  </r>
  <r>
    <x v="6127"/>
    <s v="Peconic Bay Medical Center"/>
    <n v="2015"/>
    <n v="7"/>
    <s v="Medicare"/>
    <x v="2"/>
    <s v="Medicare"/>
    <n v="25778.48"/>
    <n v="13288.72"/>
    <n v="0"/>
  </r>
  <r>
    <x v="6128"/>
    <s v="Peconic Bay Medical Center"/>
    <n v="2015"/>
    <n v="7"/>
    <s v="Medicare"/>
    <x v="2"/>
    <s v="Medicare"/>
    <n v="27892.14"/>
    <n v="8041.65"/>
    <n v="0"/>
  </r>
  <r>
    <x v="6129"/>
    <s v="Peconic Bay Medical Center"/>
    <n v="2015"/>
    <n v="7"/>
    <s v="Medicare"/>
    <x v="2"/>
    <s v="Medicare"/>
    <n v="63074.46"/>
    <n v="19377.09"/>
    <n v="0"/>
  </r>
  <r>
    <x v="6130"/>
    <s v="Peconic Bay Medical Center"/>
    <n v="2015"/>
    <n v="7"/>
    <s v="Medicare"/>
    <x v="2"/>
    <s v="Medicare"/>
    <n v="24016.3"/>
    <n v="7715.79"/>
    <n v="0"/>
  </r>
  <r>
    <x v="6131"/>
    <s v="Peconic Bay Medical Center"/>
    <n v="2015"/>
    <n v="7"/>
    <s v="Medicare"/>
    <x v="2"/>
    <s v="Medicare"/>
    <n v="57092.14"/>
    <n v="16334.69"/>
    <n v="0"/>
  </r>
  <r>
    <x v="6132"/>
    <s v="Peconic Bay Medical Center"/>
    <n v="2015"/>
    <n v="7"/>
    <s v="Medicare"/>
    <x v="2"/>
    <s v="Medicare"/>
    <n v="35525.14"/>
    <n v="10666.29"/>
    <n v="0"/>
  </r>
  <r>
    <x v="6133"/>
    <s v="Peconic Bay Medical Center"/>
    <n v="2015"/>
    <n v="7"/>
    <s v="Medicare"/>
    <x v="2"/>
    <s v="Medicare"/>
    <n v="15322.06"/>
    <n v="4524.6499999999996"/>
    <n v="0"/>
  </r>
  <r>
    <x v="6134"/>
    <s v="Peconic Bay Medical Center"/>
    <n v="2015"/>
    <n v="7"/>
    <s v="Medicare"/>
    <x v="2"/>
    <s v="Medicare"/>
    <n v="95342.2"/>
    <n v="38772.46"/>
    <n v="0"/>
  </r>
  <r>
    <x v="6135"/>
    <s v="Peconic Bay Medical Center"/>
    <n v="2015"/>
    <n v="7"/>
    <s v="Medicare"/>
    <x v="2"/>
    <s v="Medicare"/>
    <n v="20318.080000000002"/>
    <n v="5841.07"/>
    <n v="0"/>
  </r>
  <r>
    <x v="6136"/>
    <s v="Peconic Bay Medical Center"/>
    <n v="2015"/>
    <n v="7"/>
    <s v="Medicare"/>
    <x v="2"/>
    <s v="Medicare"/>
    <n v="11589.38"/>
    <n v="6332.71"/>
    <n v="0"/>
  </r>
  <r>
    <x v="6137"/>
    <s v="Peconic Bay Medical Center"/>
    <n v="2015"/>
    <n v="7"/>
    <s v="Medicare"/>
    <x v="2"/>
    <s v="Medicare"/>
    <n v="16137.06"/>
    <n v="3556.56"/>
    <n v="0"/>
  </r>
  <r>
    <x v="6138"/>
    <s v="Peconic Bay Medical Center"/>
    <n v="2015"/>
    <n v="7"/>
    <s v="Medicare"/>
    <x v="2"/>
    <s v="Medicare"/>
    <n v="19691.62"/>
    <n v="4962.6899999999996"/>
    <n v="0"/>
  </r>
  <r>
    <x v="6139"/>
    <s v="Peconic Bay Medical Center"/>
    <n v="2015"/>
    <n v="7"/>
    <s v="Medicare"/>
    <x v="2"/>
    <s v="Medicare"/>
    <n v="82689.78"/>
    <n v="37887.39"/>
    <n v="0"/>
  </r>
  <r>
    <x v="6140"/>
    <s v="Peconic Bay Medical Center"/>
    <n v="2015"/>
    <n v="7"/>
    <s v="Medicare"/>
    <x v="2"/>
    <s v="Medicare"/>
    <n v="35832.58"/>
    <n v="8727.5400000000009"/>
    <n v="0"/>
  </r>
  <r>
    <x v="6141"/>
    <s v="Peconic Bay Medical Center"/>
    <n v="2015"/>
    <n v="7"/>
    <s v="Medicare"/>
    <x v="2"/>
    <s v="Medicare"/>
    <n v="10324.86"/>
    <n v="2287.11"/>
    <n v="0"/>
  </r>
  <r>
    <x v="6142"/>
    <s v="Peconic Bay Medical Center"/>
    <n v="2015"/>
    <n v="7"/>
    <s v="Medicare"/>
    <x v="2"/>
    <s v="Medicare"/>
    <n v="52254.04"/>
    <n v="15657.51"/>
    <n v="0"/>
  </r>
  <r>
    <x v="6143"/>
    <s v="Peconic Bay Medical Center"/>
    <n v="2015"/>
    <n v="7"/>
    <s v="Medicare"/>
    <x v="2"/>
    <s v="Medicare"/>
    <n v="19720.38"/>
    <n v="5556.35"/>
    <n v="0"/>
  </r>
  <r>
    <x v="6144"/>
    <s v="Peconic Bay Medical Center"/>
    <n v="2015"/>
    <n v="7"/>
    <s v="Medicare"/>
    <x v="2"/>
    <s v="Medicare"/>
    <n v="24487.06"/>
    <n v="7086.32"/>
    <n v="0"/>
  </r>
  <r>
    <x v="6145"/>
    <s v="Peconic Bay Medical Center"/>
    <n v="2015"/>
    <n v="7"/>
    <s v="Medicare"/>
    <x v="2"/>
    <s v="Medicare"/>
    <n v="30244.36"/>
    <n v="7358.49"/>
    <n v="0"/>
  </r>
  <r>
    <x v="6146"/>
    <s v="Peconic Bay Medical Center"/>
    <n v="2015"/>
    <n v="7"/>
    <s v="Medicare"/>
    <x v="2"/>
    <s v="Medicare"/>
    <n v="73207.960000000006"/>
    <n v="51822.95"/>
    <n v="0"/>
  </r>
  <r>
    <x v="6147"/>
    <s v="Peconic Bay Medical Center"/>
    <n v="2015"/>
    <n v="7"/>
    <s v="Medicare"/>
    <x v="2"/>
    <s v="Medicare"/>
    <n v="43625.919999999998"/>
    <n v="13198.61"/>
    <n v="0"/>
  </r>
  <r>
    <x v="6148"/>
    <s v="Peconic Bay Medical Center"/>
    <n v="2015"/>
    <n v="7"/>
    <s v="Medicare"/>
    <x v="2"/>
    <s v="Medicare"/>
    <n v="41926.239999999998"/>
    <n v="12472.75"/>
    <n v="0"/>
  </r>
  <r>
    <x v="6149"/>
    <s v="Peconic Bay Medical Center"/>
    <n v="2015"/>
    <n v="7"/>
    <s v="Medicare"/>
    <x v="2"/>
    <s v="Medicare"/>
    <n v="28761.8"/>
    <n v="8571.06"/>
    <n v="0"/>
  </r>
  <r>
    <x v="6150"/>
    <s v="Peconic Bay Medical Center"/>
    <n v="2015"/>
    <n v="7"/>
    <s v="Medicare"/>
    <x v="2"/>
    <s v="Medicare"/>
    <n v="23494.18"/>
    <n v="10407.74"/>
    <n v="0"/>
  </r>
  <r>
    <x v="6151"/>
    <s v="Peconic Bay Medical Center"/>
    <n v="2015"/>
    <n v="7"/>
    <s v="Medicare"/>
    <x v="2"/>
    <s v="Medicare"/>
    <n v="68908.100000000006"/>
    <n v="15632.12"/>
    <n v="0"/>
  </r>
  <r>
    <x v="6152"/>
    <s v="Peconic Bay Medical Center"/>
    <n v="2015"/>
    <n v="7"/>
    <s v="Medicare"/>
    <x v="2"/>
    <s v="Medicare"/>
    <n v="54938"/>
    <n v="18068.900000000001"/>
    <n v="0"/>
  </r>
  <r>
    <x v="6153"/>
    <s v="Peconic Bay Medical Center"/>
    <n v="2015"/>
    <n v="7"/>
    <s v="Medicare"/>
    <x v="2"/>
    <s v="Medicare"/>
    <n v="144202.85999999999"/>
    <n v="80996.63"/>
    <n v="0"/>
  </r>
  <r>
    <x v="6154"/>
    <s v="Peconic Bay Medical Center"/>
    <n v="2015"/>
    <n v="7"/>
    <s v="Medicare"/>
    <x v="2"/>
    <s v="Medicare"/>
    <n v="39677.24"/>
    <n v="11072.64"/>
    <n v="0"/>
  </r>
  <r>
    <x v="6155"/>
    <s v="Peconic Bay Medical Center"/>
    <n v="2015"/>
    <n v="7"/>
    <s v="Medicare"/>
    <x v="2"/>
    <s v="Medicare"/>
    <n v="46145.04"/>
    <n v="13332.6"/>
    <n v="0"/>
  </r>
  <r>
    <x v="6156"/>
    <s v="Peconic Bay Medical Center"/>
    <n v="2015"/>
    <n v="7"/>
    <s v="Medicare"/>
    <x v="2"/>
    <s v="Medicare"/>
    <n v="29725.119999999999"/>
    <n v="8504.2999999999993"/>
    <n v="0"/>
  </r>
  <r>
    <x v="6157"/>
    <s v="Peconic Bay Medical Center"/>
    <n v="2015"/>
    <n v="7"/>
    <s v="Medicare"/>
    <x v="2"/>
    <s v="Medicare"/>
    <n v="27270.84"/>
    <n v="7816.92"/>
    <n v="0"/>
  </r>
  <r>
    <x v="6158"/>
    <s v="Peconic Bay Medical Center"/>
    <n v="2015"/>
    <n v="7"/>
    <s v="Medicare"/>
    <x v="2"/>
    <s v="Medicare"/>
    <n v="34294.239999999998"/>
    <n v="14987.24"/>
    <n v="0"/>
  </r>
  <r>
    <x v="6159"/>
    <s v="Peconic Bay Medical Center"/>
    <n v="2015"/>
    <n v="7"/>
    <s v="Medicare"/>
    <x v="2"/>
    <s v="Medicare"/>
    <n v="75997.06"/>
    <n v="22739.99"/>
    <n v="0"/>
  </r>
  <r>
    <x v="6160"/>
    <s v="Peconic Bay Medical Center"/>
    <n v="2015"/>
    <n v="7"/>
    <s v="Medicare"/>
    <x v="2"/>
    <s v="Medicare"/>
    <n v="47416.44"/>
    <n v="14291.98"/>
    <n v="0"/>
  </r>
  <r>
    <x v="6161"/>
    <s v="Peconic Bay Medical Center"/>
    <n v="2015"/>
    <n v="7"/>
    <s v="Medicare"/>
    <x v="2"/>
    <s v="Medicare"/>
    <n v="13221.66"/>
    <n v="3087.8"/>
    <n v="0"/>
  </r>
  <r>
    <x v="6162"/>
    <s v="Peconic Bay Medical Center"/>
    <n v="2015"/>
    <n v="7"/>
    <s v="Medicare"/>
    <x v="2"/>
    <s v="Medicare"/>
    <n v="40303.72"/>
    <n v="12593.52"/>
    <n v="0"/>
  </r>
  <r>
    <x v="6163"/>
    <s v="Peconic Bay Medical Center"/>
    <n v="2015"/>
    <n v="7"/>
    <s v="Medicare"/>
    <x v="2"/>
    <s v="Medicare"/>
    <n v="15484.6"/>
    <n v="4296.55"/>
    <n v="0"/>
  </r>
  <r>
    <x v="6164"/>
    <s v="Peconic Bay Medical Center"/>
    <n v="2015"/>
    <n v="7"/>
    <s v="Medicare"/>
    <x v="2"/>
    <s v="Medicare"/>
    <n v="38088.879999999997"/>
    <n v="9904.2199999999993"/>
    <n v="0"/>
  </r>
  <r>
    <x v="6165"/>
    <s v="Peconic Bay Medical Center"/>
    <n v="2015"/>
    <n v="7"/>
    <s v="Medicare"/>
    <x v="2"/>
    <s v="Medicare"/>
    <n v="57102.720000000001"/>
    <n v="17021.75"/>
    <n v="0"/>
  </r>
  <r>
    <x v="6166"/>
    <s v="Peconic Bay Medical Center"/>
    <n v="2015"/>
    <n v="7"/>
    <s v="Medicare"/>
    <x v="2"/>
    <s v="Medicare"/>
    <n v="9625.1"/>
    <n v="2895.7"/>
    <n v="0"/>
  </r>
  <r>
    <x v="6167"/>
    <s v="Peconic Bay Medical Center"/>
    <n v="2015"/>
    <n v="7"/>
    <s v="Medicare"/>
    <x v="2"/>
    <s v="Medicare"/>
    <n v="16355.82"/>
    <n v="4625.0200000000004"/>
    <n v="0"/>
  </r>
  <r>
    <x v="6168"/>
    <s v="Peconic Bay Medical Center"/>
    <n v="2015"/>
    <n v="7"/>
    <s v="Medicare"/>
    <x v="2"/>
    <s v="Medicare"/>
    <n v="65798.679999999993"/>
    <n v="20910.13"/>
    <n v="0"/>
  </r>
  <r>
    <x v="6169"/>
    <s v="Peconic Bay Medical Center"/>
    <n v="2015"/>
    <n v="7"/>
    <s v="Medicare"/>
    <x v="2"/>
    <s v="Medicare"/>
    <n v="21600.400000000001"/>
    <n v="6233.69"/>
    <n v="0"/>
  </r>
  <r>
    <x v="6170"/>
    <s v="Peconic Bay Medical Center"/>
    <n v="2015"/>
    <n v="7"/>
    <s v="Medicare"/>
    <x v="2"/>
    <s v="Medicare"/>
    <n v="32202.14"/>
    <n v="8942.39"/>
    <n v="0"/>
  </r>
  <r>
    <x v="6171"/>
    <s v="Peconic Bay Medical Center"/>
    <n v="2015"/>
    <n v="7"/>
    <s v="Medicare"/>
    <x v="2"/>
    <s v="Medicare"/>
    <n v="29683.200000000001"/>
    <n v="6564.11"/>
    <n v="0"/>
  </r>
  <r>
    <x v="6172"/>
    <s v="Peconic Bay Medical Center"/>
    <n v="2015"/>
    <n v="7"/>
    <s v="Medicare"/>
    <x v="2"/>
    <s v="Medicare"/>
    <n v="17345.48"/>
    <n v="4938.78"/>
    <n v="0"/>
  </r>
  <r>
    <x v="6173"/>
    <s v="Peconic Bay Medical Center"/>
    <n v="2015"/>
    <n v="7"/>
    <s v="Medicare"/>
    <x v="2"/>
    <s v="Medicare"/>
    <n v="31985.94"/>
    <n v="17495.169999999998"/>
    <n v="0"/>
  </r>
  <r>
    <x v="6174"/>
    <s v="Peconic Bay Medical Center"/>
    <n v="2015"/>
    <n v="7"/>
    <s v="Medicare"/>
    <x v="2"/>
    <s v="Medicare"/>
    <n v="35610.26"/>
    <n v="8754.92"/>
    <n v="0"/>
  </r>
  <r>
    <x v="6175"/>
    <s v="Peconic Bay Medical Center"/>
    <n v="2015"/>
    <n v="7"/>
    <s v="Medicare"/>
    <x v="2"/>
    <s v="Medicare"/>
    <n v="55280.22"/>
    <n v="37813.43"/>
    <n v="0"/>
  </r>
  <r>
    <x v="6176"/>
    <s v="Peconic Bay Medical Center"/>
    <n v="2015"/>
    <n v="7"/>
    <s v="Medicare"/>
    <x v="2"/>
    <s v="Medicare"/>
    <n v="33299.120000000003"/>
    <n v="9411.7000000000007"/>
    <n v="0"/>
  </r>
  <r>
    <x v="6177"/>
    <s v="Peconic Bay Medical Center"/>
    <n v="2015"/>
    <n v="7"/>
    <s v="Medicare"/>
    <x v="2"/>
    <s v="Medicare"/>
    <n v="25621.84"/>
    <n v="6575.4"/>
    <n v="0"/>
  </r>
  <r>
    <x v="6178"/>
    <s v="Peconic Bay Medical Center"/>
    <n v="2015"/>
    <n v="7"/>
    <s v="Medicare"/>
    <x v="2"/>
    <s v="Medicare"/>
    <n v="199208.18"/>
    <n v="92423.03"/>
    <n v="0"/>
  </r>
  <r>
    <x v="6179"/>
    <s v="Peconic Bay Medical Center"/>
    <n v="2015"/>
    <n v="7"/>
    <s v="Medicare"/>
    <x v="2"/>
    <s v="Medicare"/>
    <n v="54202.02"/>
    <n v="15321.14"/>
    <n v="0"/>
  </r>
  <r>
    <x v="6180"/>
    <s v="Peconic Bay Medical Center"/>
    <n v="2015"/>
    <n v="7"/>
    <s v="Medicare"/>
    <x v="2"/>
    <s v="Medicare"/>
    <n v="40770.480000000003"/>
    <n v="10931.1"/>
    <n v="0"/>
  </r>
  <r>
    <x v="6181"/>
    <s v="Peconic Bay Medical Center"/>
    <n v="2015"/>
    <n v="7"/>
    <s v="Medicare"/>
    <x v="2"/>
    <s v="Medicare"/>
    <n v="20680.560000000001"/>
    <n v="3437.97"/>
    <n v="0"/>
  </r>
  <r>
    <x v="6182"/>
    <s v="Peconic Bay Medical Center"/>
    <n v="2015"/>
    <n v="7"/>
    <s v="Medicare"/>
    <x v="2"/>
    <s v="Medicare"/>
    <n v="63951.56"/>
    <n v="35976.339999999997"/>
    <n v="0"/>
  </r>
  <r>
    <x v="6183"/>
    <s v="Peconic Bay Medical Center"/>
    <n v="2015"/>
    <n v="7"/>
    <s v="Medicare"/>
    <x v="2"/>
    <s v="Medicare"/>
    <n v="36374.519999999997"/>
    <n v="7545.54"/>
    <n v="0"/>
  </r>
  <r>
    <x v="6184"/>
    <s v="Peconic Bay Medical Center"/>
    <n v="2015"/>
    <n v="7"/>
    <s v="Medicare"/>
    <x v="2"/>
    <s v="Medicare"/>
    <n v="32196.3"/>
    <n v="9450.73"/>
    <n v="0"/>
  </r>
  <r>
    <x v="6185"/>
    <s v="Peconic Bay Medical Center"/>
    <n v="2015"/>
    <n v="7"/>
    <s v="Medicare"/>
    <x v="2"/>
    <s v="Medicare"/>
    <n v="40394.22"/>
    <n v="20962.849999999999"/>
    <n v="0"/>
  </r>
  <r>
    <x v="6186"/>
    <s v="Peconic Bay Medical Center"/>
    <n v="2015"/>
    <n v="7"/>
    <s v="Medicare"/>
    <x v="2"/>
    <s v="Medicare"/>
    <n v="8314.86"/>
    <n v="2401.25"/>
    <n v="0"/>
  </r>
  <r>
    <x v="6187"/>
    <s v="Peconic Bay Medical Center"/>
    <n v="2015"/>
    <n v="7"/>
    <s v="Medicare"/>
    <x v="2"/>
    <s v="Medicare"/>
    <n v="23159.8"/>
    <n v="6429.88"/>
    <n v="0"/>
  </r>
  <r>
    <x v="6188"/>
    <s v="Peconic Bay Medical Center"/>
    <n v="2015"/>
    <n v="7"/>
    <s v="Medicare"/>
    <x v="2"/>
    <s v="Medicare"/>
    <n v="45609.22"/>
    <n v="13207.41"/>
    <n v="0"/>
  </r>
  <r>
    <x v="6189"/>
    <s v="Peconic Bay Medical Center"/>
    <n v="2015"/>
    <n v="7"/>
    <s v="Medicare"/>
    <x v="2"/>
    <s v="Medicare"/>
    <n v="36013.300000000003"/>
    <n v="11248.41"/>
    <n v="0"/>
  </r>
  <r>
    <x v="6190"/>
    <s v="Peconic Bay Medical Center"/>
    <n v="2015"/>
    <n v="7"/>
    <s v="Medicare"/>
    <x v="2"/>
    <s v="Medicare"/>
    <n v="46060.84"/>
    <n v="8940.84"/>
    <n v="0"/>
  </r>
  <r>
    <x v="6191"/>
    <s v="Peconic Bay Medical Center"/>
    <n v="2015"/>
    <n v="7"/>
    <s v="Medicare"/>
    <x v="2"/>
    <s v="Medicare"/>
    <n v="33692.080000000002"/>
    <n v="8778.86"/>
    <n v="0"/>
  </r>
  <r>
    <x v="6192"/>
    <s v="Peconic Bay Medical Center"/>
    <n v="2015"/>
    <n v="7"/>
    <s v="Medicare"/>
    <x v="2"/>
    <s v="Medicare"/>
    <n v="36477.24"/>
    <n v="9222.1"/>
    <n v="0"/>
  </r>
  <r>
    <x v="6193"/>
    <s v="Peconic Bay Medical Center"/>
    <n v="2015"/>
    <n v="7"/>
    <s v="Medicare"/>
    <x v="2"/>
    <s v="Medicare"/>
    <n v="32745.68"/>
    <n v="8660.2000000000007"/>
    <n v="0"/>
  </r>
  <r>
    <x v="6194"/>
    <s v="Peconic Bay Medical Center"/>
    <n v="2015"/>
    <n v="7"/>
    <s v="Medicare"/>
    <x v="2"/>
    <s v="Medicare"/>
    <n v="20752.400000000001"/>
    <n v="5859.84"/>
    <n v="0"/>
  </r>
  <r>
    <x v="6195"/>
    <s v="Peconic Bay Medical Center"/>
    <n v="2015"/>
    <n v="7"/>
    <s v="Medicare"/>
    <x v="2"/>
    <s v="Medicare"/>
    <n v="25770.92"/>
    <n v="7513.24"/>
    <n v="0"/>
  </r>
  <r>
    <x v="6196"/>
    <s v="Peconic Bay Medical Center"/>
    <n v="2015"/>
    <n v="7"/>
    <s v="Medicare"/>
    <x v="2"/>
    <s v="Medicare"/>
    <n v="19601.5"/>
    <n v="5802.3"/>
    <n v="0"/>
  </r>
  <r>
    <x v="6197"/>
    <s v="Peconic Bay Medical Center"/>
    <n v="2015"/>
    <n v="7"/>
    <s v="Medicare"/>
    <x v="2"/>
    <s v="Medicare"/>
    <n v="54530.96"/>
    <n v="24601.439999999999"/>
    <n v="0"/>
  </r>
  <r>
    <x v="6198"/>
    <s v="Peconic Bay Medical Center"/>
    <n v="2015"/>
    <n v="7"/>
    <s v="Medicare"/>
    <x v="2"/>
    <s v="Medicare"/>
    <n v="21229"/>
    <n v="6030.31"/>
    <n v="0"/>
  </r>
  <r>
    <x v="6199"/>
    <s v="Peconic Bay Medical Center"/>
    <n v="2015"/>
    <n v="7"/>
    <s v="Medicare"/>
    <x v="2"/>
    <s v="Medicare"/>
    <n v="27482.84"/>
    <n v="8480.89"/>
    <n v="0"/>
  </r>
  <r>
    <x v="6200"/>
    <s v="Peconic Bay Medical Center"/>
    <n v="2015"/>
    <n v="7"/>
    <s v="Medicare"/>
    <x v="2"/>
    <s v="Medicare"/>
    <n v="16163.9"/>
    <n v="4718.1400000000003"/>
    <n v="0"/>
  </r>
  <r>
    <x v="6201"/>
    <s v="Peconic Bay Medical Center"/>
    <n v="2015"/>
    <n v="7"/>
    <s v="Medicare"/>
    <x v="2"/>
    <s v="Medicare"/>
    <n v="20821.8"/>
    <n v="5214.76"/>
    <n v="0"/>
  </r>
  <r>
    <x v="6202"/>
    <s v="Peconic Bay Medical Center"/>
    <n v="2015"/>
    <n v="7"/>
    <s v="Medicare"/>
    <x v="2"/>
    <s v="Medicare"/>
    <n v="61839"/>
    <n v="36167.760000000002"/>
    <n v="0"/>
  </r>
  <r>
    <x v="6203"/>
    <s v="Peconic Bay Medical Center"/>
    <n v="2015"/>
    <n v="7"/>
    <s v="Medicare"/>
    <x v="2"/>
    <s v="Medicare"/>
    <n v="28636.9"/>
    <n v="8655"/>
    <n v="0"/>
  </r>
  <r>
    <x v="6204"/>
    <s v="Peconic Bay Medical Center"/>
    <n v="2015"/>
    <n v="7"/>
    <s v="Medicare"/>
    <x v="2"/>
    <s v="Medicare"/>
    <n v="68721.48"/>
    <n v="36881.06"/>
    <n v="0"/>
  </r>
  <r>
    <x v="6205"/>
    <s v="Peconic Bay Medical Center"/>
    <n v="2015"/>
    <n v="7"/>
    <s v="Medicare"/>
    <x v="2"/>
    <s v="Medicare"/>
    <n v="11419.4"/>
    <n v="2627.34"/>
    <n v="0"/>
  </r>
  <r>
    <x v="6206"/>
    <s v="Peconic Bay Medical Center"/>
    <n v="2015"/>
    <n v="7"/>
    <s v="Medicare"/>
    <x v="2"/>
    <s v="Medicare"/>
    <n v="25144.7"/>
    <n v="6114.05"/>
    <n v="0"/>
  </r>
  <r>
    <x v="6207"/>
    <s v="Peconic Bay Medical Center"/>
    <n v="2015"/>
    <n v="7"/>
    <s v="Medicare"/>
    <x v="2"/>
    <s v="Medicare"/>
    <n v="13701"/>
    <n v="3418.45"/>
    <n v="0"/>
  </r>
  <r>
    <x v="6208"/>
    <s v="Peconic Bay Medical Center"/>
    <n v="2015"/>
    <n v="7"/>
    <s v="Medicare"/>
    <x v="2"/>
    <s v="Medicare"/>
    <n v="10208.16"/>
    <n v="2731.15"/>
    <n v="0"/>
  </r>
  <r>
    <x v="6209"/>
    <s v="Peconic Bay Medical Center"/>
    <n v="2015"/>
    <n v="7"/>
    <s v="Medicare"/>
    <x v="2"/>
    <s v="Medicare"/>
    <n v="58684.98"/>
    <n v="18728.400000000001"/>
    <n v="0"/>
  </r>
  <r>
    <x v="6210"/>
    <s v="Peconic Bay Medical Center"/>
    <n v="2015"/>
    <n v="7"/>
    <s v="Medicare"/>
    <x v="2"/>
    <s v="Medicare"/>
    <n v="15328.18"/>
    <n v="4460.6000000000004"/>
    <n v="0"/>
  </r>
  <r>
    <x v="6211"/>
    <s v="Peconic Bay Medical Center"/>
    <n v="2015"/>
    <n v="7"/>
    <s v="Medicare"/>
    <x v="2"/>
    <s v="Medicare"/>
    <n v="58176.08"/>
    <n v="31537.77"/>
    <n v="0"/>
  </r>
  <r>
    <x v="6212"/>
    <s v="Peconic Bay Medical Center"/>
    <n v="2015"/>
    <n v="7"/>
    <s v="Medicare"/>
    <x v="2"/>
    <s v="Medicare"/>
    <n v="15498.04"/>
    <n v="4592.59"/>
    <n v="0"/>
  </r>
  <r>
    <x v="6213"/>
    <s v="Peconic Bay Medical Center"/>
    <n v="2015"/>
    <n v="7"/>
    <s v="Medicare"/>
    <x v="2"/>
    <s v="Medicare"/>
    <n v="14044.26"/>
    <n v="2879.84"/>
    <n v="0"/>
  </r>
  <r>
    <x v="6214"/>
    <s v="Peconic Bay Medical Center"/>
    <n v="2015"/>
    <n v="7"/>
    <s v="Medicare"/>
    <x v="2"/>
    <s v="Medicare"/>
    <n v="31656.2"/>
    <n v="8610.3799999999992"/>
    <n v="0"/>
  </r>
  <r>
    <x v="6215"/>
    <s v="Peconic Bay Medical Center"/>
    <n v="2015"/>
    <n v="7"/>
    <s v="Medicare"/>
    <x v="2"/>
    <s v="Medicare"/>
    <n v="23422.9"/>
    <n v="5212.6099999999997"/>
    <n v="0"/>
  </r>
  <r>
    <x v="6216"/>
    <s v="Peconic Bay Medical Center"/>
    <n v="2015"/>
    <n v="7"/>
    <s v="Medicare"/>
    <x v="2"/>
    <s v="Medicare"/>
    <n v="18457.46"/>
    <n v="4682.71"/>
    <n v="0"/>
  </r>
  <r>
    <x v="6217"/>
    <s v="Peconic Bay Medical Center"/>
    <n v="2015"/>
    <n v="7"/>
    <s v="Medicare"/>
    <x v="2"/>
    <s v="Medicare"/>
    <n v="10127.52"/>
    <n v="2309.42"/>
    <n v="0"/>
  </r>
  <r>
    <x v="6218"/>
    <s v="Peconic Bay Medical Center"/>
    <n v="2015"/>
    <n v="7"/>
    <s v="Medicare"/>
    <x v="2"/>
    <s v="Medicare"/>
    <n v="55775.16"/>
    <n v="17931.28"/>
    <n v="0"/>
  </r>
  <r>
    <x v="6219"/>
    <s v="Peconic Bay Medical Center"/>
    <n v="2015"/>
    <n v="7"/>
    <s v="Medicare"/>
    <x v="2"/>
    <s v="Medicare"/>
    <n v="19677.919999999998"/>
    <n v="5089.07"/>
    <n v="0"/>
  </r>
  <r>
    <x v="6220"/>
    <s v="Peconic Bay Medical Center"/>
    <n v="2015"/>
    <n v="7"/>
    <s v="Medicare"/>
    <x v="2"/>
    <s v="Medicare"/>
    <n v="32927.46"/>
    <n v="7280.09"/>
    <n v="0"/>
  </r>
  <r>
    <x v="6221"/>
    <s v="Peconic Bay Medical Center"/>
    <n v="2015"/>
    <n v="7"/>
    <s v="Medicare"/>
    <x v="2"/>
    <s v="Medicare"/>
    <n v="113186.36"/>
    <n v="46335.09"/>
    <n v="0"/>
  </r>
  <r>
    <x v="6222"/>
    <s v="Peconic Bay Medical Center"/>
    <n v="2015"/>
    <n v="7"/>
    <s v="Medicare"/>
    <x v="2"/>
    <s v="Medicare"/>
    <n v="17532.46"/>
    <n v="4891.03"/>
    <n v="0"/>
  </r>
  <r>
    <x v="6223"/>
    <s v="Peconic Bay Medical Center"/>
    <n v="2015"/>
    <n v="7"/>
    <s v="Medicare"/>
    <x v="2"/>
    <s v="Medicare"/>
    <n v="41776.18"/>
    <n v="12878.06"/>
    <n v="0"/>
  </r>
  <r>
    <x v="6224"/>
    <s v="Peconic Bay Medical Center"/>
    <n v="2015"/>
    <n v="7"/>
    <s v="Medicare"/>
    <x v="2"/>
    <s v="Medicare"/>
    <n v="29658.66"/>
    <n v="6600.4"/>
    <n v="0"/>
  </r>
  <r>
    <x v="6225"/>
    <s v="Peconic Bay Medical Center"/>
    <n v="2015"/>
    <n v="7"/>
    <s v="Medicare"/>
    <x v="2"/>
    <s v="Medicare"/>
    <n v="47174.92"/>
    <n v="13710.41"/>
    <n v="0"/>
  </r>
  <r>
    <x v="6226"/>
    <s v="Peconic Bay Medical Center"/>
    <n v="2015"/>
    <n v="7"/>
    <s v="Medicare"/>
    <x v="2"/>
    <s v="Medicare"/>
    <n v="29821.8"/>
    <n v="8669.99"/>
    <n v="0"/>
  </r>
  <r>
    <x v="6227"/>
    <s v="Peconic Bay Medical Center"/>
    <n v="2015"/>
    <n v="7"/>
    <s v="Medicare"/>
    <x v="2"/>
    <s v="Medicare"/>
    <n v="9857.08"/>
    <n v="2752.99"/>
    <n v="0"/>
  </r>
  <r>
    <x v="6228"/>
    <s v="Peconic Bay Medical Center"/>
    <n v="2015"/>
    <n v="7"/>
    <s v="Medicare"/>
    <x v="2"/>
    <s v="Medicare"/>
    <n v="9237.24"/>
    <n v="2409.7199999999998"/>
    <n v="0"/>
  </r>
  <r>
    <x v="6229"/>
    <s v="Peconic Bay Medical Center"/>
    <n v="2015"/>
    <n v="7"/>
    <s v="Medicare"/>
    <x v="2"/>
    <s v="Medicare"/>
    <n v="18736.939999999999"/>
    <n v="4258.0600000000004"/>
    <n v="0"/>
  </r>
  <r>
    <x v="6230"/>
    <s v="Peconic Bay Medical Center"/>
    <n v="2015"/>
    <n v="7"/>
    <s v="Medicare"/>
    <x v="2"/>
    <s v="Medicare"/>
    <n v="98700.9"/>
    <n v="43475.18"/>
    <n v="0"/>
  </r>
  <r>
    <x v="6231"/>
    <s v="Peconic Bay Medical Center"/>
    <n v="2015"/>
    <n v="7"/>
    <s v="Medicare"/>
    <x v="2"/>
    <s v="Medicare"/>
    <n v="36870.959999999999"/>
    <n v="8821.73"/>
    <n v="0"/>
  </r>
  <r>
    <x v="6232"/>
    <s v="Peconic Bay Medical Center"/>
    <n v="2015"/>
    <n v="7"/>
    <s v="Medicare"/>
    <x v="2"/>
    <s v="Medicare"/>
    <n v="25177.4"/>
    <n v="7075.89"/>
    <n v="0"/>
  </r>
  <r>
    <x v="6233"/>
    <s v="Peconic Bay Medical Center"/>
    <n v="2015"/>
    <n v="7"/>
    <s v="Medicare"/>
    <x v="2"/>
    <s v="Medicare"/>
    <n v="22645.46"/>
    <n v="11716.89"/>
    <n v="0"/>
  </r>
  <r>
    <x v="6234"/>
    <s v="Peconic Bay Medical Center"/>
    <n v="2015"/>
    <n v="7"/>
    <s v="Medicare"/>
    <x v="2"/>
    <s v="Medicare"/>
    <n v="54676.639999999999"/>
    <n v="17395.939999999999"/>
    <n v="0"/>
  </r>
  <r>
    <x v="6235"/>
    <s v="Peconic Bay Medical Center"/>
    <n v="2015"/>
    <n v="7"/>
    <s v="Medicare"/>
    <x v="2"/>
    <s v="Medicare"/>
    <n v="30926.76"/>
    <n v="6981.22"/>
    <n v="0"/>
  </r>
  <r>
    <x v="6236"/>
    <s v="Peconic Bay Medical Center"/>
    <n v="2015"/>
    <n v="7"/>
    <s v="Medicare"/>
    <x v="2"/>
    <s v="Medicare"/>
    <n v="26964.400000000001"/>
    <n v="7965.6"/>
    <n v="0"/>
  </r>
  <r>
    <x v="6237"/>
    <s v="Peconic Bay Medical Center"/>
    <n v="2015"/>
    <n v="7"/>
    <s v="Medicare"/>
    <x v="2"/>
    <s v="Medicare"/>
    <n v="20521.86"/>
    <n v="6327.24"/>
    <n v="0"/>
  </r>
  <r>
    <x v="6238"/>
    <s v="Peconic Bay Medical Center"/>
    <n v="2015"/>
    <n v="7"/>
    <s v="Medicare"/>
    <x v="2"/>
    <s v="Medicare"/>
    <n v="28955.9"/>
    <n v="8550.43"/>
    <n v="0"/>
  </r>
  <r>
    <x v="6239"/>
    <s v="Peconic Bay Medical Center"/>
    <n v="2015"/>
    <n v="7"/>
    <s v="Medicare"/>
    <x v="2"/>
    <s v="Medicare"/>
    <n v="22740.1"/>
    <n v="6657.43"/>
    <n v="0"/>
  </r>
  <r>
    <x v="6240"/>
    <s v="Peconic Bay Medical Center"/>
    <n v="2015"/>
    <n v="7"/>
    <s v="Medicare"/>
    <x v="2"/>
    <s v="Medicare"/>
    <n v="27048.62"/>
    <n v="7416.68"/>
    <n v="0"/>
  </r>
  <r>
    <x v="6241"/>
    <s v="Peconic Bay Medical Center"/>
    <n v="2015"/>
    <n v="7"/>
    <s v="Medicare"/>
    <x v="2"/>
    <s v="Medicare"/>
    <n v="88903.66"/>
    <n v="31736.880000000001"/>
    <n v="0"/>
  </r>
  <r>
    <x v="6242"/>
    <s v="Peconic Bay Medical Center"/>
    <n v="2015"/>
    <n v="7"/>
    <s v="Medicare"/>
    <x v="2"/>
    <s v="Medicare"/>
    <n v="10343.4"/>
    <n v="2856.04"/>
    <n v="0"/>
  </r>
  <r>
    <x v="6243"/>
    <s v="Peconic Bay Medical Center"/>
    <n v="2015"/>
    <n v="7"/>
    <s v="Medicare"/>
    <x v="2"/>
    <s v="Medicare"/>
    <n v="12065.22"/>
    <n v="3052.6"/>
    <n v="0"/>
  </r>
  <r>
    <x v="6244"/>
    <s v="Peconic Bay Medical Center"/>
    <n v="2015"/>
    <n v="7"/>
    <s v="Medicare"/>
    <x v="2"/>
    <s v="Medicare"/>
    <n v="15599.42"/>
    <n v="3682.64"/>
    <n v="0"/>
  </r>
  <r>
    <x v="6245"/>
    <s v="Peconic Bay Medical Center"/>
    <n v="2015"/>
    <n v="7"/>
    <s v="Medicare"/>
    <x v="2"/>
    <s v="Medicare"/>
    <n v="25949.42"/>
    <n v="8271.3799999999992"/>
    <n v="0"/>
  </r>
  <r>
    <x v="6246"/>
    <s v="Peconic Bay Medical Center"/>
    <n v="2015"/>
    <n v="7"/>
    <s v="Medicare"/>
    <x v="2"/>
    <s v="Medicare"/>
    <n v="41383.199999999997"/>
    <n v="12769.28"/>
    <n v="0"/>
  </r>
  <r>
    <x v="6247"/>
    <s v="Peconic Bay Medical Center"/>
    <n v="2015"/>
    <n v="7"/>
    <s v="Medicare"/>
    <x v="2"/>
    <s v="Medicare"/>
    <n v="79533.2"/>
    <n v="23038.37"/>
    <n v="0"/>
  </r>
  <r>
    <x v="6248"/>
    <s v="Peconic Bay Medical Center"/>
    <n v="2015"/>
    <n v="7"/>
    <s v="Medicare"/>
    <x v="2"/>
    <s v="Medicare"/>
    <n v="29600.66"/>
    <n v="8885.25"/>
    <n v="0"/>
  </r>
  <r>
    <x v="6249"/>
    <s v="Peconic Bay Medical Center"/>
    <n v="2015"/>
    <n v="7"/>
    <s v="Medicare"/>
    <x v="2"/>
    <s v="Medicare"/>
    <n v="67043.02"/>
    <n v="20237.7"/>
    <n v="0"/>
  </r>
  <r>
    <x v="6250"/>
    <s v="Peconic Bay Medical Center"/>
    <n v="2015"/>
    <n v="7"/>
    <s v="Medicare"/>
    <x v="2"/>
    <s v="Medicare"/>
    <n v="147639.67999999999"/>
    <n v="49861.98"/>
    <n v="0"/>
  </r>
  <r>
    <x v="6251"/>
    <s v="Peconic Bay Medical Center"/>
    <n v="2015"/>
    <n v="7"/>
    <s v="Medicare"/>
    <x v="2"/>
    <s v="Medicare"/>
    <n v="65661.36"/>
    <n v="19897.560000000001"/>
    <n v="0"/>
  </r>
  <r>
    <x v="6252"/>
    <s v="Peconic Bay Medical Center"/>
    <n v="2015"/>
    <n v="7"/>
    <s v="Medicare"/>
    <x v="2"/>
    <s v="Medicare"/>
    <n v="22496"/>
    <n v="6123.42"/>
    <n v="0"/>
  </r>
  <r>
    <x v="6253"/>
    <s v="Peconic Bay Medical Center"/>
    <n v="2015"/>
    <n v="7"/>
    <s v="Medicare"/>
    <x v="2"/>
    <s v="Medicare"/>
    <n v="35660.879999999997"/>
    <n v="10609.64"/>
    <n v="0"/>
  </r>
  <r>
    <x v="6254"/>
    <s v="Peconic Bay Medical Center"/>
    <n v="2015"/>
    <n v="7"/>
    <s v="Medicare"/>
    <x v="2"/>
    <s v="Medicare"/>
    <n v="30247.54"/>
    <n v="8706.31"/>
    <n v="0"/>
  </r>
  <r>
    <x v="6255"/>
    <s v="Peconic Bay Medical Center"/>
    <n v="2015"/>
    <n v="7"/>
    <s v="Medicare"/>
    <x v="2"/>
    <s v="Medicare"/>
    <n v="57689.62"/>
    <n v="15795.87"/>
    <n v="0"/>
  </r>
  <r>
    <x v="6256"/>
    <s v="Peconic Bay Medical Center"/>
    <n v="2015"/>
    <n v="7"/>
    <s v="Medicare"/>
    <x v="2"/>
    <s v="Medicare"/>
    <n v="13126.28"/>
    <n v="3110.28"/>
    <n v="0"/>
  </r>
  <r>
    <x v="6257"/>
    <s v="Peconic Bay Medical Center"/>
    <n v="2015"/>
    <n v="7"/>
    <s v="Medicare"/>
    <x v="2"/>
    <s v="Medicare"/>
    <n v="24682.38"/>
    <n v="12521.37"/>
    <n v="0"/>
  </r>
  <r>
    <x v="6258"/>
    <s v="Peconic Bay Medical Center"/>
    <n v="2015"/>
    <n v="7"/>
    <s v="Medicare"/>
    <x v="2"/>
    <s v="Medicare"/>
    <n v="43074.3"/>
    <n v="12541.7"/>
    <n v="0"/>
  </r>
  <r>
    <x v="6259"/>
    <s v="Peconic Bay Medical Center"/>
    <n v="2015"/>
    <n v="7"/>
    <s v="Medicare"/>
    <x v="2"/>
    <s v="Medicare"/>
    <n v="80474.06"/>
    <n v="25548.2"/>
    <n v="0"/>
  </r>
  <r>
    <x v="6260"/>
    <s v="Peconic Bay Medical Center"/>
    <n v="2015"/>
    <n v="7"/>
    <s v="Medicare"/>
    <x v="2"/>
    <s v="Medicare"/>
    <n v="43559.08"/>
    <n v="12819.39"/>
    <n v="0"/>
  </r>
  <r>
    <x v="6261"/>
    <s v="Peconic Bay Medical Center"/>
    <n v="2015"/>
    <n v="7"/>
    <s v="Medicare"/>
    <x v="2"/>
    <s v="Medicare"/>
    <n v="29406.080000000002"/>
    <n v="8939.86"/>
    <n v="0"/>
  </r>
  <r>
    <x v="6262"/>
    <s v="Peconic Bay Medical Center"/>
    <n v="2015"/>
    <n v="7"/>
    <s v="Medicare"/>
    <x v="2"/>
    <s v="Medicare"/>
    <n v="13108.06"/>
    <n v="3370.72"/>
    <n v="0"/>
  </r>
  <r>
    <x v="6263"/>
    <s v="Peconic Bay Medical Center"/>
    <n v="2015"/>
    <n v="7"/>
    <s v="Medicare"/>
    <x v="2"/>
    <s v="Medicare"/>
    <n v="16535.68"/>
    <n v="3497"/>
    <n v="0"/>
  </r>
  <r>
    <x v="6264"/>
    <s v="Peconic Bay Medical Center"/>
    <n v="2015"/>
    <n v="7"/>
    <s v="Medicare"/>
    <x v="2"/>
    <s v="Medicare"/>
    <n v="21840.62"/>
    <n v="5596.37"/>
    <n v="0"/>
  </r>
  <r>
    <x v="6265"/>
    <s v="Peconic Bay Medical Center"/>
    <n v="2015"/>
    <n v="7"/>
    <s v="Medicare"/>
    <x v="2"/>
    <s v="Medicare"/>
    <n v="53937.64"/>
    <n v="17056.669999999998"/>
    <n v="0"/>
  </r>
  <r>
    <x v="6266"/>
    <s v="Peconic Bay Medical Center"/>
    <n v="2015"/>
    <n v="7"/>
    <s v="Medicare"/>
    <x v="2"/>
    <s v="Medicare"/>
    <n v="12863.84"/>
    <n v="2972.56"/>
    <n v="0"/>
  </r>
  <r>
    <x v="6267"/>
    <s v="Peconic Bay Medical Center"/>
    <n v="2015"/>
    <n v="7"/>
    <s v="Medicare"/>
    <x v="2"/>
    <s v="Medicare"/>
    <n v="25080.66"/>
    <n v="7391.22"/>
    <n v="0"/>
  </r>
  <r>
    <x v="6268"/>
    <s v="Peconic Bay Medical Center"/>
    <n v="2015"/>
    <n v="7"/>
    <s v="Medicare"/>
    <x v="2"/>
    <s v="Medicare"/>
    <n v="38839.9"/>
    <n v="11608.73"/>
    <n v="0"/>
  </r>
  <r>
    <x v="6269"/>
    <s v="Peconic Bay Medical Center"/>
    <n v="2015"/>
    <n v="7"/>
    <s v="Medicare"/>
    <x v="2"/>
    <s v="Medicare"/>
    <n v="118525.42"/>
    <n v="65313.21"/>
    <n v="0"/>
  </r>
  <r>
    <x v="6270"/>
    <s v="Peconic Bay Medical Center"/>
    <n v="2015"/>
    <n v="7"/>
    <s v="Medicare"/>
    <x v="2"/>
    <s v="Medicare"/>
    <n v="14649.94"/>
    <n v="4332.76"/>
    <n v="0"/>
  </r>
  <r>
    <x v="6271"/>
    <s v="Peconic Bay Medical Center"/>
    <n v="2015"/>
    <n v="7"/>
    <s v="Medicare"/>
    <x v="2"/>
    <s v="Medicare"/>
    <n v="24977.52"/>
    <n v="7091.97"/>
    <n v="0"/>
  </r>
  <r>
    <x v="6272"/>
    <s v="Peconic Bay Medical Center"/>
    <n v="2015"/>
    <n v="7"/>
    <s v="Medicare"/>
    <x v="2"/>
    <s v="Medicare"/>
    <n v="41607.160000000003"/>
    <n v="13302.83"/>
    <n v="0"/>
  </r>
  <r>
    <x v="6273"/>
    <s v="Peconic Bay Medical Center"/>
    <n v="2015"/>
    <n v="7"/>
    <s v="Medicare"/>
    <x v="2"/>
    <s v="Medicare"/>
    <n v="65413.26"/>
    <n v="19409.04"/>
    <n v="0"/>
  </r>
  <r>
    <x v="6274"/>
    <s v="Peconic Bay Medical Center"/>
    <n v="2015"/>
    <n v="7"/>
    <s v="Medicare"/>
    <x v="2"/>
    <s v="Medicare"/>
    <n v="42664.28"/>
    <n v="10640.45"/>
    <n v="0"/>
  </r>
  <r>
    <x v="6275"/>
    <s v="Peconic Bay Medical Center"/>
    <n v="2015"/>
    <n v="7"/>
    <s v="Medicare"/>
    <x v="2"/>
    <s v="Medicare"/>
    <n v="87452.28"/>
    <n v="23951.07"/>
    <n v="0"/>
  </r>
  <r>
    <x v="6276"/>
    <s v="Peconic Bay Medical Center"/>
    <n v="2015"/>
    <n v="7"/>
    <s v="Medicare"/>
    <x v="2"/>
    <s v="Medicare"/>
    <n v="11115.58"/>
    <n v="2583.61"/>
    <n v="0"/>
  </r>
  <r>
    <x v="6277"/>
    <s v="Peconic Bay Medical Center"/>
    <n v="2015"/>
    <n v="7"/>
    <s v="Medicare"/>
    <x v="2"/>
    <s v="Medicare"/>
    <n v="11685.1"/>
    <n v="3058.65"/>
    <n v="0"/>
  </r>
  <r>
    <x v="6278"/>
    <s v="Peconic Bay Medical Center"/>
    <n v="2015"/>
    <n v="7"/>
    <s v="Medicare"/>
    <x v="2"/>
    <s v="Medicare"/>
    <n v="20417.259999999998"/>
    <n v="5515.94"/>
    <n v="0"/>
  </r>
  <r>
    <x v="6279"/>
    <s v="Peconic Bay Medical Center"/>
    <n v="2015"/>
    <n v="7"/>
    <s v="Medicare"/>
    <x v="2"/>
    <s v="Medicare"/>
    <n v="51079.96"/>
    <n v="13767.68"/>
    <n v="0"/>
  </r>
  <r>
    <x v="6280"/>
    <s v="Peconic Bay Medical Center"/>
    <n v="2015"/>
    <n v="7"/>
    <s v="Medicare"/>
    <x v="2"/>
    <s v="Medicare"/>
    <n v="45727.94"/>
    <n v="13165.25"/>
    <n v="0"/>
  </r>
  <r>
    <x v="6281"/>
    <s v="Peconic Bay Medical Center"/>
    <n v="2015"/>
    <n v="7"/>
    <s v="Medicare"/>
    <x v="2"/>
    <s v="Medicare"/>
    <n v="48661.1"/>
    <n v="10752.17"/>
    <n v="0"/>
  </r>
  <r>
    <x v="6282"/>
    <s v="Peconic Bay Medical Center"/>
    <n v="2015"/>
    <n v="7"/>
    <s v="Medicare"/>
    <x v="2"/>
    <s v="Medicare"/>
    <n v="17115.64"/>
    <n v="4676.09"/>
    <n v="0"/>
  </r>
  <r>
    <x v="6283"/>
    <s v="Peconic Bay Medical Center"/>
    <n v="2015"/>
    <n v="7"/>
    <s v="Medicare"/>
    <x v="2"/>
    <s v="Medicare"/>
    <n v="97520.86"/>
    <n v="40645.199999999997"/>
    <n v="0"/>
  </r>
  <r>
    <x v="6284"/>
    <s v="Peconic Bay Medical Center"/>
    <n v="2015"/>
    <n v="7"/>
    <s v="Medicare"/>
    <x v="2"/>
    <s v="Medicare"/>
    <n v="26391.52"/>
    <n v="7871.12"/>
    <n v="0"/>
  </r>
  <r>
    <x v="6285"/>
    <s v="Peconic Bay Medical Center"/>
    <n v="2015"/>
    <n v="7"/>
    <s v="Medicare"/>
    <x v="2"/>
    <s v="Medicare"/>
    <n v="21435.86"/>
    <n v="5916.31"/>
    <n v="0"/>
  </r>
  <r>
    <x v="6286"/>
    <s v="Peconic Bay Medical Center"/>
    <n v="2015"/>
    <n v="7"/>
    <s v="Medicare"/>
    <x v="2"/>
    <s v="Medicare"/>
    <n v="20128.38"/>
    <n v="4852.21"/>
    <n v="0"/>
  </r>
  <r>
    <x v="6287"/>
    <s v="Peconic Bay Medical Center"/>
    <n v="2015"/>
    <n v="7"/>
    <s v="Medicare"/>
    <x v="2"/>
    <s v="Medicare"/>
    <n v="41723.58"/>
    <n v="18904.98"/>
    <n v="0"/>
  </r>
  <r>
    <x v="6288"/>
    <s v="Peconic Bay Medical Center"/>
    <n v="2015"/>
    <n v="7"/>
    <s v="Medicare"/>
    <x v="2"/>
    <s v="Medicare"/>
    <n v="8437.26"/>
    <n v="2301.84"/>
    <n v="0"/>
  </r>
  <r>
    <x v="6289"/>
    <s v="Peconic Bay Medical Center"/>
    <n v="2015"/>
    <n v="7"/>
    <s v="Medicare"/>
    <x v="2"/>
    <s v="Medicare"/>
    <n v="16298.98"/>
    <n v="4648.8900000000003"/>
    <n v="0"/>
  </r>
  <r>
    <x v="6290"/>
    <s v="Peconic Bay Medical Center"/>
    <n v="2015"/>
    <n v="7"/>
    <s v="Medicare"/>
    <x v="2"/>
    <s v="Medicare"/>
    <n v="11529.32"/>
    <n v="2595.94"/>
    <n v="0"/>
  </r>
  <r>
    <x v="6291"/>
    <s v="Peconic Bay Medical Center"/>
    <n v="2015"/>
    <n v="7"/>
    <s v="Medicare"/>
    <x v="2"/>
    <s v="Medicare"/>
    <n v="57390.22"/>
    <n v="23355.89"/>
    <n v="0"/>
  </r>
  <r>
    <x v="6292"/>
    <s v="Peconic Bay Medical Center"/>
    <n v="2015"/>
    <n v="7"/>
    <s v="Medicare"/>
    <x v="2"/>
    <s v="Medicare"/>
    <n v="31840.34"/>
    <n v="9438.7199999999993"/>
    <n v="0"/>
  </r>
  <r>
    <x v="6293"/>
    <s v="Peconic Bay Medical Center"/>
    <n v="2015"/>
    <n v="7"/>
    <s v="Medicare"/>
    <x v="2"/>
    <s v="Medicare"/>
    <n v="30055.040000000001"/>
    <n v="9386.84"/>
    <n v="0"/>
  </r>
  <r>
    <x v="6294"/>
    <s v="Peconic Bay Medical Center"/>
    <n v="2015"/>
    <n v="7"/>
    <s v="Medicare"/>
    <x v="2"/>
    <s v="Medicare"/>
    <n v="24843.119999999999"/>
    <n v="6037.59"/>
    <n v="0"/>
  </r>
  <r>
    <x v="6295"/>
    <s v="Peconic Bay Medical Center"/>
    <n v="2015"/>
    <n v="7"/>
    <s v="Medicare"/>
    <x v="2"/>
    <s v="Medicare"/>
    <n v="36428"/>
    <n v="10670.37"/>
    <n v="0"/>
  </r>
  <r>
    <x v="6296"/>
    <s v="Peconic Bay Medical Center"/>
    <n v="2015"/>
    <n v="7"/>
    <s v="Medicare"/>
    <x v="2"/>
    <s v="Medicare"/>
    <n v="81459.399999999994"/>
    <n v="24789.34"/>
    <n v="0"/>
  </r>
  <r>
    <x v="6297"/>
    <s v="Peconic Bay Medical Center"/>
    <n v="2015"/>
    <n v="7"/>
    <s v="Medicare"/>
    <x v="2"/>
    <s v="Medicare"/>
    <n v="31326.3"/>
    <n v="8791.35"/>
    <n v="0"/>
  </r>
  <r>
    <x v="6298"/>
    <s v="Peconic Bay Medical Center"/>
    <n v="2015"/>
    <n v="7"/>
    <s v="Medicare"/>
    <x v="2"/>
    <s v="Medicare"/>
    <n v="22547.18"/>
    <n v="6284.14"/>
    <n v="0"/>
  </r>
  <r>
    <x v="6299"/>
    <s v="Peconic Bay Medical Center"/>
    <n v="2015"/>
    <n v="7"/>
    <s v="Medicare"/>
    <x v="2"/>
    <s v="Medicare"/>
    <n v="12712.5"/>
    <n v="2927.88"/>
    <n v="0"/>
  </r>
  <r>
    <x v="6300"/>
    <s v="Peconic Bay Medical Center"/>
    <n v="2015"/>
    <n v="7"/>
    <s v="Medicare"/>
    <x v="2"/>
    <s v="Medicare"/>
    <n v="86003.08"/>
    <n v="37352"/>
    <n v="0"/>
  </r>
  <r>
    <x v="6301"/>
    <s v="Peconic Bay Medical Center"/>
    <n v="2015"/>
    <n v="7"/>
    <s v="Medicare"/>
    <x v="2"/>
    <s v="Medicare"/>
    <n v="33680.5"/>
    <n v="9541.7000000000007"/>
    <n v="0"/>
  </r>
  <r>
    <x v="6302"/>
    <s v="Peconic Bay Medical Center"/>
    <n v="2015"/>
    <n v="7"/>
    <s v="Medicare"/>
    <x v="2"/>
    <s v="Medicare"/>
    <n v="276290.82"/>
    <n v="106910.18"/>
    <n v="0"/>
  </r>
  <r>
    <x v="6303"/>
    <s v="Peconic Bay Medical Center"/>
    <n v="2015"/>
    <n v="7"/>
    <s v="Medicare"/>
    <x v="2"/>
    <s v="Medicare"/>
    <n v="55516.56"/>
    <n v="16207.88"/>
    <n v="0"/>
  </r>
  <r>
    <x v="6304"/>
    <s v="Peconic Bay Medical Center"/>
    <n v="2015"/>
    <n v="7"/>
    <s v="Medicare"/>
    <x v="2"/>
    <s v="Medicare"/>
    <n v="22099.040000000001"/>
    <n v="6464.23"/>
    <n v="0"/>
  </r>
  <r>
    <x v="6305"/>
    <s v="Peconic Bay Medical Center"/>
    <n v="2015"/>
    <n v="7"/>
    <s v="Medicare"/>
    <x v="2"/>
    <s v="Medicare"/>
    <n v="33273.919999999998"/>
    <n v="12010.86"/>
    <n v="0"/>
  </r>
  <r>
    <x v="6306"/>
    <s v="Peconic Bay Medical Center"/>
    <n v="2015"/>
    <n v="7"/>
    <s v="Medicare"/>
    <x v="2"/>
    <s v="Medicare"/>
    <n v="21577.94"/>
    <n v="5254.56"/>
    <n v="0"/>
  </r>
  <r>
    <x v="6307"/>
    <s v="Peconic Bay Medical Center"/>
    <n v="2015"/>
    <n v="7"/>
    <s v="Medicare"/>
    <x v="2"/>
    <s v="Medicare"/>
    <n v="12892.42"/>
    <n v="2879.07"/>
    <n v="0"/>
  </r>
  <r>
    <x v="6308"/>
    <s v="Peconic Bay Medical Center"/>
    <n v="2015"/>
    <n v="7"/>
    <s v="Medicare"/>
    <x v="2"/>
    <s v="Medicare"/>
    <n v="26475.06"/>
    <n v="8266.4"/>
    <n v="0"/>
  </r>
  <r>
    <x v="6309"/>
    <s v="Peconic Bay Medical Center"/>
    <n v="2015"/>
    <n v="7"/>
    <s v="Medicare"/>
    <x v="2"/>
    <s v="Medicare"/>
    <n v="86956.66"/>
    <n v="26090.48"/>
    <n v="0"/>
  </r>
  <r>
    <x v="6310"/>
    <s v="Peconic Bay Medical Center"/>
    <n v="2015"/>
    <n v="7"/>
    <s v="Medicare"/>
    <x v="2"/>
    <s v="Medicare"/>
    <n v="39133.06"/>
    <n v="11215.41"/>
    <n v="0"/>
  </r>
  <r>
    <x v="6311"/>
    <s v="Peconic Bay Medical Center"/>
    <n v="2015"/>
    <n v="7"/>
    <s v="Medicare"/>
    <x v="2"/>
    <s v="Medicare"/>
    <n v="23233.040000000001"/>
    <n v="6237.24"/>
    <n v="0"/>
  </r>
  <r>
    <x v="6312"/>
    <s v="Peconic Bay Medical Center"/>
    <n v="2015"/>
    <n v="7"/>
    <s v="Medicare"/>
    <x v="2"/>
    <s v="Medicare"/>
    <n v="36648.980000000003"/>
    <n v="10359.219999999999"/>
    <n v="0"/>
  </r>
  <r>
    <x v="6313"/>
    <s v="Peconic Bay Medical Center"/>
    <n v="2015"/>
    <n v="7"/>
    <s v="Medicare"/>
    <x v="2"/>
    <s v="Medicare"/>
    <n v="25788.34"/>
    <n v="8057.35"/>
    <n v="0"/>
  </r>
  <r>
    <x v="6314"/>
    <s v="Peconic Bay Medical Center"/>
    <n v="2015"/>
    <n v="7"/>
    <s v="Medicare"/>
    <x v="2"/>
    <s v="Medicare"/>
    <n v="59295.38"/>
    <n v="17193.349999999999"/>
    <n v="0"/>
  </r>
  <r>
    <x v="6315"/>
    <s v="Peconic Bay Medical Center"/>
    <n v="2015"/>
    <n v="7"/>
    <s v="Medicare"/>
    <x v="2"/>
    <s v="Medicare"/>
    <n v="23256.76"/>
    <n v="7361.41"/>
    <n v="0"/>
  </r>
  <r>
    <x v="6316"/>
    <s v="Peconic Bay Medical Center"/>
    <n v="2015"/>
    <n v="7"/>
    <s v="Medicare"/>
    <x v="2"/>
    <s v="Medicare"/>
    <n v="38706.5"/>
    <n v="11391.96"/>
    <n v="0"/>
  </r>
  <r>
    <x v="6317"/>
    <s v="Peconic Bay Medical Center"/>
    <n v="2015"/>
    <n v="7"/>
    <s v="Medicare"/>
    <x v="2"/>
    <s v="Medicare"/>
    <n v="100083.9"/>
    <n v="31311.55"/>
    <n v="0"/>
  </r>
  <r>
    <x v="6318"/>
    <s v="Peconic Bay Medical Center"/>
    <n v="2015"/>
    <n v="7"/>
    <s v="Medicare"/>
    <x v="2"/>
    <s v="Medicare"/>
    <n v="20437.88"/>
    <n v="6073.91"/>
    <n v="0"/>
  </r>
  <r>
    <x v="6319"/>
    <s v="Peconic Bay Medical Center"/>
    <n v="2015"/>
    <n v="7"/>
    <s v="Medicare"/>
    <x v="2"/>
    <s v="Medicare"/>
    <n v="42781.32"/>
    <n v="10945.05"/>
    <n v="0"/>
  </r>
  <r>
    <x v="6320"/>
    <s v="Peconic Bay Medical Center"/>
    <n v="2015"/>
    <n v="7"/>
    <s v="Medicare"/>
    <x v="2"/>
    <s v="Medicare"/>
    <n v="58221.46"/>
    <n v="26446.37"/>
    <n v="0"/>
  </r>
  <r>
    <x v="6321"/>
    <s v="Peconic Bay Medical Center"/>
    <n v="2015"/>
    <n v="7"/>
    <s v="Medicare"/>
    <x v="2"/>
    <s v="Medicare"/>
    <n v="54016.6"/>
    <n v="16699.689999999999"/>
    <n v="0"/>
  </r>
  <r>
    <x v="6322"/>
    <s v="Peconic Bay Medical Center"/>
    <n v="2015"/>
    <n v="7"/>
    <s v="Medicare"/>
    <x v="2"/>
    <s v="Medicare"/>
    <n v="9271.34"/>
    <n v="2315.58"/>
    <n v="0"/>
  </r>
  <r>
    <x v="6323"/>
    <s v="Peconic Bay Medical Center"/>
    <n v="2015"/>
    <n v="7"/>
    <s v="Medicare"/>
    <x v="2"/>
    <s v="Medicare"/>
    <n v="63962.34"/>
    <n v="17680.66"/>
    <n v="0"/>
  </r>
  <r>
    <x v="6324"/>
    <s v="Peconic Bay Medical Center"/>
    <n v="2015"/>
    <n v="7"/>
    <s v="Medicare"/>
    <x v="2"/>
    <s v="Medicare"/>
    <n v="18322.04"/>
    <n v="4010.08"/>
    <n v="0"/>
  </r>
  <r>
    <x v="6325"/>
    <s v="Peconic Bay Medical Center"/>
    <n v="2015"/>
    <n v="7"/>
    <s v="Medicare"/>
    <x v="2"/>
    <s v="Medicare"/>
    <n v="10072.9"/>
    <n v="2689.1"/>
    <n v="0"/>
  </r>
  <r>
    <x v="6326"/>
    <s v="Peconic Bay Medical Center"/>
    <n v="2015"/>
    <n v="7"/>
    <s v="Medicare"/>
    <x v="2"/>
    <s v="Medicare"/>
    <n v="17524.68"/>
    <n v="5227.97"/>
    <n v="0"/>
  </r>
  <r>
    <x v="6327"/>
    <s v="Peconic Bay Medical Center"/>
    <n v="2015"/>
    <n v="7"/>
    <s v="Medicare"/>
    <x v="2"/>
    <s v="Medicare"/>
    <n v="16975.98"/>
    <n v="4706.72"/>
    <n v="0"/>
  </r>
  <r>
    <x v="6328"/>
    <s v="Peconic Bay Medical Center"/>
    <n v="2015"/>
    <n v="7"/>
    <s v="Medicare"/>
    <x v="2"/>
    <s v="Medicare"/>
    <n v="51369.2"/>
    <n v="28681.9"/>
    <n v="0"/>
  </r>
  <r>
    <x v="6329"/>
    <s v="Peconic Bay Medical Center"/>
    <n v="2015"/>
    <n v="7"/>
    <s v="Medicare"/>
    <x v="2"/>
    <s v="Medicare"/>
    <n v="18259.7"/>
    <n v="5241.83"/>
    <n v="0"/>
  </r>
  <r>
    <x v="6330"/>
    <s v="Peconic Bay Medical Center"/>
    <n v="2015"/>
    <n v="7"/>
    <s v="Medicare"/>
    <x v="2"/>
    <s v="Medicare"/>
    <n v="28838.84"/>
    <n v="6126.22"/>
    <n v="0"/>
  </r>
  <r>
    <x v="6331"/>
    <s v="Peconic Bay Medical Center"/>
    <n v="2015"/>
    <n v="7"/>
    <s v="Medicare"/>
    <x v="2"/>
    <s v="Medicare"/>
    <n v="20150.34"/>
    <n v="5779.57"/>
    <n v="0"/>
  </r>
  <r>
    <x v="6332"/>
    <s v="Peconic Bay Medical Center"/>
    <n v="2015"/>
    <n v="7"/>
    <s v="Medicare"/>
    <x v="2"/>
    <s v="Medicare"/>
    <n v="21625"/>
    <n v="6391.94"/>
    <n v="0"/>
  </r>
  <r>
    <x v="6333"/>
    <s v="Peconic Bay Medical Center"/>
    <n v="2015"/>
    <n v="7"/>
    <s v="Medicare"/>
    <x v="2"/>
    <s v="Medicare"/>
    <n v="38372.5"/>
    <n v="9928.86"/>
    <n v="0"/>
  </r>
  <r>
    <x v="6334"/>
    <s v="Peconic Bay Medical Center"/>
    <n v="2015"/>
    <n v="7"/>
    <s v="Medicare"/>
    <x v="2"/>
    <s v="Medicare"/>
    <n v="14649.92"/>
    <n v="4334.42"/>
    <n v="0"/>
  </r>
  <r>
    <x v="6335"/>
    <s v="Peconic Bay Medical Center"/>
    <n v="2015"/>
    <n v="7"/>
    <s v="Medicare"/>
    <x v="2"/>
    <s v="Medicare"/>
    <n v="17355.12"/>
    <n v="4626.74"/>
    <n v="0"/>
  </r>
  <r>
    <x v="6336"/>
    <s v="Peconic Bay Medical Center"/>
    <n v="2015"/>
    <n v="7"/>
    <s v="Medicare"/>
    <x v="2"/>
    <s v="Medicare"/>
    <n v="25196.880000000001"/>
    <n v="5179.83"/>
    <n v="0"/>
  </r>
  <r>
    <x v="6337"/>
    <s v="Peconic Bay Medical Center"/>
    <n v="2015"/>
    <n v="7"/>
    <s v="Medicare"/>
    <x v="2"/>
    <s v="Medicare"/>
    <n v="16085.28"/>
    <n v="4552.4399999999996"/>
    <n v="0"/>
  </r>
  <r>
    <x v="6338"/>
    <s v="Peconic Bay Medical Center"/>
    <n v="2015"/>
    <n v="7"/>
    <s v="Medicare"/>
    <x v="2"/>
    <s v="Medicare"/>
    <n v="28369.14"/>
    <n v="14809.02"/>
    <n v="0"/>
  </r>
  <r>
    <x v="6339"/>
    <s v="Peconic Bay Medical Center"/>
    <n v="2015"/>
    <n v="7"/>
    <s v="Medicare"/>
    <x v="2"/>
    <s v="Medicare"/>
    <n v="34518.199999999997"/>
    <n v="10515"/>
    <n v="0"/>
  </r>
  <r>
    <x v="6340"/>
    <s v="Peconic Bay Medical Center"/>
    <n v="2015"/>
    <n v="7"/>
    <s v="Medicare"/>
    <x v="2"/>
    <s v="Medicare"/>
    <n v="23147.1"/>
    <n v="6084.53"/>
    <n v="0"/>
  </r>
  <r>
    <x v="6341"/>
    <s v="Peconic Bay Medical Center"/>
    <n v="2015"/>
    <n v="7"/>
    <s v="Medicare"/>
    <x v="2"/>
    <s v="Medicare"/>
    <n v="26429"/>
    <n v="6392.71"/>
    <n v="0"/>
  </r>
  <r>
    <x v="6342"/>
    <s v="Peconic Bay Medical Center"/>
    <n v="2015"/>
    <n v="7"/>
    <s v="Medicare"/>
    <x v="2"/>
    <s v="Medicare"/>
    <n v="25255"/>
    <n v="7404.68"/>
    <n v="0"/>
  </r>
  <r>
    <x v="6343"/>
    <s v="Peconic Bay Medical Center"/>
    <n v="2015"/>
    <n v="7"/>
    <s v="Medicare"/>
    <x v="2"/>
    <s v="Medicare"/>
    <n v="24075.74"/>
    <n v="7371.6"/>
    <n v="0"/>
  </r>
  <r>
    <x v="6344"/>
    <s v="Peconic Bay Medical Center"/>
    <n v="2015"/>
    <n v="7"/>
    <s v="Medicare"/>
    <x v="2"/>
    <s v="Medicare"/>
    <n v="25104.080000000002"/>
    <n v="7461.33"/>
    <n v="0"/>
  </r>
  <r>
    <x v="6345"/>
    <s v="Peconic Bay Medical Center"/>
    <n v="2015"/>
    <n v="7"/>
    <s v="Medicare"/>
    <x v="2"/>
    <s v="Medicare"/>
    <n v="61137.34"/>
    <n v="37546.660000000003"/>
    <n v="0"/>
  </r>
  <r>
    <x v="6346"/>
    <s v="Peconic Bay Medical Center"/>
    <n v="2015"/>
    <n v="7"/>
    <s v="Medicare"/>
    <x v="2"/>
    <s v="Medicare"/>
    <n v="13997.66"/>
    <n v="4012.95"/>
    <n v="0"/>
  </r>
  <r>
    <x v="6347"/>
    <s v="Peconic Bay Medical Center"/>
    <n v="2015"/>
    <n v="7"/>
    <s v="Medicare"/>
    <x v="2"/>
    <s v="Medicare"/>
    <n v="18839.68"/>
    <n v="4996.33"/>
    <n v="0"/>
  </r>
  <r>
    <x v="6348"/>
    <s v="Peconic Bay Medical Center"/>
    <n v="2015"/>
    <n v="7"/>
    <s v="Medicare"/>
    <x v="2"/>
    <s v="Medicare"/>
    <n v="21314.959999999999"/>
    <n v="5992.25"/>
    <n v="0"/>
  </r>
  <r>
    <x v="6349"/>
    <s v="Peconic Bay Medical Center"/>
    <n v="2015"/>
    <n v="7"/>
    <s v="Medicare"/>
    <x v="2"/>
    <s v="Medicare"/>
    <n v="15541.24"/>
    <n v="4598.51"/>
    <n v="0"/>
  </r>
  <r>
    <x v="6350"/>
    <s v="Peconic Bay Medical Center"/>
    <n v="2015"/>
    <n v="7"/>
    <s v="Medicare"/>
    <x v="2"/>
    <s v="Medicare"/>
    <n v="31500.04"/>
    <n v="10305.81"/>
    <n v="0"/>
  </r>
  <r>
    <x v="6351"/>
    <s v="Peconic Bay Medical Center"/>
    <n v="2015"/>
    <n v="7"/>
    <s v="Medicare"/>
    <x v="2"/>
    <s v="Medicare"/>
    <n v="102692.06"/>
    <n v="74127.850000000006"/>
    <n v="0"/>
  </r>
  <r>
    <x v="6352"/>
    <s v="Peconic Bay Medical Center"/>
    <n v="2015"/>
    <n v="7"/>
    <s v="Medicare"/>
    <x v="2"/>
    <s v="Medicare"/>
    <n v="46855.7"/>
    <n v="9895.25"/>
    <n v="0"/>
  </r>
  <r>
    <x v="6353"/>
    <s v="Peconic Bay Medical Center"/>
    <n v="2015"/>
    <n v="7"/>
    <s v="Medicare"/>
    <x v="2"/>
    <s v="Medicare"/>
    <n v="40492.019999999997"/>
    <n v="10971.84"/>
    <n v="0"/>
  </r>
  <r>
    <x v="6354"/>
    <s v="Peconic Bay Medical Center"/>
    <n v="2015"/>
    <n v="7"/>
    <s v="Medicare"/>
    <x v="2"/>
    <s v="Medicare"/>
    <n v="9644.44"/>
    <n v="2631.74"/>
    <n v="0"/>
  </r>
  <r>
    <x v="6355"/>
    <s v="Peconic Bay Medical Center"/>
    <n v="2015"/>
    <n v="7"/>
    <s v="Medicare"/>
    <x v="2"/>
    <s v="Medicare"/>
    <n v="45895.62"/>
    <n v="13698.85"/>
    <n v="0"/>
  </r>
  <r>
    <x v="6356"/>
    <s v="Peconic Bay Medical Center"/>
    <n v="2015"/>
    <n v="7"/>
    <s v="Medicare"/>
    <x v="2"/>
    <s v="Medicare"/>
    <n v="9766.5"/>
    <n v="2220.7399999999998"/>
    <n v="0"/>
  </r>
  <r>
    <x v="6357"/>
    <s v="Peconic Bay Medical Center"/>
    <n v="2015"/>
    <n v="7"/>
    <s v="Medicare"/>
    <x v="2"/>
    <s v="Medicare"/>
    <n v="56460.02"/>
    <n v="16479.189999999999"/>
    <n v="0"/>
  </r>
  <r>
    <x v="6358"/>
    <s v="Peconic Bay Medical Center"/>
    <n v="2015"/>
    <n v="7"/>
    <s v="Medicare"/>
    <x v="2"/>
    <s v="Medicare"/>
    <n v="27305.759999999998"/>
    <n v="7752.97"/>
    <n v="0"/>
  </r>
  <r>
    <x v="6359"/>
    <s v="Peconic Bay Medical Center"/>
    <n v="2015"/>
    <n v="7"/>
    <s v="Medicare"/>
    <x v="2"/>
    <s v="Medicare"/>
    <n v="30585.58"/>
    <n v="18729.7"/>
    <n v="0"/>
  </r>
  <r>
    <x v="6360"/>
    <s v="Peconic Bay Medical Center"/>
    <n v="2015"/>
    <n v="7"/>
    <s v="Medicare"/>
    <x v="2"/>
    <s v="Medicare"/>
    <n v="129312.32000000001"/>
    <n v="45422.559999999998"/>
    <n v="0"/>
  </r>
  <r>
    <x v="6361"/>
    <s v="Peconic Bay Medical Center"/>
    <n v="2015"/>
    <n v="7"/>
    <s v="Medicare"/>
    <x v="2"/>
    <s v="Medicare"/>
    <n v="28587.8"/>
    <n v="8316.66"/>
    <n v="0"/>
  </r>
  <r>
    <x v="6362"/>
    <s v="Peconic Bay Medical Center"/>
    <n v="2015"/>
    <n v="7"/>
    <s v="Medicare"/>
    <x v="2"/>
    <s v="Medicare"/>
    <n v="12252.26"/>
    <n v="2644.95"/>
    <n v="0"/>
  </r>
  <r>
    <x v="6363"/>
    <s v="Peconic Bay Medical Center"/>
    <n v="2015"/>
    <n v="7"/>
    <s v="Medicare"/>
    <x v="2"/>
    <s v="Medicare"/>
    <n v="19351.259999999998"/>
    <n v="4956.72"/>
    <n v="0"/>
  </r>
  <r>
    <x v="6364"/>
    <s v="Peconic Bay Medical Center"/>
    <n v="2015"/>
    <n v="7"/>
    <s v="Medicare"/>
    <x v="2"/>
    <s v="Medicare"/>
    <n v="98343.1"/>
    <n v="38046.089999999997"/>
    <n v="0"/>
  </r>
  <r>
    <x v="6365"/>
    <s v="Peconic Bay Medical Center"/>
    <n v="2015"/>
    <n v="7"/>
    <s v="Medicare"/>
    <x v="2"/>
    <s v="Medicare"/>
    <n v="65226.879999999997"/>
    <n v="19028.02"/>
    <n v="0"/>
  </r>
  <r>
    <x v="6366"/>
    <s v="Peconic Bay Medical Center"/>
    <n v="2015"/>
    <n v="7"/>
    <s v="Medicare"/>
    <x v="2"/>
    <s v="Medicare"/>
    <n v="32130.5"/>
    <n v="10069.31"/>
    <n v="0"/>
  </r>
  <r>
    <x v="6367"/>
    <s v="Peconic Bay Medical Center"/>
    <n v="2015"/>
    <n v="7"/>
    <s v="Medicare"/>
    <x v="2"/>
    <s v="Medicare"/>
    <n v="90680.69"/>
    <n v="37663.22"/>
    <n v="0"/>
  </r>
  <r>
    <x v="6368"/>
    <s v="Peconic Bay Medical Center"/>
    <n v="2015"/>
    <n v="7"/>
    <s v="Medicare"/>
    <x v="2"/>
    <s v="Medicare"/>
    <n v="15129.68"/>
    <n v="4535.88"/>
    <n v="0"/>
  </r>
  <r>
    <x v="6369"/>
    <s v="Peconic Bay Medical Center"/>
    <n v="2015"/>
    <n v="7"/>
    <s v="Medicare"/>
    <x v="2"/>
    <s v="Medicare"/>
    <n v="25577.22"/>
    <n v="6618.69"/>
    <n v="0"/>
  </r>
  <r>
    <x v="6370"/>
    <s v="Peconic Bay Medical Center"/>
    <n v="2015"/>
    <n v="7"/>
    <s v="Medicare"/>
    <x v="2"/>
    <s v="Medicare"/>
    <n v="24656.78"/>
    <n v="7706.2"/>
    <n v="0"/>
  </r>
  <r>
    <x v="6371"/>
    <s v="Peconic Bay Medical Center"/>
    <n v="2015"/>
    <n v="7"/>
    <s v="Medicare"/>
    <x v="2"/>
    <s v="Medicare"/>
    <n v="11753.2"/>
    <n v="3023.22"/>
    <n v="0"/>
  </r>
  <r>
    <x v="6372"/>
    <s v="Peconic Bay Medical Center"/>
    <n v="2015"/>
    <n v="7"/>
    <s v="Medicare"/>
    <x v="2"/>
    <s v="Medicare"/>
    <n v="25923.599999999999"/>
    <n v="6101.3"/>
    <n v="0"/>
  </r>
  <r>
    <x v="6373"/>
    <s v="Peconic Bay Medical Center"/>
    <n v="2015"/>
    <n v="7"/>
    <s v="Medicare"/>
    <x v="2"/>
    <s v="Medicare"/>
    <n v="19236.32"/>
    <n v="5990.71"/>
    <n v="0"/>
  </r>
  <r>
    <x v="6374"/>
    <s v="Peconic Bay Medical Center"/>
    <n v="2015"/>
    <n v="7"/>
    <s v="Medicare"/>
    <x v="2"/>
    <s v="Medicare"/>
    <n v="12992.88"/>
    <n v="5097.13"/>
    <n v="0"/>
  </r>
  <r>
    <x v="6375"/>
    <s v="Peconic Bay Medical Center"/>
    <n v="2015"/>
    <n v="7"/>
    <s v="Medicare"/>
    <x v="2"/>
    <s v="Medicare"/>
    <n v="44648.08"/>
    <n v="12921.54"/>
    <n v="0"/>
  </r>
  <r>
    <x v="6376"/>
    <s v="Peconic Bay Medical Center"/>
    <n v="2015"/>
    <n v="7"/>
    <s v="Medicare"/>
    <x v="2"/>
    <s v="Medicare"/>
    <n v="9992.92"/>
    <n v="2561.1"/>
    <n v="0"/>
  </r>
  <r>
    <x v="6377"/>
    <s v="Peconic Bay Medical Center"/>
    <n v="2015"/>
    <n v="7"/>
    <s v="Medicare"/>
    <x v="2"/>
    <s v="Medicare"/>
    <n v="23968.3"/>
    <n v="7512.93"/>
    <n v="0"/>
  </r>
  <r>
    <x v="6378"/>
    <s v="Peconic Bay Medical Center"/>
    <n v="2015"/>
    <n v="7"/>
    <s v="Medicare"/>
    <x v="2"/>
    <s v="Medicare"/>
    <n v="57315.02"/>
    <n v="16623.61"/>
    <n v="0"/>
  </r>
  <r>
    <x v="6379"/>
    <s v="Peconic Bay Medical Center"/>
    <n v="2015"/>
    <n v="7"/>
    <s v="Medicare"/>
    <x v="2"/>
    <s v="Medicare"/>
    <n v="24580.12"/>
    <n v="14281.42"/>
    <n v="0"/>
  </r>
  <r>
    <x v="6380"/>
    <s v="Peconic Bay Medical Center"/>
    <n v="2015"/>
    <n v="7"/>
    <s v="Medicare"/>
    <x v="2"/>
    <s v="Medicare"/>
    <n v="37938.26"/>
    <n v="10821.67"/>
    <n v="0"/>
  </r>
  <r>
    <x v="6381"/>
    <s v="Peconic Bay Medical Center"/>
    <n v="2015"/>
    <n v="7"/>
    <s v="Medicare"/>
    <x v="2"/>
    <s v="Medicare"/>
    <n v="21264.46"/>
    <n v="6368.69"/>
    <n v="0"/>
  </r>
  <r>
    <x v="6382"/>
    <s v="Peconic Bay Medical Center"/>
    <n v="2015"/>
    <n v="7"/>
    <s v="Medicare"/>
    <x v="2"/>
    <s v="Medicare"/>
    <n v="58346.98"/>
    <n v="35465.58"/>
    <n v="0"/>
  </r>
  <r>
    <x v="6383"/>
    <s v="Peconic Bay Medical Center"/>
    <n v="2015"/>
    <n v="7"/>
    <s v="Medicare"/>
    <x v="2"/>
    <s v="Medicare"/>
    <n v="11192.08"/>
    <n v="2503.1999999999998"/>
    <n v="0"/>
  </r>
  <r>
    <x v="6384"/>
    <s v="Peconic Bay Medical Center"/>
    <n v="2015"/>
    <n v="7"/>
    <s v="Medicare"/>
    <x v="2"/>
    <s v="Medicare"/>
    <n v="20936.419999999998"/>
    <n v="6281.55"/>
    <n v="0"/>
  </r>
  <r>
    <x v="6385"/>
    <s v="Peconic Bay Medical Center"/>
    <n v="2015"/>
    <n v="7"/>
    <s v="Medicare"/>
    <x v="2"/>
    <s v="Medicare"/>
    <n v="14930.18"/>
    <n v="3412.29"/>
    <n v="0"/>
  </r>
  <r>
    <x v="6386"/>
    <s v="Peconic Bay Medical Center"/>
    <n v="2015"/>
    <n v="7"/>
    <s v="Medicare"/>
    <x v="2"/>
    <s v="Medicare"/>
    <n v="25556.86"/>
    <n v="7762.13"/>
    <n v="0"/>
  </r>
  <r>
    <x v="6387"/>
    <s v="Peconic Bay Medical Center"/>
    <n v="2015"/>
    <n v="7"/>
    <s v="Medicare"/>
    <x v="2"/>
    <s v="Medicare"/>
    <n v="21404.54"/>
    <n v="6589.32"/>
    <n v="0"/>
  </r>
  <r>
    <x v="6388"/>
    <s v="Peconic Bay Medical Center"/>
    <n v="2015"/>
    <n v="7"/>
    <s v="Medicare"/>
    <x v="2"/>
    <s v="Medicare"/>
    <n v="73958.100000000006"/>
    <n v="21709.34"/>
    <n v="0"/>
  </r>
  <r>
    <x v="6389"/>
    <s v="Peconic Bay Medical Center"/>
    <n v="2015"/>
    <n v="7"/>
    <s v="Medicare"/>
    <x v="2"/>
    <s v="Medicare"/>
    <n v="14080.18"/>
    <n v="3812.06"/>
    <n v="0"/>
  </r>
  <r>
    <x v="6390"/>
    <s v="Peconic Bay Medical Center"/>
    <n v="2015"/>
    <n v="7"/>
    <s v="Medicare"/>
    <x v="2"/>
    <s v="Medicare"/>
    <n v="53849.14"/>
    <n v="13442.16"/>
    <n v="0"/>
  </r>
  <r>
    <x v="6391"/>
    <s v="Peconic Bay Medical Center"/>
    <n v="2015"/>
    <n v="7"/>
    <s v="Medicare"/>
    <x v="2"/>
    <s v="Medicare"/>
    <n v="109795.92"/>
    <n v="40483.97"/>
    <n v="0"/>
  </r>
  <r>
    <x v="6392"/>
    <s v="Peconic Bay Medical Center"/>
    <n v="2015"/>
    <n v="7"/>
    <s v="Medicare"/>
    <x v="2"/>
    <s v="Medicare"/>
    <n v="85585.06"/>
    <n v="50825.41"/>
    <n v="0"/>
  </r>
  <r>
    <x v="6393"/>
    <s v="Peconic Bay Medical Center"/>
    <n v="2015"/>
    <n v="7"/>
    <s v="Medicare"/>
    <x v="2"/>
    <s v="Medicare"/>
    <n v="99462.3"/>
    <n v="33942.959999999999"/>
    <n v="0"/>
  </r>
  <r>
    <x v="6394"/>
    <s v="Peconic Bay Medical Center"/>
    <n v="2015"/>
    <n v="7"/>
    <s v="Medicare"/>
    <x v="2"/>
    <s v="Medicare"/>
    <n v="36178.839999999997"/>
    <n v="9106.4"/>
    <n v="0"/>
  </r>
  <r>
    <x v="6395"/>
    <s v="Peconic Bay Medical Center"/>
    <n v="2015"/>
    <n v="7"/>
    <s v="Medicare"/>
    <x v="2"/>
    <s v="Medicare"/>
    <n v="16872.38"/>
    <n v="4923.2"/>
    <n v="0"/>
  </r>
  <r>
    <x v="6396"/>
    <s v="Peconic Bay Medical Center"/>
    <n v="2015"/>
    <n v="7"/>
    <s v="Medicare"/>
    <x v="2"/>
    <s v="Medicare"/>
    <n v="19686.14"/>
    <n v="5610.77"/>
    <n v="0"/>
  </r>
  <r>
    <x v="6397"/>
    <s v="Peconic Bay Medical Center"/>
    <n v="2015"/>
    <n v="7"/>
    <s v="Medicare"/>
    <x v="2"/>
    <s v="Medicare"/>
    <n v="16720.599999999999"/>
    <n v="4450.68"/>
    <n v="0"/>
  </r>
  <r>
    <x v="6398"/>
    <s v="Peconic Bay Medical Center"/>
    <n v="2015"/>
    <n v="7"/>
    <s v="Medicare"/>
    <x v="2"/>
    <s v="Medicare"/>
    <n v="12941.96"/>
    <n v="2880.3"/>
    <n v="0"/>
  </r>
  <r>
    <x v="6399"/>
    <s v="Peconic Bay Medical Center"/>
    <n v="2015"/>
    <n v="7"/>
    <s v="Medicare"/>
    <x v="2"/>
    <s v="Medicare"/>
    <n v="51945.760000000002"/>
    <n v="15572.59"/>
    <n v="0"/>
  </r>
  <r>
    <x v="6400"/>
    <s v="Peconic Bay Medical Center"/>
    <n v="2015"/>
    <n v="7"/>
    <s v="Medicare"/>
    <x v="2"/>
    <s v="Medicare"/>
    <n v="22939.1"/>
    <n v="5204.8500000000004"/>
    <n v="0"/>
  </r>
  <r>
    <x v="6401"/>
    <s v="Peconic Bay Medical Center"/>
    <n v="2015"/>
    <n v="7"/>
    <s v="Medicare"/>
    <x v="2"/>
    <s v="Medicare"/>
    <n v="18751.32"/>
    <n v="5473.53"/>
    <n v="0"/>
  </r>
  <r>
    <x v="6402"/>
    <s v="Peconic Bay Medical Center"/>
    <n v="2015"/>
    <n v="7"/>
    <s v="Medicare"/>
    <x v="2"/>
    <s v="Medicare"/>
    <n v="15084.94"/>
    <n v="3379.52"/>
    <n v="0"/>
  </r>
  <r>
    <x v="6403"/>
    <s v="Peconic Bay Medical Center"/>
    <n v="2015"/>
    <n v="7"/>
    <s v="Medicare"/>
    <x v="2"/>
    <s v="Medicare"/>
    <n v="26475.26"/>
    <n v="6328.35"/>
    <n v="0"/>
  </r>
  <r>
    <x v="6404"/>
    <s v="Peconic Bay Medical Center"/>
    <n v="2015"/>
    <n v="7"/>
    <s v="Medicare"/>
    <x v="2"/>
    <s v="Medicare"/>
    <n v="31452.58"/>
    <n v="16208.16"/>
    <n v="0"/>
  </r>
  <r>
    <x v="6405"/>
    <s v="Peconic Bay Medical Center"/>
    <n v="2015"/>
    <n v="7"/>
    <s v="Medicare"/>
    <x v="2"/>
    <s v="Medicare"/>
    <n v="11866.34"/>
    <n v="2612.39"/>
    <n v="0"/>
  </r>
  <r>
    <x v="6406"/>
    <s v="Peconic Bay Medical Center"/>
    <n v="2015"/>
    <n v="7"/>
    <s v="Medicare"/>
    <x v="2"/>
    <s v="Medicare"/>
    <n v="22429.52"/>
    <n v="5772.77"/>
    <n v="0"/>
  </r>
  <r>
    <x v="6407"/>
    <s v="Peconic Bay Medical Center"/>
    <n v="2015"/>
    <n v="7"/>
    <s v="Medicare"/>
    <x v="2"/>
    <s v="Medicare"/>
    <n v="23070.38"/>
    <n v="7153.84"/>
    <n v="0"/>
  </r>
  <r>
    <x v="6408"/>
    <s v="Peconic Bay Medical Center"/>
    <n v="2015"/>
    <n v="7"/>
    <s v="Medicare"/>
    <x v="2"/>
    <s v="Medicare"/>
    <n v="47429.06"/>
    <n v="14154.4"/>
    <n v="0"/>
  </r>
  <r>
    <x v="6409"/>
    <s v="Peconic Bay Medical Center"/>
    <n v="2015"/>
    <n v="7"/>
    <s v="Medicare"/>
    <x v="2"/>
    <s v="Medicare"/>
    <n v="28526.26"/>
    <n v="8663.91"/>
    <n v="0"/>
  </r>
  <r>
    <x v="6410"/>
    <s v="Peconic Bay Medical Center"/>
    <n v="2015"/>
    <n v="7"/>
    <s v="Medicare"/>
    <x v="2"/>
    <s v="Medicare"/>
    <n v="121108.82"/>
    <n v="38064.769999999997"/>
    <n v="0"/>
  </r>
  <r>
    <x v="6411"/>
    <s v="Peconic Bay Medical Center"/>
    <n v="2015"/>
    <n v="7"/>
    <s v="Medicare"/>
    <x v="2"/>
    <s v="Medicare"/>
    <n v="22393.48"/>
    <n v="6644.98"/>
    <n v="0"/>
  </r>
  <r>
    <x v="6412"/>
    <s v="Peconic Bay Medical Center"/>
    <n v="2015"/>
    <n v="7"/>
    <s v="Medicare"/>
    <x v="2"/>
    <s v="Medicare"/>
    <n v="10089.14"/>
    <n v="2596.42"/>
    <n v="0"/>
  </r>
  <r>
    <x v="6413"/>
    <s v="Peconic Bay Medical Center"/>
    <n v="2015"/>
    <n v="7"/>
    <s v="Medicare"/>
    <x v="2"/>
    <s v="Medicare"/>
    <n v="21513.42"/>
    <n v="6594.93"/>
    <n v="0"/>
  </r>
  <r>
    <x v="6414"/>
    <s v="Peconic Bay Medical Center"/>
    <n v="2015"/>
    <n v="7"/>
    <s v="Medicare"/>
    <x v="2"/>
    <s v="Medicare"/>
    <n v="56674.42"/>
    <n v="18950.53"/>
    <n v="0"/>
  </r>
  <r>
    <x v="6415"/>
    <s v="Peconic Bay Medical Center"/>
    <n v="2015"/>
    <n v="7"/>
    <s v="Medicare"/>
    <x v="2"/>
    <s v="Medicare"/>
    <n v="26369.599999999999"/>
    <n v="6716.08"/>
    <n v="0"/>
  </r>
  <r>
    <x v="6416"/>
    <s v="Peconic Bay Medical Center"/>
    <n v="2015"/>
    <n v="7"/>
    <s v="Medicare"/>
    <x v="2"/>
    <s v="Medicare"/>
    <n v="16581.5"/>
    <n v="4704.32"/>
    <n v="0"/>
  </r>
  <r>
    <x v="6417"/>
    <s v="Peconic Bay Medical Center"/>
    <n v="2015"/>
    <n v="7"/>
    <s v="Medicare"/>
    <x v="2"/>
    <s v="Medicare"/>
    <n v="41778.800000000003"/>
    <n v="12222.21"/>
    <n v="0"/>
  </r>
  <r>
    <x v="6418"/>
    <s v="Peconic Bay Medical Center"/>
    <n v="2015"/>
    <n v="7"/>
    <s v="Medicare"/>
    <x v="2"/>
    <s v="Medicare"/>
    <n v="60055.96"/>
    <n v="38533.47"/>
    <n v="0"/>
  </r>
  <r>
    <x v="6419"/>
    <s v="Peconic Bay Medical Center"/>
    <n v="2015"/>
    <n v="7"/>
    <s v="Medicare"/>
    <x v="2"/>
    <s v="Medicare"/>
    <n v="10148.200000000001"/>
    <n v="2761.02"/>
    <n v="0"/>
  </r>
  <r>
    <x v="6420"/>
    <s v="Peconic Bay Medical Center"/>
    <n v="2015"/>
    <n v="7"/>
    <s v="Medicare"/>
    <x v="2"/>
    <s v="Medicare"/>
    <n v="23269.66"/>
    <n v="6509.61"/>
    <n v="0"/>
  </r>
  <r>
    <x v="6421"/>
    <s v="Peconic Bay Medical Center"/>
    <n v="2015"/>
    <n v="7"/>
    <s v="Medicare"/>
    <x v="2"/>
    <s v="Medicare"/>
    <n v="23295.200000000001"/>
    <n v="5773.99"/>
    <n v="0"/>
  </r>
  <r>
    <x v="6422"/>
    <s v="Peconic Bay Medical Center"/>
    <n v="2015"/>
    <n v="7"/>
    <s v="Medicare"/>
    <x v="2"/>
    <s v="Medicare"/>
    <n v="21936.68"/>
    <n v="6519.46"/>
    <n v="0"/>
  </r>
  <r>
    <x v="6423"/>
    <s v="Peconic Bay Medical Center"/>
    <n v="2015"/>
    <n v="7"/>
    <s v="Medicare"/>
    <x v="2"/>
    <s v="Medicare"/>
    <n v="65528.54"/>
    <n v="19241.21"/>
    <n v="0"/>
  </r>
  <r>
    <x v="6424"/>
    <s v="Peconic Bay Medical Center"/>
    <n v="2015"/>
    <n v="7"/>
    <s v="Medicare"/>
    <x v="2"/>
    <s v="Medicare"/>
    <n v="42301.440000000002"/>
    <n v="14503.74"/>
    <n v="0"/>
  </r>
  <r>
    <x v="6425"/>
    <s v="Peconic Bay Medical Center"/>
    <n v="2015"/>
    <n v="7"/>
    <s v="Medicare"/>
    <x v="2"/>
    <s v="Medicare"/>
    <n v="33097.18"/>
    <n v="9182.49"/>
    <n v="0"/>
  </r>
  <r>
    <x v="6426"/>
    <s v="Peconic Bay Medical Center"/>
    <n v="2015"/>
    <n v="7"/>
    <s v="Medicare"/>
    <x v="2"/>
    <s v="Medicare"/>
    <n v="24385.98"/>
    <n v="12916.35"/>
    <n v="0"/>
  </r>
  <r>
    <x v="6427"/>
    <s v="Peconic Bay Medical Center"/>
    <n v="2015"/>
    <n v="7"/>
    <s v="Medicare"/>
    <x v="2"/>
    <s v="Medicare"/>
    <n v="93736.86"/>
    <n v="45708.73"/>
    <n v="0"/>
  </r>
  <r>
    <x v="6428"/>
    <s v="Peconic Bay Medical Center"/>
    <n v="2015"/>
    <n v="7"/>
    <s v="Medicare"/>
    <x v="2"/>
    <s v="Medicare"/>
    <n v="14233.72"/>
    <n v="4228.24"/>
    <n v="0"/>
  </r>
  <r>
    <x v="6429"/>
    <s v="Peconic Bay Medical Center"/>
    <n v="2015"/>
    <n v="7"/>
    <s v="Medicare"/>
    <x v="2"/>
    <s v="Medicare"/>
    <n v="27137.7"/>
    <n v="7837.48"/>
    <n v="0"/>
  </r>
  <r>
    <x v="6430"/>
    <s v="Peconic Bay Medical Center"/>
    <n v="2015"/>
    <n v="7"/>
    <s v="Medicare"/>
    <x v="2"/>
    <s v="Medicare"/>
    <n v="84641.88"/>
    <n v="45234.54"/>
    <n v="0"/>
  </r>
  <r>
    <x v="6431"/>
    <s v="Peconic Bay Medical Center"/>
    <n v="2015"/>
    <n v="7"/>
    <s v="Medicare"/>
    <x v="2"/>
    <s v="Medicare"/>
    <n v="29470.7"/>
    <n v="8687.83"/>
    <n v="0"/>
  </r>
  <r>
    <x v="6432"/>
    <s v="Peconic Bay Medical Center"/>
    <n v="2015"/>
    <n v="7"/>
    <s v="Medicare"/>
    <x v="2"/>
    <s v="Medicare"/>
    <n v="30706.240000000002"/>
    <n v="8888.8799999999992"/>
    <n v="0"/>
  </r>
  <r>
    <x v="6433"/>
    <s v="Peconic Bay Medical Center"/>
    <n v="2015"/>
    <n v="7"/>
    <s v="Medicare"/>
    <x v="2"/>
    <s v="Medicare"/>
    <n v="17215"/>
    <n v="4569.33"/>
    <n v="0"/>
  </r>
  <r>
    <x v="6434"/>
    <s v="Peconic Bay Medical Center"/>
    <n v="2015"/>
    <n v="7"/>
    <s v="Medicare"/>
    <x v="2"/>
    <s v="Medicare"/>
    <n v="10429.1"/>
    <n v="2330.0700000000002"/>
    <n v="0"/>
  </r>
  <r>
    <x v="6435"/>
    <s v="Peconic Bay Medical Center"/>
    <n v="2015"/>
    <n v="7"/>
    <s v="Medicare"/>
    <x v="2"/>
    <s v="Medicare"/>
    <n v="24535"/>
    <n v="7381.23"/>
    <n v="0"/>
  </r>
  <r>
    <x v="6436"/>
    <s v="Peconic Bay Medical Center"/>
    <n v="2015"/>
    <n v="7"/>
    <s v="Medicare"/>
    <x v="2"/>
    <s v="Medicare"/>
    <n v="14607.54"/>
    <n v="3746.51"/>
    <n v="0"/>
  </r>
  <r>
    <x v="6437"/>
    <s v="Peconic Bay Medical Center"/>
    <n v="2015"/>
    <n v="7"/>
    <s v="Medicare"/>
    <x v="2"/>
    <s v="Medicare"/>
    <n v="74363.02"/>
    <n v="58829.36"/>
    <n v="0"/>
  </r>
  <r>
    <x v="6438"/>
    <s v="Peconic Bay Medical Center"/>
    <n v="2015"/>
    <n v="7"/>
    <s v="Medicare"/>
    <x v="2"/>
    <s v="Medicare"/>
    <n v="24583.66"/>
    <n v="6743.59"/>
    <n v="0"/>
  </r>
  <r>
    <x v="6439"/>
    <s v="Peconic Bay Medical Center"/>
    <n v="2015"/>
    <n v="7"/>
    <s v="Medicare"/>
    <x v="2"/>
    <s v="Medicare"/>
    <n v="42150.92"/>
    <n v="11847.89"/>
    <n v="0"/>
  </r>
  <r>
    <x v="6440"/>
    <s v="Peconic Bay Medical Center"/>
    <n v="2015"/>
    <n v="7"/>
    <s v="Medicare"/>
    <x v="2"/>
    <s v="Medicare"/>
    <n v="46271.22"/>
    <n v="13366.02"/>
    <n v="0"/>
  </r>
  <r>
    <x v="6441"/>
    <s v="Peconic Bay Medical Center"/>
    <n v="2015"/>
    <n v="7"/>
    <s v="Medicare"/>
    <x v="2"/>
    <s v="Medicare"/>
    <n v="13069.68"/>
    <n v="2861.9"/>
    <n v="0"/>
  </r>
  <r>
    <x v="6442"/>
    <s v="Peconic Bay Medical Center"/>
    <n v="2015"/>
    <n v="7"/>
    <s v="Medicare"/>
    <x v="2"/>
    <s v="Medicare"/>
    <n v="30943.32"/>
    <n v="8846.2800000000007"/>
    <n v="0"/>
  </r>
  <r>
    <x v="6443"/>
    <s v="Peconic Bay Medical Center"/>
    <n v="2015"/>
    <n v="7"/>
    <s v="Medicare"/>
    <x v="2"/>
    <s v="Medicare"/>
    <n v="70804.240000000005"/>
    <n v="26474.93"/>
    <n v="0"/>
  </r>
  <r>
    <x v="6444"/>
    <s v="Peconic Bay Medical Center"/>
    <n v="2015"/>
    <n v="7"/>
    <s v="Medicare"/>
    <x v="2"/>
    <s v="Medicare"/>
    <n v="34833.519999999997"/>
    <n v="9063.65"/>
    <n v="0"/>
  </r>
  <r>
    <x v="6445"/>
    <s v="Peconic Bay Medical Center"/>
    <n v="2015"/>
    <n v="7"/>
    <s v="Medicare"/>
    <x v="2"/>
    <s v="Medicare"/>
    <n v="78536.399999999994"/>
    <n v="36299.97"/>
    <n v="0"/>
  </r>
  <r>
    <x v="6446"/>
    <s v="Peconic Bay Medical Center"/>
    <n v="2015"/>
    <n v="7"/>
    <s v="Medicare"/>
    <x v="2"/>
    <s v="Medicare"/>
    <n v="22075.759999999998"/>
    <n v="11511.45"/>
    <n v="0"/>
  </r>
  <r>
    <x v="6447"/>
    <s v="Peconic Bay Medical Center"/>
    <n v="2015"/>
    <n v="7"/>
    <s v="Medicare"/>
    <x v="2"/>
    <s v="Medicare"/>
    <n v="57764.6"/>
    <n v="25892.400000000001"/>
    <n v="0"/>
  </r>
  <r>
    <x v="6448"/>
    <s v="Peconic Bay Medical Center"/>
    <n v="2015"/>
    <n v="7"/>
    <s v="Medicare"/>
    <x v="2"/>
    <s v="Medicare"/>
    <n v="292653.84000000003"/>
    <n v="79088.61"/>
    <n v="0"/>
  </r>
  <r>
    <x v="6449"/>
    <s v="Peconic Bay Medical Center"/>
    <n v="2015"/>
    <n v="7"/>
    <s v="Medicare"/>
    <x v="2"/>
    <s v="Medicare"/>
    <n v="25550.639999999999"/>
    <n v="8191.38"/>
    <n v="0"/>
  </r>
  <r>
    <x v="6450"/>
    <s v="Peconic Bay Medical Center"/>
    <n v="2015"/>
    <n v="7"/>
    <s v="Medicare"/>
    <x v="2"/>
    <s v="Medicare"/>
    <n v="20787.2"/>
    <n v="4786.3500000000004"/>
    <n v="0"/>
  </r>
  <r>
    <x v="6451"/>
    <s v="Peconic Bay Medical Center"/>
    <n v="2015"/>
    <n v="7"/>
    <s v="Medicare"/>
    <x v="2"/>
    <s v="Medicare"/>
    <n v="61737.8"/>
    <n v="18393.63"/>
    <n v="0"/>
  </r>
  <r>
    <x v="6452"/>
    <s v="Peconic Bay Medical Center"/>
    <n v="2015"/>
    <n v="7"/>
    <s v="Medicare"/>
    <x v="2"/>
    <s v="Medicare"/>
    <n v="31390.959999999999"/>
    <n v="9396.35"/>
    <n v="0"/>
  </r>
  <r>
    <x v="6453"/>
    <s v="Peconic Bay Medical Center"/>
    <n v="2015"/>
    <n v="7"/>
    <s v="Medicare"/>
    <x v="2"/>
    <s v="Medicare"/>
    <n v="19105.04"/>
    <n v="5232.91"/>
    <n v="0"/>
  </r>
  <r>
    <x v="6454"/>
    <s v="Peconic Bay Medical Center"/>
    <n v="2015"/>
    <n v="7"/>
    <s v="Medicare"/>
    <x v="2"/>
    <s v="Medicare"/>
    <n v="21588.74"/>
    <n v="5044.66"/>
    <n v="0"/>
  </r>
  <r>
    <x v="6455"/>
    <s v="Peconic Bay Medical Center"/>
    <n v="2015"/>
    <n v="7"/>
    <s v="Medicare"/>
    <x v="2"/>
    <s v="Medicare"/>
    <n v="32419.74"/>
    <n v="10267.51"/>
    <n v="0"/>
  </r>
  <r>
    <x v="6456"/>
    <s v="Peconic Bay Medical Center"/>
    <n v="2015"/>
    <n v="7"/>
    <s v="Medicare"/>
    <x v="2"/>
    <s v="Medicare"/>
    <n v="28877.56"/>
    <n v="7936.53"/>
    <n v="0"/>
  </r>
  <r>
    <x v="6457"/>
    <s v="Peconic Bay Medical Center"/>
    <n v="2015"/>
    <n v="7"/>
    <s v="Medicare"/>
    <x v="2"/>
    <s v="Medicare"/>
    <n v="77088.460000000006"/>
    <n v="31365.31"/>
    <n v="0"/>
  </r>
  <r>
    <x v="6458"/>
    <s v="Peconic Bay Medical Center"/>
    <n v="2015"/>
    <n v="7"/>
    <s v="Medicare"/>
    <x v="2"/>
    <s v="Medicare"/>
    <n v="30692.58"/>
    <n v="12608.43"/>
    <n v="0"/>
  </r>
  <r>
    <x v="6459"/>
    <s v="Peconic Bay Medical Center"/>
    <n v="2015"/>
    <n v="7"/>
    <s v="Medicare"/>
    <x v="2"/>
    <s v="Medicare"/>
    <n v="30862.34"/>
    <n v="9328.7800000000007"/>
    <n v="0"/>
  </r>
  <r>
    <x v="6460"/>
    <s v="Peconic Bay Medical Center"/>
    <n v="2015"/>
    <n v="7"/>
    <s v="Medicare"/>
    <x v="2"/>
    <s v="Medicare"/>
    <n v="16242.48"/>
    <n v="4745.92"/>
    <n v="0"/>
  </r>
  <r>
    <x v="6461"/>
    <s v="Peconic Bay Medical Center"/>
    <n v="2015"/>
    <n v="7"/>
    <s v="Medicare"/>
    <x v="2"/>
    <s v="Medicare"/>
    <n v="21804.959999999999"/>
    <n v="6008.42"/>
    <n v="0"/>
  </r>
  <r>
    <x v="6462"/>
    <s v="Peconic Bay Medical Center"/>
    <n v="2015"/>
    <n v="7"/>
    <s v="Medicare"/>
    <x v="2"/>
    <s v="Medicare"/>
    <n v="167180.84"/>
    <n v="78766.100000000006"/>
    <n v="0"/>
  </r>
  <r>
    <x v="6463"/>
    <s v="Peconic Bay Medical Center"/>
    <n v="2015"/>
    <n v="7"/>
    <s v="Medicare"/>
    <x v="2"/>
    <s v="Medicare"/>
    <n v="21151.4"/>
    <n v="6517.12"/>
    <n v="0"/>
  </r>
  <r>
    <x v="6464"/>
    <s v="Peconic Bay Medical Center"/>
    <n v="2015"/>
    <n v="7"/>
    <s v="Medicare"/>
    <x v="2"/>
    <s v="Medicare"/>
    <n v="22453.74"/>
    <n v="6763.62"/>
    <n v="0"/>
  </r>
  <r>
    <x v="6465"/>
    <s v="Peconic Bay Medical Center"/>
    <n v="2015"/>
    <n v="7"/>
    <s v="Medicare"/>
    <x v="2"/>
    <s v="Medicare"/>
    <n v="39614.14"/>
    <n v="11280"/>
    <n v="0"/>
  </r>
  <r>
    <x v="6466"/>
    <s v="Peconic Bay Medical Center"/>
    <n v="2015"/>
    <n v="7"/>
    <s v="Medicare"/>
    <x v="2"/>
    <s v="Medicare"/>
    <n v="30683.82"/>
    <n v="15151.61"/>
    <n v="0"/>
  </r>
  <r>
    <x v="6467"/>
    <s v="Peconic Bay Medical Center"/>
    <n v="2015"/>
    <n v="7"/>
    <s v="Medicare"/>
    <x v="2"/>
    <s v="Medicare"/>
    <n v="8816.14"/>
    <n v="2761.45"/>
    <n v="0"/>
  </r>
  <r>
    <x v="6468"/>
    <s v="Peconic Bay Medical Center"/>
    <n v="2015"/>
    <n v="7"/>
    <s v="Medicare"/>
    <x v="2"/>
    <s v="Medicare"/>
    <n v="14448.66"/>
    <n v="3266.91"/>
    <n v="0"/>
  </r>
  <r>
    <x v="6469"/>
    <s v="Peconic Bay Medical Center"/>
    <n v="2015"/>
    <n v="7"/>
    <s v="Medicare"/>
    <x v="2"/>
    <s v="Medicare"/>
    <n v="38161.68"/>
    <n v="18592.099999999999"/>
    <n v="0"/>
  </r>
  <r>
    <x v="6470"/>
    <s v="Peconic Bay Medical Center"/>
    <n v="2015"/>
    <n v="7"/>
    <s v="Medicare"/>
    <x v="2"/>
    <s v="Medicare"/>
    <n v="40937.620000000003"/>
    <n v="12441.48"/>
    <n v="0"/>
  </r>
  <r>
    <x v="6471"/>
    <s v="Peconic Bay Medical Center"/>
    <n v="2015"/>
    <n v="7"/>
    <s v="Medicare"/>
    <x v="2"/>
    <s v="Medicare"/>
    <n v="24489.3"/>
    <n v="6033.11"/>
    <n v="0"/>
  </r>
  <r>
    <x v="6472"/>
    <s v="Peconic Bay Medical Center"/>
    <n v="2015"/>
    <n v="7"/>
    <s v="Medicare"/>
    <x v="2"/>
    <s v="Medicare"/>
    <n v="49392.36"/>
    <n v="21351.99"/>
    <n v="0"/>
  </r>
  <r>
    <x v="6473"/>
    <s v="Peconic Bay Medical Center"/>
    <n v="2015"/>
    <n v="7"/>
    <s v="Medicare"/>
    <x v="2"/>
    <s v="Medicare"/>
    <n v="494146.83"/>
    <n v="474036.25"/>
    <n v="0"/>
  </r>
  <r>
    <x v="6474"/>
    <s v="Peconic Bay Medical Center"/>
    <n v="2015"/>
    <n v="7"/>
    <s v="Medicare"/>
    <x v="2"/>
    <s v="Medicare"/>
    <n v="42601.64"/>
    <n v="22258.7"/>
    <n v="0"/>
  </r>
  <r>
    <x v="6475"/>
    <s v="Peconic Bay Medical Center"/>
    <n v="2015"/>
    <n v="7"/>
    <s v="Medicare"/>
    <x v="2"/>
    <s v="Medicare"/>
    <n v="45502.96"/>
    <n v="13113.47"/>
    <n v="0"/>
  </r>
  <r>
    <x v="6476"/>
    <s v="Peconic Bay Medical Center"/>
    <n v="2015"/>
    <n v="7"/>
    <s v="Medicare"/>
    <x v="2"/>
    <s v="Medicare"/>
    <n v="26258.94"/>
    <n v="5991.36"/>
    <n v="0"/>
  </r>
  <r>
    <x v="6477"/>
    <s v="Peconic Bay Medical Center"/>
    <n v="2015"/>
    <n v="7"/>
    <s v="Medicare"/>
    <x v="2"/>
    <s v="Medicare"/>
    <n v="21497.040000000001"/>
    <n v="6315.07"/>
    <n v="0"/>
  </r>
  <r>
    <x v="6478"/>
    <s v="Peconic Bay Medical Center"/>
    <n v="2015"/>
    <n v="7"/>
    <s v="Medicare"/>
    <x v="2"/>
    <s v="Medicare"/>
    <n v="53589.34"/>
    <n v="22979"/>
    <n v="0"/>
  </r>
  <r>
    <x v="6479"/>
    <s v="Peconic Bay Medical Center"/>
    <n v="2015"/>
    <n v="7"/>
    <s v="Medicare"/>
    <x v="2"/>
    <s v="Medicare"/>
    <n v="26176.14"/>
    <n v="7516.42"/>
    <n v="0"/>
  </r>
  <r>
    <x v="6480"/>
    <s v="Peconic Bay Medical Center"/>
    <n v="2015"/>
    <n v="7"/>
    <s v="Medicare"/>
    <x v="2"/>
    <s v="Medicare"/>
    <n v="90202.04"/>
    <n v="44762.74"/>
    <n v="0"/>
  </r>
  <r>
    <x v="6481"/>
    <s v="Peconic Bay Medical Center"/>
    <n v="2015"/>
    <n v="7"/>
    <s v="Medicare"/>
    <x v="2"/>
    <s v="Medicare"/>
    <n v="31331.040000000001"/>
    <n v="6626.84"/>
    <n v="0"/>
  </r>
  <r>
    <x v="6482"/>
    <s v="Peconic Bay Medical Center"/>
    <n v="2015"/>
    <n v="7"/>
    <s v="Medicare"/>
    <x v="2"/>
    <s v="Medicare"/>
    <n v="49710.04"/>
    <n v="14143.82"/>
    <n v="0"/>
  </r>
  <r>
    <x v="6483"/>
    <s v="Peconic Bay Medical Center"/>
    <n v="2015"/>
    <n v="7"/>
    <s v="Medicare"/>
    <x v="2"/>
    <s v="Medicare"/>
    <n v="26048.68"/>
    <n v="6891.78"/>
    <n v="0"/>
  </r>
  <r>
    <x v="6484"/>
    <s v="Peconic Bay Medical Center"/>
    <n v="2015"/>
    <n v="7"/>
    <s v="Medicare"/>
    <x v="2"/>
    <s v="Medicare"/>
    <n v="29828.560000000001"/>
    <n v="8854.73"/>
    <n v="0"/>
  </r>
  <r>
    <x v="6485"/>
    <s v="Peconic Bay Medical Center"/>
    <n v="2015"/>
    <n v="7"/>
    <s v="Medicare"/>
    <x v="2"/>
    <s v="Medicare"/>
    <n v="32521.200000000001"/>
    <n v="10122.459999999999"/>
    <n v="0"/>
  </r>
  <r>
    <x v="6486"/>
    <s v="Peconic Bay Medical Center"/>
    <n v="2015"/>
    <n v="7"/>
    <s v="Medicare"/>
    <x v="2"/>
    <s v="Medicare"/>
    <n v="101085.66"/>
    <n v="45881.71"/>
    <n v="0"/>
  </r>
  <r>
    <x v="6487"/>
    <s v="Peconic Bay Medical Center"/>
    <n v="2015"/>
    <n v="7"/>
    <s v="Medicare"/>
    <x v="2"/>
    <s v="Medicare"/>
    <n v="26221.32"/>
    <n v="5886.84"/>
    <n v="0"/>
  </r>
  <r>
    <x v="6488"/>
    <s v="Peconic Bay Medical Center"/>
    <n v="2015"/>
    <n v="7"/>
    <s v="Medicare"/>
    <x v="2"/>
    <s v="Medicare"/>
    <n v="17944.240000000002"/>
    <n v="5041.2"/>
    <n v="0"/>
  </r>
  <r>
    <x v="6489"/>
    <s v="Peconic Bay Medical Center"/>
    <n v="2015"/>
    <n v="7"/>
    <s v="Medicare"/>
    <x v="2"/>
    <s v="Medicare"/>
    <n v="20961.3"/>
    <n v="5613.43"/>
    <n v="0"/>
  </r>
  <r>
    <x v="6490"/>
    <s v="Peconic Bay Medical Center"/>
    <n v="2015"/>
    <n v="7"/>
    <s v="Medicare"/>
    <x v="2"/>
    <s v="Medicare"/>
    <n v="15406.74"/>
    <n v="4354.46"/>
    <n v="0"/>
  </r>
  <r>
    <x v="6491"/>
    <s v="Peconic Bay Medical Center"/>
    <n v="2015"/>
    <n v="7"/>
    <s v="Medicare"/>
    <x v="2"/>
    <s v="Medicare"/>
    <n v="49178.14"/>
    <n v="14288.3"/>
    <n v="0"/>
  </r>
  <r>
    <x v="6492"/>
    <s v="Peconic Bay Medical Center"/>
    <n v="2015"/>
    <n v="7"/>
    <s v="Medicare"/>
    <x v="2"/>
    <s v="Medicare"/>
    <n v="9383.1200000000008"/>
    <n v="2465.6"/>
    <n v="0"/>
  </r>
  <r>
    <x v="6493"/>
    <s v="Peconic Bay Medical Center"/>
    <n v="2015"/>
    <n v="7"/>
    <s v="Medicare"/>
    <x v="2"/>
    <s v="Medicare"/>
    <n v="44376.88"/>
    <n v="12980.82"/>
    <n v="0"/>
  </r>
  <r>
    <x v="6494"/>
    <s v="Peconic Bay Medical Center"/>
    <n v="2015"/>
    <n v="7"/>
    <s v="Medicare"/>
    <x v="2"/>
    <s v="Medicare"/>
    <n v="68582.98"/>
    <n v="35842.230000000003"/>
    <n v="0"/>
  </r>
  <r>
    <x v="6495"/>
    <s v="Peconic Bay Medical Center"/>
    <n v="2015"/>
    <n v="7"/>
    <s v="Medicare"/>
    <x v="2"/>
    <s v="Medicare"/>
    <n v="143104.72"/>
    <n v="76315.61"/>
    <n v="0"/>
  </r>
  <r>
    <x v="6496"/>
    <s v="Peconic Bay Medical Center"/>
    <n v="2015"/>
    <n v="7"/>
    <s v="Medicare"/>
    <x v="2"/>
    <s v="Medicare"/>
    <n v="23353.72"/>
    <n v="7079"/>
    <n v="0"/>
  </r>
  <r>
    <x v="6497"/>
    <s v="Peconic Bay Medical Center"/>
    <n v="2015"/>
    <n v="7"/>
    <s v="Medicare"/>
    <x v="2"/>
    <s v="Medicare"/>
    <n v="35481.980000000003"/>
    <n v="14693.25"/>
    <n v="0"/>
  </r>
  <r>
    <x v="6498"/>
    <s v="Peconic Bay Medical Center"/>
    <n v="2015"/>
    <n v="7"/>
    <s v="Medicare"/>
    <x v="2"/>
    <s v="Medicare"/>
    <n v="8543.56"/>
    <n v="2285.59"/>
    <n v="0"/>
  </r>
  <r>
    <x v="6499"/>
    <s v="Peconic Bay Medical Center"/>
    <n v="2015"/>
    <n v="7"/>
    <s v="Medicare"/>
    <x v="2"/>
    <s v="Medicare"/>
    <n v="24445.22"/>
    <n v="6250.09"/>
    <n v="0"/>
  </r>
  <r>
    <x v="6500"/>
    <s v="Peconic Bay Medical Center"/>
    <n v="2015"/>
    <n v="7"/>
    <s v="Medicare"/>
    <x v="2"/>
    <s v="Medicare"/>
    <n v="30158.22"/>
    <n v="7329.01"/>
    <n v="0"/>
  </r>
  <r>
    <x v="6501"/>
    <s v="Peconic Bay Medical Center"/>
    <n v="2015"/>
    <n v="7"/>
    <s v="Medicare"/>
    <x v="2"/>
    <s v="Medicare"/>
    <n v="15154.96"/>
    <n v="4493.47"/>
    <n v="0"/>
  </r>
  <r>
    <x v="6502"/>
    <s v="Peconic Bay Medical Center"/>
    <n v="2015"/>
    <n v="7"/>
    <s v="Medicare"/>
    <x v="2"/>
    <s v="Medicare"/>
    <n v="35654.699999999997"/>
    <n v="8908.5499999999993"/>
    <n v="0"/>
  </r>
  <r>
    <x v="6503"/>
    <s v="Peconic Bay Medical Center"/>
    <n v="2015"/>
    <n v="7"/>
    <s v="Medicare"/>
    <x v="2"/>
    <s v="Medicare"/>
    <n v="11191.64"/>
    <n v="2461.4299999999998"/>
    <n v="0"/>
  </r>
  <r>
    <x v="6504"/>
    <s v="Peconic Bay Medical Center"/>
    <n v="2015"/>
    <n v="7"/>
    <s v="Medicare"/>
    <x v="2"/>
    <s v="Medicare"/>
    <n v="64143.98"/>
    <n v="19706.18"/>
    <n v="0"/>
  </r>
  <r>
    <x v="6505"/>
    <s v="Peconic Bay Medical Center"/>
    <n v="2015"/>
    <n v="7"/>
    <s v="Medicare"/>
    <x v="2"/>
    <s v="Medicare"/>
    <n v="12378.28"/>
    <n v="2800.1"/>
    <n v="0"/>
  </r>
  <r>
    <x v="6506"/>
    <s v="Peconic Bay Medical Center"/>
    <n v="2015"/>
    <n v="7"/>
    <s v="Medicare"/>
    <x v="2"/>
    <s v="Medicare"/>
    <n v="25886.78"/>
    <n v="12829.9"/>
    <n v="0"/>
  </r>
  <r>
    <x v="6507"/>
    <s v="Peconic Bay Medical Center"/>
    <n v="2015"/>
    <n v="7"/>
    <s v="Medicare"/>
    <x v="2"/>
    <s v="Medicare"/>
    <n v="17375.86"/>
    <n v="5024.47"/>
    <n v="0"/>
  </r>
  <r>
    <x v="6508"/>
    <s v="Peconic Bay Medical Center"/>
    <n v="2015"/>
    <n v="7"/>
    <s v="Medicare"/>
    <x v="2"/>
    <s v="Medicare"/>
    <n v="41563.72"/>
    <n v="12039.29"/>
    <n v="0"/>
  </r>
  <r>
    <x v="6509"/>
    <s v="Peconic Bay Medical Center"/>
    <n v="2015"/>
    <n v="7"/>
    <s v="Medicare"/>
    <x v="2"/>
    <s v="Medicare"/>
    <n v="48732.82"/>
    <n v="15698.78"/>
    <n v="0"/>
  </r>
  <r>
    <x v="6510"/>
    <s v="Peconic Bay Medical Center"/>
    <n v="2015"/>
    <n v="7"/>
    <s v="Medicare"/>
    <x v="2"/>
    <s v="Medicare"/>
    <n v="29748.2"/>
    <n v="8003.8"/>
    <n v="0"/>
  </r>
  <r>
    <x v="6511"/>
    <s v="Peconic Bay Medical Center"/>
    <n v="2015"/>
    <n v="7"/>
    <s v="Medicare"/>
    <x v="2"/>
    <s v="Medicare"/>
    <n v="62356.02"/>
    <n v="18849.84"/>
    <n v="0"/>
  </r>
  <r>
    <x v="6512"/>
    <s v="Peconic Bay Medical Center"/>
    <n v="2015"/>
    <n v="7"/>
    <s v="Medicare"/>
    <x v="2"/>
    <s v="Medicare"/>
    <n v="44052.24"/>
    <n v="13107"/>
    <n v="0"/>
  </r>
  <r>
    <x v="6513"/>
    <s v="Peconic Bay Medical Center"/>
    <n v="2015"/>
    <n v="7"/>
    <s v="Medicare"/>
    <x v="2"/>
    <s v="Medicare"/>
    <n v="255779.02"/>
    <n v="93578.75"/>
    <n v="0"/>
  </r>
  <r>
    <x v="6514"/>
    <s v="Peconic Bay Medical Center"/>
    <n v="2015"/>
    <n v="7"/>
    <s v="Medicare"/>
    <x v="2"/>
    <s v="Medicare"/>
    <n v="10337.540000000001"/>
    <n v="2359.65"/>
    <n v="0"/>
  </r>
  <r>
    <x v="6515"/>
    <s v="Peconic Bay Medical Center"/>
    <n v="2015"/>
    <n v="7"/>
    <s v="Medicare"/>
    <x v="2"/>
    <s v="Medicare"/>
    <n v="30620.38"/>
    <n v="8501.8700000000008"/>
    <n v="0"/>
  </r>
  <r>
    <x v="6516"/>
    <s v="Peconic Bay Medical Center"/>
    <n v="2015"/>
    <n v="7"/>
    <s v="Medicare"/>
    <x v="2"/>
    <s v="Medicare"/>
    <n v="29071.72"/>
    <n v="14813.7"/>
    <n v="0"/>
  </r>
  <r>
    <x v="6517"/>
    <s v="Peconic Bay Medical Center"/>
    <n v="2015"/>
    <n v="7"/>
    <s v="Medicare"/>
    <x v="2"/>
    <s v="Medicare"/>
    <n v="23433.84"/>
    <n v="6805.45"/>
    <n v="0"/>
  </r>
  <r>
    <x v="6518"/>
    <s v="Peconic Bay Medical Center"/>
    <n v="2015"/>
    <n v="7"/>
    <s v="Medicare"/>
    <x v="2"/>
    <s v="Medicare"/>
    <n v="10550.68"/>
    <n v="2502.54"/>
    <n v="0"/>
  </r>
  <r>
    <x v="6519"/>
    <s v="Peconic Bay Medical Center"/>
    <n v="2015"/>
    <n v="7"/>
    <s v="Medicare"/>
    <x v="2"/>
    <s v="Medicare"/>
    <n v="31345.279999999999"/>
    <n v="8747.08"/>
    <n v="0"/>
  </r>
  <r>
    <x v="6520"/>
    <s v="Peconic Bay Medical Center"/>
    <n v="2015"/>
    <n v="7"/>
    <s v="Medicare"/>
    <x v="2"/>
    <s v="Medicare"/>
    <n v="76490.66"/>
    <n v="51682.22"/>
    <n v="0"/>
  </r>
  <r>
    <x v="6521"/>
    <s v="Peconic Bay Medical Center"/>
    <n v="2015"/>
    <n v="7"/>
    <s v="Medicare"/>
    <x v="2"/>
    <s v="Medicare"/>
    <n v="26558.82"/>
    <n v="7834.44"/>
    <n v="0"/>
  </r>
  <r>
    <x v="6522"/>
    <s v="Peconic Bay Medical Center"/>
    <n v="2015"/>
    <n v="7"/>
    <s v="Medicare"/>
    <x v="2"/>
    <s v="Medicare"/>
    <n v="23489.38"/>
    <n v="9640.08"/>
    <n v="0"/>
  </r>
  <r>
    <x v="6523"/>
    <s v="Peconic Bay Medical Center"/>
    <n v="2015"/>
    <n v="7"/>
    <s v="Medicare"/>
    <x v="2"/>
    <s v="Medicare"/>
    <n v="33306.14"/>
    <n v="10373.02"/>
    <n v="0"/>
  </r>
  <r>
    <x v="6524"/>
    <s v="Peconic Bay Medical Center"/>
    <n v="2015"/>
    <n v="7"/>
    <s v="Medicare"/>
    <x v="2"/>
    <s v="Medicare"/>
    <n v="33225.54"/>
    <n v="7939.53"/>
    <n v="0"/>
  </r>
  <r>
    <x v="6525"/>
    <s v="Peconic Bay Medical Center"/>
    <n v="2015"/>
    <n v="7"/>
    <s v="Medicare"/>
    <x v="2"/>
    <s v="Medicare"/>
    <n v="21210.98"/>
    <n v="4838.54"/>
    <n v="0"/>
  </r>
  <r>
    <x v="6526"/>
    <s v="Peconic Bay Medical Center"/>
    <n v="2015"/>
    <n v="7"/>
    <s v="Medicare"/>
    <x v="2"/>
    <s v="Medicare"/>
    <n v="22634.560000000001"/>
    <n v="5264.66"/>
    <n v="0"/>
  </r>
  <r>
    <x v="6527"/>
    <s v="Peconic Bay Medical Center"/>
    <n v="2015"/>
    <n v="7"/>
    <s v="Medicare"/>
    <x v="2"/>
    <s v="Medicare"/>
    <n v="102759.74"/>
    <n v="54750.83"/>
    <n v="0"/>
  </r>
  <r>
    <x v="6528"/>
    <s v="Peconic Bay Medical Center"/>
    <n v="2015"/>
    <n v="7"/>
    <s v="Medicare"/>
    <x v="2"/>
    <s v="Medicare"/>
    <n v="74410.36"/>
    <n v="34505.769999999997"/>
    <n v="0"/>
  </r>
  <r>
    <x v="6529"/>
    <s v="Peconic Bay Medical Center"/>
    <n v="2015"/>
    <n v="7"/>
    <s v="Medicare"/>
    <x v="2"/>
    <s v="Medicare"/>
    <n v="35330"/>
    <n v="10114.280000000001"/>
    <n v="0"/>
  </r>
  <r>
    <x v="6530"/>
    <s v="Peconic Bay Medical Center"/>
    <n v="2015"/>
    <n v="7"/>
    <s v="Medicare"/>
    <x v="2"/>
    <s v="Medicare"/>
    <n v="88445.58"/>
    <n v="37632.03"/>
    <n v="0"/>
  </r>
  <r>
    <x v="6531"/>
    <s v="Peconic Bay Medical Center"/>
    <n v="2015"/>
    <n v="7"/>
    <s v="Medicare"/>
    <x v="2"/>
    <s v="Medicare"/>
    <n v="27854.58"/>
    <n v="7955.91"/>
    <n v="0"/>
  </r>
  <r>
    <x v="6532"/>
    <s v="Peconic Bay Medical Center"/>
    <n v="2015"/>
    <n v="7"/>
    <s v="Medicare"/>
    <x v="2"/>
    <s v="Medicare"/>
    <n v="39649.56"/>
    <n v="20587.54"/>
    <n v="0"/>
  </r>
  <r>
    <x v="6533"/>
    <s v="Peconic Bay Medical Center"/>
    <n v="2015"/>
    <n v="7"/>
    <s v="Medicare"/>
    <x v="2"/>
    <s v="Medicare"/>
    <n v="74174.86"/>
    <n v="25220.12"/>
    <n v="0"/>
  </r>
  <r>
    <x v="6534"/>
    <s v="Peconic Bay Medical Center"/>
    <n v="2015"/>
    <n v="7"/>
    <s v="Medicare"/>
    <x v="2"/>
    <s v="Medicare"/>
    <n v="39430.86"/>
    <n v="11878.53"/>
    <n v="0"/>
  </r>
  <r>
    <x v="6535"/>
    <s v="Peconic Bay Medical Center"/>
    <n v="2015"/>
    <n v="7"/>
    <s v="Medicare"/>
    <x v="2"/>
    <s v="Medicare"/>
    <n v="70749.94"/>
    <n v="19267.849999999999"/>
    <n v="0"/>
  </r>
  <r>
    <x v="6536"/>
    <s v="Peconic Bay Medical Center"/>
    <n v="2015"/>
    <n v="7"/>
    <s v="Medicare"/>
    <x v="2"/>
    <s v="Medicare"/>
    <n v="28936.18"/>
    <n v="8943.19"/>
    <n v="0"/>
  </r>
  <r>
    <x v="6537"/>
    <s v="Peconic Bay Medical Center"/>
    <n v="2015"/>
    <n v="7"/>
    <s v="Medicare"/>
    <x v="2"/>
    <s v="Medicare"/>
    <n v="12536.68"/>
    <n v="2891.54"/>
    <n v="0"/>
  </r>
  <r>
    <x v="6538"/>
    <s v="Peconic Bay Medical Center"/>
    <n v="2015"/>
    <n v="7"/>
    <s v="Medicare"/>
    <x v="2"/>
    <s v="Medicare"/>
    <n v="62290.58"/>
    <n v="19929.59"/>
    <n v="0"/>
  </r>
  <r>
    <x v="6539"/>
    <s v="Peconic Bay Medical Center"/>
    <n v="2015"/>
    <n v="7"/>
    <s v="Medicare"/>
    <x v="2"/>
    <s v="Medicare"/>
    <n v="16141.76"/>
    <n v="4555.8"/>
    <n v="0"/>
  </r>
  <r>
    <x v="6540"/>
    <s v="Peconic Bay Medical Center"/>
    <n v="2015"/>
    <n v="7"/>
    <s v="Medicare"/>
    <x v="2"/>
    <s v="Medicare"/>
    <n v="32578.7"/>
    <n v="12322.5"/>
    <n v="0"/>
  </r>
  <r>
    <x v="6541"/>
    <s v="Peconic Bay Medical Center"/>
    <n v="2015"/>
    <n v="7"/>
    <s v="Medicare"/>
    <x v="2"/>
    <s v="Medicare"/>
    <n v="54730.12"/>
    <n v="15795.73"/>
    <n v="0"/>
  </r>
  <r>
    <x v="6542"/>
    <s v="Peconic Bay Medical Center"/>
    <n v="2015"/>
    <n v="7"/>
    <s v="Medicare"/>
    <x v="2"/>
    <s v="Medicare"/>
    <n v="78453.679999999993"/>
    <n v="32184.61"/>
    <n v="0"/>
  </r>
  <r>
    <x v="6543"/>
    <s v="Peconic Bay Medical Center"/>
    <n v="2015"/>
    <n v="7"/>
    <s v="Medicare"/>
    <x v="2"/>
    <s v="Medicare"/>
    <n v="12556.3"/>
    <n v="2846.07"/>
    <n v="0"/>
  </r>
  <r>
    <x v="6544"/>
    <s v="Peconic Bay Medical Center"/>
    <n v="2015"/>
    <n v="7"/>
    <s v="Medicare"/>
    <x v="2"/>
    <s v="Medicare"/>
    <n v="27065.48"/>
    <n v="15021.56"/>
    <n v="0"/>
  </r>
  <r>
    <x v="6545"/>
    <s v="Peconic Bay Medical Center"/>
    <n v="2015"/>
    <n v="7"/>
    <s v="Medicare"/>
    <x v="2"/>
    <s v="Medicare"/>
    <n v="71924.539999999994"/>
    <n v="39528.300000000003"/>
    <n v="0"/>
  </r>
  <r>
    <x v="6546"/>
    <s v="Peconic Bay Medical Center"/>
    <n v="2015"/>
    <n v="7"/>
    <s v="Medicare"/>
    <x v="2"/>
    <s v="Medicare"/>
    <n v="50204.98"/>
    <n v="14203.18"/>
    <n v="0"/>
  </r>
  <r>
    <x v="6547"/>
    <s v="Peconic Bay Medical Center"/>
    <n v="2015"/>
    <n v="7"/>
    <s v="Medicare"/>
    <x v="2"/>
    <s v="Medicare"/>
    <n v="18950.64"/>
    <n v="5828.04"/>
    <n v="0"/>
  </r>
  <r>
    <x v="6548"/>
    <s v="Peconic Bay Medical Center"/>
    <n v="2015"/>
    <n v="7"/>
    <s v="Medicare"/>
    <x v="2"/>
    <s v="Medicare"/>
    <n v="47839.58"/>
    <n v="11834.36"/>
    <n v="0"/>
  </r>
  <r>
    <x v="6549"/>
    <s v="Peconic Bay Medical Center"/>
    <n v="2015"/>
    <n v="7"/>
    <s v="Medicare"/>
    <x v="2"/>
    <s v="Medicare"/>
    <n v="69304.12"/>
    <n v="21270.9"/>
    <n v="0"/>
  </r>
  <r>
    <x v="6550"/>
    <s v="Peconic Bay Medical Center"/>
    <n v="2015"/>
    <n v="7"/>
    <s v="Medicare"/>
    <x v="2"/>
    <s v="Medicare"/>
    <n v="33517.72"/>
    <n v="9719.02"/>
    <n v="0"/>
  </r>
  <r>
    <x v="6551"/>
    <s v="Peconic Bay Medical Center"/>
    <n v="2015"/>
    <n v="7"/>
    <s v="Medicare"/>
    <x v="2"/>
    <s v="Medicare"/>
    <n v="9476.52"/>
    <n v="2604.21"/>
    <n v="0"/>
  </r>
  <r>
    <x v="6552"/>
    <s v="Peconic Bay Medical Center"/>
    <n v="2015"/>
    <n v="7"/>
    <s v="Medicare"/>
    <x v="2"/>
    <s v="Medicare"/>
    <n v="48798.720000000001"/>
    <n v="12333.82"/>
    <n v="0"/>
  </r>
  <r>
    <x v="6553"/>
    <s v="Peconic Bay Medical Center"/>
    <n v="2015"/>
    <n v="7"/>
    <s v="Medicare"/>
    <x v="2"/>
    <s v="Medicare"/>
    <n v="32340.240000000002"/>
    <n v="8253.91"/>
    <n v="0"/>
  </r>
  <r>
    <x v="6554"/>
    <s v="Peconic Bay Medical Center"/>
    <n v="2015"/>
    <n v="7"/>
    <s v="Medicare"/>
    <x v="2"/>
    <s v="Medicare"/>
    <n v="82610.820000000007"/>
    <n v="24434.46"/>
    <n v="0"/>
  </r>
  <r>
    <x v="6555"/>
    <s v="Peconic Bay Medical Center"/>
    <n v="2015"/>
    <n v="7"/>
    <s v="Medicare"/>
    <x v="2"/>
    <s v="Medicare"/>
    <n v="38449.980000000003"/>
    <n v="15960.57"/>
    <n v="0"/>
  </r>
  <r>
    <x v="6556"/>
    <s v="Peconic Bay Medical Center"/>
    <n v="2015"/>
    <n v="7"/>
    <s v="Medicare"/>
    <x v="2"/>
    <s v="Medicare"/>
    <n v="14844.66"/>
    <n v="2660.1"/>
    <n v="0"/>
  </r>
  <r>
    <x v="6557"/>
    <s v="Peconic Bay Medical Center"/>
    <n v="2015"/>
    <n v="7"/>
    <s v="Medicare"/>
    <x v="2"/>
    <s v="Medicare"/>
    <n v="31286.240000000002"/>
    <n v="8311.65"/>
    <n v="0"/>
  </r>
  <r>
    <x v="6558"/>
    <s v="Peconic Bay Medical Center"/>
    <n v="2015"/>
    <n v="7"/>
    <s v="Medicare"/>
    <x v="2"/>
    <s v="Medicare"/>
    <n v="8304.92"/>
    <n v="2103.9499999999998"/>
    <n v="0"/>
  </r>
  <r>
    <x v="6559"/>
    <s v="Peconic Bay Medical Center"/>
    <n v="2015"/>
    <n v="7"/>
    <s v="Medicare"/>
    <x v="2"/>
    <s v="Medicare"/>
    <n v="32650.560000000001"/>
    <n v="10027.1"/>
    <n v="0"/>
  </r>
  <r>
    <x v="6560"/>
    <s v="Peconic Bay Medical Center"/>
    <n v="2015"/>
    <n v="7"/>
    <s v="Medicare"/>
    <x v="2"/>
    <s v="Medicare"/>
    <n v="92878.42"/>
    <n v="67918.69"/>
    <n v="0"/>
  </r>
  <r>
    <x v="6561"/>
    <s v="Peconic Bay Medical Center"/>
    <n v="2015"/>
    <n v="7"/>
    <s v="Medicare"/>
    <x v="2"/>
    <s v="Medicare"/>
    <n v="26686.86"/>
    <n v="7288.92"/>
    <n v="0"/>
  </r>
  <r>
    <x v="6562"/>
    <s v="Peconic Bay Medical Center"/>
    <n v="2015"/>
    <n v="7"/>
    <s v="Medicare"/>
    <x v="2"/>
    <s v="Medicare"/>
    <n v="19528.64"/>
    <n v="3810.61"/>
    <n v="0"/>
  </r>
  <r>
    <x v="6563"/>
    <s v="Peconic Bay Medical Center"/>
    <n v="2015"/>
    <n v="7"/>
    <s v="Medicare"/>
    <x v="2"/>
    <s v="Medicare"/>
    <n v="40921.32"/>
    <n v="12820.97"/>
    <n v="0"/>
  </r>
  <r>
    <x v="6564"/>
    <s v="Peconic Bay Medical Center"/>
    <n v="2015"/>
    <n v="7"/>
    <s v="Medicare"/>
    <x v="2"/>
    <s v="Medicare"/>
    <n v="34199.46"/>
    <n v="9751.15"/>
    <n v="0"/>
  </r>
  <r>
    <x v="6565"/>
    <s v="Peconic Bay Medical Center"/>
    <n v="2015"/>
    <n v="7"/>
    <s v="Medicare"/>
    <x v="2"/>
    <s v="Medicare"/>
    <n v="9351.86"/>
    <n v="2430.16"/>
    <n v="0"/>
  </r>
  <r>
    <x v="6566"/>
    <s v="Peconic Bay Medical Center"/>
    <n v="2015"/>
    <n v="7"/>
    <s v="Medicare"/>
    <x v="2"/>
    <s v="Medicare"/>
    <n v="29968.720000000001"/>
    <n v="8900.17"/>
    <n v="0"/>
  </r>
  <r>
    <x v="6567"/>
    <s v="Peconic Bay Medical Center"/>
    <n v="2015"/>
    <n v="7"/>
    <s v="Medicare"/>
    <x v="2"/>
    <s v="Medicare"/>
    <n v="32780.160000000003"/>
    <n v="8673.7900000000009"/>
    <n v="0"/>
  </r>
  <r>
    <x v="6568"/>
    <s v="Peconic Bay Medical Center"/>
    <n v="2015"/>
    <n v="7"/>
    <s v="Medicare"/>
    <x v="2"/>
    <s v="Medicare"/>
    <n v="64712.02"/>
    <n v="21669.03"/>
    <n v="0"/>
  </r>
  <r>
    <x v="6569"/>
    <s v="Peconic Bay Medical Center"/>
    <n v="2015"/>
    <n v="7"/>
    <s v="Medicare"/>
    <x v="2"/>
    <s v="Medicare"/>
    <n v="57387.3"/>
    <n v="24152.560000000001"/>
    <n v="0"/>
  </r>
  <r>
    <x v="6570"/>
    <s v="Peconic Bay Medical Center"/>
    <n v="2015"/>
    <n v="7"/>
    <s v="Medicare"/>
    <x v="2"/>
    <s v="Medicare"/>
    <n v="16979.099999999999"/>
    <n v="4801.1099999999997"/>
    <n v="0"/>
  </r>
  <r>
    <x v="6571"/>
    <s v="Peconic Bay Medical Center"/>
    <n v="2015"/>
    <n v="7"/>
    <s v="Medicare"/>
    <x v="2"/>
    <s v="Medicare"/>
    <n v="46619.66"/>
    <n v="30878.18"/>
    <n v="0"/>
  </r>
  <r>
    <x v="6572"/>
    <s v="Peconic Bay Medical Center"/>
    <n v="2015"/>
    <n v="7"/>
    <s v="Medicare"/>
    <x v="2"/>
    <s v="Medicare"/>
    <n v="28080.400000000001"/>
    <n v="8610.9"/>
    <n v="0"/>
  </r>
  <r>
    <x v="6573"/>
    <s v="Peconic Bay Medical Center"/>
    <n v="2015"/>
    <n v="7"/>
    <s v="Medicare"/>
    <x v="2"/>
    <s v="Medicare"/>
    <n v="74563.240000000005"/>
    <n v="21819.62"/>
    <n v="0"/>
  </r>
  <r>
    <x v="6574"/>
    <s v="Peconic Bay Medical Center"/>
    <n v="2015"/>
    <n v="7"/>
    <s v="Medicare"/>
    <x v="2"/>
    <s v="Medicare"/>
    <n v="22617.88"/>
    <n v="6977.94"/>
    <n v="0"/>
  </r>
  <r>
    <x v="6575"/>
    <s v="Peconic Bay Medical Center"/>
    <n v="2015"/>
    <n v="7"/>
    <s v="Medicare"/>
    <x v="2"/>
    <s v="Medicare"/>
    <n v="19791.16"/>
    <n v="5591.42"/>
    <n v="0"/>
  </r>
  <r>
    <x v="6576"/>
    <s v="Peconic Bay Medical Center"/>
    <n v="2015"/>
    <n v="7"/>
    <s v="Medicare"/>
    <x v="2"/>
    <s v="Medicare"/>
    <n v="32706.36"/>
    <n v="9019.52"/>
    <n v="0"/>
  </r>
  <r>
    <x v="6577"/>
    <s v="Peconic Bay Medical Center"/>
    <n v="2015"/>
    <n v="7"/>
    <s v="Medicare"/>
    <x v="2"/>
    <s v="Medicare"/>
    <n v="22337.82"/>
    <n v="9159.3700000000008"/>
    <n v="0"/>
  </r>
  <r>
    <x v="6578"/>
    <s v="Peconic Bay Medical Center"/>
    <n v="2015"/>
    <n v="7"/>
    <s v="Medicare"/>
    <x v="2"/>
    <s v="Medicare"/>
    <n v="50873.38"/>
    <n v="24489.14"/>
    <n v="0"/>
  </r>
  <r>
    <x v="6579"/>
    <s v="Peconic Bay Medical Center"/>
    <n v="2015"/>
    <n v="7"/>
    <s v="Medicare"/>
    <x v="2"/>
    <s v="Medicare"/>
    <n v="9287.7800000000007"/>
    <n v="2398.77"/>
    <n v="0"/>
  </r>
  <r>
    <x v="6580"/>
    <s v="Peconic Bay Medical Center"/>
    <n v="2015"/>
    <n v="7"/>
    <s v="Medicare"/>
    <x v="2"/>
    <s v="Medicare"/>
    <n v="68195.850000000006"/>
    <n v="23139.33"/>
    <n v="0"/>
  </r>
  <r>
    <x v="6581"/>
    <s v="Peconic Bay Medical Center"/>
    <n v="2015"/>
    <n v="7"/>
    <s v="Medicare"/>
    <x v="2"/>
    <s v="Medicare"/>
    <n v="21200.78"/>
    <n v="3871.69"/>
    <n v="0"/>
  </r>
  <r>
    <x v="6582"/>
    <s v="Peconic Bay Medical Center"/>
    <n v="2015"/>
    <n v="7"/>
    <s v="Medicare"/>
    <x v="2"/>
    <s v="Medicare"/>
    <n v="17913.96"/>
    <n v="5203.5"/>
    <n v="0"/>
  </r>
  <r>
    <x v="6583"/>
    <s v="Peconic Bay Medical Center"/>
    <n v="2015"/>
    <n v="7"/>
    <s v="Medicare"/>
    <x v="2"/>
    <s v="Medicare"/>
    <n v="99715.68"/>
    <n v="57451.64"/>
    <n v="0"/>
  </r>
  <r>
    <x v="6584"/>
    <s v="Peconic Bay Medical Center"/>
    <n v="2015"/>
    <n v="7"/>
    <s v="Medicare"/>
    <x v="2"/>
    <s v="Medicare"/>
    <n v="9331.4"/>
    <n v="2481.42"/>
    <n v="0"/>
  </r>
  <r>
    <x v="6585"/>
    <s v="Peconic Bay Medical Center"/>
    <n v="2015"/>
    <n v="7"/>
    <s v="Medicare"/>
    <x v="2"/>
    <s v="Medicare"/>
    <n v="11969.08"/>
    <n v="3251.66"/>
    <n v="0"/>
  </r>
  <r>
    <x v="6586"/>
    <s v="Peconic Bay Medical Center"/>
    <n v="2015"/>
    <n v="7"/>
    <s v="Medicare"/>
    <x v="2"/>
    <s v="Medicare"/>
    <n v="75296.460000000006"/>
    <n v="54709.38"/>
    <n v="0"/>
  </r>
  <r>
    <x v="6587"/>
    <s v="Peconic Bay Medical Center"/>
    <n v="2015"/>
    <n v="7"/>
    <s v="Medicare"/>
    <x v="2"/>
    <s v="Medicare"/>
    <n v="28600"/>
    <n v="9121.76"/>
    <n v="0"/>
  </r>
  <r>
    <x v="6588"/>
    <s v="Peconic Bay Medical Center"/>
    <n v="2015"/>
    <n v="7"/>
    <s v="Medicare"/>
    <x v="2"/>
    <s v="Medicare"/>
    <n v="32777.360000000001"/>
    <n v="10093.73"/>
    <n v="0"/>
  </r>
  <r>
    <x v="6589"/>
    <s v="Peconic Bay Medical Center"/>
    <n v="2015"/>
    <n v="7"/>
    <s v="Medicare"/>
    <x v="2"/>
    <s v="Medicare"/>
    <n v="19969.12"/>
    <n v="5036.54"/>
    <n v="0"/>
  </r>
  <r>
    <x v="6590"/>
    <s v="Peconic Bay Medical Center"/>
    <n v="2015"/>
    <n v="7"/>
    <s v="Medicare"/>
    <x v="2"/>
    <s v="Medicare"/>
    <n v="64945.84"/>
    <n v="56106.07"/>
    <n v="0"/>
  </r>
  <r>
    <x v="6591"/>
    <s v="Peconic Bay Medical Center"/>
    <n v="2015"/>
    <n v="7"/>
    <s v="Medicare"/>
    <x v="2"/>
    <s v="Medicare"/>
    <n v="149418.84"/>
    <n v="65741.25"/>
    <n v="0"/>
  </r>
  <r>
    <x v="6592"/>
    <s v="Peconic Bay Medical Center"/>
    <n v="2015"/>
    <n v="7"/>
    <s v="Medicare"/>
    <x v="2"/>
    <s v="Medicare"/>
    <n v="26580.46"/>
    <n v="9533.44"/>
    <n v="0"/>
  </r>
  <r>
    <x v="6593"/>
    <s v="Peconic Bay Medical Center"/>
    <n v="2015"/>
    <n v="7"/>
    <s v="Medicare"/>
    <x v="2"/>
    <s v="Medicare"/>
    <n v="36184.1"/>
    <n v="10560.96"/>
    <n v="0"/>
  </r>
  <r>
    <x v="6594"/>
    <s v="Peconic Bay Medical Center"/>
    <n v="2015"/>
    <n v="7"/>
    <s v="Medicare"/>
    <x v="2"/>
    <s v="Medicare"/>
    <n v="26046.880000000001"/>
    <n v="7694.29"/>
    <n v="0"/>
  </r>
  <r>
    <x v="6595"/>
    <s v="Peconic Bay Medical Center"/>
    <n v="2015"/>
    <n v="7"/>
    <s v="Medicare"/>
    <x v="2"/>
    <s v="Medicare"/>
    <n v="10235.14"/>
    <n v="2766.73"/>
    <n v="0"/>
  </r>
  <r>
    <x v="6596"/>
    <s v="Peconic Bay Medical Center"/>
    <n v="2015"/>
    <n v="7"/>
    <s v="Medicare"/>
    <x v="2"/>
    <s v="Medicare"/>
    <n v="18696.02"/>
    <n v="3742.7"/>
    <n v="0"/>
  </r>
  <r>
    <x v="6597"/>
    <s v="Peconic Bay Medical Center"/>
    <n v="2015"/>
    <n v="7"/>
    <s v="Medicare"/>
    <x v="2"/>
    <s v="Medicare"/>
    <n v="80325.539999999994"/>
    <n v="28531.16"/>
    <n v="0"/>
  </r>
  <r>
    <x v="6598"/>
    <s v="Peconic Bay Medical Center"/>
    <n v="2015"/>
    <n v="7"/>
    <s v="Medicare"/>
    <x v="2"/>
    <s v="Medicare"/>
    <n v="26279.3"/>
    <n v="8072.02"/>
    <n v="0"/>
  </r>
  <r>
    <x v="6599"/>
    <s v="Peconic Bay Medical Center"/>
    <n v="2015"/>
    <n v="7"/>
    <s v="Medicare"/>
    <x v="2"/>
    <s v="Medicare"/>
    <n v="40820.879999999997"/>
    <n v="12146.12"/>
    <n v="0"/>
  </r>
  <r>
    <x v="6600"/>
    <s v="Peconic Bay Medical Center"/>
    <n v="2015"/>
    <n v="7"/>
    <s v="Medicare"/>
    <x v="2"/>
    <s v="Medicare"/>
    <n v="52884.639999999999"/>
    <n v="15796.6"/>
    <n v="0"/>
  </r>
  <r>
    <x v="6601"/>
    <s v="Peconic Bay Medical Center"/>
    <n v="2015"/>
    <n v="7"/>
    <s v="Medicare"/>
    <x v="2"/>
    <s v="Medicare"/>
    <n v="30216.26"/>
    <n v="9101.51"/>
    <n v="0"/>
  </r>
  <r>
    <x v="6602"/>
    <s v="Peconic Bay Medical Center"/>
    <n v="2015"/>
    <n v="7"/>
    <s v="Medicare"/>
    <x v="2"/>
    <s v="Medicare"/>
    <n v="8179.6"/>
    <n v="2275.44"/>
    <n v="0"/>
  </r>
  <r>
    <x v="6603"/>
    <s v="Peconic Bay Medical Center"/>
    <n v="2015"/>
    <n v="7"/>
    <s v="Medicare"/>
    <x v="2"/>
    <s v="Medicare"/>
    <n v="252052.2"/>
    <n v="232916.97"/>
    <n v="0"/>
  </r>
  <r>
    <x v="6604"/>
    <s v="Peconic Bay Medical Center"/>
    <n v="2015"/>
    <n v="7"/>
    <s v="Medicare"/>
    <x v="2"/>
    <s v="Medicare"/>
    <n v="42852.38"/>
    <n v="13102.44"/>
    <n v="0"/>
  </r>
  <r>
    <x v="6605"/>
    <s v="Peconic Bay Medical Center"/>
    <n v="2015"/>
    <n v="7"/>
    <s v="Medicare"/>
    <x v="2"/>
    <s v="Medicare"/>
    <n v="32465.919999999998"/>
    <n v="10151.68"/>
    <n v="0"/>
  </r>
  <r>
    <x v="6606"/>
    <s v="Peconic Bay Medical Center"/>
    <n v="2015"/>
    <n v="7"/>
    <s v="Medicare"/>
    <x v="2"/>
    <s v="Medicare"/>
    <n v="62749.22"/>
    <n v="26846.31"/>
    <n v="0"/>
  </r>
  <r>
    <x v="6607"/>
    <s v="Peconic Bay Medical Center"/>
    <n v="2015"/>
    <n v="7"/>
    <s v="Medicare"/>
    <x v="2"/>
    <s v="Medicare"/>
    <n v="34090.699999999997"/>
    <n v="9065.59"/>
    <n v="0"/>
  </r>
  <r>
    <x v="6608"/>
    <s v="Peconic Bay Medical Center"/>
    <n v="2015"/>
    <n v="7"/>
    <s v="Medicare"/>
    <x v="2"/>
    <s v="Medicare"/>
    <n v="34169.120000000003"/>
    <n v="8773.6299999999992"/>
    <n v="0"/>
  </r>
  <r>
    <x v="6609"/>
    <s v="Peconic Bay Medical Center"/>
    <n v="2015"/>
    <n v="7"/>
    <s v="Medicare"/>
    <x v="2"/>
    <s v="Medicare"/>
    <n v="28946.06"/>
    <n v="9029.7099999999991"/>
    <n v="0"/>
  </r>
  <r>
    <x v="6610"/>
    <s v="Peconic Bay Medical Center"/>
    <n v="2015"/>
    <n v="7"/>
    <s v="Medicare"/>
    <x v="2"/>
    <s v="Medicare"/>
    <n v="26726.32"/>
    <n v="7076.89"/>
    <n v="0"/>
  </r>
  <r>
    <x v="6611"/>
    <s v="Peconic Bay Medical Center"/>
    <n v="2015"/>
    <n v="7"/>
    <s v="Medicare"/>
    <x v="2"/>
    <s v="Medicare"/>
    <n v="21395.18"/>
    <n v="3115.32"/>
    <n v="0"/>
  </r>
  <r>
    <x v="6612"/>
    <s v="Peconic Bay Medical Center"/>
    <n v="2015"/>
    <n v="7"/>
    <s v="Medicare"/>
    <x v="2"/>
    <s v="Medicare"/>
    <n v="76933.279999999999"/>
    <n v="32742.79"/>
    <n v="0"/>
  </r>
  <r>
    <x v="6613"/>
    <s v="Peconic Bay Medical Center"/>
    <n v="2015"/>
    <n v="7"/>
    <s v="Medicare"/>
    <x v="2"/>
    <s v="Medicare"/>
    <n v="43135.22"/>
    <n v="12023.31"/>
    <n v="0"/>
  </r>
  <r>
    <x v="6614"/>
    <s v="Peconic Bay Medical Center"/>
    <n v="2015"/>
    <n v="7"/>
    <s v="Medicare"/>
    <x v="2"/>
    <s v="Medicare"/>
    <n v="24299.7"/>
    <n v="6744.41"/>
    <n v="0"/>
  </r>
  <r>
    <x v="6615"/>
    <s v="Peconic Bay Medical Center"/>
    <n v="2015"/>
    <n v="7"/>
    <s v="Medicare"/>
    <x v="2"/>
    <s v="Medicare"/>
    <n v="33564.14"/>
    <n v="10221.56"/>
    <n v="0"/>
  </r>
  <r>
    <x v="6616"/>
    <s v="Peconic Bay Medical Center"/>
    <n v="2015"/>
    <n v="7"/>
    <s v="Medicare"/>
    <x v="2"/>
    <s v="Medicare"/>
    <n v="29287.64"/>
    <n v="8786.4500000000007"/>
    <n v="0"/>
  </r>
  <r>
    <x v="6617"/>
    <s v="Peconic Bay Medical Center"/>
    <n v="2015"/>
    <n v="7"/>
    <s v="Medicare"/>
    <x v="2"/>
    <s v="Medicare"/>
    <n v="30667.1"/>
    <n v="9133.9699999999993"/>
    <n v="0"/>
  </r>
  <r>
    <x v="6618"/>
    <s v="Peconic Bay Medical Center"/>
    <n v="2015"/>
    <n v="7"/>
    <s v="Medicare"/>
    <x v="2"/>
    <s v="Medicare"/>
    <n v="11065.28"/>
    <n v="2524.4699999999998"/>
    <n v="0"/>
  </r>
  <r>
    <x v="6619"/>
    <s v="Peconic Bay Medical Center"/>
    <n v="2015"/>
    <n v="7"/>
    <s v="Medicare"/>
    <x v="2"/>
    <s v="Medicare"/>
    <n v="50573.98"/>
    <n v="13781.52"/>
    <n v="0"/>
  </r>
  <r>
    <x v="6620"/>
    <s v="Peconic Bay Medical Center"/>
    <n v="2015"/>
    <n v="7"/>
    <s v="Medicare"/>
    <x v="2"/>
    <s v="Medicare"/>
    <n v="24631.1"/>
    <n v="12391.56"/>
    <n v="0"/>
  </r>
  <r>
    <x v="6621"/>
    <s v="Peconic Bay Medical Center"/>
    <n v="2015"/>
    <n v="7"/>
    <s v="Medicare"/>
    <x v="2"/>
    <s v="Medicare"/>
    <n v="67558.42"/>
    <n v="20742.09"/>
    <n v="0"/>
  </r>
  <r>
    <x v="6622"/>
    <s v="Peconic Bay Medical Center"/>
    <n v="2015"/>
    <n v="7"/>
    <s v="Medicare"/>
    <x v="2"/>
    <s v="Medicare"/>
    <n v="77590.039999999994"/>
    <n v="26298.45"/>
    <n v="0"/>
  </r>
  <r>
    <x v="6623"/>
    <s v="Peconic Bay Medical Center"/>
    <n v="2015"/>
    <n v="7"/>
    <s v="Medicare"/>
    <x v="2"/>
    <s v="Medicare"/>
    <n v="30557.58"/>
    <n v="7855.63"/>
    <n v="0"/>
  </r>
  <r>
    <x v="6624"/>
    <s v="Peconic Bay Medical Center"/>
    <n v="2015"/>
    <n v="7"/>
    <s v="Medicare"/>
    <x v="2"/>
    <s v="Medicare"/>
    <n v="36526.300000000003"/>
    <n v="10730.8"/>
    <n v="0"/>
  </r>
  <r>
    <x v="6625"/>
    <s v="Peconic Bay Medical Center"/>
    <n v="2015"/>
    <n v="7"/>
    <s v="Medicare"/>
    <x v="2"/>
    <s v="Medicare"/>
    <n v="11803.76"/>
    <n v="2694.2"/>
    <n v="0"/>
  </r>
  <r>
    <x v="6626"/>
    <s v="Peconic Bay Medical Center"/>
    <n v="2015"/>
    <n v="7"/>
    <s v="Medicare"/>
    <x v="2"/>
    <s v="Medicare"/>
    <n v="17812.599999999999"/>
    <n v="4328.7700000000004"/>
    <n v="0"/>
  </r>
  <r>
    <x v="6627"/>
    <s v="Peconic Bay Medical Center"/>
    <n v="2015"/>
    <n v="7"/>
    <s v="Medicare"/>
    <x v="2"/>
    <s v="Medicare"/>
    <n v="38311.339999999997"/>
    <n v="10474.290000000001"/>
    <n v="0"/>
  </r>
  <r>
    <x v="6628"/>
    <s v="Peconic Bay Medical Center"/>
    <n v="2015"/>
    <n v="7"/>
    <s v="Medicare"/>
    <x v="2"/>
    <s v="Medicare"/>
    <n v="29859.48"/>
    <n v="8839.2900000000009"/>
    <n v="0"/>
  </r>
  <r>
    <x v="6629"/>
    <s v="Peconic Bay Medical Center"/>
    <n v="2015"/>
    <n v="7"/>
    <s v="Medicare"/>
    <x v="2"/>
    <s v="Medicare"/>
    <n v="19999.62"/>
    <n v="3055.72"/>
    <n v="0"/>
  </r>
  <r>
    <x v="6630"/>
    <s v="Peconic Bay Medical Center"/>
    <n v="2015"/>
    <n v="7"/>
    <s v="Medicare"/>
    <x v="2"/>
    <s v="Medicare"/>
    <n v="11361.66"/>
    <n v="2556.2399999999998"/>
    <n v="0"/>
  </r>
  <r>
    <x v="6631"/>
    <s v="Peconic Bay Medical Center"/>
    <n v="2015"/>
    <n v="7"/>
    <s v="Medicare"/>
    <x v="2"/>
    <s v="Medicare"/>
    <n v="28512.46"/>
    <n v="8946.91"/>
    <n v="0"/>
  </r>
  <r>
    <x v="6632"/>
    <s v="Peconic Bay Medical Center"/>
    <n v="2015"/>
    <n v="7"/>
    <s v="Medicare"/>
    <x v="2"/>
    <s v="Medicare"/>
    <n v="37489.519999999997"/>
    <n v="11374.19"/>
    <n v="0"/>
  </r>
  <r>
    <x v="6633"/>
    <s v="Peconic Bay Medical Center"/>
    <n v="2015"/>
    <n v="7"/>
    <s v="Medicare"/>
    <x v="2"/>
    <s v="Medicare"/>
    <n v="25080.799999999999"/>
    <n v="7197.43"/>
    <n v="0"/>
  </r>
  <r>
    <x v="6634"/>
    <s v="Peconic Bay Medical Center"/>
    <n v="2015"/>
    <n v="7"/>
    <s v="Medicare"/>
    <x v="2"/>
    <s v="Medicare"/>
    <n v="62531.68"/>
    <n v="19215.669999999998"/>
    <n v="0"/>
  </r>
  <r>
    <x v="6635"/>
    <s v="Peconic Bay Medical Center"/>
    <n v="2015"/>
    <n v="7"/>
    <s v="Medicare"/>
    <x v="2"/>
    <s v="Medicare"/>
    <n v="10990.32"/>
    <n v="3005.95"/>
    <n v="0"/>
  </r>
  <r>
    <x v="6636"/>
    <s v="Peconic Bay Medical Center"/>
    <n v="2015"/>
    <n v="7"/>
    <s v="Medicare"/>
    <x v="2"/>
    <s v="Medicare"/>
    <n v="24978.68"/>
    <n v="7491.2"/>
    <n v="0"/>
  </r>
  <r>
    <x v="6637"/>
    <s v="Peconic Bay Medical Center"/>
    <n v="2015"/>
    <n v="7"/>
    <s v="Medicare"/>
    <x v="2"/>
    <s v="Medicare"/>
    <n v="16402.02"/>
    <n v="3195.35"/>
    <n v="0"/>
  </r>
  <r>
    <x v="6638"/>
    <s v="Peconic Bay Medical Center"/>
    <n v="2015"/>
    <n v="7"/>
    <s v="Medicare"/>
    <x v="2"/>
    <s v="Medicare"/>
    <n v="26652.34"/>
    <n v="7356.03"/>
    <n v="0"/>
  </r>
  <r>
    <x v="6639"/>
    <s v="Peconic Bay Medical Center"/>
    <n v="2015"/>
    <n v="7"/>
    <s v="Medicare"/>
    <x v="2"/>
    <s v="Medicare"/>
    <n v="19629.98"/>
    <n v="5533.4"/>
    <n v="0"/>
  </r>
  <r>
    <x v="6640"/>
    <s v="Peconic Bay Medical Center"/>
    <n v="2015"/>
    <n v="7"/>
    <s v="Medicare"/>
    <x v="2"/>
    <s v="Medicare"/>
    <n v="10808.34"/>
    <n v="2498.98"/>
    <n v="0"/>
  </r>
  <r>
    <x v="6641"/>
    <s v="Peconic Bay Medical Center"/>
    <n v="2015"/>
    <n v="7"/>
    <s v="Medicare"/>
    <x v="2"/>
    <s v="Medicare"/>
    <n v="142656.35"/>
    <n v="68956.03"/>
    <n v="0"/>
  </r>
  <r>
    <x v="6642"/>
    <s v="Peconic Bay Medical Center"/>
    <n v="2015"/>
    <n v="7"/>
    <s v="Medicare"/>
    <x v="2"/>
    <s v="Medicare"/>
    <n v="26896.1"/>
    <n v="7571.99"/>
    <n v="0"/>
  </r>
  <r>
    <x v="6643"/>
    <s v="Peconic Bay Medical Center"/>
    <n v="2015"/>
    <n v="7"/>
    <s v="Medicare"/>
    <x v="2"/>
    <s v="Medicare"/>
    <n v="24524.5"/>
    <n v="7336.01"/>
    <n v="0"/>
  </r>
  <r>
    <x v="6644"/>
    <s v="Peconic Bay Medical Center"/>
    <n v="2015"/>
    <n v="7"/>
    <s v="Medicare"/>
    <x v="2"/>
    <s v="Medicare"/>
    <n v="24992.54"/>
    <n v="7944.24"/>
    <n v="0"/>
  </r>
  <r>
    <x v="6645"/>
    <s v="Peconic Bay Medical Center"/>
    <n v="2015"/>
    <n v="7"/>
    <s v="Medicare"/>
    <x v="2"/>
    <s v="Medicare"/>
    <n v="15398.88"/>
    <n v="4376.22"/>
    <n v="0"/>
  </r>
  <r>
    <x v="6646"/>
    <s v="Peconic Bay Medical Center"/>
    <n v="2015"/>
    <n v="7"/>
    <s v="Medicare"/>
    <x v="2"/>
    <s v="Medicare"/>
    <n v="48473.24"/>
    <n v="15478.2"/>
    <n v="0"/>
  </r>
  <r>
    <x v="6647"/>
    <s v="Peconic Bay Medical Center"/>
    <n v="2015"/>
    <n v="7"/>
    <s v="Medicare"/>
    <x v="2"/>
    <s v="Medicare"/>
    <n v="50687.519999999997"/>
    <n v="34945.760000000002"/>
    <n v="0"/>
  </r>
  <r>
    <x v="6648"/>
    <s v="Peconic Bay Medical Center"/>
    <n v="2015"/>
    <n v="7"/>
    <s v="Medicare"/>
    <x v="2"/>
    <s v="Medicare"/>
    <n v="30147.17"/>
    <n v="11633.4"/>
    <n v="0"/>
  </r>
  <r>
    <x v="6649"/>
    <s v="Peconic Bay Medical Center"/>
    <n v="2015"/>
    <n v="7"/>
    <s v="Medicare"/>
    <x v="2"/>
    <s v="Medicare"/>
    <n v="127303.28"/>
    <n v="42467.6"/>
    <n v="0"/>
  </r>
  <r>
    <x v="6650"/>
    <s v="Peconic Bay Medical Center"/>
    <n v="2015"/>
    <n v="7"/>
    <s v="Medicare"/>
    <x v="2"/>
    <s v="Medicare"/>
    <n v="74936.960000000006"/>
    <n v="35469.49"/>
    <n v="0"/>
  </r>
  <r>
    <x v="6651"/>
    <s v="Peconic Bay Medical Center"/>
    <n v="2015"/>
    <n v="7"/>
    <s v="Medicare"/>
    <x v="2"/>
    <s v="Medicare"/>
    <n v="21577.02"/>
    <n v="4886.3"/>
    <n v="0"/>
  </r>
  <r>
    <x v="6652"/>
    <s v="Peconic Bay Medical Center"/>
    <n v="2015"/>
    <n v="7"/>
    <s v="Medicare"/>
    <x v="2"/>
    <s v="Medicare"/>
    <n v="19837.740000000002"/>
    <n v="5708.86"/>
    <n v="0"/>
  </r>
  <r>
    <x v="6653"/>
    <s v="Peconic Bay Medical Center"/>
    <n v="2015"/>
    <n v="7"/>
    <s v="Medicare"/>
    <x v="2"/>
    <s v="Medicare"/>
    <n v="18519.259999999998"/>
    <n v="5736.97"/>
    <n v="0"/>
  </r>
  <r>
    <x v="6654"/>
    <s v="Peconic Bay Medical Center"/>
    <n v="2015"/>
    <n v="7"/>
    <s v="Medicare"/>
    <x v="2"/>
    <s v="Medicare"/>
    <n v="23724.18"/>
    <n v="7391.84"/>
    <n v="0"/>
  </r>
  <r>
    <x v="6655"/>
    <s v="Peconic Bay Medical Center"/>
    <n v="2015"/>
    <n v="7"/>
    <s v="Medicare"/>
    <x v="2"/>
    <s v="Medicare"/>
    <n v="16807.560000000001"/>
    <n v="4748.41"/>
    <n v="0"/>
  </r>
  <r>
    <x v="6656"/>
    <s v="Peconic Bay Medical Center"/>
    <n v="2015"/>
    <n v="7"/>
    <s v="Medicare"/>
    <x v="2"/>
    <s v="Medicare"/>
    <n v="9681.7000000000007"/>
    <n v="2725.23"/>
    <n v="0"/>
  </r>
  <r>
    <x v="6657"/>
    <s v="Peconic Bay Medical Center"/>
    <n v="2015"/>
    <n v="7"/>
    <s v="Medicare"/>
    <x v="2"/>
    <s v="Medicare"/>
    <n v="35943.980000000003"/>
    <n v="7315.44"/>
    <n v="0"/>
  </r>
  <r>
    <x v="6658"/>
    <s v="Peconic Bay Medical Center"/>
    <n v="2015"/>
    <n v="7"/>
    <s v="Medicare"/>
    <x v="2"/>
    <s v="Medicare"/>
    <n v="58446.48"/>
    <n v="51478.59"/>
    <n v="0"/>
  </r>
  <r>
    <x v="6659"/>
    <s v="Peconic Bay Medical Center"/>
    <n v="2015"/>
    <n v="7"/>
    <s v="Medicare"/>
    <x v="2"/>
    <s v="Medicare"/>
    <n v="13147"/>
    <n v="3719.11"/>
    <n v="0"/>
  </r>
  <r>
    <x v="6660"/>
    <s v="Peconic Bay Medical Center"/>
    <n v="2015"/>
    <n v="7"/>
    <s v="Medicare"/>
    <x v="2"/>
    <s v="Medicare"/>
    <n v="17529.18"/>
    <n v="4582.2700000000004"/>
    <n v="0"/>
  </r>
  <r>
    <x v="6661"/>
    <s v="Peconic Bay Medical Center"/>
    <n v="2015"/>
    <n v="7"/>
    <s v="Medicare"/>
    <x v="2"/>
    <s v="Medicare"/>
    <n v="21707.78"/>
    <n v="6670.94"/>
    <n v="0"/>
  </r>
  <r>
    <x v="6662"/>
    <s v="Peconic Bay Medical Center"/>
    <n v="2015"/>
    <n v="7"/>
    <s v="Medicare"/>
    <x v="2"/>
    <s v="Medicare"/>
    <n v="31161.18"/>
    <n v="7838.54"/>
    <n v="0"/>
  </r>
  <r>
    <x v="6663"/>
    <s v="Peconic Bay Medical Center"/>
    <n v="2015"/>
    <n v="7"/>
    <s v="Medicare"/>
    <x v="2"/>
    <s v="Medicare"/>
    <n v="19725.5"/>
    <n v="4703.79"/>
    <n v="0"/>
  </r>
  <r>
    <x v="6664"/>
    <s v="Peconic Bay Medical Center"/>
    <n v="2015"/>
    <n v="7"/>
    <s v="Medicare"/>
    <x v="2"/>
    <s v="Medicare"/>
    <n v="39399.14"/>
    <n v="5675.37"/>
    <n v="0"/>
  </r>
  <r>
    <x v="6665"/>
    <s v="Peconic Bay Medical Center"/>
    <n v="2015"/>
    <n v="7"/>
    <s v="Medicare"/>
    <x v="2"/>
    <s v="Medicare"/>
    <n v="25933.18"/>
    <n v="7336.65"/>
    <n v="0"/>
  </r>
  <r>
    <x v="6666"/>
    <s v="Peconic Bay Medical Center"/>
    <n v="2015"/>
    <n v="7"/>
    <s v="Medicare"/>
    <x v="2"/>
    <s v="Medicare"/>
    <n v="19213.88"/>
    <n v="7733.61"/>
    <n v="0"/>
  </r>
  <r>
    <x v="6667"/>
    <s v="Peconic Bay Medical Center"/>
    <n v="2015"/>
    <n v="7"/>
    <s v="Medicare"/>
    <x v="2"/>
    <s v="Medicare"/>
    <n v="36065.74"/>
    <n v="10674.62"/>
    <n v="0"/>
  </r>
  <r>
    <x v="6668"/>
    <s v="Peconic Bay Medical Center"/>
    <n v="2015"/>
    <n v="7"/>
    <s v="Medicare"/>
    <x v="2"/>
    <s v="Medicare"/>
    <n v="68558.880000000005"/>
    <n v="28775.55"/>
    <n v="0"/>
  </r>
  <r>
    <x v="6669"/>
    <s v="Peconic Bay Medical Center"/>
    <n v="2015"/>
    <n v="7"/>
    <s v="Medicare"/>
    <x v="2"/>
    <s v="Medicare"/>
    <n v="25236.04"/>
    <n v="15951.44"/>
    <n v="0"/>
  </r>
  <r>
    <x v="6670"/>
    <s v="Peconic Bay Medical Center"/>
    <n v="2015"/>
    <n v="7"/>
    <s v="Medicare"/>
    <x v="2"/>
    <s v="Medicare"/>
    <n v="24809.040000000001"/>
    <n v="6573.44"/>
    <n v="0"/>
  </r>
  <r>
    <x v="6671"/>
    <s v="Peconic Bay Medical Center"/>
    <n v="2015"/>
    <n v="7"/>
    <s v="Medicare"/>
    <x v="2"/>
    <s v="Medicare"/>
    <n v="81073.440000000002"/>
    <n v="36712.92"/>
    <n v="0"/>
  </r>
  <r>
    <x v="6672"/>
    <s v="Peconic Bay Medical Center"/>
    <n v="2015"/>
    <n v="7"/>
    <s v="Medicare"/>
    <x v="2"/>
    <s v="Medicare"/>
    <n v="38178.44"/>
    <n v="11875.66"/>
    <n v="0"/>
  </r>
  <r>
    <x v="6673"/>
    <s v="Peconic Bay Medical Center"/>
    <n v="2015"/>
    <n v="7"/>
    <s v="Medicare"/>
    <x v="2"/>
    <s v="Medicare"/>
    <n v="31741.66"/>
    <n v="8868.31"/>
    <n v="0"/>
  </r>
  <r>
    <x v="6674"/>
    <s v="Peconic Bay Medical Center"/>
    <n v="2015"/>
    <n v="7"/>
    <s v="Medicare"/>
    <x v="2"/>
    <s v="Medicare"/>
    <n v="14936.3"/>
    <n v="4298.41"/>
    <n v="0"/>
  </r>
  <r>
    <x v="6675"/>
    <s v="Peconic Bay Medical Center"/>
    <n v="2015"/>
    <n v="7"/>
    <s v="Medicare"/>
    <x v="2"/>
    <s v="Medicare"/>
    <n v="99156.9"/>
    <n v="63804.39"/>
    <n v="0"/>
  </r>
  <r>
    <x v="6676"/>
    <s v="Peconic Bay Medical Center"/>
    <n v="2015"/>
    <n v="7"/>
    <s v="Medicare"/>
    <x v="2"/>
    <s v="Medicare"/>
    <n v="12814.88"/>
    <n v="3793.89"/>
    <n v="0"/>
  </r>
  <r>
    <x v="6677"/>
    <s v="Peconic Bay Medical Center"/>
    <n v="2015"/>
    <n v="7"/>
    <s v="Medicare"/>
    <x v="2"/>
    <s v="Medicare"/>
    <n v="40604.120000000003"/>
    <n v="12576.17"/>
    <n v="0"/>
  </r>
  <r>
    <x v="6678"/>
    <s v="Peconic Bay Medical Center"/>
    <n v="2015"/>
    <n v="7"/>
    <s v="Medicare"/>
    <x v="2"/>
    <s v="Medicare"/>
    <n v="35286.22"/>
    <n v="6928.04"/>
    <n v="0"/>
  </r>
  <r>
    <x v="6679"/>
    <s v="Peconic Bay Medical Center"/>
    <n v="2015"/>
    <n v="7"/>
    <s v="Medicare"/>
    <x v="2"/>
    <s v="Medicare"/>
    <n v="31846.16"/>
    <n v="9618.73"/>
    <n v="0"/>
  </r>
  <r>
    <x v="6680"/>
    <s v="Peconic Bay Medical Center"/>
    <n v="2015"/>
    <n v="7"/>
    <s v="Medicare"/>
    <x v="2"/>
    <s v="Medicare"/>
    <n v="37314.080000000002"/>
    <n v="11242.17"/>
    <n v="0"/>
  </r>
  <r>
    <x v="6681"/>
    <s v="Peconic Bay Medical Center"/>
    <n v="2015"/>
    <n v="7"/>
    <s v="Medicare"/>
    <x v="2"/>
    <s v="Medicare"/>
    <n v="54430.28"/>
    <n v="38283.39"/>
    <n v="0"/>
  </r>
  <r>
    <x v="6682"/>
    <s v="Peconic Bay Medical Center"/>
    <n v="2015"/>
    <n v="7"/>
    <s v="Medicare"/>
    <x v="2"/>
    <s v="Medicare"/>
    <n v="101132.84"/>
    <n v="52701.8"/>
    <n v="0"/>
  </r>
  <r>
    <x v="6683"/>
    <s v="Peconic Bay Medical Center"/>
    <n v="2015"/>
    <n v="7"/>
    <s v="Medicare"/>
    <x v="2"/>
    <s v="Medicare"/>
    <n v="24100.02"/>
    <n v="6625.77"/>
    <n v="0"/>
  </r>
  <r>
    <x v="6684"/>
    <s v="Peconic Bay Medical Center"/>
    <n v="2015"/>
    <n v="7"/>
    <s v="Medicare"/>
    <x v="2"/>
    <s v="Medicare"/>
    <n v="15615.44"/>
    <n v="2592.27"/>
    <n v="0"/>
  </r>
  <r>
    <x v="6685"/>
    <s v="Peconic Bay Medical Center"/>
    <n v="2015"/>
    <n v="7"/>
    <s v="Medicare"/>
    <x v="2"/>
    <s v="Medicare"/>
    <n v="10080.16"/>
    <n v="2970.7"/>
    <n v="0"/>
  </r>
  <r>
    <x v="6686"/>
    <s v="Peconic Bay Medical Center"/>
    <n v="2015"/>
    <n v="7"/>
    <s v="Medicare"/>
    <x v="2"/>
    <s v="Medicare"/>
    <n v="23224.560000000001"/>
    <n v="10014.14"/>
    <n v="0"/>
  </r>
  <r>
    <x v="6687"/>
    <s v="Peconic Bay Medical Center"/>
    <n v="2015"/>
    <n v="7"/>
    <s v="Medicare"/>
    <x v="2"/>
    <s v="Medicare"/>
    <n v="24690.58"/>
    <n v="4639.59"/>
    <n v="0"/>
  </r>
  <r>
    <x v="6688"/>
    <s v="Peconic Bay Medical Center"/>
    <n v="2015"/>
    <n v="7"/>
    <s v="Medicare"/>
    <x v="2"/>
    <s v="Medicare"/>
    <n v="48279.74"/>
    <n v="14822.73"/>
    <n v="0"/>
  </r>
  <r>
    <x v="6689"/>
    <s v="Peconic Bay Medical Center"/>
    <n v="2015"/>
    <n v="7"/>
    <s v="Medicare"/>
    <x v="2"/>
    <s v="Medicare"/>
    <n v="37778.22"/>
    <n v="10313.209999999999"/>
    <n v="0"/>
  </r>
  <r>
    <x v="6690"/>
    <s v="Peconic Bay Medical Center"/>
    <n v="2015"/>
    <n v="7"/>
    <s v="Medicare"/>
    <x v="2"/>
    <s v="Medicare"/>
    <n v="21518.62"/>
    <n v="6387.07"/>
    <n v="0"/>
  </r>
  <r>
    <x v="6691"/>
    <s v="Peconic Bay Medical Center"/>
    <n v="2015"/>
    <n v="7"/>
    <s v="Medicare"/>
    <x v="2"/>
    <s v="Medicare"/>
    <n v="62806.2"/>
    <n v="23881.74"/>
    <n v="0"/>
  </r>
  <r>
    <x v="6692"/>
    <s v="Peconic Bay Medical Center"/>
    <n v="2015"/>
    <n v="7"/>
    <s v="Medicare"/>
    <x v="2"/>
    <s v="Medicare"/>
    <n v="26664.799999999999"/>
    <n v="6867.62"/>
    <n v="0"/>
  </r>
  <r>
    <x v="6693"/>
    <s v="Peconic Bay Medical Center"/>
    <n v="2015"/>
    <n v="7"/>
    <s v="Medicare"/>
    <x v="2"/>
    <s v="Medicare"/>
    <n v="19912.64"/>
    <n v="5180.6499999999996"/>
    <n v="0"/>
  </r>
  <r>
    <x v="6694"/>
    <s v="Peconic Bay Medical Center"/>
    <n v="2015"/>
    <n v="7"/>
    <s v="Medicare"/>
    <x v="2"/>
    <s v="Medicare"/>
    <n v="56692.78"/>
    <n v="30918.2"/>
    <n v="0"/>
  </r>
  <r>
    <x v="6695"/>
    <s v="Peconic Bay Medical Center"/>
    <n v="2015"/>
    <n v="7"/>
    <s v="Medicare"/>
    <x v="2"/>
    <s v="Medicare"/>
    <n v="12830.22"/>
    <n v="2742.28"/>
    <n v="0"/>
  </r>
  <r>
    <x v="6696"/>
    <s v="Peconic Bay Medical Center"/>
    <n v="2015"/>
    <n v="7"/>
    <s v="Medicare"/>
    <x v="2"/>
    <s v="Medicare"/>
    <n v="20252.22"/>
    <n v="5434.24"/>
    <n v="0"/>
  </r>
  <r>
    <x v="6697"/>
    <s v="Peconic Bay Medical Center"/>
    <n v="2015"/>
    <n v="7"/>
    <s v="Medicare"/>
    <x v="2"/>
    <s v="Medicare"/>
    <n v="19458.22"/>
    <n v="8510.49"/>
    <n v="0"/>
  </r>
  <r>
    <x v="6698"/>
    <s v="Peconic Bay Medical Center"/>
    <n v="2015"/>
    <n v="7"/>
    <s v="Medicare"/>
    <x v="2"/>
    <s v="Medicare"/>
    <n v="43132.58"/>
    <n v="12946.66"/>
    <n v="0"/>
  </r>
  <r>
    <x v="6699"/>
    <s v="Peconic Bay Medical Center"/>
    <n v="2015"/>
    <n v="7"/>
    <s v="Medicare"/>
    <x v="2"/>
    <s v="Medicare"/>
    <n v="39219.019999999997"/>
    <n v="13739.89"/>
    <n v="0"/>
  </r>
  <r>
    <x v="6700"/>
    <s v="Peconic Bay Medical Center"/>
    <n v="2015"/>
    <n v="7"/>
    <s v="Medicare"/>
    <x v="2"/>
    <s v="Medicare"/>
    <n v="8885.9599999999991"/>
    <n v="2342.64"/>
    <n v="0"/>
  </r>
  <r>
    <x v="6701"/>
    <s v="Peconic Bay Medical Center"/>
    <n v="2015"/>
    <n v="7"/>
    <s v="Medicare"/>
    <x v="2"/>
    <s v="Medicare"/>
    <n v="44325.62"/>
    <n v="12322.5"/>
    <n v="0"/>
  </r>
  <r>
    <x v="6702"/>
    <s v="Peconic Bay Medical Center"/>
    <n v="2015"/>
    <n v="7"/>
    <s v="Medicare"/>
    <x v="2"/>
    <s v="Medicare"/>
    <n v="20390.259999999998"/>
    <n v="5643.32"/>
    <n v="0"/>
  </r>
  <r>
    <x v="6703"/>
    <s v="Peconic Bay Medical Center"/>
    <n v="2015"/>
    <n v="7"/>
    <s v="Medicare"/>
    <x v="2"/>
    <s v="Medicare"/>
    <n v="56084.88"/>
    <n v="23640.080000000002"/>
    <n v="0"/>
  </r>
  <r>
    <x v="6704"/>
    <s v="Peconic Bay Medical Center"/>
    <n v="2015"/>
    <n v="7"/>
    <s v="Medicare"/>
    <x v="2"/>
    <s v="Medicare"/>
    <n v="65341.32"/>
    <n v="38526.71"/>
    <n v="0"/>
  </r>
  <r>
    <x v="6705"/>
    <s v="Peconic Bay Medical Center"/>
    <n v="2015"/>
    <n v="7"/>
    <s v="Medicare"/>
    <x v="2"/>
    <s v="Medicare"/>
    <n v="20355.14"/>
    <n v="5319.07"/>
    <n v="0"/>
  </r>
  <r>
    <x v="6706"/>
    <s v="Peconic Bay Medical Center"/>
    <n v="2015"/>
    <n v="7"/>
    <s v="Medicare"/>
    <x v="2"/>
    <s v="Medicare"/>
    <n v="39665.160000000003"/>
    <n v="12221.35"/>
    <n v="0"/>
  </r>
  <r>
    <x v="6707"/>
    <s v="Peconic Bay Medical Center"/>
    <n v="2015"/>
    <n v="7"/>
    <s v="Medicare"/>
    <x v="2"/>
    <s v="Medicare"/>
    <n v="139891.28"/>
    <n v="42269.23"/>
    <n v="0"/>
  </r>
  <r>
    <x v="6708"/>
    <s v="Peconic Bay Medical Center"/>
    <n v="2015"/>
    <n v="7"/>
    <s v="Medicare"/>
    <x v="2"/>
    <s v="Medicare"/>
    <n v="26797.64"/>
    <n v="7720.42"/>
    <n v="0"/>
  </r>
  <r>
    <x v="6709"/>
    <s v="Peconic Bay Medical Center"/>
    <n v="2015"/>
    <n v="7"/>
    <s v="Medicare"/>
    <x v="2"/>
    <s v="Medicare"/>
    <n v="138683.98000000001"/>
    <n v="42509.31"/>
    <n v="0"/>
  </r>
  <r>
    <x v="6710"/>
    <s v="Peconic Bay Medical Center"/>
    <n v="2015"/>
    <n v="7"/>
    <s v="Medicare"/>
    <x v="2"/>
    <s v="Medicare"/>
    <n v="29429.54"/>
    <n v="8977.09"/>
    <n v="0"/>
  </r>
  <r>
    <x v="6711"/>
    <s v="Peconic Bay Medical Center"/>
    <n v="2015"/>
    <n v="7"/>
    <s v="Medicare"/>
    <x v="2"/>
    <s v="Medicare"/>
    <n v="38512.199999999997"/>
    <n v="8757.9500000000007"/>
    <n v="0"/>
  </r>
  <r>
    <x v="6712"/>
    <s v="Peconic Bay Medical Center"/>
    <n v="2015"/>
    <n v="7"/>
    <s v="Medicare"/>
    <x v="2"/>
    <s v="Medicare"/>
    <n v="86395.25"/>
    <n v="46489.61"/>
    <n v="0"/>
  </r>
  <r>
    <x v="6713"/>
    <s v="Peconic Bay Medical Center"/>
    <n v="2015"/>
    <n v="7"/>
    <s v="Medicare"/>
    <x v="2"/>
    <s v="Medicare"/>
    <n v="45968.160000000003"/>
    <n v="13185.61"/>
    <n v="0"/>
  </r>
  <r>
    <x v="6714"/>
    <s v="Peconic Bay Medical Center"/>
    <n v="2015"/>
    <n v="7"/>
    <s v="Medicare"/>
    <x v="2"/>
    <s v="Medicare"/>
    <n v="19696.060000000001"/>
    <n v="4601.12"/>
    <n v="0"/>
  </r>
  <r>
    <x v="6715"/>
    <s v="Peconic Bay Medical Center"/>
    <n v="2015"/>
    <n v="7"/>
    <s v="Medicare"/>
    <x v="2"/>
    <s v="Medicare"/>
    <n v="22943.42"/>
    <n v="7011.65"/>
    <n v="0"/>
  </r>
  <r>
    <x v="6716"/>
    <s v="Peconic Bay Medical Center"/>
    <n v="2015"/>
    <n v="7"/>
    <s v="Medicare"/>
    <x v="2"/>
    <s v="Medicare"/>
    <n v="82424.039999999994"/>
    <n v="35938.74"/>
    <n v="0"/>
  </r>
  <r>
    <x v="6717"/>
    <s v="Peconic Bay Medical Center"/>
    <n v="2015"/>
    <n v="7"/>
    <s v="Medicare"/>
    <x v="2"/>
    <s v="Medicare"/>
    <n v="93949.78"/>
    <n v="41671.99"/>
    <n v="0"/>
  </r>
  <r>
    <x v="6718"/>
    <s v="Peconic Bay Medical Center"/>
    <n v="2015"/>
    <n v="7"/>
    <s v="Medicare"/>
    <x v="2"/>
    <s v="Medicare"/>
    <n v="28057.86"/>
    <n v="8636.39"/>
    <n v="0"/>
  </r>
  <r>
    <x v="6719"/>
    <s v="Peconic Bay Medical Center"/>
    <n v="2015"/>
    <n v="7"/>
    <s v="Medicare"/>
    <x v="2"/>
    <s v="Medicare"/>
    <n v="18364.46"/>
    <n v="5665.44"/>
    <n v="0"/>
  </r>
  <r>
    <x v="6720"/>
    <s v="Peconic Bay Medical Center"/>
    <n v="2015"/>
    <n v="7"/>
    <s v="Medicare"/>
    <x v="2"/>
    <s v="Medicare"/>
    <n v="30400.86"/>
    <n v="7746.06"/>
    <n v="0"/>
  </r>
  <r>
    <x v="6721"/>
    <s v="Peconic Bay Medical Center"/>
    <n v="2015"/>
    <n v="7"/>
    <s v="Medicare"/>
    <x v="2"/>
    <s v="Medicare"/>
    <n v="33027.480000000003"/>
    <n v="10350.14"/>
    <n v="0"/>
  </r>
  <r>
    <x v="6722"/>
    <s v="Peconic Bay Medical Center"/>
    <n v="2015"/>
    <n v="7"/>
    <s v="Medicare"/>
    <x v="2"/>
    <s v="Medicare"/>
    <n v="15174.68"/>
    <n v="4470.7700000000004"/>
    <n v="0"/>
  </r>
  <r>
    <x v="6723"/>
    <s v="Peconic Bay Medical Center"/>
    <n v="2015"/>
    <n v="7"/>
    <s v="Medicare"/>
    <x v="2"/>
    <s v="Medicare"/>
    <n v="68211.14"/>
    <n v="19934.900000000001"/>
    <n v="0"/>
  </r>
  <r>
    <x v="6724"/>
    <s v="Peconic Bay Medical Center"/>
    <n v="2015"/>
    <n v="7"/>
    <s v="Medicare"/>
    <x v="2"/>
    <s v="Medicare"/>
    <n v="38777.339999999997"/>
    <n v="11495.03"/>
    <n v="0"/>
  </r>
  <r>
    <x v="6725"/>
    <s v="Peconic Bay Medical Center"/>
    <n v="2015"/>
    <n v="7"/>
    <s v="Medicare"/>
    <x v="2"/>
    <s v="Medicare"/>
    <n v="45606.54"/>
    <n v="25790.28"/>
    <n v="0"/>
  </r>
  <r>
    <x v="6726"/>
    <s v="Peconic Bay Medical Center"/>
    <n v="2015"/>
    <n v="7"/>
    <s v="Medicare"/>
    <x v="2"/>
    <s v="Medicare"/>
    <n v="13996.52"/>
    <n v="3685.84"/>
    <n v="0"/>
  </r>
  <r>
    <x v="6727"/>
    <s v="Peconic Bay Medical Center"/>
    <n v="2015"/>
    <n v="7"/>
    <s v="Medicare"/>
    <x v="2"/>
    <s v="Medicare"/>
    <n v="26662.18"/>
    <n v="7415.76"/>
    <n v="0"/>
  </r>
  <r>
    <x v="6728"/>
    <s v="Peconic Bay Medical Center"/>
    <n v="2015"/>
    <n v="7"/>
    <s v="Medicare"/>
    <x v="2"/>
    <s v="Medicare"/>
    <n v="20666.400000000001"/>
    <n v="4979.59"/>
    <n v="0"/>
  </r>
  <r>
    <x v="6729"/>
    <s v="Peconic Bay Medical Center"/>
    <n v="2015"/>
    <n v="7"/>
    <s v="Medicare"/>
    <x v="2"/>
    <s v="Medicare"/>
    <n v="38901.96"/>
    <n v="20508.09"/>
    <n v="0"/>
  </r>
  <r>
    <x v="6730"/>
    <s v="Peconic Bay Medical Center"/>
    <n v="2015"/>
    <n v="7"/>
    <s v="Medicare"/>
    <x v="2"/>
    <s v="Medicare"/>
    <n v="87173.78"/>
    <n v="39721.699999999997"/>
    <n v="0"/>
  </r>
  <r>
    <x v="6731"/>
    <s v="Peconic Bay Medical Center"/>
    <n v="2015"/>
    <n v="7"/>
    <s v="Medicare"/>
    <x v="2"/>
    <s v="Medicare"/>
    <n v="77693.98"/>
    <n v="30946.400000000001"/>
    <n v="0"/>
  </r>
  <r>
    <x v="6732"/>
    <s v="Peconic Bay Medical Center"/>
    <n v="2015"/>
    <n v="7"/>
    <s v="Medicare"/>
    <x v="2"/>
    <s v="Medicare"/>
    <n v="15710.58"/>
    <n v="4513.6099999999997"/>
    <n v="0"/>
  </r>
  <r>
    <x v="6733"/>
    <s v="Peconic Bay Medical Center"/>
    <n v="2015"/>
    <n v="7"/>
    <s v="Medicare"/>
    <x v="2"/>
    <s v="Medicare"/>
    <n v="21470.34"/>
    <n v="7260.83"/>
    <n v="0"/>
  </r>
  <r>
    <x v="6734"/>
    <s v="Peconic Bay Medical Center"/>
    <n v="2015"/>
    <n v="7"/>
    <s v="Medicare"/>
    <x v="2"/>
    <s v="Medicare"/>
    <n v="115576.66"/>
    <n v="55218.39"/>
    <n v="0"/>
  </r>
  <r>
    <x v="6735"/>
    <s v="Peconic Bay Medical Center"/>
    <n v="2015"/>
    <n v="7"/>
    <s v="Medicare"/>
    <x v="2"/>
    <s v="Medicare"/>
    <n v="32119.84"/>
    <n v="8489.3700000000008"/>
    <n v="0"/>
  </r>
  <r>
    <x v="6736"/>
    <s v="Peconic Bay Medical Center"/>
    <n v="2015"/>
    <n v="7"/>
    <s v="Medicare"/>
    <x v="2"/>
    <s v="Medicare"/>
    <n v="53560.42"/>
    <n v="23751.69"/>
    <n v="0"/>
  </r>
  <r>
    <x v="6737"/>
    <s v="Peconic Bay Medical Center"/>
    <n v="2015"/>
    <n v="7"/>
    <s v="Medicare"/>
    <x v="2"/>
    <s v="Medicare"/>
    <n v="25258.22"/>
    <n v="7149.34"/>
    <n v="0"/>
  </r>
  <r>
    <x v="6738"/>
    <s v="Peconic Bay Medical Center"/>
    <n v="2015"/>
    <n v="7"/>
    <s v="Medicare"/>
    <x v="2"/>
    <s v="Medicare"/>
    <n v="37364.28"/>
    <n v="10598.75"/>
    <n v="0"/>
  </r>
  <r>
    <x v="6739"/>
    <s v="Peconic Bay Medical Center"/>
    <n v="2015"/>
    <n v="7"/>
    <s v="Medicare"/>
    <x v="2"/>
    <s v="Medicare"/>
    <n v="37023.68"/>
    <n v="27620.799999999999"/>
    <n v="0"/>
  </r>
  <r>
    <x v="6740"/>
    <s v="Peconic Bay Medical Center"/>
    <n v="2015"/>
    <n v="7"/>
    <s v="Medicare"/>
    <x v="2"/>
    <s v="Medicare"/>
    <n v="16347.24"/>
    <n v="4358.26"/>
    <n v="0"/>
  </r>
  <r>
    <x v="6741"/>
    <s v="Peconic Bay Medical Center"/>
    <n v="2015"/>
    <n v="7"/>
    <s v="Medicare"/>
    <x v="2"/>
    <s v="Medicare"/>
    <n v="70036.5"/>
    <n v="39519.72"/>
    <n v="0"/>
  </r>
  <r>
    <x v="6742"/>
    <s v="Peconic Bay Medical Center"/>
    <n v="2015"/>
    <n v="7"/>
    <s v="Medicare"/>
    <x v="2"/>
    <s v="Medicare"/>
    <n v="31548.16"/>
    <n v="16753.03"/>
    <n v="0"/>
  </r>
  <r>
    <x v="6743"/>
    <s v="Peconic Bay Medical Center"/>
    <n v="2015"/>
    <n v="7"/>
    <s v="Medicare"/>
    <x v="2"/>
    <s v="Medicare"/>
    <n v="21776.9"/>
    <n v="4948.22"/>
    <n v="0"/>
  </r>
  <r>
    <x v="6744"/>
    <s v="Peconic Bay Medical Center"/>
    <n v="2015"/>
    <n v="7"/>
    <s v="Medicare"/>
    <x v="2"/>
    <s v="Medicare"/>
    <n v="119017.56"/>
    <n v="77758.570000000007"/>
    <n v="0"/>
  </r>
  <r>
    <x v="6745"/>
    <s v="Peconic Bay Medical Center"/>
    <n v="2015"/>
    <n v="7"/>
    <s v="Medicare"/>
    <x v="2"/>
    <s v="Medicare"/>
    <n v="32140.25"/>
    <n v="20855.34"/>
    <n v="0"/>
  </r>
  <r>
    <x v="6746"/>
    <s v="Peconic Bay Medical Center"/>
    <n v="2015"/>
    <n v="7"/>
    <s v="Medicare"/>
    <x v="2"/>
    <s v="Medicare"/>
    <n v="109355.19"/>
    <n v="56950.7"/>
    <n v="0"/>
  </r>
  <r>
    <x v="6747"/>
    <s v="Peconic Bay Medical Center"/>
    <n v="2015"/>
    <n v="7"/>
    <s v="Medicare"/>
    <x v="2"/>
    <s v="Medicare"/>
    <n v="33247.54"/>
    <n v="9388.41"/>
    <n v="0"/>
  </r>
  <r>
    <x v="6748"/>
    <s v="Peconic Bay Medical Center"/>
    <n v="2015"/>
    <n v="7"/>
    <s v="Medicare"/>
    <x v="2"/>
    <s v="Medicare"/>
    <n v="18574.900000000001"/>
    <n v="5344.78"/>
    <n v="0"/>
  </r>
  <r>
    <x v="6749"/>
    <s v="Peconic Bay Medical Center"/>
    <n v="2015"/>
    <n v="7"/>
    <s v="Medicare"/>
    <x v="2"/>
    <s v="Medicare"/>
    <n v="11263.44"/>
    <n v="2697.3"/>
    <n v="0"/>
  </r>
  <r>
    <x v="6750"/>
    <s v="Peconic Bay Medical Center"/>
    <n v="2015"/>
    <n v="7"/>
    <s v="Medicare"/>
    <x v="2"/>
    <s v="Medicare"/>
    <n v="37960.699999999997"/>
    <n v="11117.15"/>
    <n v="0"/>
  </r>
  <r>
    <x v="6751"/>
    <s v="Peconic Bay Medical Center"/>
    <n v="2015"/>
    <n v="7"/>
    <s v="Medicare"/>
    <x v="2"/>
    <s v="Medicare"/>
    <n v="78383.679999999993"/>
    <n v="32737.75"/>
    <n v="0"/>
  </r>
  <r>
    <x v="6752"/>
    <s v="Peconic Bay Medical Center"/>
    <n v="2015"/>
    <n v="7"/>
    <s v="Medicare"/>
    <x v="2"/>
    <s v="Medicare"/>
    <n v="50099.82"/>
    <n v="15234.93"/>
    <n v="0"/>
  </r>
  <r>
    <x v="6753"/>
    <s v="Peconic Bay Medical Center"/>
    <n v="2015"/>
    <n v="7"/>
    <s v="Medicare"/>
    <x v="2"/>
    <s v="Medicare"/>
    <n v="36106.379999999997"/>
    <n v="17007.060000000001"/>
    <n v="0"/>
  </r>
  <r>
    <x v="6754"/>
    <s v="Peconic Bay Medical Center"/>
    <n v="2015"/>
    <n v="7"/>
    <s v="Medicare"/>
    <x v="2"/>
    <s v="Medicare"/>
    <n v="23286.6"/>
    <n v="6884.56"/>
    <n v="0"/>
  </r>
  <r>
    <x v="6755"/>
    <s v="Peconic Bay Medical Center"/>
    <n v="2015"/>
    <n v="7"/>
    <s v="Medicare"/>
    <x v="2"/>
    <s v="Medicare"/>
    <n v="127839.38"/>
    <n v="49626.52"/>
    <n v="0"/>
  </r>
  <r>
    <x v="6756"/>
    <s v="Peconic Bay Medical Center"/>
    <n v="2015"/>
    <n v="7"/>
    <s v="Medicare"/>
    <x v="2"/>
    <s v="Medicare"/>
    <n v="23526.880000000001"/>
    <n v="6908.14"/>
    <n v="0"/>
  </r>
  <r>
    <x v="6757"/>
    <s v="Peconic Bay Medical Center"/>
    <n v="2015"/>
    <n v="7"/>
    <s v="Medicare"/>
    <x v="2"/>
    <s v="Medicare"/>
    <n v="22560.02"/>
    <n v="6638.31"/>
    <n v="0"/>
  </r>
  <r>
    <x v="6758"/>
    <s v="Peconic Bay Medical Center"/>
    <n v="2015"/>
    <n v="7"/>
    <s v="Medicare"/>
    <x v="2"/>
    <s v="Medicare"/>
    <n v="29020.28"/>
    <n v="8744.0499999999993"/>
    <n v="0"/>
  </r>
  <r>
    <x v="6759"/>
    <s v="Peconic Bay Medical Center"/>
    <n v="2015"/>
    <n v="7"/>
    <s v="Medicare"/>
    <x v="2"/>
    <s v="Medicare"/>
    <n v="24273.48"/>
    <n v="9903.27"/>
    <n v="0"/>
  </r>
  <r>
    <x v="6760"/>
    <s v="Peconic Bay Medical Center"/>
    <n v="2015"/>
    <n v="7"/>
    <s v="Medicare"/>
    <x v="2"/>
    <s v="Medicare"/>
    <n v="37470.44"/>
    <n v="11606.84"/>
    <n v="0"/>
  </r>
  <r>
    <x v="6761"/>
    <s v="Peconic Bay Medical Center"/>
    <n v="2015"/>
    <n v="7"/>
    <s v="Medicare"/>
    <x v="2"/>
    <s v="Medicare"/>
    <n v="75067.16"/>
    <n v="40858.89"/>
    <n v="0"/>
  </r>
  <r>
    <x v="6762"/>
    <s v="Peconic Bay Medical Center"/>
    <n v="2015"/>
    <n v="7"/>
    <s v="Medicare"/>
    <x v="2"/>
    <s v="Medicare"/>
    <n v="50563.28"/>
    <n v="21916.81"/>
    <n v="0"/>
  </r>
  <r>
    <x v="6763"/>
    <s v="Peconic Bay Medical Center"/>
    <n v="2015"/>
    <n v="7"/>
    <s v="Medicare"/>
    <x v="2"/>
    <s v="Medicare"/>
    <n v="19821.68"/>
    <n v="5638.19"/>
    <n v="0"/>
  </r>
  <r>
    <x v="6764"/>
    <s v="Peconic Bay Medical Center"/>
    <n v="2015"/>
    <n v="7"/>
    <s v="Medicare"/>
    <x v="2"/>
    <s v="Medicare"/>
    <n v="31630.04"/>
    <n v="11969.22"/>
    <n v="0"/>
  </r>
  <r>
    <x v="6765"/>
    <s v="Peconic Bay Medical Center"/>
    <n v="2015"/>
    <n v="7"/>
    <s v="Medicare"/>
    <x v="2"/>
    <s v="Medicare"/>
    <n v="16289.66"/>
    <n v="11132.76"/>
    <n v="0"/>
  </r>
  <r>
    <x v="6766"/>
    <s v="Peconic Bay Medical Center"/>
    <n v="2015"/>
    <n v="7"/>
    <s v="Medicare"/>
    <x v="2"/>
    <s v="Medicare"/>
    <n v="37878.46"/>
    <n v="11278.28"/>
    <n v="0"/>
  </r>
  <r>
    <x v="6767"/>
    <s v="Peconic Bay Medical Center"/>
    <n v="2015"/>
    <n v="7"/>
    <s v="Medicare"/>
    <x v="2"/>
    <s v="Medicare"/>
    <n v="19658.7"/>
    <n v="5574.66"/>
    <n v="0"/>
  </r>
  <r>
    <x v="6768"/>
    <s v="Peconic Bay Medical Center"/>
    <n v="2015"/>
    <n v="7"/>
    <s v="Medicare"/>
    <x v="2"/>
    <s v="Medicare"/>
    <n v="43982.2"/>
    <n v="25791.75"/>
    <n v="0"/>
  </r>
  <r>
    <x v="6769"/>
    <s v="Peconic Bay Medical Center"/>
    <n v="2015"/>
    <n v="7"/>
    <s v="Medicare"/>
    <x v="2"/>
    <s v="Medicare"/>
    <n v="22775.9"/>
    <n v="6551.58"/>
    <n v="0"/>
  </r>
  <r>
    <x v="6770"/>
    <s v="Peconic Bay Medical Center"/>
    <n v="2015"/>
    <n v="7"/>
    <s v="Medicare"/>
    <x v="2"/>
    <s v="Medicare"/>
    <n v="16138.22"/>
    <n v="4591.01"/>
    <n v="0"/>
  </r>
  <r>
    <x v="6771"/>
    <s v="Peconic Bay Medical Center"/>
    <n v="2015"/>
    <n v="7"/>
    <s v="Medicare"/>
    <x v="2"/>
    <s v="Medicare"/>
    <n v="28715.84"/>
    <n v="8248.2099999999991"/>
    <n v="0"/>
  </r>
  <r>
    <x v="6772"/>
    <s v="Peconic Bay Medical Center"/>
    <n v="2015"/>
    <n v="7"/>
    <s v="Medicare"/>
    <x v="2"/>
    <s v="Medicare"/>
    <n v="48925.64"/>
    <n v="27729.52"/>
    <n v="0"/>
  </r>
  <r>
    <x v="6773"/>
    <s v="Peconic Bay Medical Center"/>
    <n v="2015"/>
    <n v="7"/>
    <s v="Medicare"/>
    <x v="2"/>
    <s v="Medicare"/>
    <n v="42909.94"/>
    <n v="11690.53"/>
    <n v="0"/>
  </r>
  <r>
    <x v="6774"/>
    <s v="Peconic Bay Medical Center"/>
    <n v="2015"/>
    <n v="7"/>
    <s v="Medicare"/>
    <x v="2"/>
    <s v="Medicare"/>
    <n v="25070.3"/>
    <n v="7311.11"/>
    <n v="0"/>
  </r>
  <r>
    <x v="6775"/>
    <s v="Peconic Bay Medical Center"/>
    <n v="2015"/>
    <n v="7"/>
    <s v="Medicare"/>
    <x v="2"/>
    <s v="Medicare"/>
    <n v="22132.240000000002"/>
    <n v="4818.0200000000004"/>
    <n v="0"/>
  </r>
  <r>
    <x v="6776"/>
    <s v="Peconic Bay Medical Center"/>
    <n v="2015"/>
    <n v="7"/>
    <s v="Medicare"/>
    <x v="2"/>
    <s v="Medicare"/>
    <n v="27779.24"/>
    <n v="7701.91"/>
    <n v="0"/>
  </r>
  <r>
    <x v="6777"/>
    <s v="Peconic Bay Medical Center"/>
    <n v="2015"/>
    <n v="7"/>
    <s v="Medicare"/>
    <x v="2"/>
    <s v="Medicare"/>
    <n v="24153.06"/>
    <n v="6369.2"/>
    <n v="0"/>
  </r>
  <r>
    <x v="6778"/>
    <s v="Peconic Bay Medical Center"/>
    <n v="2015"/>
    <n v="7"/>
    <s v="Medicare"/>
    <x v="2"/>
    <s v="Medicare"/>
    <n v="74691.16"/>
    <n v="32464.42"/>
    <n v="0"/>
  </r>
  <r>
    <x v="6779"/>
    <s v="Peconic Bay Medical Center"/>
    <n v="2015"/>
    <n v="7"/>
    <s v="Medicare"/>
    <x v="2"/>
    <s v="Medicare"/>
    <n v="28662.1"/>
    <n v="8344"/>
    <n v="0"/>
  </r>
  <r>
    <x v="6780"/>
    <s v="Peconic Bay Medical Center"/>
    <n v="2015"/>
    <n v="7"/>
    <s v="Medicare"/>
    <x v="2"/>
    <s v="Medicare"/>
    <n v="36774.76"/>
    <n v="15839.01"/>
    <n v="0"/>
  </r>
  <r>
    <x v="6781"/>
    <s v="Peconic Bay Medical Center"/>
    <n v="2015"/>
    <n v="7"/>
    <s v="Medicare"/>
    <x v="2"/>
    <s v="Medicare"/>
    <n v="11284.36"/>
    <n v="2925.98"/>
    <n v="0"/>
  </r>
  <r>
    <x v="6782"/>
    <s v="Peconic Bay Medical Center"/>
    <n v="2015"/>
    <n v="7"/>
    <s v="Medicare"/>
    <x v="2"/>
    <s v="Medicare"/>
    <n v="71866.679999999993"/>
    <n v="32291.62"/>
    <n v="0"/>
  </r>
  <r>
    <x v="6783"/>
    <s v="Peconic Bay Medical Center"/>
    <n v="2015"/>
    <n v="7"/>
    <s v="Medicare"/>
    <x v="2"/>
    <s v="Medicare"/>
    <n v="15722.2"/>
    <n v="3447.52"/>
    <n v="0"/>
  </r>
  <r>
    <x v="6784"/>
    <s v="Peconic Bay Medical Center"/>
    <n v="2015"/>
    <n v="7"/>
    <s v="Medicare"/>
    <x v="2"/>
    <s v="Medicare"/>
    <n v="41472.480000000003"/>
    <n v="10695.46"/>
    <n v="0"/>
  </r>
  <r>
    <x v="6785"/>
    <s v="Peconic Bay Medical Center"/>
    <n v="2015"/>
    <n v="7"/>
    <s v="Medicare"/>
    <x v="2"/>
    <s v="Medicare"/>
    <n v="22603.34"/>
    <n v="5862.67"/>
    <n v="0"/>
  </r>
  <r>
    <x v="6786"/>
    <s v="Peconic Bay Medical Center"/>
    <n v="2015"/>
    <n v="7"/>
    <s v="Medicare"/>
    <x v="2"/>
    <s v="Medicare"/>
    <n v="28741.24"/>
    <n v="6590.88"/>
    <n v="0"/>
  </r>
  <r>
    <x v="6787"/>
    <s v="Peconic Bay Medical Center"/>
    <n v="2015"/>
    <n v="7"/>
    <s v="Medicare"/>
    <x v="2"/>
    <s v="Medicare"/>
    <n v="20170.62"/>
    <n v="4931.5"/>
    <n v="0"/>
  </r>
  <r>
    <x v="6788"/>
    <s v="Peconic Bay Medical Center"/>
    <n v="2015"/>
    <n v="7"/>
    <s v="Medicare"/>
    <x v="2"/>
    <s v="Medicare"/>
    <n v="23987.98"/>
    <n v="5730.03"/>
    <n v="0"/>
  </r>
  <r>
    <x v="6789"/>
    <s v="Peconic Bay Medical Center"/>
    <n v="2015"/>
    <n v="7"/>
    <s v="Medicare"/>
    <x v="2"/>
    <s v="Medicare"/>
    <n v="23344.66"/>
    <n v="6749.8"/>
    <n v="0"/>
  </r>
  <r>
    <x v="6790"/>
    <s v="Peconic Bay Medical Center"/>
    <n v="2015"/>
    <n v="7"/>
    <s v="Medicare"/>
    <x v="2"/>
    <s v="Medicare"/>
    <n v="45682.04"/>
    <n v="13006.71"/>
    <n v="0"/>
  </r>
  <r>
    <x v="6791"/>
    <s v="Peconic Bay Medical Center"/>
    <n v="2015"/>
    <n v="7"/>
    <s v="Medicare"/>
    <x v="2"/>
    <s v="Medicare"/>
    <n v="19860.46"/>
    <n v="6017.57"/>
    <n v="0"/>
  </r>
  <r>
    <x v="6792"/>
    <s v="Peconic Bay Medical Center"/>
    <n v="2015"/>
    <n v="7"/>
    <s v="Medicare"/>
    <x v="2"/>
    <s v="Medicare"/>
    <n v="25697.5"/>
    <n v="6883.98"/>
    <n v="0"/>
  </r>
  <r>
    <x v="6793"/>
    <s v="Peconic Bay Medical Center"/>
    <n v="2015"/>
    <n v="7"/>
    <s v="Medicare"/>
    <x v="2"/>
    <s v="Medicare"/>
    <n v="182449.54"/>
    <n v="134502.79"/>
    <n v="0"/>
  </r>
  <r>
    <x v="6794"/>
    <s v="Peconic Bay Medical Center"/>
    <n v="2015"/>
    <n v="7"/>
    <s v="Medicare"/>
    <x v="2"/>
    <s v="Medicare"/>
    <n v="22919.86"/>
    <n v="7282.34"/>
    <n v="0"/>
  </r>
  <r>
    <x v="6795"/>
    <s v="Peconic Bay Medical Center"/>
    <n v="2015"/>
    <n v="7"/>
    <s v="Medicare"/>
    <x v="2"/>
    <s v="Medicare"/>
    <n v="51438.32"/>
    <n v="35714.71"/>
    <n v="0"/>
  </r>
  <r>
    <x v="6796"/>
    <s v="Peconic Bay Medical Center"/>
    <n v="2015"/>
    <n v="7"/>
    <s v="Medicare"/>
    <x v="2"/>
    <s v="Medicare"/>
    <n v="25247.96"/>
    <n v="6638.04"/>
    <n v="0"/>
  </r>
  <r>
    <x v="6797"/>
    <s v="Peconic Bay Medical Center"/>
    <n v="2015"/>
    <n v="7"/>
    <s v="Medicare"/>
    <x v="2"/>
    <s v="Medicare"/>
    <n v="45920.34"/>
    <n v="14138.06"/>
    <n v="0"/>
  </r>
  <r>
    <x v="6798"/>
    <s v="Peconic Bay Medical Center"/>
    <n v="2015"/>
    <n v="7"/>
    <s v="Medicare"/>
    <x v="2"/>
    <s v="Medicare"/>
    <n v="107899.28"/>
    <n v="30363.25"/>
    <n v="0"/>
  </r>
  <r>
    <x v="6799"/>
    <s v="Peconic Bay Medical Center"/>
    <n v="2015"/>
    <n v="7"/>
    <s v="Medicare"/>
    <x v="2"/>
    <s v="Medicare"/>
    <n v="49139.22"/>
    <n v="15483.66"/>
    <n v="0"/>
  </r>
  <r>
    <x v="6800"/>
    <s v="Peconic Bay Medical Center"/>
    <n v="2015"/>
    <n v="7"/>
    <s v="Medicare"/>
    <x v="2"/>
    <s v="Medicare"/>
    <n v="21145.3"/>
    <n v="5496.79"/>
    <n v="0"/>
  </r>
  <r>
    <x v="6801"/>
    <s v="Peconic Bay Medical Center"/>
    <n v="2015"/>
    <n v="7"/>
    <s v="Medicare"/>
    <x v="2"/>
    <s v="Medicare"/>
    <n v="39942.78"/>
    <n v="10931.12"/>
    <n v="0"/>
  </r>
  <r>
    <x v="6802"/>
    <s v="Peconic Bay Medical Center"/>
    <n v="2015"/>
    <n v="7"/>
    <s v="Medicare"/>
    <x v="2"/>
    <s v="Medicare"/>
    <n v="28257.82"/>
    <n v="6842.94"/>
    <n v="0"/>
  </r>
  <r>
    <x v="6803"/>
    <s v="Peconic Bay Medical Center"/>
    <n v="2015"/>
    <n v="7"/>
    <s v="Medicare"/>
    <x v="2"/>
    <s v="Medicare"/>
    <n v="87446.32"/>
    <n v="51245.16"/>
    <n v="0"/>
  </r>
  <r>
    <x v="6804"/>
    <s v="Peconic Bay Medical Center"/>
    <n v="2015"/>
    <n v="7"/>
    <s v="Medicare"/>
    <x v="2"/>
    <s v="Medicare"/>
    <n v="24433.14"/>
    <n v="7528.79"/>
    <n v="0"/>
  </r>
  <r>
    <x v="6805"/>
    <s v="Peconic Bay Medical Center"/>
    <n v="2015"/>
    <n v="7"/>
    <s v="Medicare"/>
    <x v="2"/>
    <s v="Medicare"/>
    <n v="60779.64"/>
    <n v="25016.53"/>
    <n v="0"/>
  </r>
  <r>
    <x v="6806"/>
    <s v="Peconic Bay Medical Center"/>
    <n v="2015"/>
    <n v="7"/>
    <s v="Medicare"/>
    <x v="2"/>
    <s v="Medicare"/>
    <n v="16566.52"/>
    <n v="4910.3599999999997"/>
    <n v="0"/>
  </r>
  <r>
    <x v="6807"/>
    <s v="Peconic Bay Medical Center"/>
    <n v="2015"/>
    <n v="7"/>
    <s v="Medicare"/>
    <x v="2"/>
    <s v="Medicare"/>
    <n v="45411.26"/>
    <n v="18928.77"/>
    <n v="0"/>
  </r>
  <r>
    <x v="6808"/>
    <s v="Peconic Bay Medical Center"/>
    <n v="2015"/>
    <n v="7"/>
    <s v="Medicare"/>
    <x v="2"/>
    <s v="Medicare"/>
    <n v="16445.68"/>
    <n v="4414.2700000000004"/>
    <n v="0"/>
  </r>
  <r>
    <x v="6809"/>
    <s v="Peconic Bay Medical Center"/>
    <n v="2015"/>
    <n v="7"/>
    <s v="Medicare"/>
    <x v="2"/>
    <s v="Medicare"/>
    <n v="58321.279999999999"/>
    <n v="31536.68"/>
    <n v="0"/>
  </r>
  <r>
    <x v="6810"/>
    <s v="Peconic Bay Medical Center"/>
    <n v="2015"/>
    <n v="7"/>
    <s v="Medicare"/>
    <x v="2"/>
    <s v="Medicare"/>
    <n v="39582.980000000003"/>
    <n v="11115.45"/>
    <n v="0"/>
  </r>
  <r>
    <x v="6811"/>
    <s v="Peconic Bay Medical Center"/>
    <n v="2015"/>
    <n v="7"/>
    <s v="Medicare"/>
    <x v="2"/>
    <s v="Medicare"/>
    <n v="23977.94"/>
    <n v="5938.03"/>
    <n v="0"/>
  </r>
  <r>
    <x v="6812"/>
    <s v="Peconic Bay Medical Center"/>
    <n v="2015"/>
    <n v="7"/>
    <s v="Medicare"/>
    <x v="2"/>
    <s v="Medicare"/>
    <n v="27989.34"/>
    <n v="8134.3"/>
    <n v="0"/>
  </r>
  <r>
    <x v="6813"/>
    <s v="Peconic Bay Medical Center"/>
    <n v="2015"/>
    <n v="7"/>
    <s v="Medicare"/>
    <x v="2"/>
    <s v="Medicare"/>
    <n v="18945.18"/>
    <n v="5385.07"/>
    <n v="0"/>
  </r>
  <r>
    <x v="6814"/>
    <s v="Peconic Bay Medical Center"/>
    <n v="2015"/>
    <n v="7"/>
    <s v="Medicare"/>
    <x v="2"/>
    <s v="Medicare"/>
    <n v="88973.69"/>
    <n v="51481.58"/>
    <n v="0"/>
  </r>
  <r>
    <x v="6815"/>
    <s v="Peconic Bay Medical Center"/>
    <n v="2015"/>
    <n v="7"/>
    <s v="Medicare"/>
    <x v="2"/>
    <s v="Medicare"/>
    <n v="25042.14"/>
    <n v="6826.23"/>
    <n v="0"/>
  </r>
  <r>
    <x v="6816"/>
    <s v="Peconic Bay Medical Center"/>
    <n v="2015"/>
    <n v="7"/>
    <s v="Medicare"/>
    <x v="2"/>
    <s v="Medicare"/>
    <n v="28851.08"/>
    <n v="7308.86"/>
    <n v="0"/>
  </r>
  <r>
    <x v="6817"/>
    <s v="Peconic Bay Medical Center"/>
    <n v="2015"/>
    <n v="7"/>
    <s v="Medicare"/>
    <x v="2"/>
    <s v="Medicare"/>
    <n v="53209.599999999999"/>
    <n v="16203.49"/>
    <n v="0"/>
  </r>
  <r>
    <x v="6818"/>
    <s v="Peconic Bay Medical Center"/>
    <n v="2015"/>
    <n v="7"/>
    <s v="Medicare"/>
    <x v="2"/>
    <s v="Medicare"/>
    <n v="59869.24"/>
    <n v="26668.21"/>
    <n v="0"/>
  </r>
  <r>
    <x v="6819"/>
    <s v="Peconic Bay Medical Center"/>
    <n v="2015"/>
    <n v="7"/>
    <s v="Medicare"/>
    <x v="2"/>
    <s v="Medicare"/>
    <n v="44575"/>
    <n v="12112.56"/>
    <n v="0"/>
  </r>
  <r>
    <x v="6820"/>
    <s v="Peconic Bay Medical Center"/>
    <n v="2015"/>
    <n v="7"/>
    <s v="Medicare"/>
    <x v="2"/>
    <s v="Medicare"/>
    <n v="52067.16"/>
    <n v="18647.95"/>
    <n v="0"/>
  </r>
  <r>
    <x v="6821"/>
    <s v="Peconic Bay Medical Center"/>
    <n v="2015"/>
    <n v="7"/>
    <s v="Medicare"/>
    <x v="2"/>
    <s v="Medicare"/>
    <n v="17571.86"/>
    <n v="3281.53"/>
    <n v="0"/>
  </r>
  <r>
    <x v="6822"/>
    <s v="Peconic Bay Medical Center"/>
    <n v="2015"/>
    <n v="7"/>
    <s v="Medicare"/>
    <x v="2"/>
    <s v="Medicare"/>
    <n v="35497.86"/>
    <n v="10730.06"/>
    <n v="0"/>
  </r>
  <r>
    <x v="6823"/>
    <s v="Peconic Bay Medical Center"/>
    <n v="2015"/>
    <n v="7"/>
    <s v="Medicare"/>
    <x v="2"/>
    <s v="Medicare"/>
    <n v="28975.66"/>
    <n v="9252.24"/>
    <n v="0"/>
  </r>
  <r>
    <x v="6824"/>
    <s v="Peconic Bay Medical Center"/>
    <n v="2015"/>
    <n v="7"/>
    <s v="Medicare"/>
    <x v="2"/>
    <s v="Medicare"/>
    <n v="17493.7"/>
    <n v="4741.87"/>
    <n v="0"/>
  </r>
  <r>
    <x v="6825"/>
    <s v="Peconic Bay Medical Center"/>
    <n v="2015"/>
    <n v="7"/>
    <s v="Medicare"/>
    <x v="2"/>
    <s v="Medicare"/>
    <n v="24002.36"/>
    <n v="9058.9500000000007"/>
    <n v="0"/>
  </r>
  <r>
    <x v="6826"/>
    <s v="Peconic Bay Medical Center"/>
    <n v="2015"/>
    <n v="7"/>
    <s v="Medicare"/>
    <x v="2"/>
    <s v="Medicare"/>
    <n v="31427.72"/>
    <n v="9330.2199999999993"/>
    <n v="0"/>
  </r>
  <r>
    <x v="6827"/>
    <s v="Peconic Bay Medical Center"/>
    <n v="2015"/>
    <n v="7"/>
    <s v="Medicare"/>
    <x v="2"/>
    <s v="Medicare"/>
    <n v="18508.18"/>
    <n v="5054.51"/>
    <n v="0"/>
  </r>
  <r>
    <x v="6828"/>
    <s v="Peconic Bay Medical Center"/>
    <n v="2015"/>
    <n v="7"/>
    <s v="Medicare"/>
    <x v="2"/>
    <s v="Medicare"/>
    <n v="8407.64"/>
    <n v="2431.7199999999998"/>
    <n v="0"/>
  </r>
  <r>
    <x v="6829"/>
    <s v="Peconic Bay Medical Center"/>
    <n v="2015"/>
    <n v="7"/>
    <s v="Medicare"/>
    <x v="2"/>
    <s v="Medicare"/>
    <n v="64370.34"/>
    <n v="40387.360000000001"/>
    <n v="0"/>
  </r>
  <r>
    <x v="6830"/>
    <s v="Peconic Bay Medical Center"/>
    <n v="2015"/>
    <n v="7"/>
    <s v="Medicare"/>
    <x v="2"/>
    <s v="Medicare"/>
    <n v="54223.58"/>
    <n v="15409.8"/>
    <n v="0"/>
  </r>
  <r>
    <x v="6831"/>
    <s v="Peconic Bay Medical Center"/>
    <n v="2015"/>
    <n v="7"/>
    <s v="Medicare"/>
    <x v="2"/>
    <s v="Medicare"/>
    <n v="26507.62"/>
    <n v="5941.38"/>
    <n v="0"/>
  </r>
  <r>
    <x v="6832"/>
    <s v="Peconic Bay Medical Center"/>
    <n v="2015"/>
    <n v="7"/>
    <s v="Medicare"/>
    <x v="2"/>
    <s v="Medicare"/>
    <n v="34597.72"/>
    <n v="9062.16"/>
    <n v="0"/>
  </r>
  <r>
    <x v="6833"/>
    <s v="Peconic Bay Medical Center"/>
    <n v="2015"/>
    <n v="7"/>
    <s v="Medicare"/>
    <x v="2"/>
    <s v="Medicare"/>
    <n v="28786.62"/>
    <n v="7932.88"/>
    <n v="0"/>
  </r>
  <r>
    <x v="6834"/>
    <s v="Peconic Bay Medical Center"/>
    <n v="2015"/>
    <n v="7"/>
    <s v="Medicare"/>
    <x v="2"/>
    <s v="Medicare"/>
    <n v="11795.16"/>
    <n v="3129.4"/>
    <n v="0"/>
  </r>
  <r>
    <x v="6835"/>
    <s v="Peconic Bay Medical Center"/>
    <n v="2015"/>
    <n v="7"/>
    <s v="Medicare"/>
    <x v="2"/>
    <s v="Medicare"/>
    <n v="15883.86"/>
    <n v="3180.24"/>
    <n v="0"/>
  </r>
  <r>
    <x v="6836"/>
    <s v="Peconic Bay Medical Center"/>
    <n v="2015"/>
    <n v="7"/>
    <s v="Medicare"/>
    <x v="2"/>
    <s v="Medicare"/>
    <n v="16019.18"/>
    <n v="4673.83"/>
    <n v="0"/>
  </r>
  <r>
    <x v="6837"/>
    <s v="Peconic Bay Medical Center"/>
    <n v="2015"/>
    <n v="7"/>
    <s v="Medicare"/>
    <x v="2"/>
    <s v="Medicare"/>
    <n v="32090.62"/>
    <n v="8257.67"/>
    <n v="0"/>
  </r>
  <r>
    <x v="6838"/>
    <s v="Peconic Bay Medical Center"/>
    <n v="2015"/>
    <n v="7"/>
    <s v="Medicare"/>
    <x v="2"/>
    <s v="Medicare"/>
    <n v="13427"/>
    <n v="3472.45"/>
    <n v="0"/>
  </r>
  <r>
    <x v="6839"/>
    <s v="Peconic Bay Medical Center"/>
    <n v="2015"/>
    <n v="7"/>
    <s v="Medicare"/>
    <x v="2"/>
    <s v="Medicare"/>
    <n v="22689.26"/>
    <n v="6797.84"/>
    <n v="0"/>
  </r>
  <r>
    <x v="6840"/>
    <s v="Peconic Bay Medical Center"/>
    <n v="2015"/>
    <n v="7"/>
    <s v="Medicare"/>
    <x v="2"/>
    <s v="Medicare"/>
    <n v="20733.5"/>
    <n v="6361.97"/>
    <n v="0"/>
  </r>
  <r>
    <x v="6841"/>
    <s v="Peconic Bay Medical Center"/>
    <n v="2015"/>
    <n v="7"/>
    <s v="Medicare"/>
    <x v="2"/>
    <s v="Medicare"/>
    <n v="10352.92"/>
    <n v="2767.6"/>
    <n v="0"/>
  </r>
  <r>
    <x v="6842"/>
    <s v="Peconic Bay Medical Center"/>
    <n v="2015"/>
    <n v="7"/>
    <s v="Medicare"/>
    <x v="2"/>
    <s v="Medicare"/>
    <n v="8302.58"/>
    <n v="2278.5"/>
    <n v="0"/>
  </r>
  <r>
    <x v="6843"/>
    <s v="Peconic Bay Medical Center"/>
    <n v="2015"/>
    <n v="7"/>
    <s v="Medicare"/>
    <x v="2"/>
    <s v="Medicare"/>
    <n v="24222.32"/>
    <n v="7059.58"/>
    <n v="0"/>
  </r>
  <r>
    <x v="6844"/>
    <s v="Peconic Bay Medical Center"/>
    <n v="2015"/>
    <n v="7"/>
    <s v="Medicare"/>
    <x v="2"/>
    <s v="Medicare"/>
    <n v="56816.9"/>
    <n v="23432.32"/>
    <n v="0"/>
  </r>
  <r>
    <x v="6845"/>
    <s v="Peconic Bay Medical Center"/>
    <n v="2015"/>
    <n v="7"/>
    <s v="Medicare"/>
    <x v="2"/>
    <s v="Medicare"/>
    <n v="69310.740000000005"/>
    <n v="20639.2"/>
    <n v="0"/>
  </r>
  <r>
    <x v="6846"/>
    <s v="Peconic Bay Medical Center"/>
    <n v="2015"/>
    <n v="7"/>
    <s v="Medicare"/>
    <x v="2"/>
    <s v="Medicare"/>
    <n v="37025.56"/>
    <n v="11149.49"/>
    <n v="0"/>
  </r>
  <r>
    <x v="6847"/>
    <s v="Peconic Bay Medical Center"/>
    <n v="2015"/>
    <n v="7"/>
    <s v="Medicare"/>
    <x v="2"/>
    <s v="Medicare"/>
    <n v="23553.18"/>
    <n v="5319.66"/>
    <n v="0"/>
  </r>
  <r>
    <x v="6848"/>
    <s v="Peconic Bay Medical Center"/>
    <n v="2015"/>
    <n v="7"/>
    <s v="Medicare"/>
    <x v="2"/>
    <s v="Medicare"/>
    <n v="26523.82"/>
    <n v="6575.55"/>
    <n v="0"/>
  </r>
  <r>
    <x v="6849"/>
    <s v="Peconic Bay Medical Center"/>
    <n v="2015"/>
    <n v="7"/>
    <s v="Medicare"/>
    <x v="2"/>
    <s v="Medicare"/>
    <n v="21625.4"/>
    <n v="4857.26"/>
    <n v="0"/>
  </r>
  <r>
    <x v="6850"/>
    <s v="Peconic Bay Medical Center"/>
    <n v="2015"/>
    <n v="7"/>
    <s v="Medicare"/>
    <x v="2"/>
    <s v="Medicare"/>
    <n v="24134.22"/>
    <n v="7681.62"/>
    <n v="0"/>
  </r>
  <r>
    <x v="6851"/>
    <s v="Peconic Bay Medical Center"/>
    <n v="2015"/>
    <n v="7"/>
    <s v="Medicare"/>
    <x v="2"/>
    <s v="Medicare"/>
    <n v="26149.279999999999"/>
    <n v="7987.33"/>
    <n v="0"/>
  </r>
  <r>
    <x v="6852"/>
    <s v="Peconic Bay Medical Center"/>
    <n v="2015"/>
    <n v="7"/>
    <s v="Medicare"/>
    <x v="2"/>
    <s v="Medicare"/>
    <n v="49545.38"/>
    <n v="11764.99"/>
    <n v="0"/>
  </r>
  <r>
    <x v="6853"/>
    <s v="Peconic Bay Medical Center"/>
    <n v="2015"/>
    <n v="7"/>
    <s v="Medicare"/>
    <x v="2"/>
    <s v="Medicare"/>
    <n v="94232.3"/>
    <n v="34714.46"/>
    <n v="0"/>
  </r>
  <r>
    <x v="6854"/>
    <s v="Peconic Bay Medical Center"/>
    <n v="2015"/>
    <n v="7"/>
    <s v="Medicare"/>
    <x v="2"/>
    <s v="Medicare"/>
    <n v="11400.8"/>
    <n v="2824.72"/>
    <n v="0"/>
  </r>
  <r>
    <x v="6855"/>
    <s v="Peconic Bay Medical Center"/>
    <n v="2015"/>
    <n v="7"/>
    <s v="Medicare"/>
    <x v="2"/>
    <s v="Medicare"/>
    <n v="39741.46"/>
    <n v="11570.9"/>
    <n v="0"/>
  </r>
  <r>
    <x v="6856"/>
    <s v="Peconic Bay Medical Center"/>
    <n v="2015"/>
    <n v="7"/>
    <s v="Medicare"/>
    <x v="2"/>
    <s v="Medicare"/>
    <n v="15053.82"/>
    <n v="4359.17"/>
    <n v="0"/>
  </r>
  <r>
    <x v="6857"/>
    <s v="Peconic Bay Medical Center"/>
    <n v="2015"/>
    <n v="7"/>
    <s v="Medicare"/>
    <x v="2"/>
    <s v="Medicare"/>
    <n v="34773.9"/>
    <n v="8783.52"/>
    <n v="0"/>
  </r>
  <r>
    <x v="6858"/>
    <s v="Peconic Bay Medical Center"/>
    <n v="2015"/>
    <n v="7"/>
    <s v="Medicare"/>
    <x v="2"/>
    <s v="Medicare"/>
    <n v="19730.02"/>
    <n v="2927.16"/>
    <n v="0"/>
  </r>
  <r>
    <x v="6859"/>
    <s v="Peconic Bay Medical Center"/>
    <n v="2015"/>
    <n v="7"/>
    <s v="Medicare"/>
    <x v="2"/>
    <s v="Medicare"/>
    <n v="53212.66"/>
    <n v="24961.119999999999"/>
    <n v="0"/>
  </r>
  <r>
    <x v="6860"/>
    <s v="Peconic Bay Medical Center"/>
    <n v="2015"/>
    <n v="7"/>
    <s v="Medicare"/>
    <x v="2"/>
    <s v="Medicare"/>
    <n v="20135.02"/>
    <n v="6127"/>
    <n v="0"/>
  </r>
  <r>
    <x v="6861"/>
    <s v="Peconic Bay Medical Center"/>
    <n v="2015"/>
    <n v="7"/>
    <s v="Medicare"/>
    <x v="2"/>
    <s v="Medicare"/>
    <n v="27576"/>
    <n v="9498.01"/>
    <n v="0"/>
  </r>
  <r>
    <x v="6862"/>
    <s v="Peconic Bay Medical Center"/>
    <n v="2015"/>
    <n v="7"/>
    <s v="Medicare"/>
    <x v="2"/>
    <s v="Medicare"/>
    <n v="34306.94"/>
    <n v="8110.06"/>
    <n v="0"/>
  </r>
  <r>
    <x v="6863"/>
    <s v="Peconic Bay Medical Center"/>
    <n v="2015"/>
    <n v="7"/>
    <s v="Medicare"/>
    <x v="2"/>
    <s v="Medicare"/>
    <n v="23129.439999999999"/>
    <n v="7135.56"/>
    <n v="0"/>
  </r>
  <r>
    <x v="6864"/>
    <s v="Peconic Bay Medical Center"/>
    <n v="2015"/>
    <n v="7"/>
    <s v="Medicare"/>
    <x v="2"/>
    <s v="Medicare"/>
    <n v="22061.200000000001"/>
    <n v="6707.81"/>
    <n v="0"/>
  </r>
  <r>
    <x v="6865"/>
    <s v="Peconic Bay Medical Center"/>
    <n v="2015"/>
    <n v="7"/>
    <s v="Medicare"/>
    <x v="2"/>
    <s v="Medicare"/>
    <n v="30096.94"/>
    <n v="8360.61"/>
    <n v="0"/>
  </r>
  <r>
    <x v="6866"/>
    <s v="Peconic Bay Medical Center"/>
    <n v="2015"/>
    <n v="7"/>
    <s v="Medicare"/>
    <x v="2"/>
    <s v="Medicare"/>
    <n v="23919.38"/>
    <n v="7323.66"/>
    <n v="0"/>
  </r>
  <r>
    <x v="6867"/>
    <s v="Peconic Bay Medical Center"/>
    <n v="2015"/>
    <n v="7"/>
    <s v="Medicare"/>
    <x v="2"/>
    <s v="Medicare"/>
    <n v="40730.92"/>
    <n v="10123.700000000001"/>
    <n v="0"/>
  </r>
  <r>
    <x v="6868"/>
    <s v="Peconic Bay Medical Center"/>
    <n v="2015"/>
    <n v="7"/>
    <s v="Medicare"/>
    <x v="2"/>
    <s v="Medicare"/>
    <n v="13807.68"/>
    <n v="3125.56"/>
    <n v="0"/>
  </r>
  <r>
    <x v="6869"/>
    <s v="Peconic Bay Medical Center"/>
    <n v="2015"/>
    <n v="7"/>
    <s v="Medicare"/>
    <x v="2"/>
    <s v="Medicare"/>
    <n v="61593.3"/>
    <n v="36931.300000000003"/>
    <n v="0"/>
  </r>
  <r>
    <x v="6870"/>
    <s v="Peconic Bay Medical Center"/>
    <n v="2015"/>
    <n v="7"/>
    <s v="Medicare"/>
    <x v="2"/>
    <s v="Medicare"/>
    <n v="19018.22"/>
    <n v="5279.31"/>
    <n v="0"/>
  </r>
  <r>
    <x v="6871"/>
    <s v="Peconic Bay Medical Center"/>
    <n v="2015"/>
    <n v="7"/>
    <s v="Medicare"/>
    <x v="2"/>
    <s v="Medicare"/>
    <n v="36898.720000000001"/>
    <n v="9075.4500000000007"/>
    <n v="0"/>
  </r>
  <r>
    <x v="6872"/>
    <s v="Peconic Bay Medical Center"/>
    <n v="2015"/>
    <n v="7"/>
    <s v="Medicare"/>
    <x v="2"/>
    <s v="Medicare"/>
    <n v="15672.56"/>
    <n v="3283.2"/>
    <n v="0"/>
  </r>
  <r>
    <x v="6873"/>
    <s v="Peconic Bay Medical Center"/>
    <n v="2015"/>
    <n v="7"/>
    <s v="Medicare"/>
    <x v="2"/>
    <s v="Medicare"/>
    <n v="18090.62"/>
    <n v="5177.04"/>
    <n v="0"/>
  </r>
  <r>
    <x v="6874"/>
    <s v="Peconic Bay Medical Center"/>
    <n v="2015"/>
    <n v="7"/>
    <s v="Medicare"/>
    <x v="2"/>
    <s v="Medicare"/>
    <n v="13764.48"/>
    <n v="3477.41"/>
    <n v="0"/>
  </r>
  <r>
    <x v="6875"/>
    <s v="Peconic Bay Medical Center"/>
    <n v="2015"/>
    <n v="7"/>
    <s v="Medicare"/>
    <x v="2"/>
    <s v="Medicare"/>
    <n v="51775.040000000001"/>
    <n v="15561.16"/>
    <n v="0"/>
  </r>
  <r>
    <x v="6876"/>
    <s v="Peconic Bay Medical Center"/>
    <n v="2015"/>
    <n v="7"/>
    <s v="Medicare"/>
    <x v="2"/>
    <s v="Medicare"/>
    <n v="18345.02"/>
    <n v="5049.43"/>
    <n v="0"/>
  </r>
  <r>
    <x v="6877"/>
    <s v="Peconic Bay Medical Center"/>
    <n v="2015"/>
    <n v="7"/>
    <s v="Medicare"/>
    <x v="2"/>
    <s v="Medicare"/>
    <n v="30421.22"/>
    <n v="9031.4500000000007"/>
    <n v="0"/>
  </r>
  <r>
    <x v="6878"/>
    <s v="Peconic Bay Medical Center"/>
    <n v="2015"/>
    <n v="7"/>
    <s v="Medicare"/>
    <x v="2"/>
    <s v="Medicare"/>
    <n v="49788.08"/>
    <n v="29657.45"/>
    <n v="0"/>
  </r>
  <r>
    <x v="6879"/>
    <s v="Peconic Bay Medical Center"/>
    <n v="2015"/>
    <n v="7"/>
    <s v="Medicare"/>
    <x v="2"/>
    <s v="Medicare"/>
    <n v="94030.25"/>
    <n v="47489.64"/>
    <n v="0"/>
  </r>
  <r>
    <x v="6880"/>
    <s v="Peconic Bay Medical Center"/>
    <n v="2015"/>
    <n v="7"/>
    <s v="Medicare"/>
    <x v="2"/>
    <s v="Medicare"/>
    <n v="21045.759999999998"/>
    <n v="5302.26"/>
    <n v="0"/>
  </r>
  <r>
    <x v="6881"/>
    <s v="Peconic Bay Medical Center"/>
    <n v="2015"/>
    <n v="7"/>
    <s v="Medicare"/>
    <x v="2"/>
    <s v="Medicare"/>
    <n v="19567.939999999999"/>
    <n v="6050.07"/>
    <n v="0"/>
  </r>
  <r>
    <x v="6882"/>
    <s v="Peconic Bay Medical Center"/>
    <n v="2015"/>
    <n v="7"/>
    <s v="Medicare"/>
    <x v="2"/>
    <s v="Medicare"/>
    <n v="66052.990000000005"/>
    <n v="19052.11"/>
    <n v="0"/>
  </r>
  <r>
    <x v="6883"/>
    <s v="Peconic Bay Medical Center"/>
    <n v="2015"/>
    <n v="7"/>
    <s v="Medicare"/>
    <x v="2"/>
    <s v="Medicare"/>
    <n v="67879.06"/>
    <n v="28882.14"/>
    <n v="0"/>
  </r>
  <r>
    <x v="6884"/>
    <s v="Peconic Bay Medical Center"/>
    <n v="2015"/>
    <n v="7"/>
    <s v="Medicare"/>
    <x v="2"/>
    <s v="Medicare"/>
    <n v="59842.38"/>
    <n v="24891.59"/>
    <n v="0"/>
  </r>
  <r>
    <x v="6885"/>
    <s v="Peconic Bay Medical Center"/>
    <n v="2015"/>
    <n v="7"/>
    <s v="Medicare"/>
    <x v="2"/>
    <s v="Medicare"/>
    <n v="10535.5"/>
    <n v="2421.81"/>
    <n v="0"/>
  </r>
  <r>
    <x v="6886"/>
    <s v="Peconic Bay Medical Center"/>
    <n v="2015"/>
    <n v="7"/>
    <s v="Medicare"/>
    <x v="2"/>
    <s v="Medicare"/>
    <n v="17608.22"/>
    <n v="4579.9399999999996"/>
    <n v="0"/>
  </r>
  <r>
    <x v="6887"/>
    <s v="Peconic Bay Medical Center"/>
    <n v="2015"/>
    <n v="7"/>
    <s v="Medicare"/>
    <x v="2"/>
    <s v="Medicare"/>
    <n v="125686.26"/>
    <n v="45159.35"/>
    <n v="0"/>
  </r>
  <r>
    <x v="6888"/>
    <s v="Peconic Bay Medical Center"/>
    <n v="2015"/>
    <n v="7"/>
    <s v="Medicare"/>
    <x v="2"/>
    <s v="Medicare"/>
    <n v="48630.64"/>
    <n v="11846.36"/>
    <n v="0"/>
  </r>
  <r>
    <x v="6889"/>
    <s v="Peconic Bay Medical Center"/>
    <n v="2015"/>
    <n v="7"/>
    <s v="Medicare"/>
    <x v="2"/>
    <s v="Medicare"/>
    <n v="28601.74"/>
    <n v="7890.74"/>
    <n v="0"/>
  </r>
  <r>
    <x v="6890"/>
    <s v="Peconic Bay Medical Center"/>
    <n v="2015"/>
    <n v="7"/>
    <s v="Medicare"/>
    <x v="2"/>
    <s v="Medicare"/>
    <n v="40636.959999999999"/>
    <n v="19001.39"/>
    <n v="0"/>
  </r>
  <r>
    <x v="6891"/>
    <s v="Peconic Bay Medical Center"/>
    <n v="2015"/>
    <n v="7"/>
    <s v="Medicare"/>
    <x v="2"/>
    <s v="Medicare"/>
    <n v="47651.32"/>
    <n v="19995.7"/>
    <n v="0"/>
  </r>
  <r>
    <x v="6892"/>
    <s v="Peconic Bay Medical Center"/>
    <n v="2015"/>
    <n v="7"/>
    <s v="Medicare"/>
    <x v="2"/>
    <s v="Medicare"/>
    <n v="9117.7999999999993"/>
    <n v="2073.23"/>
    <n v="0"/>
  </r>
  <r>
    <x v="6893"/>
    <s v="Peconic Bay Medical Center"/>
    <n v="2015"/>
    <n v="7"/>
    <s v="Medicare"/>
    <x v="2"/>
    <s v="Medicare"/>
    <n v="21175.759999999998"/>
    <n v="5571.18"/>
    <n v="0"/>
  </r>
  <r>
    <x v="6894"/>
    <s v="Peconic Bay Medical Center"/>
    <n v="2015"/>
    <n v="7"/>
    <s v="Medicare"/>
    <x v="2"/>
    <s v="Medicare"/>
    <n v="71504.34"/>
    <n v="30891.21"/>
    <n v="0"/>
  </r>
  <r>
    <x v="6895"/>
    <s v="Peconic Bay Medical Center"/>
    <n v="2015"/>
    <n v="7"/>
    <s v="Medicare"/>
    <x v="2"/>
    <s v="Medicare"/>
    <n v="13859.38"/>
    <n v="3616.83"/>
    <n v="0"/>
  </r>
  <r>
    <x v="6896"/>
    <s v="Peconic Bay Medical Center"/>
    <n v="2015"/>
    <n v="7"/>
    <s v="Medicare"/>
    <x v="2"/>
    <s v="Medicare"/>
    <n v="15275.2"/>
    <n v="4383.3599999999997"/>
    <n v="0"/>
  </r>
  <r>
    <x v="6897"/>
    <s v="Peconic Bay Medical Center"/>
    <n v="2015"/>
    <n v="7"/>
    <s v="Medicare"/>
    <x v="2"/>
    <s v="Medicare"/>
    <n v="43031.34"/>
    <n v="10775"/>
    <n v="0"/>
  </r>
  <r>
    <x v="6898"/>
    <s v="Peconic Bay Medical Center"/>
    <n v="2015"/>
    <n v="7"/>
    <s v="Medicare"/>
    <x v="2"/>
    <s v="Medicare"/>
    <n v="81448.679999999993"/>
    <n v="32292.45"/>
    <n v="0"/>
  </r>
  <r>
    <x v="6899"/>
    <s v="Peconic Bay Medical Center"/>
    <n v="2015"/>
    <n v="7"/>
    <s v="Medicare"/>
    <x v="2"/>
    <s v="Medicare"/>
    <n v="39745.06"/>
    <n v="12548.06"/>
    <n v="0"/>
  </r>
  <r>
    <x v="6900"/>
    <s v="Peconic Bay Medical Center"/>
    <n v="2015"/>
    <n v="7"/>
    <s v="Medicare"/>
    <x v="2"/>
    <s v="Medicare"/>
    <n v="76512.88"/>
    <n v="25361.98"/>
    <n v="0"/>
  </r>
  <r>
    <x v="6901"/>
    <s v="Peconic Bay Medical Center"/>
    <n v="2015"/>
    <n v="7"/>
    <s v="Medicare"/>
    <x v="2"/>
    <s v="Medicare"/>
    <n v="24641.200000000001"/>
    <n v="7424.89"/>
    <n v="0"/>
  </r>
  <r>
    <x v="6902"/>
    <s v="Peconic Bay Medical Center"/>
    <n v="2015"/>
    <n v="7"/>
    <s v="Medicare"/>
    <x v="2"/>
    <s v="Medicare"/>
    <n v="53216.800000000003"/>
    <n v="13742.27"/>
    <n v="0"/>
  </r>
  <r>
    <x v="6903"/>
    <s v="Peconic Bay Medical Center"/>
    <n v="2015"/>
    <n v="7"/>
    <s v="Medicare"/>
    <x v="2"/>
    <s v="Medicare"/>
    <n v="25304.959999999999"/>
    <n v="7807.57"/>
    <n v="0"/>
  </r>
  <r>
    <x v="6904"/>
    <s v="Peconic Bay Medical Center"/>
    <n v="2015"/>
    <n v="7"/>
    <s v="Medicare"/>
    <x v="2"/>
    <s v="Medicare"/>
    <n v="75756.55"/>
    <n v="38918.18"/>
    <n v="0"/>
  </r>
  <r>
    <x v="6905"/>
    <s v="Peconic Bay Medical Center"/>
    <n v="2015"/>
    <n v="7"/>
    <s v="Medicare"/>
    <x v="2"/>
    <s v="Medicare"/>
    <n v="22031.919999999998"/>
    <n v="4519.71"/>
    <n v="0"/>
  </r>
  <r>
    <x v="6906"/>
    <s v="Peconic Bay Medical Center"/>
    <n v="2015"/>
    <n v="7"/>
    <s v="Medicare"/>
    <x v="2"/>
    <s v="Medicare"/>
    <n v="14818.1"/>
    <n v="3034.17"/>
    <n v="0"/>
  </r>
  <r>
    <x v="6907"/>
    <s v="Peconic Bay Medical Center"/>
    <n v="2015"/>
    <n v="7"/>
    <s v="Medicare"/>
    <x v="2"/>
    <s v="Medicare"/>
    <n v="26671.599999999999"/>
    <n v="7373.54"/>
    <n v="0"/>
  </r>
  <r>
    <x v="6908"/>
    <s v="Peconic Bay Medical Center"/>
    <n v="2015"/>
    <n v="7"/>
    <s v="Medicare"/>
    <x v="2"/>
    <s v="Medicare"/>
    <n v="148672.79999999999"/>
    <n v="85436.13"/>
    <n v="0"/>
  </r>
  <r>
    <x v="6909"/>
    <s v="Peconic Bay Medical Center"/>
    <n v="2015"/>
    <n v="7"/>
    <s v="Medicare"/>
    <x v="2"/>
    <s v="Medicare"/>
    <n v="37601.94"/>
    <n v="11702.86"/>
    <n v="0"/>
  </r>
  <r>
    <x v="6910"/>
    <s v="Peconic Bay Medical Center"/>
    <n v="2015"/>
    <n v="7"/>
    <s v="Medicare"/>
    <x v="2"/>
    <s v="Medicare"/>
    <n v="27733.08"/>
    <n v="8277.16"/>
    <n v="0"/>
  </r>
  <r>
    <x v="6911"/>
    <s v="Peconic Bay Medical Center"/>
    <n v="2015"/>
    <n v="7"/>
    <s v="Medicare"/>
    <x v="2"/>
    <s v="Medicare"/>
    <n v="72167.66"/>
    <n v="22718.21"/>
    <n v="0"/>
  </r>
  <r>
    <x v="6912"/>
    <s v="Peconic Bay Medical Center"/>
    <n v="2015"/>
    <n v="7"/>
    <s v="Medicare"/>
    <x v="2"/>
    <s v="Medicare"/>
    <n v="67809.56"/>
    <n v="18832.46"/>
    <n v="0"/>
  </r>
  <r>
    <x v="6913"/>
    <s v="Peconic Bay Medical Center"/>
    <n v="2015"/>
    <n v="7"/>
    <s v="Medicare"/>
    <x v="2"/>
    <s v="Medicare"/>
    <n v="37230.959999999999"/>
    <n v="11747.18"/>
    <n v="0"/>
  </r>
  <r>
    <x v="6914"/>
    <s v="Peconic Bay Medical Center"/>
    <n v="2015"/>
    <n v="7"/>
    <s v="Medicare"/>
    <x v="2"/>
    <s v="Medicare"/>
    <n v="38915.22"/>
    <n v="24156.35"/>
    <n v="0"/>
  </r>
  <r>
    <x v="6915"/>
    <s v="Peconic Bay Medical Center"/>
    <n v="2015"/>
    <n v="7"/>
    <s v="Medicare"/>
    <x v="2"/>
    <s v="Medicare"/>
    <n v="57560.38"/>
    <n v="26046.83"/>
    <n v="0"/>
  </r>
  <r>
    <x v="6916"/>
    <s v="Peconic Bay Medical Center"/>
    <n v="2015"/>
    <n v="7"/>
    <s v="Medicare"/>
    <x v="2"/>
    <s v="Medicare"/>
    <n v="39526.36"/>
    <n v="11631.91"/>
    <n v="0"/>
  </r>
  <r>
    <x v="6917"/>
    <s v="Peconic Bay Medical Center"/>
    <n v="2015"/>
    <n v="7"/>
    <s v="Medicare"/>
    <x v="2"/>
    <s v="Medicare"/>
    <n v="21118.84"/>
    <n v="6235.1"/>
    <n v="0"/>
  </r>
  <r>
    <x v="6918"/>
    <s v="Peconic Bay Medical Center"/>
    <n v="2015"/>
    <n v="7"/>
    <s v="Medicare"/>
    <x v="2"/>
    <s v="Medicare"/>
    <n v="21773.42"/>
    <n v="6341.02"/>
    <n v="0"/>
  </r>
  <r>
    <x v="6919"/>
    <s v="Peconic Bay Medical Center"/>
    <n v="2015"/>
    <n v="7"/>
    <s v="Medicare"/>
    <x v="2"/>
    <s v="Medicare"/>
    <n v="16426.36"/>
    <n v="4843.38"/>
    <n v="0"/>
  </r>
  <r>
    <x v="6920"/>
    <s v="Peconic Bay Medical Center"/>
    <n v="2015"/>
    <n v="7"/>
    <s v="Medicare"/>
    <x v="2"/>
    <s v="Medicare"/>
    <n v="31141.5"/>
    <n v="9008.27"/>
    <n v="0"/>
  </r>
  <r>
    <x v="6921"/>
    <s v="Peconic Bay Medical Center"/>
    <n v="2015"/>
    <n v="7"/>
    <s v="Medicare"/>
    <x v="2"/>
    <s v="Medicare"/>
    <n v="13764.54"/>
    <n v="3242.1"/>
    <n v="0"/>
  </r>
  <r>
    <x v="6922"/>
    <s v="Peconic Bay Medical Center"/>
    <n v="2015"/>
    <n v="7"/>
    <s v="Medicare"/>
    <x v="2"/>
    <s v="Medicare"/>
    <n v="48774.36"/>
    <n v="15644.94"/>
    <n v="0"/>
  </r>
  <r>
    <x v="6923"/>
    <s v="Peconic Bay Medical Center"/>
    <n v="2015"/>
    <n v="7"/>
    <s v="Medicare"/>
    <x v="2"/>
    <s v="Medicare"/>
    <n v="63090.44"/>
    <n v="31074.48"/>
    <n v="0"/>
  </r>
  <r>
    <x v="6924"/>
    <s v="Peconic Bay Medical Center"/>
    <n v="2015"/>
    <n v="7"/>
    <s v="Medicare"/>
    <x v="2"/>
    <s v="Medicare"/>
    <n v="67354.7"/>
    <n v="21462.42"/>
    <n v="0"/>
  </r>
  <r>
    <x v="6925"/>
    <s v="Peconic Bay Medical Center"/>
    <n v="2015"/>
    <n v="7"/>
    <s v="Medicare"/>
    <x v="2"/>
    <s v="Medicare"/>
    <n v="26349.66"/>
    <n v="7297.35"/>
    <n v="0"/>
  </r>
  <r>
    <x v="6926"/>
    <s v="Peconic Bay Medical Center"/>
    <n v="2015"/>
    <n v="7"/>
    <s v="Medicare"/>
    <x v="2"/>
    <s v="Medicare"/>
    <n v="20020.04"/>
    <n v="5658.52"/>
    <n v="0"/>
  </r>
  <r>
    <x v="6927"/>
    <s v="Peconic Bay Medical Center"/>
    <n v="2015"/>
    <n v="7"/>
    <s v="Medicare"/>
    <x v="2"/>
    <s v="Medicare"/>
    <n v="17717.38"/>
    <n v="5530.56"/>
    <n v="0"/>
  </r>
  <r>
    <x v="6928"/>
    <s v="Peconic Bay Medical Center"/>
    <n v="2015"/>
    <n v="7"/>
    <s v="Medicare"/>
    <x v="2"/>
    <s v="Medicare"/>
    <n v="45682.06"/>
    <n v="13930.19"/>
    <n v="0"/>
  </r>
  <r>
    <x v="6929"/>
    <s v="Peconic Bay Medical Center"/>
    <n v="2015"/>
    <n v="7"/>
    <s v="Medicare"/>
    <x v="2"/>
    <s v="Medicare"/>
    <n v="131752"/>
    <n v="65507.360000000001"/>
    <n v="0"/>
  </r>
  <r>
    <x v="6930"/>
    <s v="Peconic Bay Medical Center"/>
    <n v="2015"/>
    <n v="7"/>
    <s v="Medicare"/>
    <x v="2"/>
    <s v="Medicare"/>
    <n v="31309.78"/>
    <n v="7614.31"/>
    <n v="0"/>
  </r>
  <r>
    <x v="6931"/>
    <s v="Peconic Bay Medical Center"/>
    <n v="2015"/>
    <n v="7"/>
    <s v="Medicare"/>
    <x v="2"/>
    <s v="Medicare"/>
    <n v="12424.58"/>
    <n v="2538.92"/>
    <n v="0"/>
  </r>
  <r>
    <x v="6932"/>
    <s v="Peconic Bay Medical Center"/>
    <n v="2015"/>
    <n v="7"/>
    <s v="Medicare"/>
    <x v="2"/>
    <s v="Medicare"/>
    <n v="22343.7"/>
    <n v="3194.71"/>
    <n v="0"/>
  </r>
  <r>
    <x v="6933"/>
    <s v="Peconic Bay Medical Center"/>
    <n v="2015"/>
    <n v="7"/>
    <s v="Medicare"/>
    <x v="2"/>
    <s v="Medicare"/>
    <n v="88596.5"/>
    <n v="26811.37"/>
    <n v="0"/>
  </r>
  <r>
    <x v="6934"/>
    <s v="Peconic Bay Medical Center"/>
    <n v="2015"/>
    <n v="7"/>
    <s v="Medicare"/>
    <x v="2"/>
    <s v="Medicare"/>
    <n v="59050.080000000002"/>
    <n v="39932.339999999997"/>
    <n v="0"/>
  </r>
  <r>
    <x v="6935"/>
    <s v="Peconic Bay Medical Center"/>
    <n v="2015"/>
    <n v="7"/>
    <s v="Medicare"/>
    <x v="2"/>
    <s v="Medicare"/>
    <n v="17584.36"/>
    <n v="3815.42"/>
    <n v="0"/>
  </r>
  <r>
    <x v="6936"/>
    <s v="Peconic Bay Medical Center"/>
    <n v="2015"/>
    <n v="7"/>
    <s v="Medicare"/>
    <x v="2"/>
    <s v="Medicare"/>
    <n v="175372.79999999999"/>
    <n v="99910.62"/>
    <n v="0"/>
  </r>
  <r>
    <x v="6937"/>
    <s v="Peconic Bay Medical Center"/>
    <n v="2015"/>
    <n v="7"/>
    <s v="Medicare"/>
    <x v="2"/>
    <s v="Medicare"/>
    <n v="70695.399999999994"/>
    <n v="36212.31"/>
    <n v="0"/>
  </r>
  <r>
    <x v="6938"/>
    <s v="Peconic Bay Medical Center"/>
    <n v="2015"/>
    <n v="7"/>
    <s v="Medicare"/>
    <x v="2"/>
    <s v="Medicare"/>
    <n v="25670.22"/>
    <n v="6995.88"/>
    <n v="0"/>
  </r>
  <r>
    <x v="6939"/>
    <s v="Peconic Bay Medical Center"/>
    <n v="2015"/>
    <n v="7"/>
    <s v="Medicare"/>
    <x v="2"/>
    <s v="Medicare"/>
    <n v="21911.439999999999"/>
    <n v="4889.62"/>
    <n v="0"/>
  </r>
  <r>
    <x v="6940"/>
    <s v="Peconic Bay Medical Center"/>
    <n v="2015"/>
    <n v="7"/>
    <s v="Medicare"/>
    <x v="2"/>
    <s v="Medicare"/>
    <n v="82867.600000000006"/>
    <n v="40313.199999999997"/>
    <n v="0"/>
  </r>
  <r>
    <x v="6941"/>
    <s v="Peconic Bay Medical Center"/>
    <n v="2015"/>
    <n v="7"/>
    <s v="Medicare"/>
    <x v="2"/>
    <s v="Medicare"/>
    <n v="18309.46"/>
    <n v="7345.97"/>
    <n v="0"/>
  </r>
  <r>
    <x v="6942"/>
    <s v="Peconic Bay Medical Center"/>
    <n v="2015"/>
    <n v="7"/>
    <s v="Medicare"/>
    <x v="2"/>
    <s v="Medicare"/>
    <n v="53982"/>
    <n v="15771.02"/>
    <n v="0"/>
  </r>
  <r>
    <x v="6943"/>
    <s v="Peconic Bay Medical Center"/>
    <n v="2015"/>
    <n v="7"/>
    <s v="Medicare"/>
    <x v="2"/>
    <s v="Medicare"/>
    <n v="30510.6"/>
    <n v="10828.71"/>
    <n v="0"/>
  </r>
  <r>
    <x v="6944"/>
    <s v="Peconic Bay Medical Center"/>
    <n v="2015"/>
    <n v="7"/>
    <s v="Medicare"/>
    <x v="2"/>
    <s v="Medicare"/>
    <n v="9497.52"/>
    <n v="2486.15"/>
    <n v="0"/>
  </r>
  <r>
    <x v="6945"/>
    <s v="Peconic Bay Medical Center"/>
    <n v="2015"/>
    <n v="7"/>
    <s v="Medicare"/>
    <x v="2"/>
    <s v="Medicare"/>
    <n v="54271.62"/>
    <n v="15662.74"/>
    <n v="0"/>
  </r>
  <r>
    <x v="6946"/>
    <s v="Peconic Bay Medical Center"/>
    <n v="2015"/>
    <n v="7"/>
    <s v="Medicare"/>
    <x v="2"/>
    <s v="Medicare"/>
    <n v="32342.66"/>
    <n v="11551.32"/>
    <n v="0"/>
  </r>
  <r>
    <x v="6947"/>
    <s v="Peconic Bay Medical Center"/>
    <n v="2015"/>
    <n v="7"/>
    <s v="Medicare"/>
    <x v="2"/>
    <s v="Medicare"/>
    <n v="68355.28"/>
    <n v="24920.94"/>
    <n v="0"/>
  </r>
  <r>
    <x v="6948"/>
    <s v="Peconic Bay Medical Center"/>
    <n v="2015"/>
    <n v="7"/>
    <s v="Medicare"/>
    <x v="2"/>
    <s v="Medicare"/>
    <n v="22436.48"/>
    <n v="8006.52"/>
    <n v="0"/>
  </r>
  <r>
    <x v="6949"/>
    <s v="Peconic Bay Medical Center"/>
    <n v="2015"/>
    <n v="7"/>
    <s v="Medicare"/>
    <x v="2"/>
    <s v="Medicare"/>
    <n v="357285.72"/>
    <n v="200682.99"/>
    <n v="0"/>
  </r>
  <r>
    <x v="6950"/>
    <s v="Peconic Bay Medical Center"/>
    <n v="2015"/>
    <n v="7"/>
    <s v="Medicare"/>
    <x v="2"/>
    <s v="Medicare"/>
    <n v="29701.919999999998"/>
    <n v="8291.1200000000008"/>
    <n v="0"/>
  </r>
  <r>
    <x v="6951"/>
    <s v="Peconic Bay Medical Center"/>
    <n v="2015"/>
    <n v="7"/>
    <s v="Medicare"/>
    <x v="2"/>
    <s v="Medicare"/>
    <n v="78032.259999999995"/>
    <n v="25658.53"/>
    <n v="0"/>
  </r>
  <r>
    <x v="6952"/>
    <s v="Peconic Bay Medical Center"/>
    <n v="2015"/>
    <n v="7"/>
    <s v="Medicare"/>
    <x v="2"/>
    <s v="Medicare"/>
    <n v="9331.48"/>
    <n v="2567.7399999999998"/>
    <n v="0"/>
  </r>
  <r>
    <x v="6953"/>
    <s v="Peconic Bay Medical Center"/>
    <n v="2015"/>
    <n v="7"/>
    <s v="Medicare"/>
    <x v="2"/>
    <s v="Medicare"/>
    <n v="10741.1"/>
    <n v="2771.13"/>
    <n v="0"/>
  </r>
  <r>
    <x v="6954"/>
    <s v="Peconic Bay Medical Center"/>
    <n v="2015"/>
    <n v="7"/>
    <s v="Medicare"/>
    <x v="2"/>
    <s v="Medicare"/>
    <n v="13306.94"/>
    <n v="3487.91"/>
    <n v="0"/>
  </r>
  <r>
    <x v="6955"/>
    <s v="Peconic Bay Medical Center"/>
    <n v="2015"/>
    <n v="7"/>
    <s v="Medicare"/>
    <x v="2"/>
    <s v="Medicare"/>
    <n v="8488.24"/>
    <n v="2361.9499999999998"/>
    <n v="0"/>
  </r>
  <r>
    <x v="6956"/>
    <s v="Peconic Bay Medical Center"/>
    <n v="2015"/>
    <n v="7"/>
    <s v="Medicare"/>
    <x v="2"/>
    <s v="Medicare"/>
    <n v="15961.38"/>
    <n v="5147.8900000000003"/>
    <n v="0"/>
  </r>
  <r>
    <x v="6957"/>
    <s v="Peconic Bay Medical Center"/>
    <n v="2015"/>
    <n v="7"/>
    <s v="Medicare"/>
    <x v="2"/>
    <s v="Medicare"/>
    <n v="46116.480000000003"/>
    <n v="14701.42"/>
    <n v="0"/>
  </r>
  <r>
    <x v="6958"/>
    <s v="Peconic Bay Medical Center"/>
    <n v="2015"/>
    <n v="7"/>
    <s v="Medicare"/>
    <x v="2"/>
    <s v="Medicare"/>
    <n v="29060.12"/>
    <n v="8875.5499999999993"/>
    <n v="0"/>
  </r>
  <r>
    <x v="6959"/>
    <s v="Peconic Bay Medical Center"/>
    <n v="2015"/>
    <n v="7"/>
    <s v="Medicare"/>
    <x v="2"/>
    <s v="Medicare"/>
    <n v="11246.6"/>
    <n v="2856.29"/>
    <n v="0"/>
  </r>
  <r>
    <x v="6960"/>
    <s v="Peconic Bay Medical Center"/>
    <n v="2015"/>
    <n v="7"/>
    <s v="Medicare"/>
    <x v="2"/>
    <s v="Medicare"/>
    <n v="12906.7"/>
    <n v="3310.3"/>
    <n v="0"/>
  </r>
  <r>
    <x v="6961"/>
    <s v="Peconic Bay Medical Center"/>
    <n v="2015"/>
    <n v="7"/>
    <s v="Medicare"/>
    <x v="2"/>
    <s v="Medicare"/>
    <n v="28925.98"/>
    <n v="8192.08"/>
    <n v="0"/>
  </r>
  <r>
    <x v="6962"/>
    <s v="Peconic Bay Medical Center"/>
    <n v="2015"/>
    <n v="7"/>
    <s v="Medicare"/>
    <x v="2"/>
    <s v="Medicare"/>
    <n v="49350.36"/>
    <n v="26882.5"/>
    <n v="0"/>
  </r>
  <r>
    <x v="6963"/>
    <s v="Peconic Bay Medical Center"/>
    <n v="2015"/>
    <n v="7"/>
    <s v="Medicare"/>
    <x v="2"/>
    <s v="Medicare"/>
    <n v="38479.72"/>
    <n v="11083.52"/>
    <n v="0"/>
  </r>
  <r>
    <x v="6964"/>
    <s v="Peconic Bay Medical Center"/>
    <n v="2015"/>
    <n v="7"/>
    <s v="Medicare"/>
    <x v="2"/>
    <s v="Medicare"/>
    <n v="27063.94"/>
    <n v="8282.5400000000009"/>
    <n v="0"/>
  </r>
  <r>
    <x v="6965"/>
    <s v="Peconic Bay Medical Center"/>
    <n v="2015"/>
    <n v="7"/>
    <s v="Medicare"/>
    <x v="2"/>
    <s v="Medicare"/>
    <n v="16648.919999999998"/>
    <n v="4831.54"/>
    <n v="0"/>
  </r>
  <r>
    <x v="6966"/>
    <s v="Peconic Bay Medical Center"/>
    <n v="2015"/>
    <n v="7"/>
    <s v="Medicare"/>
    <x v="2"/>
    <s v="Medicare"/>
    <n v="13056.4"/>
    <n v="2848.93"/>
    <n v="0"/>
  </r>
  <r>
    <x v="6967"/>
    <s v="Peconic Bay Medical Center"/>
    <n v="2015"/>
    <n v="7"/>
    <s v="Medicare"/>
    <x v="2"/>
    <s v="Medicare"/>
    <n v="15017.44"/>
    <n v="3302.3"/>
    <n v="0"/>
  </r>
  <r>
    <x v="6968"/>
    <s v="Peconic Bay Medical Center"/>
    <n v="2015"/>
    <n v="7"/>
    <s v="Medicare"/>
    <x v="2"/>
    <s v="Medicare"/>
    <n v="25119.26"/>
    <n v="10761.34"/>
    <n v="0"/>
  </r>
  <r>
    <x v="6969"/>
    <s v="Peconic Bay Medical Center"/>
    <n v="2015"/>
    <n v="7"/>
    <s v="Medicare"/>
    <x v="2"/>
    <s v="Medicare"/>
    <n v="17444.919999999998"/>
    <n v="4527.0200000000004"/>
    <n v="0"/>
  </r>
  <r>
    <x v="6970"/>
    <s v="Peconic Bay Medical Center"/>
    <n v="2015"/>
    <n v="7"/>
    <s v="Medicare"/>
    <x v="2"/>
    <s v="Medicare"/>
    <n v="37753.56"/>
    <n v="10099.86"/>
    <n v="0"/>
  </r>
  <r>
    <x v="6971"/>
    <s v="Peconic Bay Medical Center"/>
    <n v="2015"/>
    <n v="7"/>
    <s v="Medicare"/>
    <x v="2"/>
    <s v="Medicare"/>
    <n v="41750.300000000003"/>
    <n v="11991.09"/>
    <n v="0"/>
  </r>
  <r>
    <x v="6972"/>
    <s v="Peconic Bay Medical Center"/>
    <n v="2015"/>
    <n v="7"/>
    <s v="Medicare"/>
    <x v="2"/>
    <s v="Medicare"/>
    <n v="32580.38"/>
    <n v="9095.68"/>
    <n v="0"/>
  </r>
  <r>
    <x v="6973"/>
    <s v="Peconic Bay Medical Center"/>
    <n v="2015"/>
    <n v="7"/>
    <s v="Medicare"/>
    <x v="2"/>
    <s v="Medicare"/>
    <n v="9623.42"/>
    <n v="2554.38"/>
    <n v="0"/>
  </r>
  <r>
    <x v="6974"/>
    <s v="Peconic Bay Medical Center"/>
    <n v="2015"/>
    <n v="7"/>
    <s v="Medicare"/>
    <x v="2"/>
    <s v="Medicare"/>
    <n v="25634.2"/>
    <n v="6653.65"/>
    <n v="0"/>
  </r>
  <r>
    <x v="6975"/>
    <s v="Peconic Bay Medical Center"/>
    <n v="2015"/>
    <n v="7"/>
    <s v="Medicare"/>
    <x v="2"/>
    <s v="Medicare"/>
    <n v="41293.019999999997"/>
    <n v="13177.5"/>
    <n v="0"/>
  </r>
  <r>
    <x v="6976"/>
    <s v="Peconic Bay Medical Center"/>
    <n v="2015"/>
    <n v="7"/>
    <s v="Medicare"/>
    <x v="2"/>
    <s v="Medicare"/>
    <n v="22494.36"/>
    <n v="7233.78"/>
    <n v="0"/>
  </r>
  <r>
    <x v="6977"/>
    <s v="Peconic Bay Medical Center"/>
    <n v="2015"/>
    <n v="7"/>
    <s v="Medicare"/>
    <x v="2"/>
    <s v="Medicare"/>
    <n v="36304.32"/>
    <n v="10441.23"/>
    <n v="0"/>
  </r>
  <r>
    <x v="6978"/>
    <s v="Peconic Bay Medical Center"/>
    <n v="2015"/>
    <n v="7"/>
    <s v="Medicare"/>
    <x v="2"/>
    <s v="Medicare"/>
    <n v="17288.240000000002"/>
    <n v="4894.74"/>
    <n v="0"/>
  </r>
  <r>
    <x v="6979"/>
    <s v="Peconic Bay Medical Center"/>
    <n v="2015"/>
    <n v="7"/>
    <s v="Medicare"/>
    <x v="2"/>
    <s v="Medicare"/>
    <n v="73239.92"/>
    <n v="30920.48"/>
    <n v="0"/>
  </r>
  <r>
    <x v="6980"/>
    <s v="Peconic Bay Medical Center"/>
    <n v="2015"/>
    <n v="7"/>
    <s v="Medicare"/>
    <x v="2"/>
    <s v="Medicare"/>
    <n v="68305.820000000007"/>
    <n v="28462.28"/>
    <n v="0"/>
  </r>
  <r>
    <x v="6981"/>
    <s v="Peconic Bay Medical Center"/>
    <n v="2015"/>
    <n v="7"/>
    <s v="Medicare"/>
    <x v="2"/>
    <s v="Medicare"/>
    <n v="30795.78"/>
    <n v="7602.75"/>
    <n v="0"/>
  </r>
  <r>
    <x v="6982"/>
    <s v="Peconic Bay Medical Center"/>
    <n v="2015"/>
    <n v="7"/>
    <s v="Medicare"/>
    <x v="2"/>
    <s v="Medicare"/>
    <n v="35246.74"/>
    <n v="8325.4699999999993"/>
    <n v="0"/>
  </r>
  <r>
    <x v="6983"/>
    <s v="Peconic Bay Medical Center"/>
    <n v="2015"/>
    <n v="7"/>
    <s v="Medicare"/>
    <x v="2"/>
    <s v="Medicare"/>
    <n v="27389.599999999999"/>
    <n v="7501.17"/>
    <n v="0"/>
  </r>
  <r>
    <x v="6984"/>
    <s v="Peconic Bay Medical Center"/>
    <n v="2015"/>
    <n v="7"/>
    <s v="Medicare"/>
    <x v="2"/>
    <s v="Medicare"/>
    <n v="136133.34"/>
    <n v="39957.4"/>
    <n v="0"/>
  </r>
  <r>
    <x v="6985"/>
    <s v="Peconic Bay Medical Center"/>
    <n v="2015"/>
    <n v="7"/>
    <s v="Medicare"/>
    <x v="2"/>
    <s v="Medicare"/>
    <n v="12086.7"/>
    <n v="3289.28"/>
    <n v="0"/>
  </r>
  <r>
    <x v="6986"/>
    <s v="Peconic Bay Medical Center"/>
    <n v="2015"/>
    <n v="7"/>
    <s v="Medicare"/>
    <x v="2"/>
    <s v="Medicare"/>
    <n v="40137.86"/>
    <n v="18840.830000000002"/>
    <n v="0"/>
  </r>
  <r>
    <x v="6987"/>
    <s v="Peconic Bay Medical Center"/>
    <n v="2015"/>
    <n v="7"/>
    <s v="Medicare"/>
    <x v="2"/>
    <s v="Medicare"/>
    <n v="19921.759999999998"/>
    <n v="4745.78"/>
    <n v="0"/>
  </r>
  <r>
    <x v="6988"/>
    <s v="Peconic Bay Medical Center"/>
    <n v="2015"/>
    <n v="7"/>
    <s v="Medicare"/>
    <x v="2"/>
    <s v="Medicare"/>
    <n v="26581.22"/>
    <n v="7649.87"/>
    <n v="0"/>
  </r>
  <r>
    <x v="6989"/>
    <s v="Peconic Bay Medical Center"/>
    <n v="2015"/>
    <n v="7"/>
    <s v="Medicare"/>
    <x v="2"/>
    <s v="Medicare"/>
    <n v="40915.9"/>
    <n v="10272.620000000001"/>
    <n v="0"/>
  </r>
  <r>
    <x v="6990"/>
    <s v="Peconic Bay Medical Center"/>
    <n v="2015"/>
    <n v="7"/>
    <s v="Medicare"/>
    <x v="2"/>
    <s v="Medicare"/>
    <n v="31556.54"/>
    <n v="12606.21"/>
    <n v="0"/>
  </r>
  <r>
    <x v="6991"/>
    <s v="Peconic Bay Medical Center"/>
    <n v="2015"/>
    <n v="7"/>
    <s v="Medicare"/>
    <x v="2"/>
    <s v="Medicare"/>
    <n v="28788.22"/>
    <n v="7743.06"/>
    <n v="0"/>
  </r>
  <r>
    <x v="6992"/>
    <s v="Peconic Bay Medical Center"/>
    <n v="2015"/>
    <n v="7"/>
    <s v="Medicare"/>
    <x v="2"/>
    <s v="Medicare"/>
    <n v="55739.32"/>
    <n v="16264.37"/>
    <n v="0"/>
  </r>
  <r>
    <x v="6993"/>
    <s v="Peconic Bay Medical Center"/>
    <n v="2015"/>
    <n v="7"/>
    <s v="Medicare"/>
    <x v="2"/>
    <s v="Medicare"/>
    <n v="11715.2"/>
    <n v="2607.0500000000002"/>
    <n v="0"/>
  </r>
  <r>
    <x v="6994"/>
    <s v="Peconic Bay Medical Center"/>
    <n v="2015"/>
    <n v="7"/>
    <s v="Medicare"/>
    <x v="2"/>
    <s v="Medicare"/>
    <n v="9863.84"/>
    <n v="2706.86"/>
    <n v="0"/>
  </r>
  <r>
    <x v="6995"/>
    <s v="Peconic Bay Medical Center"/>
    <n v="2015"/>
    <n v="7"/>
    <s v="Medicare"/>
    <x v="2"/>
    <s v="Medicare"/>
    <n v="66051.88"/>
    <n v="26436.6"/>
    <n v="0"/>
  </r>
  <r>
    <x v="6996"/>
    <s v="Peconic Bay Medical Center"/>
    <n v="2015"/>
    <n v="7"/>
    <s v="Medicare"/>
    <x v="2"/>
    <s v="Medicare"/>
    <n v="28359.98"/>
    <n v="6587.63"/>
    <n v="0"/>
  </r>
  <r>
    <x v="6997"/>
    <s v="Peconic Bay Medical Center"/>
    <n v="2015"/>
    <n v="7"/>
    <s v="Medicare"/>
    <x v="2"/>
    <s v="Medicare"/>
    <n v="19470.66"/>
    <n v="3488.63"/>
    <n v="0"/>
  </r>
  <r>
    <x v="6998"/>
    <s v="Peconic Bay Medical Center"/>
    <n v="2015"/>
    <n v="7"/>
    <s v="Medicare"/>
    <x v="2"/>
    <s v="Medicare"/>
    <n v="26006.6"/>
    <n v="7994.36"/>
    <n v="0"/>
  </r>
  <r>
    <x v="6999"/>
    <s v="Peconic Bay Medical Center"/>
    <n v="2015"/>
    <n v="7"/>
    <s v="Medicare"/>
    <x v="2"/>
    <s v="Medicare"/>
    <n v="37704.82"/>
    <n v="7826.99"/>
    <n v="0"/>
  </r>
  <r>
    <x v="7000"/>
    <s v="Peconic Bay Medical Center"/>
    <n v="2015"/>
    <n v="7"/>
    <s v="Medicare"/>
    <x v="2"/>
    <s v="Medicare"/>
    <n v="83260.12"/>
    <n v="60711.09"/>
    <n v="0"/>
  </r>
  <r>
    <x v="7001"/>
    <s v="Peconic Bay Medical Center"/>
    <n v="2015"/>
    <n v="7"/>
    <s v="Medicare"/>
    <x v="2"/>
    <s v="Medicare"/>
    <n v="25153.38"/>
    <n v="6548.19"/>
    <n v="0"/>
  </r>
  <r>
    <x v="7002"/>
    <s v="Peconic Bay Medical Center"/>
    <n v="2015"/>
    <n v="7"/>
    <s v="Medicare"/>
    <x v="2"/>
    <s v="Medicare"/>
    <n v="19105.080000000002"/>
    <n v="5540.09"/>
    <n v="0"/>
  </r>
  <r>
    <x v="7003"/>
    <s v="Peconic Bay Medical Center"/>
    <n v="2015"/>
    <n v="7"/>
    <s v="Medicare"/>
    <x v="2"/>
    <s v="Medicare"/>
    <n v="35707.800000000003"/>
    <n v="9972.27"/>
    <n v="0"/>
  </r>
  <r>
    <x v="7004"/>
    <s v="Peconic Bay Medical Center"/>
    <n v="2015"/>
    <n v="7"/>
    <s v="Medicare"/>
    <x v="2"/>
    <s v="Medicare"/>
    <n v="31436.080000000002"/>
    <n v="8449.64"/>
    <n v="0"/>
  </r>
  <r>
    <x v="7005"/>
    <s v="Peconic Bay Medical Center"/>
    <n v="2015"/>
    <n v="7"/>
    <s v="Medicare"/>
    <x v="2"/>
    <s v="Medicare"/>
    <n v="15800.76"/>
    <n v="4508.83"/>
    <n v="0"/>
  </r>
  <r>
    <x v="7006"/>
    <s v="Peconic Bay Medical Center"/>
    <n v="2015"/>
    <n v="7"/>
    <s v="Medicare"/>
    <x v="2"/>
    <s v="Medicare"/>
    <n v="11940.62"/>
    <n v="3182.49"/>
    <n v="0"/>
  </r>
  <r>
    <x v="7007"/>
    <s v="Peconic Bay Medical Center"/>
    <n v="2015"/>
    <n v="7"/>
    <s v="Medicare"/>
    <x v="2"/>
    <s v="Medicare"/>
    <n v="16416.5"/>
    <n v="4799.58"/>
    <n v="0"/>
  </r>
  <r>
    <x v="7008"/>
    <s v="Peconic Bay Medical Center"/>
    <n v="2015"/>
    <n v="7"/>
    <s v="Medicare"/>
    <x v="2"/>
    <s v="Medicare"/>
    <n v="20441.22"/>
    <n v="5293.02"/>
    <n v="0"/>
  </r>
  <r>
    <x v="7009"/>
    <s v="Peconic Bay Medical Center"/>
    <n v="2015"/>
    <n v="7"/>
    <s v="Medicare"/>
    <x v="2"/>
    <s v="Medicare"/>
    <n v="110007.4"/>
    <n v="32427.97"/>
    <n v="0"/>
  </r>
  <r>
    <x v="7010"/>
    <s v="Peconic Bay Medical Center"/>
    <n v="2015"/>
    <n v="7"/>
    <s v="Medicare"/>
    <x v="2"/>
    <s v="Medicare"/>
    <n v="38241.160000000003"/>
    <n v="13522.58"/>
    <n v="0"/>
  </r>
  <r>
    <x v="7011"/>
    <s v="Peconic Bay Medical Center"/>
    <n v="2015"/>
    <n v="7"/>
    <s v="Medicare"/>
    <x v="2"/>
    <s v="Medicare"/>
    <n v="174178.05"/>
    <n v="138283.44"/>
    <n v="0"/>
  </r>
  <r>
    <x v="7012"/>
    <s v="Peconic Bay Medical Center"/>
    <n v="2015"/>
    <n v="7"/>
    <s v="Medicare"/>
    <x v="2"/>
    <s v="Medicare"/>
    <n v="10699.88"/>
    <n v="2967.96"/>
    <n v="0"/>
  </r>
  <r>
    <x v="7013"/>
    <s v="Peconic Bay Medical Center"/>
    <n v="2015"/>
    <n v="7"/>
    <s v="Medicare"/>
    <x v="2"/>
    <s v="Medicare"/>
    <n v="17458.72"/>
    <n v="4632.84"/>
    <n v="0"/>
  </r>
  <r>
    <x v="7014"/>
    <s v="Peconic Bay Medical Center"/>
    <n v="2015"/>
    <n v="7"/>
    <s v="Medicare"/>
    <x v="2"/>
    <s v="Medicare"/>
    <n v="21822.639999999999"/>
    <n v="5526.75"/>
    <n v="0"/>
  </r>
  <r>
    <x v="7015"/>
    <s v="Peconic Bay Medical Center"/>
    <n v="2015"/>
    <n v="7"/>
    <s v="Medicare"/>
    <x v="2"/>
    <s v="Medicare"/>
    <n v="32242.42"/>
    <n v="8455.0300000000007"/>
    <n v="0"/>
  </r>
  <r>
    <x v="7016"/>
    <s v="Peconic Bay Medical Center"/>
    <n v="2015"/>
    <n v="7"/>
    <s v="Medicare"/>
    <x v="2"/>
    <s v="Medicare"/>
    <n v="65249.94"/>
    <n v="23851.3"/>
    <n v="0"/>
  </r>
  <r>
    <x v="7017"/>
    <s v="Peconic Bay Medical Center"/>
    <n v="2015"/>
    <n v="7"/>
    <s v="Medicare"/>
    <x v="2"/>
    <s v="Medicare"/>
    <n v="30089.74"/>
    <n v="9962.2199999999993"/>
    <n v="0"/>
  </r>
  <r>
    <x v="7018"/>
    <s v="Peconic Bay Medical Center"/>
    <n v="2015"/>
    <n v="7"/>
    <s v="Medicare"/>
    <x v="2"/>
    <s v="Medicare"/>
    <n v="28554.6"/>
    <n v="8682.0499999999993"/>
    <n v="0"/>
  </r>
  <r>
    <x v="7019"/>
    <s v="Peconic Bay Medical Center"/>
    <n v="2015"/>
    <n v="7"/>
    <s v="Medicare"/>
    <x v="2"/>
    <s v="Medicare"/>
    <n v="13159.84"/>
    <n v="3210.83"/>
    <n v="0"/>
  </r>
  <r>
    <x v="7020"/>
    <s v="Peconic Bay Medical Center"/>
    <n v="2015"/>
    <n v="7"/>
    <s v="Medicare"/>
    <x v="2"/>
    <s v="Medicare"/>
    <n v="41463"/>
    <n v="12730.51"/>
    <n v="0"/>
  </r>
  <r>
    <x v="7021"/>
    <s v="Peconic Bay Medical Center"/>
    <n v="2015"/>
    <n v="7"/>
    <s v="Medicare"/>
    <x v="2"/>
    <s v="Medicare"/>
    <n v="15731.34"/>
    <n v="4002.91"/>
    <n v="0"/>
  </r>
  <r>
    <x v="7022"/>
    <s v="Peconic Bay Medical Center"/>
    <n v="2015"/>
    <n v="7"/>
    <s v="Medicare"/>
    <x v="2"/>
    <s v="Medicare"/>
    <n v="15525.36"/>
    <n v="4475.01"/>
    <n v="0"/>
  </r>
  <r>
    <x v="7023"/>
    <s v="Peconic Bay Medical Center"/>
    <n v="2015"/>
    <n v="7"/>
    <s v="Medicare"/>
    <x v="2"/>
    <s v="Medicare"/>
    <n v="13392.88"/>
    <n v="3576.05"/>
    <n v="0"/>
  </r>
  <r>
    <x v="7024"/>
    <s v="Peconic Bay Medical Center"/>
    <n v="2015"/>
    <n v="7"/>
    <s v="Medicare"/>
    <x v="2"/>
    <s v="Medicare"/>
    <n v="43388.74"/>
    <n v="13561.39"/>
    <n v="0"/>
  </r>
  <r>
    <x v="7025"/>
    <s v="Peconic Bay Medical Center"/>
    <n v="2015"/>
    <n v="7"/>
    <s v="Medicare"/>
    <x v="2"/>
    <s v="Medicare"/>
    <n v="48237.26"/>
    <n v="28202.58"/>
    <n v="0"/>
  </r>
  <r>
    <x v="7026"/>
    <s v="Peconic Bay Medical Center"/>
    <n v="2015"/>
    <n v="7"/>
    <s v="Medicare"/>
    <x v="2"/>
    <s v="Medicare"/>
    <n v="39740.379999999997"/>
    <n v="9753.36"/>
    <n v="0"/>
  </r>
  <r>
    <x v="7027"/>
    <s v="Peconic Bay Medical Center"/>
    <n v="2015"/>
    <n v="7"/>
    <s v="Medicare"/>
    <x v="2"/>
    <s v="Medicare"/>
    <n v="44840.82"/>
    <n v="13067.93"/>
    <n v="0"/>
  </r>
  <r>
    <x v="7028"/>
    <s v="Peconic Bay Medical Center"/>
    <n v="2015"/>
    <n v="7"/>
    <s v="Medicare"/>
    <x v="2"/>
    <s v="Medicare"/>
    <n v="11535.64"/>
    <n v="2893.26"/>
    <n v="0"/>
  </r>
  <r>
    <x v="7029"/>
    <s v="Peconic Bay Medical Center"/>
    <n v="2015"/>
    <n v="7"/>
    <s v="Medicare"/>
    <x v="2"/>
    <s v="Medicare"/>
    <n v="27075.42"/>
    <n v="8181.38"/>
    <n v="0"/>
  </r>
  <r>
    <x v="7030"/>
    <s v="Peconic Bay Medical Center"/>
    <n v="2015"/>
    <n v="7"/>
    <s v="Medicare"/>
    <x v="2"/>
    <s v="Medicare"/>
    <n v="17898.599999999999"/>
    <n v="5368.37"/>
    <n v="0"/>
  </r>
  <r>
    <x v="7031"/>
    <s v="Peconic Bay Medical Center"/>
    <n v="2015"/>
    <n v="7"/>
    <s v="Medicare"/>
    <x v="2"/>
    <s v="Medicare"/>
    <n v="17144.560000000001"/>
    <n v="4543.91"/>
    <n v="0"/>
  </r>
  <r>
    <x v="7032"/>
    <s v="Peconic Bay Medical Center"/>
    <n v="2015"/>
    <n v="7"/>
    <s v="Medicare"/>
    <x v="2"/>
    <s v="Medicare"/>
    <n v="12918.02"/>
    <n v="2618.15"/>
    <n v="0"/>
  </r>
  <r>
    <x v="7033"/>
    <s v="Peconic Bay Medical Center"/>
    <n v="2015"/>
    <n v="7"/>
    <s v="Medicare"/>
    <x v="2"/>
    <s v="Medicare"/>
    <n v="34600.639999999999"/>
    <n v="10369.68"/>
    <n v="0"/>
  </r>
  <r>
    <x v="7034"/>
    <s v="Peconic Bay Medical Center"/>
    <n v="2015"/>
    <n v="7"/>
    <s v="Medicare"/>
    <x v="2"/>
    <s v="Medicare"/>
    <n v="81573.09"/>
    <n v="50167.97"/>
    <n v="0"/>
  </r>
  <r>
    <x v="7035"/>
    <s v="Peconic Bay Medical Center"/>
    <n v="2015"/>
    <n v="7"/>
    <s v="Medicare"/>
    <x v="2"/>
    <s v="Medicare"/>
    <n v="63938.9"/>
    <n v="19176.330000000002"/>
    <n v="0"/>
  </r>
  <r>
    <x v="7036"/>
    <s v="Peconic Bay Medical Center"/>
    <n v="2015"/>
    <n v="7"/>
    <s v="Medicare"/>
    <x v="2"/>
    <s v="Medicare"/>
    <n v="27017.94"/>
    <n v="8210.91"/>
    <n v="0"/>
  </r>
  <r>
    <x v="7037"/>
    <s v="Peconic Bay Medical Center"/>
    <n v="2015"/>
    <n v="7"/>
    <s v="Medicare"/>
    <x v="2"/>
    <s v="Medicare"/>
    <n v="71818.8"/>
    <n v="27302.46"/>
    <n v="0"/>
  </r>
  <r>
    <x v="7038"/>
    <s v="Peconic Bay Medical Center"/>
    <n v="2015"/>
    <n v="7"/>
    <s v="Medicare"/>
    <x v="2"/>
    <s v="Medicare"/>
    <n v="45458.83"/>
    <n v="19344.75"/>
    <n v="0"/>
  </r>
  <r>
    <x v="7039"/>
    <s v="Peconic Bay Medical Center"/>
    <n v="2015"/>
    <n v="7"/>
    <s v="Medicare"/>
    <x v="2"/>
    <s v="Medicare"/>
    <n v="48688.06"/>
    <n v="12634.42"/>
    <n v="0"/>
  </r>
  <r>
    <x v="7040"/>
    <s v="Peconic Bay Medical Center"/>
    <n v="2015"/>
    <n v="7"/>
    <s v="Medicare"/>
    <x v="2"/>
    <s v="Medicare"/>
    <n v="25049.56"/>
    <n v="6464.95"/>
    <n v="0"/>
  </r>
  <r>
    <x v="7041"/>
    <s v="Peconic Bay Medical Center"/>
    <n v="2015"/>
    <n v="7"/>
    <s v="Medicare"/>
    <x v="2"/>
    <s v="Medicare"/>
    <n v="32086.2"/>
    <n v="10053.27"/>
    <n v="0"/>
  </r>
  <r>
    <x v="7042"/>
    <s v="Peconic Bay Medical Center"/>
    <n v="2015"/>
    <n v="7"/>
    <s v="Medicare"/>
    <x v="2"/>
    <s v="Medicare"/>
    <n v="46401.919999999998"/>
    <n v="13436.8"/>
    <n v="0"/>
  </r>
  <r>
    <x v="7043"/>
    <s v="Peconic Bay Medical Center"/>
    <n v="2015"/>
    <n v="7"/>
    <s v="Medicare"/>
    <x v="2"/>
    <s v="Medicare"/>
    <n v="48689"/>
    <n v="14648.54"/>
    <n v="0"/>
  </r>
  <r>
    <x v="7044"/>
    <s v="Peconic Bay Medical Center"/>
    <n v="2015"/>
    <n v="7"/>
    <s v="Medicare"/>
    <x v="2"/>
    <s v="Medicare"/>
    <n v="46548.34"/>
    <n v="16405.82"/>
    <n v="0"/>
  </r>
  <r>
    <x v="7045"/>
    <s v="Peconic Bay Medical Center"/>
    <n v="2015"/>
    <n v="7"/>
    <s v="Medicare"/>
    <x v="2"/>
    <s v="Medicare"/>
    <n v="46279.88"/>
    <n v="14230.59"/>
    <n v="0"/>
  </r>
  <r>
    <x v="7046"/>
    <s v="Peconic Bay Medical Center"/>
    <n v="2015"/>
    <n v="7"/>
    <s v="Medicare"/>
    <x v="2"/>
    <s v="Medicare"/>
    <n v="24440.74"/>
    <n v="4140.67"/>
    <n v="0"/>
  </r>
  <r>
    <x v="7047"/>
    <s v="Peconic Bay Medical Center"/>
    <n v="2015"/>
    <n v="7"/>
    <s v="Medicare"/>
    <x v="2"/>
    <s v="Medicare"/>
    <n v="38053.760000000002"/>
    <n v="10798.85"/>
    <n v="0"/>
  </r>
  <r>
    <x v="7048"/>
    <s v="Peconic Bay Medical Center"/>
    <n v="2015"/>
    <n v="7"/>
    <s v="Medicare"/>
    <x v="2"/>
    <s v="Medicare"/>
    <n v="38234.74"/>
    <n v="11503.17"/>
    <n v="0"/>
  </r>
  <r>
    <x v="7049"/>
    <s v="Peconic Bay Medical Center"/>
    <n v="2015"/>
    <n v="7"/>
    <s v="Medicare"/>
    <x v="2"/>
    <s v="Medicare"/>
    <n v="28796.06"/>
    <n v="7815.2"/>
    <n v="0"/>
  </r>
  <r>
    <x v="7050"/>
    <s v="Peconic Bay Medical Center"/>
    <n v="2015"/>
    <n v="7"/>
    <s v="Medicare"/>
    <x v="2"/>
    <s v="Medicare"/>
    <n v="24815.64"/>
    <n v="8537.4699999999993"/>
    <n v="0"/>
  </r>
  <r>
    <x v="7051"/>
    <s v="Peconic Bay Medical Center"/>
    <n v="2015"/>
    <n v="7"/>
    <s v="Medicare"/>
    <x v="2"/>
    <s v="Medicare"/>
    <n v="38133.279999999999"/>
    <n v="18527.310000000001"/>
    <n v="0"/>
  </r>
  <r>
    <x v="7052"/>
    <s v="Peconic Bay Medical Center"/>
    <n v="2015"/>
    <n v="7"/>
    <s v="Medicare"/>
    <x v="2"/>
    <s v="Medicare"/>
    <n v="30034.54"/>
    <n v="11787.53"/>
    <n v="0"/>
  </r>
  <r>
    <x v="7053"/>
    <s v="Peconic Bay Medical Center"/>
    <n v="2015"/>
    <n v="7"/>
    <s v="Medicare"/>
    <x v="2"/>
    <s v="Medicare"/>
    <n v="27213.14"/>
    <n v="17026.22"/>
    <n v="0"/>
  </r>
  <r>
    <x v="7054"/>
    <s v="Peconic Bay Medical Center"/>
    <n v="2015"/>
    <n v="7"/>
    <s v="Medicare"/>
    <x v="2"/>
    <s v="Medicare"/>
    <n v="23530.14"/>
    <n v="5611.97"/>
    <n v="0"/>
  </r>
  <r>
    <x v="7055"/>
    <s v="Peconic Bay Medical Center"/>
    <n v="2015"/>
    <n v="7"/>
    <s v="Medicare"/>
    <x v="2"/>
    <s v="Medicare"/>
    <n v="100724.2"/>
    <n v="36428.9"/>
    <n v="0"/>
  </r>
  <r>
    <x v="7056"/>
    <s v="Peconic Bay Medical Center"/>
    <n v="2015"/>
    <n v="7"/>
    <s v="Medicare"/>
    <x v="2"/>
    <s v="Medicare"/>
    <n v="14346.82"/>
    <n v="2791.87"/>
    <n v="0"/>
  </r>
  <r>
    <x v="7057"/>
    <s v="Peconic Bay Medical Center"/>
    <n v="2015"/>
    <n v="7"/>
    <s v="Medicare"/>
    <x v="2"/>
    <s v="Medicare"/>
    <n v="14857"/>
    <n v="3411.68"/>
    <n v="0"/>
  </r>
  <r>
    <x v="7058"/>
    <s v="Peconic Bay Medical Center"/>
    <n v="2015"/>
    <n v="7"/>
    <s v="Medicare"/>
    <x v="2"/>
    <s v="Medicare"/>
    <n v="40786.68"/>
    <n v="12454.71"/>
    <n v="0"/>
  </r>
  <r>
    <x v="7059"/>
    <s v="Peconic Bay Medical Center"/>
    <n v="2015"/>
    <n v="7"/>
    <s v="Medicare"/>
    <x v="2"/>
    <s v="Medicare"/>
    <n v="21923.38"/>
    <n v="6276.58"/>
    <n v="0"/>
  </r>
  <r>
    <x v="7060"/>
    <s v="Peconic Bay Medical Center"/>
    <n v="2015"/>
    <n v="7"/>
    <s v="Medicare"/>
    <x v="2"/>
    <s v="Medicare"/>
    <n v="17830.3"/>
    <n v="4636.6400000000003"/>
    <n v="0"/>
  </r>
  <r>
    <x v="7061"/>
    <s v="Peconic Bay Medical Center"/>
    <n v="2015"/>
    <n v="7"/>
    <s v="Medicare"/>
    <x v="2"/>
    <s v="Medicare"/>
    <n v="9634.9"/>
    <n v="2694.85"/>
    <n v="0"/>
  </r>
  <r>
    <x v="7062"/>
    <s v="Peconic Bay Medical Center"/>
    <n v="2015"/>
    <n v="7"/>
    <s v="Medicare"/>
    <x v="2"/>
    <s v="Medicare"/>
    <n v="27954.18"/>
    <n v="6188.51"/>
    <n v="0"/>
  </r>
  <r>
    <x v="7063"/>
    <s v="Peconic Bay Medical Center"/>
    <n v="2015"/>
    <n v="7"/>
    <s v="Medicare"/>
    <x v="2"/>
    <s v="Medicare"/>
    <n v="38712.78"/>
    <n v="7592.69"/>
    <n v="0"/>
  </r>
  <r>
    <x v="7064"/>
    <s v="Peconic Bay Medical Center"/>
    <n v="2015"/>
    <n v="7"/>
    <s v="Medicare"/>
    <x v="2"/>
    <s v="Medicare"/>
    <n v="35114"/>
    <n v="9917.93"/>
    <n v="0"/>
  </r>
  <r>
    <x v="7065"/>
    <s v="Peconic Bay Medical Center"/>
    <n v="2015"/>
    <n v="7"/>
    <s v="Medicare"/>
    <x v="2"/>
    <s v="Medicare"/>
    <n v="43588.12"/>
    <n v="12652.66"/>
    <n v="0"/>
  </r>
  <r>
    <x v="7066"/>
    <s v="Peconic Bay Medical Center"/>
    <n v="2015"/>
    <n v="7"/>
    <s v="Medicare"/>
    <x v="2"/>
    <s v="Medicare"/>
    <n v="15150.04"/>
    <n v="3315.8"/>
    <n v="0"/>
  </r>
  <r>
    <x v="7067"/>
    <s v="Peconic Bay Medical Center"/>
    <n v="2015"/>
    <n v="7"/>
    <s v="Medicare"/>
    <x v="2"/>
    <s v="Medicare"/>
    <n v="43820.24"/>
    <n v="20546.52"/>
    <n v="0"/>
  </r>
  <r>
    <x v="7068"/>
    <s v="Peconic Bay Medical Center"/>
    <n v="2015"/>
    <n v="7"/>
    <s v="Medicare"/>
    <x v="2"/>
    <s v="Medicare"/>
    <n v="25013.42"/>
    <n v="6501.53"/>
    <n v="0"/>
  </r>
  <r>
    <x v="7069"/>
    <s v="Peconic Bay Medical Center"/>
    <n v="2015"/>
    <n v="7"/>
    <s v="Medicare"/>
    <x v="2"/>
    <s v="Medicare"/>
    <n v="15751.86"/>
    <n v="2733"/>
    <n v="0"/>
  </r>
  <r>
    <x v="7070"/>
    <s v="Peconic Bay Medical Center"/>
    <n v="2015"/>
    <n v="7"/>
    <s v="Medicare"/>
    <x v="2"/>
    <s v="Medicare"/>
    <n v="115587.78"/>
    <n v="43213.01"/>
    <n v="0"/>
  </r>
  <r>
    <x v="7071"/>
    <s v="Peconic Bay Medical Center"/>
    <n v="2015"/>
    <n v="7"/>
    <s v="Medicare"/>
    <x v="2"/>
    <s v="Medicare"/>
    <n v="33493.800000000003"/>
    <n v="10440.08"/>
    <n v="0"/>
  </r>
  <r>
    <x v="7072"/>
    <s v="Peconic Bay Medical Center"/>
    <n v="2015"/>
    <n v="7"/>
    <s v="Medicare"/>
    <x v="2"/>
    <s v="Medicare"/>
    <n v="21368.080000000002"/>
    <n v="7593.8"/>
    <n v="0"/>
  </r>
  <r>
    <x v="7073"/>
    <s v="Peconic Bay Medical Center"/>
    <n v="2015"/>
    <n v="7"/>
    <s v="Medicare"/>
    <x v="2"/>
    <s v="Medicare"/>
    <n v="87268.28"/>
    <n v="40641.72"/>
    <n v="0"/>
  </r>
  <r>
    <x v="7074"/>
    <s v="Peconic Bay Medical Center"/>
    <n v="2015"/>
    <n v="7"/>
    <s v="Medicare"/>
    <x v="2"/>
    <s v="Medicare"/>
    <n v="31408.34"/>
    <n v="10030.27"/>
    <n v="0"/>
  </r>
  <r>
    <x v="7075"/>
    <s v="Peconic Bay Medical Center"/>
    <n v="2015"/>
    <n v="7"/>
    <s v="Medicare"/>
    <x v="2"/>
    <s v="Medicare"/>
    <n v="25017.08"/>
    <n v="5974.5"/>
    <n v="0"/>
  </r>
  <r>
    <x v="7076"/>
    <s v="Peconic Bay Medical Center"/>
    <n v="2015"/>
    <n v="7"/>
    <s v="Medicare"/>
    <x v="2"/>
    <s v="Medicare"/>
    <n v="47869.98"/>
    <n v="21087.32"/>
    <n v="0"/>
  </r>
  <r>
    <x v="7077"/>
    <s v="Peconic Bay Medical Center"/>
    <n v="2015"/>
    <n v="7"/>
    <s v="Medicare"/>
    <x v="2"/>
    <s v="Medicare"/>
    <n v="29352.02"/>
    <n v="8472.58"/>
    <n v="0"/>
  </r>
  <r>
    <x v="7078"/>
    <s v="Peconic Bay Medical Center"/>
    <n v="2015"/>
    <n v="7"/>
    <s v="Medicare"/>
    <x v="2"/>
    <s v="Medicare"/>
    <n v="16749.68"/>
    <n v="4893.66"/>
    <n v="0"/>
  </r>
  <r>
    <x v="7079"/>
    <s v="Peconic Bay Medical Center"/>
    <n v="2015"/>
    <n v="7"/>
    <s v="Medicare"/>
    <x v="2"/>
    <s v="Medicare"/>
    <n v="28504.36"/>
    <n v="5278.4"/>
    <n v="0"/>
  </r>
  <r>
    <x v="7080"/>
    <s v="Peconic Bay Medical Center"/>
    <n v="2015"/>
    <n v="7"/>
    <s v="Medicare"/>
    <x v="2"/>
    <s v="Medicare"/>
    <n v="31160.16"/>
    <n v="8747.14"/>
    <n v="0"/>
  </r>
  <r>
    <x v="7081"/>
    <s v="Peconic Bay Medical Center"/>
    <n v="2015"/>
    <n v="7"/>
    <s v="Medicare"/>
    <x v="2"/>
    <s v="Medicare"/>
    <n v="15796.24"/>
    <n v="4613.1000000000004"/>
    <n v="0"/>
  </r>
  <r>
    <x v="7082"/>
    <s v="Peconic Bay Medical Center"/>
    <n v="2015"/>
    <n v="7"/>
    <s v="Medicare"/>
    <x v="2"/>
    <s v="Medicare"/>
    <n v="11156.08"/>
    <n v="2955.72"/>
    <n v="0"/>
  </r>
  <r>
    <x v="7083"/>
    <s v="Peconic Bay Medical Center"/>
    <n v="2015"/>
    <n v="7"/>
    <s v="Medicare"/>
    <x v="2"/>
    <s v="Medicare"/>
    <n v="31705.439999999999"/>
    <n v="8630"/>
    <n v="0"/>
  </r>
  <r>
    <x v="7084"/>
    <s v="Peconic Bay Medical Center"/>
    <n v="2015"/>
    <n v="7"/>
    <s v="Medicare"/>
    <x v="2"/>
    <s v="Medicare"/>
    <n v="16632.439999999999"/>
    <n v="3502.4"/>
    <n v="0"/>
  </r>
  <r>
    <x v="7085"/>
    <s v="Peconic Bay Medical Center"/>
    <n v="2015"/>
    <n v="7"/>
    <s v="Medicare"/>
    <x v="2"/>
    <s v="Medicare"/>
    <n v="30361.4"/>
    <n v="8516.16"/>
    <n v="0"/>
  </r>
  <r>
    <x v="7086"/>
    <s v="Peconic Bay Medical Center"/>
    <n v="2015"/>
    <n v="7"/>
    <s v="Medicare"/>
    <x v="2"/>
    <s v="Medicare"/>
    <n v="19409.580000000002"/>
    <n v="5831.7"/>
    <n v="0"/>
  </r>
  <r>
    <x v="7087"/>
    <s v="Peconic Bay Medical Center"/>
    <n v="2015"/>
    <n v="7"/>
    <s v="Medicare"/>
    <x v="2"/>
    <s v="Medicare"/>
    <n v="25501.360000000001"/>
    <n v="7724.9"/>
    <n v="0"/>
  </r>
  <r>
    <x v="7088"/>
    <s v="Peconic Bay Medical Center"/>
    <n v="2015"/>
    <n v="7"/>
    <s v="Medicare"/>
    <x v="2"/>
    <s v="Medicare"/>
    <n v="12110.64"/>
    <n v="3274.54"/>
    <n v="0"/>
  </r>
  <r>
    <x v="7089"/>
    <s v="Peconic Bay Medical Center"/>
    <n v="2015"/>
    <n v="7"/>
    <s v="Medicare"/>
    <x v="2"/>
    <s v="Medicare"/>
    <n v="421938.06"/>
    <n v="103289.09"/>
    <n v="0"/>
  </r>
  <r>
    <x v="7090"/>
    <s v="Peconic Bay Medical Center"/>
    <n v="2015"/>
    <n v="7"/>
    <s v="Medicare"/>
    <x v="2"/>
    <s v="Medicare"/>
    <n v="39785.72"/>
    <n v="10262.790000000001"/>
    <n v="0"/>
  </r>
  <r>
    <x v="7091"/>
    <s v="Peconic Bay Medical Center"/>
    <n v="2015"/>
    <n v="7"/>
    <s v="Medicare"/>
    <x v="2"/>
    <s v="Medicare"/>
    <n v="146618.82"/>
    <n v="58311.27"/>
    <n v="0"/>
  </r>
  <r>
    <x v="7092"/>
    <s v="Peconic Bay Medical Center"/>
    <n v="2015"/>
    <n v="7"/>
    <s v="Medicare"/>
    <x v="2"/>
    <s v="Medicare"/>
    <n v="23000.02"/>
    <n v="6944.72"/>
    <n v="0"/>
  </r>
  <r>
    <x v="7093"/>
    <s v="Peconic Bay Medical Center"/>
    <n v="2015"/>
    <n v="7"/>
    <s v="Medicare"/>
    <x v="2"/>
    <s v="Medicare"/>
    <n v="14658.7"/>
    <n v="4106.63"/>
    <n v="0"/>
  </r>
  <r>
    <x v="7094"/>
    <s v="Peconic Bay Medical Center"/>
    <n v="2015"/>
    <n v="7"/>
    <s v="Medicare"/>
    <x v="2"/>
    <s v="Medicare"/>
    <n v="16864.16"/>
    <n v="4846.33"/>
    <n v="0"/>
  </r>
  <r>
    <x v="7095"/>
    <s v="Peconic Bay Medical Center"/>
    <n v="2015"/>
    <n v="7"/>
    <s v="Medicare"/>
    <x v="2"/>
    <s v="Medicare"/>
    <n v="55082.78"/>
    <n v="22687.23"/>
    <n v="0"/>
  </r>
  <r>
    <x v="7096"/>
    <s v="Peconic Bay Medical Center"/>
    <n v="2015"/>
    <n v="7"/>
    <s v="Medicare"/>
    <x v="2"/>
    <s v="Medicare"/>
    <n v="14810.26"/>
    <n v="3926.18"/>
    <n v="0"/>
  </r>
  <r>
    <x v="7097"/>
    <s v="Peconic Bay Medical Center"/>
    <n v="2015"/>
    <n v="7"/>
    <s v="Medicare"/>
    <x v="2"/>
    <s v="Medicare"/>
    <n v="27542.54"/>
    <n v="7625.31"/>
    <n v="0"/>
  </r>
  <r>
    <x v="7098"/>
    <s v="Peconic Bay Medical Center"/>
    <n v="2015"/>
    <n v="7"/>
    <s v="Medicare"/>
    <x v="2"/>
    <s v="Medicare"/>
    <n v="40060.1"/>
    <n v="18599.02"/>
    <n v="0"/>
  </r>
  <r>
    <x v="7099"/>
    <s v="Peconic Bay Medical Center"/>
    <n v="2015"/>
    <n v="7"/>
    <s v="Medicare"/>
    <x v="2"/>
    <s v="Medicare"/>
    <n v="38868.46"/>
    <n v="12208.56"/>
    <n v="0"/>
  </r>
  <r>
    <x v="7100"/>
    <s v="Peconic Bay Medical Center"/>
    <n v="2015"/>
    <n v="7"/>
    <s v="Medicare"/>
    <x v="2"/>
    <s v="Medicare"/>
    <n v="32269.14"/>
    <n v="18994.45"/>
    <n v="0"/>
  </r>
  <r>
    <x v="7101"/>
    <s v="Peconic Bay Medical Center"/>
    <n v="2015"/>
    <n v="7"/>
    <s v="Medicare"/>
    <x v="2"/>
    <s v="Medicare"/>
    <n v="47928.98"/>
    <n v="14982.28"/>
    <n v="0"/>
  </r>
  <r>
    <x v="7102"/>
    <s v="Peconic Bay Medical Center"/>
    <n v="2015"/>
    <n v="7"/>
    <s v="Medicare"/>
    <x v="2"/>
    <s v="Medicare"/>
    <n v="22507.38"/>
    <n v="12674.7"/>
    <n v="0"/>
  </r>
  <r>
    <x v="7103"/>
    <s v="Peconic Bay Medical Center"/>
    <n v="2015"/>
    <n v="7"/>
    <s v="Medicare"/>
    <x v="2"/>
    <s v="Medicare"/>
    <n v="19687.78"/>
    <n v="4673.63"/>
    <n v="0"/>
  </r>
  <r>
    <x v="7104"/>
    <s v="Peconic Bay Medical Center"/>
    <n v="2015"/>
    <n v="7"/>
    <s v="Medicare"/>
    <x v="2"/>
    <s v="Medicare"/>
    <n v="16337.62"/>
    <n v="2530.35"/>
    <n v="0"/>
  </r>
  <r>
    <x v="7105"/>
    <s v="Peconic Bay Medical Center"/>
    <n v="2015"/>
    <n v="7"/>
    <s v="Medicare"/>
    <x v="2"/>
    <s v="Medicare"/>
    <n v="49220.78"/>
    <n v="27034.720000000001"/>
    <n v="0"/>
  </r>
  <r>
    <x v="7106"/>
    <s v="Peconic Bay Medical Center"/>
    <n v="2015"/>
    <n v="7"/>
    <s v="Medicare"/>
    <x v="2"/>
    <s v="Medicare"/>
    <n v="64433.64"/>
    <n v="17297.71"/>
    <n v="0"/>
  </r>
  <r>
    <x v="7107"/>
    <s v="Peconic Bay Medical Center"/>
    <n v="2015"/>
    <n v="7"/>
    <s v="Medicare"/>
    <x v="2"/>
    <s v="Medicare"/>
    <n v="43511.54"/>
    <n v="18094.740000000002"/>
    <n v="0"/>
  </r>
  <r>
    <x v="7108"/>
    <s v="Peconic Bay Medical Center"/>
    <n v="2015"/>
    <n v="7"/>
    <s v="Medicare"/>
    <x v="2"/>
    <s v="Medicare"/>
    <n v="34549.86"/>
    <n v="9601.59"/>
    <n v="0"/>
  </r>
  <r>
    <x v="7109"/>
    <s v="Peconic Bay Medical Center"/>
    <n v="2015"/>
    <n v="7"/>
    <s v="Medicare"/>
    <x v="2"/>
    <s v="Medicare"/>
    <n v="83008.34"/>
    <n v="35410.44"/>
    <n v="0"/>
  </r>
  <r>
    <x v="7110"/>
    <s v="Peconic Bay Medical Center"/>
    <n v="2015"/>
    <n v="7"/>
    <s v="Medicare"/>
    <x v="2"/>
    <s v="Medicare"/>
    <n v="31220.48"/>
    <n v="14969.56"/>
    <n v="0"/>
  </r>
  <r>
    <x v="7111"/>
    <s v="Peconic Bay Medical Center"/>
    <n v="2015"/>
    <n v="7"/>
    <s v="Medicare"/>
    <x v="2"/>
    <s v="Medicare"/>
    <n v="25483.18"/>
    <n v="5831.53"/>
    <n v="0"/>
  </r>
  <r>
    <x v="7112"/>
    <s v="Peconic Bay Medical Center"/>
    <n v="2015"/>
    <n v="7"/>
    <s v="Medicare"/>
    <x v="2"/>
    <s v="Medicare"/>
    <n v="40838.76"/>
    <n v="13012.41"/>
    <n v="0"/>
  </r>
  <r>
    <x v="7113"/>
    <s v="Peconic Bay Medical Center"/>
    <n v="2015"/>
    <n v="7"/>
    <s v="Medicare"/>
    <x v="2"/>
    <s v="Medicare"/>
    <n v="24767.98"/>
    <n v="7156.79"/>
    <n v="0"/>
  </r>
  <r>
    <x v="7114"/>
    <s v="Peconic Bay Medical Center"/>
    <n v="2015"/>
    <n v="7"/>
    <s v="Medicare"/>
    <x v="2"/>
    <s v="Medicare"/>
    <n v="83633.320000000007"/>
    <n v="49113.78"/>
    <n v="0"/>
  </r>
  <r>
    <x v="7115"/>
    <s v="Peconic Bay Medical Center"/>
    <n v="2015"/>
    <n v="7"/>
    <s v="Medicare"/>
    <x v="2"/>
    <s v="Medicare"/>
    <n v="16706.04"/>
    <n v="2879.36"/>
    <n v="0"/>
  </r>
  <r>
    <x v="7116"/>
    <s v="Peconic Bay Medical Center"/>
    <n v="2015"/>
    <n v="7"/>
    <s v="Medicare"/>
    <x v="2"/>
    <s v="Medicare"/>
    <n v="31986.02"/>
    <n v="9537.7000000000007"/>
    <n v="0"/>
  </r>
  <r>
    <x v="7117"/>
    <s v="Peconic Bay Medical Center"/>
    <n v="2015"/>
    <n v="7"/>
    <s v="Medicare"/>
    <x v="2"/>
    <s v="Medicare"/>
    <n v="34336.239999999998"/>
    <n v="15319.16"/>
    <n v="0"/>
  </r>
  <r>
    <x v="7118"/>
    <s v="Peconic Bay Medical Center"/>
    <n v="2015"/>
    <n v="7"/>
    <s v="Medicare"/>
    <x v="2"/>
    <s v="Medicare"/>
    <n v="68314.7"/>
    <n v="27086.26"/>
    <n v="0"/>
  </r>
  <r>
    <x v="7119"/>
    <s v="Peconic Bay Medical Center"/>
    <n v="2015"/>
    <n v="7"/>
    <s v="Medicare"/>
    <x v="2"/>
    <s v="Medicare"/>
    <n v="202392.52"/>
    <n v="77855.320000000007"/>
    <n v="0"/>
  </r>
  <r>
    <x v="7120"/>
    <s v="Peconic Bay Medical Center"/>
    <n v="2015"/>
    <n v="7"/>
    <s v="Medicare"/>
    <x v="2"/>
    <s v="Medicare"/>
    <n v="13757.48"/>
    <n v="3074.98"/>
    <n v="0"/>
  </r>
  <r>
    <x v="7121"/>
    <s v="Peconic Bay Medical Center"/>
    <n v="2015"/>
    <n v="7"/>
    <s v="Medicare"/>
    <x v="2"/>
    <s v="Medicare"/>
    <n v="37940.239999999998"/>
    <n v="10733.5"/>
    <n v="0"/>
  </r>
  <r>
    <x v="7122"/>
    <s v="Peconic Bay Medical Center"/>
    <n v="2015"/>
    <n v="7"/>
    <s v="Medicare"/>
    <x v="2"/>
    <s v="Medicare"/>
    <n v="72184.98"/>
    <n v="35914.730000000003"/>
    <n v="0"/>
  </r>
  <r>
    <x v="7123"/>
    <s v="Peconic Bay Medical Center"/>
    <n v="2015"/>
    <n v="7"/>
    <s v="Medicare"/>
    <x v="2"/>
    <s v="Medicare"/>
    <n v="20762.080000000002"/>
    <n v="5145.4399999999996"/>
    <n v="0"/>
  </r>
  <r>
    <x v="7124"/>
    <s v="Peconic Bay Medical Center"/>
    <n v="2015"/>
    <n v="7"/>
    <s v="Medicare"/>
    <x v="2"/>
    <s v="Medicare"/>
    <n v="63786.34"/>
    <n v="21953.45"/>
    <n v="0"/>
  </r>
  <r>
    <x v="7125"/>
    <s v="Peconic Bay Medical Center"/>
    <n v="2015"/>
    <n v="7"/>
    <s v="Medicare"/>
    <x v="2"/>
    <s v="Medicare"/>
    <n v="75114.58"/>
    <n v="35524.870000000003"/>
    <n v="0"/>
  </r>
  <r>
    <x v="7126"/>
    <s v="Peconic Bay Medical Center"/>
    <n v="2015"/>
    <n v="7"/>
    <s v="Medicare"/>
    <x v="2"/>
    <s v="Medicare"/>
    <n v="26107.82"/>
    <n v="7581.73"/>
    <n v="0"/>
  </r>
  <r>
    <x v="7127"/>
    <s v="Peconic Bay Medical Center"/>
    <n v="2015"/>
    <n v="7"/>
    <s v="Medicare"/>
    <x v="2"/>
    <s v="Medicare"/>
    <n v="17594.7"/>
    <n v="3244.99"/>
    <n v="0"/>
  </r>
  <r>
    <x v="7128"/>
    <s v="Peconic Bay Medical Center"/>
    <n v="2015"/>
    <n v="7"/>
    <s v="Medicare"/>
    <x v="2"/>
    <s v="Medicare"/>
    <n v="25015.42"/>
    <n v="6781.54"/>
    <n v="0"/>
  </r>
  <r>
    <x v="7129"/>
    <s v="Peconic Bay Medical Center"/>
    <n v="2015"/>
    <n v="7"/>
    <s v="Medicare"/>
    <x v="2"/>
    <s v="Medicare"/>
    <n v="18757.36"/>
    <n v="4637.0600000000004"/>
    <n v="0"/>
  </r>
  <r>
    <x v="7130"/>
    <s v="Peconic Bay Medical Center"/>
    <n v="2015"/>
    <n v="7"/>
    <s v="Medicare"/>
    <x v="2"/>
    <s v="Medicare"/>
    <n v="21934.400000000001"/>
    <n v="5726.54"/>
    <n v="0"/>
  </r>
  <r>
    <x v="7131"/>
    <s v="Peconic Bay Medical Center"/>
    <n v="2015"/>
    <n v="7"/>
    <s v="Medicare"/>
    <x v="2"/>
    <s v="Medicare"/>
    <n v="10926.94"/>
    <n v="2821.68"/>
    <n v="0"/>
  </r>
  <r>
    <x v="7132"/>
    <s v="Peconic Bay Medical Center"/>
    <n v="2015"/>
    <n v="7"/>
    <s v="Medicare"/>
    <x v="2"/>
    <s v="Medicare"/>
    <n v="22516.74"/>
    <n v="6542.72"/>
    <n v="0"/>
  </r>
  <r>
    <x v="7133"/>
    <s v="Peconic Bay Medical Center"/>
    <n v="2015"/>
    <n v="7"/>
    <s v="Medicare"/>
    <x v="2"/>
    <s v="Medicare"/>
    <n v="42427.28"/>
    <n v="25273.71"/>
    <n v="0"/>
  </r>
  <r>
    <x v="7134"/>
    <s v="Peconic Bay Medical Center"/>
    <n v="2015"/>
    <n v="7"/>
    <s v="Medicare"/>
    <x v="2"/>
    <s v="Medicare"/>
    <n v="53499.3"/>
    <n v="20074.310000000001"/>
    <n v="0"/>
  </r>
  <r>
    <x v="7135"/>
    <s v="Peconic Bay Medical Center"/>
    <n v="2015"/>
    <n v="7"/>
    <s v="Medicare"/>
    <x v="2"/>
    <s v="Medicare"/>
    <n v="19746.82"/>
    <n v="6032.55"/>
    <n v="0"/>
  </r>
  <r>
    <x v="7136"/>
    <s v="Peconic Bay Medical Center"/>
    <n v="2015"/>
    <n v="7"/>
    <s v="Medicare"/>
    <x v="2"/>
    <s v="Medicare"/>
    <n v="70450.94"/>
    <n v="26790.959999999999"/>
    <n v="0"/>
  </r>
  <r>
    <x v="7137"/>
    <s v="Peconic Bay Medical Center"/>
    <n v="2015"/>
    <n v="7"/>
    <s v="Medicare"/>
    <x v="2"/>
    <s v="Medicare"/>
    <n v="38880.1"/>
    <n v="10083.290000000001"/>
    <n v="0"/>
  </r>
  <r>
    <x v="7138"/>
    <s v="Peconic Bay Medical Center"/>
    <n v="2015"/>
    <n v="7"/>
    <s v="Medicare"/>
    <x v="2"/>
    <s v="Medicare"/>
    <n v="11354.04"/>
    <n v="2537.75"/>
    <n v="0"/>
  </r>
  <r>
    <x v="7139"/>
    <s v="Peconic Bay Medical Center"/>
    <n v="2015"/>
    <n v="7"/>
    <s v="Medicare"/>
    <x v="2"/>
    <s v="Medicare"/>
    <n v="38311.699999999997"/>
    <n v="11326.41"/>
    <n v="0"/>
  </r>
  <r>
    <x v="7140"/>
    <s v="Peconic Bay Medical Center"/>
    <n v="2015"/>
    <n v="7"/>
    <s v="Medicare"/>
    <x v="2"/>
    <s v="Medicare"/>
    <n v="43300.54"/>
    <n v="17734.21"/>
    <n v="0"/>
  </r>
  <r>
    <x v="7141"/>
    <s v="Peconic Bay Medical Center"/>
    <n v="2015"/>
    <n v="7"/>
    <s v="Medicare"/>
    <x v="2"/>
    <s v="Medicare"/>
    <n v="63286.400000000001"/>
    <n v="26463.78"/>
    <n v="0"/>
  </r>
  <r>
    <x v="7142"/>
    <s v="Peconic Bay Medical Center"/>
    <n v="2015"/>
    <n v="7"/>
    <s v="Medicare"/>
    <x v="2"/>
    <s v="Medicare"/>
    <n v="66387.66"/>
    <n v="36516.46"/>
    <n v="0"/>
  </r>
  <r>
    <x v="7143"/>
    <s v="Peconic Bay Medical Center"/>
    <n v="2015"/>
    <n v="7"/>
    <s v="Medicare"/>
    <x v="2"/>
    <s v="Medicare"/>
    <n v="17174.86"/>
    <n v="4118.05"/>
    <n v="0"/>
  </r>
  <r>
    <x v="7144"/>
    <s v="Peconic Bay Medical Center"/>
    <n v="2015"/>
    <n v="7"/>
    <s v="Medicare"/>
    <x v="2"/>
    <s v="Medicare"/>
    <n v="20544.62"/>
    <n v="5887.01"/>
    <n v="0"/>
  </r>
  <r>
    <x v="7145"/>
    <s v="Peconic Bay Medical Center"/>
    <n v="2015"/>
    <n v="7"/>
    <s v="Medicare"/>
    <x v="2"/>
    <s v="Medicare"/>
    <n v="54009.279999999999"/>
    <n v="15964.52"/>
    <n v="0"/>
  </r>
  <r>
    <x v="7146"/>
    <s v="Peconic Bay Medical Center"/>
    <n v="2015"/>
    <n v="7"/>
    <s v="Medicare"/>
    <x v="2"/>
    <s v="Medicare"/>
    <n v="34142.239999999998"/>
    <n v="8364.32"/>
    <n v="0"/>
  </r>
  <r>
    <x v="7147"/>
    <s v="Peconic Bay Medical Center"/>
    <n v="2015"/>
    <n v="7"/>
    <s v="Medicare"/>
    <x v="2"/>
    <s v="Medicare"/>
    <n v="26266.54"/>
    <n v="6677.54"/>
    <n v="0"/>
  </r>
  <r>
    <x v="7148"/>
    <s v="Peconic Bay Medical Center"/>
    <n v="2015"/>
    <n v="7"/>
    <s v="Medicare"/>
    <x v="2"/>
    <s v="Medicare"/>
    <n v="18263.64"/>
    <n v="4602.41"/>
    <n v="0"/>
  </r>
  <r>
    <x v="7149"/>
    <s v="Peconic Bay Medical Center"/>
    <n v="2015"/>
    <n v="7"/>
    <s v="Medicare"/>
    <x v="2"/>
    <s v="Medicare"/>
    <n v="12606.98"/>
    <n v="2994.89"/>
    <n v="0"/>
  </r>
  <r>
    <x v="7150"/>
    <s v="Peconic Bay Medical Center"/>
    <n v="2015"/>
    <n v="7"/>
    <s v="Medicare"/>
    <x v="2"/>
    <s v="Medicare"/>
    <n v="10839.92"/>
    <n v="6429.68"/>
    <n v="0"/>
  </r>
  <r>
    <x v="7151"/>
    <s v="Peconic Bay Medical Center"/>
    <n v="2015"/>
    <n v="7"/>
    <s v="Medicare"/>
    <x v="2"/>
    <s v="Medicare"/>
    <n v="50165.86"/>
    <n v="22799.95"/>
    <n v="0"/>
  </r>
  <r>
    <x v="7152"/>
    <s v="Peconic Bay Medical Center"/>
    <n v="2015"/>
    <n v="7"/>
    <s v="Medicare"/>
    <x v="2"/>
    <s v="Medicare"/>
    <n v="25945"/>
    <n v="7258.63"/>
    <n v="0"/>
  </r>
  <r>
    <x v="7153"/>
    <s v="Peconic Bay Medical Center"/>
    <n v="2015"/>
    <n v="7"/>
    <s v="Medicare"/>
    <x v="2"/>
    <s v="Medicare"/>
    <n v="10898.98"/>
    <n v="2405.09"/>
    <n v="0"/>
  </r>
  <r>
    <x v="7154"/>
    <s v="Peconic Bay Medical Center"/>
    <n v="2015"/>
    <n v="7"/>
    <s v="Medicare"/>
    <x v="2"/>
    <s v="Medicare"/>
    <n v="47521.14"/>
    <n v="14225.77"/>
    <n v="0"/>
  </r>
  <r>
    <x v="7155"/>
    <s v="Peconic Bay Medical Center"/>
    <n v="2015"/>
    <n v="7"/>
    <s v="Medicare"/>
    <x v="2"/>
    <s v="Medicare"/>
    <n v="31020.880000000001"/>
    <n v="9014.4699999999993"/>
    <n v="0"/>
  </r>
  <r>
    <x v="7156"/>
    <s v="Peconic Bay Medical Center"/>
    <n v="2015"/>
    <n v="7"/>
    <s v="Medicare"/>
    <x v="2"/>
    <s v="Medicare"/>
    <n v="15219.36"/>
    <n v="3004.14"/>
    <n v="0"/>
  </r>
  <r>
    <x v="7157"/>
    <s v="Peconic Bay Medical Center"/>
    <n v="2015"/>
    <n v="7"/>
    <s v="Medicare"/>
    <x v="2"/>
    <s v="Medicare"/>
    <n v="43800.12"/>
    <n v="12611.43"/>
    <n v="0"/>
  </r>
  <r>
    <x v="7158"/>
    <s v="Peconic Bay Medical Center"/>
    <n v="2015"/>
    <n v="7"/>
    <s v="Medicare"/>
    <x v="2"/>
    <s v="Medicare"/>
    <n v="16898.5"/>
    <n v="3888.29"/>
    <n v="0"/>
  </r>
  <r>
    <x v="7159"/>
    <s v="Peconic Bay Medical Center"/>
    <n v="2015"/>
    <n v="7"/>
    <s v="Medicare"/>
    <x v="2"/>
    <s v="Medicare"/>
    <n v="8165.4"/>
    <n v="2243.46"/>
    <n v="0"/>
  </r>
  <r>
    <x v="7160"/>
    <s v="Peconic Bay Medical Center"/>
    <n v="2015"/>
    <n v="7"/>
    <s v="Medicare"/>
    <x v="2"/>
    <s v="Medicare"/>
    <n v="28660.92"/>
    <n v="6536.26"/>
    <n v="0"/>
  </r>
  <r>
    <x v="7161"/>
    <s v="Peconic Bay Medical Center"/>
    <n v="2015"/>
    <n v="7"/>
    <s v="Medicare"/>
    <x v="2"/>
    <s v="Medicare"/>
    <n v="69394.960000000006"/>
    <n v="32395.119999999999"/>
    <n v="0"/>
  </r>
  <r>
    <x v="7162"/>
    <s v="Peconic Bay Medical Center"/>
    <n v="2015"/>
    <n v="7"/>
    <s v="Medicare"/>
    <x v="2"/>
    <s v="Medicare"/>
    <n v="14036.86"/>
    <n v="2988.4"/>
    <n v="0"/>
  </r>
  <r>
    <x v="7163"/>
    <s v="Peconic Bay Medical Center"/>
    <n v="2015"/>
    <n v="7"/>
    <s v="Medicare"/>
    <x v="2"/>
    <s v="Medicare"/>
    <n v="30994.6"/>
    <n v="19022.05"/>
    <n v="0"/>
  </r>
  <r>
    <x v="7164"/>
    <s v="Peconic Bay Medical Center"/>
    <n v="2015"/>
    <n v="7"/>
    <s v="Medicare"/>
    <x v="2"/>
    <s v="Medicare"/>
    <n v="11082"/>
    <n v="3176.3"/>
    <n v="0"/>
  </r>
  <r>
    <x v="7165"/>
    <s v="Peconic Bay Medical Center"/>
    <n v="2015"/>
    <n v="7"/>
    <s v="Medicare"/>
    <x v="2"/>
    <s v="Medicare"/>
    <n v="98931.8"/>
    <n v="49972.76"/>
    <n v="0"/>
  </r>
  <r>
    <x v="7166"/>
    <s v="Peconic Bay Medical Center"/>
    <n v="2015"/>
    <n v="7"/>
    <s v="Medicare"/>
    <x v="2"/>
    <s v="Medicare"/>
    <n v="18386.060000000001"/>
    <n v="4655.83"/>
    <n v="0"/>
  </r>
  <r>
    <x v="7167"/>
    <s v="Peconic Bay Medical Center"/>
    <n v="2015"/>
    <n v="7"/>
    <s v="Medicare"/>
    <x v="2"/>
    <s v="Medicare"/>
    <n v="18497.38"/>
    <n v="5279.37"/>
    <n v="0"/>
  </r>
  <r>
    <x v="7168"/>
    <s v="Peconic Bay Medical Center"/>
    <n v="2015"/>
    <n v="7"/>
    <s v="Medicare"/>
    <x v="2"/>
    <s v="Medicare"/>
    <n v="26494.880000000001"/>
    <n v="6626.9"/>
    <n v="0"/>
  </r>
  <r>
    <x v="7169"/>
    <s v="Peconic Bay Medical Center"/>
    <n v="2015"/>
    <n v="7"/>
    <s v="Medicare"/>
    <x v="2"/>
    <s v="Medicare"/>
    <n v="75269.48"/>
    <n v="31106.12"/>
    <n v="0"/>
  </r>
  <r>
    <x v="7170"/>
    <s v="Peconic Bay Medical Center"/>
    <n v="2015"/>
    <n v="7"/>
    <s v="Medicare"/>
    <x v="2"/>
    <s v="Medicare"/>
    <n v="31702.32"/>
    <n v="8676.7199999999993"/>
    <n v="0"/>
  </r>
  <r>
    <x v="7171"/>
    <s v="Peconic Bay Medical Center"/>
    <n v="2015"/>
    <n v="7"/>
    <s v="Medicare"/>
    <x v="2"/>
    <s v="Medicare"/>
    <n v="43391.18"/>
    <n v="12093.49"/>
    <n v="0"/>
  </r>
  <r>
    <x v="7172"/>
    <s v="Peconic Bay Medical Center"/>
    <n v="2015"/>
    <n v="7"/>
    <s v="Medicare"/>
    <x v="2"/>
    <s v="Medicare"/>
    <n v="33310.36"/>
    <n v="7582.29"/>
    <n v="0"/>
  </r>
  <r>
    <x v="7173"/>
    <s v="Peconic Bay Medical Center"/>
    <n v="2015"/>
    <n v="7"/>
    <s v="Medicare"/>
    <x v="2"/>
    <s v="Medicare"/>
    <n v="32150.94"/>
    <n v="10264.99"/>
    <n v="0"/>
  </r>
  <r>
    <x v="7174"/>
    <s v="Peconic Bay Medical Center"/>
    <n v="2015"/>
    <n v="7"/>
    <s v="Medicare"/>
    <x v="2"/>
    <s v="Medicare"/>
    <n v="144828.98000000001"/>
    <n v="57821.83"/>
    <n v="0"/>
  </r>
  <r>
    <x v="7175"/>
    <s v="Peconic Bay Medical Center"/>
    <n v="2015"/>
    <n v="7"/>
    <s v="Medicare"/>
    <x v="2"/>
    <s v="Medicare"/>
    <n v="25491.22"/>
    <n v="5735.26"/>
    <n v="0"/>
  </r>
  <r>
    <x v="7176"/>
    <s v="Peconic Bay Medical Center"/>
    <n v="2015"/>
    <n v="7"/>
    <s v="Medicare"/>
    <x v="2"/>
    <s v="Medicare"/>
    <n v="35240.36"/>
    <n v="8672.27"/>
    <n v="0"/>
  </r>
  <r>
    <x v="7177"/>
    <s v="Peconic Bay Medical Center"/>
    <n v="2015"/>
    <n v="7"/>
    <s v="Medicare"/>
    <x v="2"/>
    <s v="Medicare"/>
    <n v="10986.82"/>
    <n v="2533.21"/>
    <n v="0"/>
  </r>
  <r>
    <x v="7178"/>
    <s v="Peconic Bay Medical Center"/>
    <n v="2015"/>
    <n v="7"/>
    <s v="Medicare"/>
    <x v="2"/>
    <s v="Medicare"/>
    <n v="13713.96"/>
    <n v="4093.92"/>
    <n v="0"/>
  </r>
  <r>
    <x v="7179"/>
    <s v="Peconic Bay Medical Center"/>
    <n v="2015"/>
    <n v="7"/>
    <s v="Medicare"/>
    <x v="2"/>
    <s v="Medicare"/>
    <n v="245617.06"/>
    <n v="155150.28"/>
    <n v="0"/>
  </r>
  <r>
    <x v="7180"/>
    <s v="Peconic Bay Medical Center"/>
    <n v="2015"/>
    <n v="7"/>
    <s v="Medicare"/>
    <x v="2"/>
    <s v="Medicare"/>
    <n v="21698.34"/>
    <n v="5413.08"/>
    <n v="0"/>
  </r>
  <r>
    <x v="7181"/>
    <s v="Peconic Bay Medical Center"/>
    <n v="2015"/>
    <n v="7"/>
    <s v="Medicare"/>
    <x v="2"/>
    <s v="Medicare"/>
    <n v="57127.42"/>
    <n v="27166.14"/>
    <n v="0"/>
  </r>
  <r>
    <x v="7182"/>
    <s v="Peconic Bay Medical Center"/>
    <n v="2015"/>
    <n v="7"/>
    <s v="Medicare"/>
    <x v="2"/>
    <s v="Medicare"/>
    <n v="19382.38"/>
    <n v="5516.08"/>
    <n v="0"/>
  </r>
  <r>
    <x v="7183"/>
    <s v="Peconic Bay Medical Center"/>
    <n v="2015"/>
    <n v="7"/>
    <s v="Medicare"/>
    <x v="2"/>
    <s v="Medicare"/>
    <n v="47345.66"/>
    <n v="13417.48"/>
    <n v="0"/>
  </r>
  <r>
    <x v="7184"/>
    <s v="Peconic Bay Medical Center"/>
    <n v="2015"/>
    <n v="7"/>
    <s v="Medicare"/>
    <x v="2"/>
    <s v="Medicare"/>
    <n v="25126.36"/>
    <n v="7746.27"/>
    <n v="0"/>
  </r>
  <r>
    <x v="7185"/>
    <s v="Peconic Bay Medical Center"/>
    <n v="2015"/>
    <n v="7"/>
    <s v="Medicare"/>
    <x v="2"/>
    <s v="Medicare"/>
    <n v="62563.26"/>
    <n v="18371.43"/>
    <n v="0"/>
  </r>
  <r>
    <x v="7186"/>
    <s v="Peconic Bay Medical Center"/>
    <n v="2015"/>
    <n v="7"/>
    <s v="Medicare"/>
    <x v="2"/>
    <s v="Medicare"/>
    <n v="32605.94"/>
    <n v="9241.8799999999992"/>
    <n v="0"/>
  </r>
  <r>
    <x v="7187"/>
    <s v="Peconic Bay Medical Center"/>
    <n v="2015"/>
    <n v="7"/>
    <s v="Medicare"/>
    <x v="2"/>
    <s v="Medicare"/>
    <n v="17293.22"/>
    <n v="4450.71"/>
    <n v="0"/>
  </r>
  <r>
    <x v="7188"/>
    <s v="Peconic Bay Medical Center"/>
    <n v="2015"/>
    <n v="7"/>
    <s v="Medicare"/>
    <x v="2"/>
    <s v="Medicare"/>
    <n v="15950.2"/>
    <n v="4354.72"/>
    <n v="0"/>
  </r>
  <r>
    <x v="7189"/>
    <s v="Peconic Bay Medical Center"/>
    <n v="2015"/>
    <n v="7"/>
    <s v="Medicare"/>
    <x v="2"/>
    <s v="Medicare"/>
    <n v="58838.28"/>
    <n v="31399.57"/>
    <n v="0"/>
  </r>
  <r>
    <x v="7190"/>
    <s v="Peconic Bay Medical Center"/>
    <n v="2015"/>
    <n v="7"/>
    <s v="Medicare"/>
    <x v="2"/>
    <s v="Medicare"/>
    <n v="37687.9"/>
    <n v="11591.14"/>
    <n v="0"/>
  </r>
  <r>
    <x v="7191"/>
    <s v="Peconic Bay Medical Center"/>
    <n v="2015"/>
    <n v="7"/>
    <s v="Medicare"/>
    <x v="2"/>
    <s v="Medicare"/>
    <n v="29801.360000000001"/>
    <n v="9028.23"/>
    <n v="0"/>
  </r>
  <r>
    <x v="7192"/>
    <s v="Peconic Bay Medical Center"/>
    <n v="2015"/>
    <n v="7"/>
    <s v="Medicare"/>
    <x v="2"/>
    <s v="Medicare"/>
    <n v="8906.0400000000009"/>
    <n v="2459.9899999999998"/>
    <n v="0"/>
  </r>
  <r>
    <x v="7193"/>
    <s v="Peconic Bay Medical Center"/>
    <n v="2015"/>
    <n v="7"/>
    <s v="Medicare"/>
    <x v="2"/>
    <s v="Medicare"/>
    <n v="10648.22"/>
    <n v="2722.47"/>
    <n v="0"/>
  </r>
  <r>
    <x v="7194"/>
    <s v="Peconic Bay Medical Center"/>
    <n v="2015"/>
    <n v="7"/>
    <s v="Medicare"/>
    <x v="2"/>
    <s v="Medicare"/>
    <n v="24574.240000000002"/>
    <n v="7610.89"/>
    <n v="0"/>
  </r>
  <r>
    <x v="7195"/>
    <s v="Peconic Bay Medical Center"/>
    <n v="2015"/>
    <n v="7"/>
    <s v="Medicare"/>
    <x v="2"/>
    <s v="Medicare"/>
    <n v="62307.8"/>
    <n v="26199.46"/>
    <n v="0"/>
  </r>
  <r>
    <x v="7196"/>
    <s v="Peconic Bay Medical Center"/>
    <n v="2015"/>
    <n v="7"/>
    <s v="Medicare"/>
    <x v="2"/>
    <s v="Medicare"/>
    <n v="36307.919999999998"/>
    <n v="16547.89"/>
    <n v="0"/>
  </r>
  <r>
    <x v="7197"/>
    <s v="Peconic Bay Medical Center"/>
    <n v="2015"/>
    <n v="7"/>
    <s v="Medicare"/>
    <x v="2"/>
    <s v="Medicare"/>
    <n v="19370.98"/>
    <n v="4954.24"/>
    <n v="0"/>
  </r>
  <r>
    <x v="7198"/>
    <s v="Peconic Bay Medical Center"/>
    <n v="2015"/>
    <n v="7"/>
    <s v="Medicare"/>
    <x v="2"/>
    <s v="Medicare"/>
    <n v="24940.36"/>
    <n v="6870.46"/>
    <n v="0"/>
  </r>
  <r>
    <x v="7199"/>
    <s v="Peconic Bay Medical Center"/>
    <n v="2015"/>
    <n v="7"/>
    <s v="Medicare"/>
    <x v="2"/>
    <s v="Medicare"/>
    <n v="14406.08"/>
    <n v="2864.9"/>
    <n v="0"/>
  </r>
  <r>
    <x v="7200"/>
    <s v="Peconic Bay Medical Center"/>
    <n v="2015"/>
    <n v="7"/>
    <s v="Medicare"/>
    <x v="2"/>
    <s v="Medicare"/>
    <n v="32602"/>
    <n v="9050.6200000000008"/>
    <n v="0"/>
  </r>
  <r>
    <x v="7201"/>
    <s v="Peconic Bay Medical Center"/>
    <n v="2015"/>
    <n v="7"/>
    <s v="Medicare"/>
    <x v="2"/>
    <s v="Medicare"/>
    <n v="9965.8799999999992"/>
    <n v="2555.91"/>
    <n v="0"/>
  </r>
  <r>
    <x v="7202"/>
    <s v="Peconic Bay Medical Center"/>
    <n v="2015"/>
    <n v="7"/>
    <s v="Medicare"/>
    <x v="2"/>
    <s v="Medicare"/>
    <n v="8928.36"/>
    <n v="2284.1999999999998"/>
    <n v="0"/>
  </r>
  <r>
    <x v="7203"/>
    <s v="Peconic Bay Medical Center"/>
    <n v="2015"/>
    <n v="7"/>
    <s v="Medicare"/>
    <x v="2"/>
    <s v="Medicare"/>
    <n v="38374.9"/>
    <n v="11675"/>
    <n v="0"/>
  </r>
  <r>
    <x v="7204"/>
    <s v="Peconic Bay Medical Center"/>
    <n v="2015"/>
    <n v="7"/>
    <s v="Medicare"/>
    <x v="2"/>
    <s v="Medicare"/>
    <n v="34624.68"/>
    <n v="15476.22"/>
    <n v="0"/>
  </r>
  <r>
    <x v="7205"/>
    <s v="Peconic Bay Medical Center"/>
    <n v="2015"/>
    <n v="7"/>
    <s v="Medicare"/>
    <x v="2"/>
    <s v="Medicare"/>
    <n v="24403.06"/>
    <n v="6217.56"/>
    <n v="0"/>
  </r>
  <r>
    <x v="7206"/>
    <s v="Peconic Bay Medical Center"/>
    <n v="2015"/>
    <n v="7"/>
    <s v="Medicare"/>
    <x v="2"/>
    <s v="Medicare"/>
    <n v="20416.740000000002"/>
    <n v="5307.58"/>
    <n v="0"/>
  </r>
  <r>
    <x v="7207"/>
    <s v="Peconic Bay Medical Center"/>
    <n v="2015"/>
    <n v="7"/>
    <s v="Medicare"/>
    <x v="2"/>
    <s v="Medicare"/>
    <n v="61480.92"/>
    <n v="26608.76"/>
    <n v="0"/>
  </r>
  <r>
    <x v="7208"/>
    <s v="Peconic Bay Medical Center"/>
    <n v="2015"/>
    <n v="7"/>
    <s v="Medicare"/>
    <x v="2"/>
    <s v="Medicare"/>
    <n v="21606.84"/>
    <n v="6116.59"/>
    <n v="0"/>
  </r>
  <r>
    <x v="7209"/>
    <s v="Peconic Bay Medical Center"/>
    <n v="2015"/>
    <n v="7"/>
    <s v="Medicare"/>
    <x v="2"/>
    <s v="Medicare"/>
    <n v="11863.16"/>
    <n v="3325.99"/>
    <n v="0"/>
  </r>
  <r>
    <x v="7210"/>
    <s v="Peconic Bay Medical Center"/>
    <n v="2015"/>
    <n v="7"/>
    <s v="Medicare"/>
    <x v="2"/>
    <s v="Medicare"/>
    <n v="26360.880000000001"/>
    <n v="7407.45"/>
    <n v="0"/>
  </r>
  <r>
    <x v="7211"/>
    <s v="Peconic Bay Medical Center"/>
    <n v="2015"/>
    <n v="7"/>
    <s v="Medicare"/>
    <x v="2"/>
    <s v="Medicare"/>
    <n v="65715.42"/>
    <n v="18598.61"/>
    <n v="0"/>
  </r>
  <r>
    <x v="7212"/>
    <s v="Peconic Bay Medical Center"/>
    <n v="2015"/>
    <n v="7"/>
    <s v="Medicare"/>
    <x v="2"/>
    <s v="Medicare"/>
    <n v="10143.32"/>
    <n v="2713.92"/>
    <n v="0"/>
  </r>
  <r>
    <x v="7213"/>
    <s v="Peconic Bay Medical Center"/>
    <n v="2015"/>
    <n v="7"/>
    <s v="Medicare"/>
    <x v="2"/>
    <s v="Medicare"/>
    <n v="14121.56"/>
    <n v="4222.3599999999997"/>
    <n v="0"/>
  </r>
  <r>
    <x v="7214"/>
    <s v="Peconic Bay Medical Center"/>
    <n v="2015"/>
    <n v="7"/>
    <s v="Medicare"/>
    <x v="2"/>
    <s v="Medicare"/>
    <n v="81424.92"/>
    <n v="37262.06"/>
    <n v="0"/>
  </r>
  <r>
    <x v="7215"/>
    <s v="Peconic Bay Medical Center"/>
    <n v="2015"/>
    <n v="7"/>
    <s v="Medicare"/>
    <x v="2"/>
    <s v="Medicare"/>
    <n v="51112.24"/>
    <n v="15952.06"/>
    <n v="0"/>
  </r>
  <r>
    <x v="7216"/>
    <s v="Peconic Bay Medical Center"/>
    <n v="2015"/>
    <n v="7"/>
    <s v="Medicare"/>
    <x v="2"/>
    <s v="Medicare"/>
    <n v="96142.7"/>
    <n v="37264.410000000003"/>
    <n v="0"/>
  </r>
  <r>
    <x v="7217"/>
    <s v="Peconic Bay Medical Center"/>
    <n v="2015"/>
    <n v="7"/>
    <s v="Medicare"/>
    <x v="2"/>
    <s v="Medicare"/>
    <n v="16294.78"/>
    <n v="4673.3900000000003"/>
    <n v="0"/>
  </r>
  <r>
    <x v="7218"/>
    <s v="Peconic Bay Medical Center"/>
    <n v="2015"/>
    <n v="7"/>
    <s v="Medicare"/>
    <x v="2"/>
    <s v="Medicare"/>
    <n v="21917.72"/>
    <n v="6429.99"/>
    <n v="0"/>
  </r>
  <r>
    <x v="7219"/>
    <s v="Peconic Bay Medical Center"/>
    <n v="2015"/>
    <n v="7"/>
    <s v="Medicare"/>
    <x v="2"/>
    <s v="Medicare"/>
    <n v="41395.440000000002"/>
    <n v="11760.05"/>
    <n v="0"/>
  </r>
  <r>
    <x v="7220"/>
    <s v="Peconic Bay Medical Center"/>
    <n v="2015"/>
    <n v="7"/>
    <s v="Medicare"/>
    <x v="2"/>
    <s v="Medicare"/>
    <n v="91121.8"/>
    <n v="27712.14"/>
    <n v="0"/>
  </r>
  <r>
    <x v="7221"/>
    <s v="Peconic Bay Medical Center"/>
    <n v="2015"/>
    <n v="7"/>
    <s v="Medicare"/>
    <x v="2"/>
    <s v="Medicare"/>
    <n v="24952.52"/>
    <n v="5623.56"/>
    <n v="0"/>
  </r>
  <r>
    <x v="7222"/>
    <s v="Peconic Bay Medical Center"/>
    <n v="2015"/>
    <n v="7"/>
    <s v="Medicare"/>
    <x v="2"/>
    <s v="Medicare"/>
    <n v="92031.74"/>
    <n v="60750.18"/>
    <n v="0"/>
  </r>
  <r>
    <x v="7223"/>
    <s v="Peconic Bay Medical Center"/>
    <n v="2015"/>
    <n v="7"/>
    <s v="Medicare"/>
    <x v="2"/>
    <s v="Medicare"/>
    <n v="171403.68"/>
    <n v="66536.850000000006"/>
    <n v="0"/>
  </r>
  <r>
    <x v="7224"/>
    <s v="Peconic Bay Medical Center"/>
    <n v="2015"/>
    <n v="7"/>
    <s v="Medicare"/>
    <x v="2"/>
    <s v="Medicare"/>
    <n v="19865.98"/>
    <n v="5096.47"/>
    <n v="0"/>
  </r>
  <r>
    <x v="7225"/>
    <s v="Peconic Bay Medical Center"/>
    <n v="2015"/>
    <n v="7"/>
    <s v="Medicare"/>
    <x v="2"/>
    <s v="Medicare"/>
    <n v="22081.08"/>
    <n v="6447.57"/>
    <n v="0"/>
  </r>
  <r>
    <x v="7226"/>
    <s v="Peconic Bay Medical Center"/>
    <n v="2015"/>
    <n v="7"/>
    <s v="Medicare"/>
    <x v="2"/>
    <s v="Medicare"/>
    <n v="54221.14"/>
    <n v="23950.77"/>
    <n v="0"/>
  </r>
  <r>
    <x v="7227"/>
    <s v="Peconic Bay Medical Center"/>
    <n v="2015"/>
    <n v="7"/>
    <s v="Medicare"/>
    <x v="2"/>
    <s v="Medicare"/>
    <n v="16531.64"/>
    <n v="4289.55"/>
    <n v="0"/>
  </r>
  <r>
    <x v="7228"/>
    <s v="Peconic Bay Medical Center"/>
    <n v="2015"/>
    <n v="7"/>
    <s v="Medicare"/>
    <x v="2"/>
    <s v="Medicare"/>
    <n v="34726.94"/>
    <n v="11122.77"/>
    <n v="0"/>
  </r>
  <r>
    <x v="7229"/>
    <s v="Peconic Bay Medical Center"/>
    <n v="2015"/>
    <n v="7"/>
    <s v="Medicare"/>
    <x v="2"/>
    <s v="Medicare"/>
    <n v="33973.919999999998"/>
    <n v="8156.92"/>
    <n v="0"/>
  </r>
  <r>
    <x v="7230"/>
    <s v="Peconic Bay Medical Center"/>
    <n v="2015"/>
    <n v="7"/>
    <s v="Medicare"/>
    <x v="2"/>
    <s v="Medicare"/>
    <n v="19353.599999999999"/>
    <n v="4802.41"/>
    <n v="0"/>
  </r>
  <r>
    <x v="7231"/>
    <s v="Peconic Bay Medical Center"/>
    <n v="2015"/>
    <n v="7"/>
    <s v="Medicare"/>
    <x v="2"/>
    <s v="Medicare"/>
    <n v="19702.28"/>
    <n v="5581.86"/>
    <n v="0"/>
  </r>
  <r>
    <x v="7232"/>
    <s v="Peconic Bay Medical Center"/>
    <n v="2015"/>
    <n v="7"/>
    <s v="Medicare"/>
    <x v="2"/>
    <s v="Medicare"/>
    <n v="26600.959999999999"/>
    <n v="7718.98"/>
    <n v="0"/>
  </r>
  <r>
    <x v="7233"/>
    <s v="Peconic Bay Medical Center"/>
    <n v="2015"/>
    <n v="7"/>
    <s v="Medicare"/>
    <x v="2"/>
    <s v="Medicare"/>
    <n v="26216.52"/>
    <n v="8238.8700000000008"/>
    <n v="0"/>
  </r>
  <r>
    <x v="7234"/>
    <s v="Peconic Bay Medical Center"/>
    <n v="2015"/>
    <n v="7"/>
    <s v="Medicare"/>
    <x v="2"/>
    <s v="Medicare"/>
    <n v="26414.959999999999"/>
    <n v="14530.27"/>
    <n v="0"/>
  </r>
  <r>
    <x v="7235"/>
    <s v="Peconic Bay Medical Center"/>
    <n v="2015"/>
    <n v="7"/>
    <s v="Medicare"/>
    <x v="2"/>
    <s v="Medicare"/>
    <n v="72943.72"/>
    <n v="46755.13"/>
    <n v="0"/>
  </r>
  <r>
    <x v="7236"/>
    <s v="Peconic Bay Medical Center"/>
    <n v="2015"/>
    <n v="7"/>
    <s v="Medicare"/>
    <x v="2"/>
    <s v="Medicare"/>
    <n v="42064.98"/>
    <n v="12536.53"/>
    <n v="0"/>
  </r>
  <r>
    <x v="7237"/>
    <s v="Peconic Bay Medical Center"/>
    <n v="2015"/>
    <n v="7"/>
    <s v="Medicare"/>
    <x v="2"/>
    <s v="Medicare"/>
    <n v="43510.26"/>
    <n v="9077.2099999999991"/>
    <n v="0"/>
  </r>
  <r>
    <x v="7238"/>
    <s v="Peconic Bay Medical Center"/>
    <n v="2015"/>
    <n v="7"/>
    <s v="Medicare"/>
    <x v="2"/>
    <s v="Medicare"/>
    <n v="9779.08"/>
    <n v="2590.7600000000002"/>
    <n v="0"/>
  </r>
  <r>
    <x v="7239"/>
    <s v="Peconic Bay Medical Center"/>
    <n v="2015"/>
    <n v="7"/>
    <s v="Medicare"/>
    <x v="2"/>
    <s v="Medicare"/>
    <n v="24534.44"/>
    <n v="6731.37"/>
    <n v="0"/>
  </r>
  <r>
    <x v="7240"/>
    <s v="Peconic Bay Medical Center"/>
    <n v="2015"/>
    <n v="7"/>
    <s v="Medicare"/>
    <x v="2"/>
    <s v="Medicare"/>
    <n v="58225.24"/>
    <n v="16429.439999999999"/>
    <n v="0"/>
  </r>
  <r>
    <x v="7241"/>
    <s v="Peconic Bay Medical Center"/>
    <n v="2015"/>
    <n v="7"/>
    <s v="Medicare"/>
    <x v="2"/>
    <s v="Medicare"/>
    <n v="51942.559999999998"/>
    <n v="10960.88"/>
    <n v="0"/>
  </r>
  <r>
    <x v="7242"/>
    <s v="Peconic Bay Medical Center"/>
    <n v="2015"/>
    <n v="7"/>
    <s v="Medicare"/>
    <x v="2"/>
    <s v="Medicare"/>
    <n v="39583.980000000003"/>
    <n v="18621.43"/>
    <n v="0"/>
  </r>
  <r>
    <x v="7243"/>
    <s v="Peconic Bay Medical Center"/>
    <n v="2015"/>
    <n v="7"/>
    <s v="Medicare"/>
    <x v="2"/>
    <s v="Medicare"/>
    <n v="10141"/>
    <n v="3090.69"/>
    <n v="0"/>
  </r>
  <r>
    <x v="7244"/>
    <s v="Peconic Bay Medical Center"/>
    <n v="2015"/>
    <n v="7"/>
    <s v="Medicare"/>
    <x v="2"/>
    <s v="Medicare"/>
    <n v="38994.959999999999"/>
    <n v="18686.29"/>
    <n v="0"/>
  </r>
  <r>
    <x v="7245"/>
    <s v="Peconic Bay Medical Center"/>
    <n v="2015"/>
    <n v="7"/>
    <s v="Medicare"/>
    <x v="2"/>
    <s v="Medicare"/>
    <n v="26046.5"/>
    <n v="5984.08"/>
    <n v="0"/>
  </r>
  <r>
    <x v="7246"/>
    <s v="Peconic Bay Medical Center"/>
    <n v="2015"/>
    <n v="7"/>
    <s v="Medicare"/>
    <x v="2"/>
    <s v="Medicare"/>
    <n v="28965"/>
    <n v="8224.31"/>
    <n v="0"/>
  </r>
  <r>
    <x v="7247"/>
    <s v="Peconic Bay Medical Center"/>
    <n v="2015"/>
    <n v="7"/>
    <s v="Medicare"/>
    <x v="2"/>
    <s v="Medicare"/>
    <n v="32867.160000000003"/>
    <n v="9453.42"/>
    <n v="0"/>
  </r>
  <r>
    <x v="7248"/>
    <s v="Peconic Bay Medical Center"/>
    <n v="2015"/>
    <n v="7"/>
    <s v="Medicare"/>
    <x v="2"/>
    <s v="Medicare"/>
    <n v="138149.5"/>
    <n v="88630.98"/>
    <n v="0"/>
  </r>
  <r>
    <x v="7249"/>
    <s v="Peconic Bay Medical Center"/>
    <n v="2015"/>
    <n v="7"/>
    <s v="Medicare"/>
    <x v="2"/>
    <s v="Medicare"/>
    <n v="23297.040000000001"/>
    <n v="14475.37"/>
    <n v="0"/>
  </r>
  <r>
    <x v="7250"/>
    <s v="Peconic Bay Medical Center"/>
    <n v="2015"/>
    <n v="7"/>
    <s v="Medicare"/>
    <x v="2"/>
    <s v="Medicare"/>
    <n v="69802.06"/>
    <n v="20416.63"/>
    <n v="0"/>
  </r>
  <r>
    <x v="7251"/>
    <s v="Peconic Bay Medical Center"/>
    <n v="2015"/>
    <n v="7"/>
    <s v="Medicare"/>
    <x v="2"/>
    <s v="Medicare"/>
    <n v="22367.3"/>
    <n v="6730.97"/>
    <n v="0"/>
  </r>
  <r>
    <x v="7252"/>
    <s v="Peconic Bay Medical Center"/>
    <n v="2015"/>
    <n v="7"/>
    <s v="Medicare"/>
    <x v="2"/>
    <s v="Medicare"/>
    <n v="10292.620000000001"/>
    <n v="2578.9"/>
    <n v="0"/>
  </r>
  <r>
    <x v="7253"/>
    <s v="Peconic Bay Medical Center"/>
    <n v="2015"/>
    <n v="7"/>
    <s v="Medicare"/>
    <x v="2"/>
    <s v="Medicare"/>
    <n v="29165.96"/>
    <n v="8865.86"/>
    <n v="0"/>
  </r>
  <r>
    <x v="7254"/>
    <s v="Peconic Bay Medical Center"/>
    <n v="2015"/>
    <n v="7"/>
    <s v="Medicare"/>
    <x v="2"/>
    <s v="Medicare"/>
    <n v="61402.9"/>
    <n v="19300.77"/>
    <n v="0"/>
  </r>
  <r>
    <x v="7255"/>
    <s v="Peconic Bay Medical Center"/>
    <n v="2015"/>
    <n v="7"/>
    <s v="Medicare"/>
    <x v="2"/>
    <s v="Medicare"/>
    <n v="47500.44"/>
    <n v="16900.45"/>
    <n v="0"/>
  </r>
  <r>
    <x v="7256"/>
    <s v="Peconic Bay Medical Center"/>
    <n v="2015"/>
    <n v="7"/>
    <s v="Medicare"/>
    <x v="2"/>
    <s v="Medicare"/>
    <n v="25428.9"/>
    <n v="5052.76"/>
    <n v="0"/>
  </r>
  <r>
    <x v="7257"/>
    <s v="Peconic Bay Medical Center"/>
    <n v="2015"/>
    <n v="7"/>
    <s v="Medicare"/>
    <x v="2"/>
    <s v="Medicare"/>
    <n v="14246.92"/>
    <n v="4223.9799999999996"/>
    <n v="0"/>
  </r>
  <r>
    <x v="7258"/>
    <s v="Peconic Bay Medical Center"/>
    <n v="2015"/>
    <n v="7"/>
    <s v="Medicare"/>
    <x v="2"/>
    <s v="Medicare"/>
    <n v="13239.02"/>
    <n v="2950.52"/>
    <n v="0"/>
  </r>
  <r>
    <x v="7259"/>
    <s v="Peconic Bay Medical Center"/>
    <n v="2015"/>
    <n v="7"/>
    <s v="Medicare"/>
    <x v="2"/>
    <s v="Medicare"/>
    <n v="75854.52"/>
    <n v="34852.620000000003"/>
    <n v="0"/>
  </r>
  <r>
    <x v="7260"/>
    <s v="Peconic Bay Medical Center"/>
    <n v="2015"/>
    <n v="7"/>
    <s v="Medicare"/>
    <x v="2"/>
    <s v="Medicare"/>
    <n v="27847.42"/>
    <n v="6901.91"/>
    <n v="0"/>
  </r>
  <r>
    <x v="7261"/>
    <s v="Peconic Bay Medical Center"/>
    <n v="2015"/>
    <n v="7"/>
    <s v="Medicare"/>
    <x v="2"/>
    <s v="Medicare"/>
    <n v="12570.48"/>
    <n v="3445.5"/>
    <n v="0"/>
  </r>
  <r>
    <x v="7262"/>
    <s v="Peconic Bay Medical Center"/>
    <n v="2015"/>
    <n v="7"/>
    <s v="Medicare"/>
    <x v="2"/>
    <s v="Medicare"/>
    <n v="109653.04"/>
    <n v="35152.03"/>
    <n v="0"/>
  </r>
  <r>
    <x v="7263"/>
    <s v="Peconic Bay Medical Center"/>
    <n v="2015"/>
    <n v="7"/>
    <s v="Medicare"/>
    <x v="2"/>
    <s v="Medicare"/>
    <n v="34804.019999999997"/>
    <n v="9135.9500000000007"/>
    <n v="0"/>
  </r>
  <r>
    <x v="7264"/>
    <s v="Peconic Bay Medical Center"/>
    <n v="2015"/>
    <n v="7"/>
    <s v="Medicare"/>
    <x v="2"/>
    <s v="Medicare"/>
    <n v="31617.54"/>
    <n v="9538.85"/>
    <n v="0"/>
  </r>
  <r>
    <x v="7265"/>
    <s v="Peconic Bay Medical Center"/>
    <n v="2015"/>
    <n v="7"/>
    <s v="Medicare"/>
    <x v="2"/>
    <s v="Medicare"/>
    <n v="117194.08"/>
    <n v="71496.350000000006"/>
    <n v="0"/>
  </r>
  <r>
    <x v="7266"/>
    <s v="Peconic Bay Medical Center"/>
    <n v="2015"/>
    <n v="7"/>
    <s v="Medicare"/>
    <x v="2"/>
    <s v="Medicare"/>
    <n v="124264.86"/>
    <n v="38168.03"/>
    <n v="0"/>
  </r>
  <r>
    <x v="7267"/>
    <s v="Peconic Bay Medical Center"/>
    <n v="2015"/>
    <n v="7"/>
    <s v="Medicare"/>
    <x v="2"/>
    <s v="Medicare"/>
    <n v="48446.84"/>
    <n v="15294.33"/>
    <n v="0"/>
  </r>
  <r>
    <x v="7268"/>
    <s v="Peconic Bay Medical Center"/>
    <n v="2015"/>
    <n v="7"/>
    <s v="Medicare"/>
    <x v="2"/>
    <s v="Medicare"/>
    <n v="60888.9"/>
    <n v="36976.75"/>
    <n v="0"/>
  </r>
  <r>
    <x v="7269"/>
    <s v="Peconic Bay Medical Center"/>
    <n v="2015"/>
    <n v="7"/>
    <s v="Medicare"/>
    <x v="2"/>
    <s v="Medicare"/>
    <n v="64495.839999999997"/>
    <n v="30606.1"/>
    <n v="0"/>
  </r>
  <r>
    <x v="7270"/>
    <s v="Peconic Bay Medical Center"/>
    <n v="2015"/>
    <n v="7"/>
    <s v="Medicare"/>
    <x v="2"/>
    <s v="Medicare"/>
    <n v="25489.74"/>
    <n v="7362.5"/>
    <n v="0"/>
  </r>
  <r>
    <x v="7271"/>
    <s v="Peconic Bay Medical Center"/>
    <n v="2015"/>
    <n v="7"/>
    <s v="Medicare"/>
    <x v="2"/>
    <s v="Medicare"/>
    <n v="20817.82"/>
    <n v="6025.13"/>
    <n v="0"/>
  </r>
  <r>
    <x v="7272"/>
    <s v="Peconic Bay Medical Center"/>
    <n v="2015"/>
    <n v="7"/>
    <s v="Medicare"/>
    <x v="2"/>
    <s v="Medicare"/>
    <n v="34047.1"/>
    <n v="6670.58"/>
    <n v="0"/>
  </r>
  <r>
    <x v="7273"/>
    <s v="Peconic Bay Medical Center"/>
    <n v="2015"/>
    <n v="7"/>
    <s v="Medicare"/>
    <x v="2"/>
    <s v="Medicare"/>
    <n v="22544.74"/>
    <n v="6632.55"/>
    <n v="0"/>
  </r>
  <r>
    <x v="7274"/>
    <s v="Peconic Bay Medical Center"/>
    <n v="2015"/>
    <n v="7"/>
    <s v="Medicare"/>
    <x v="2"/>
    <s v="Medicare"/>
    <n v="36627.9"/>
    <n v="11608.06"/>
    <n v="0"/>
  </r>
  <r>
    <x v="7275"/>
    <s v="Peconic Bay Medical Center"/>
    <n v="2015"/>
    <n v="7"/>
    <s v="Medicare"/>
    <x v="2"/>
    <s v="Medicare"/>
    <n v="86551.08"/>
    <n v="36744.519999999997"/>
    <n v="0"/>
  </r>
  <r>
    <x v="7276"/>
    <s v="Peconic Bay Medical Center"/>
    <n v="2015"/>
    <n v="7"/>
    <s v="Medicare"/>
    <x v="2"/>
    <s v="Medicare"/>
    <n v="39980.639999999999"/>
    <n v="12633.8"/>
    <n v="0"/>
  </r>
  <r>
    <x v="7277"/>
    <s v="Peconic Bay Medical Center"/>
    <n v="2015"/>
    <n v="7"/>
    <s v="Medicare"/>
    <x v="2"/>
    <s v="Medicare"/>
    <n v="91880.46"/>
    <n v="45698.98"/>
    <n v="0"/>
  </r>
  <r>
    <x v="7278"/>
    <s v="Peconic Bay Medical Center"/>
    <n v="2015"/>
    <n v="7"/>
    <s v="Medicare"/>
    <x v="2"/>
    <s v="Medicare"/>
    <n v="18200.48"/>
    <n v="4804.63"/>
    <n v="0"/>
  </r>
  <r>
    <x v="7279"/>
    <s v="Peconic Bay Medical Center"/>
    <n v="2015"/>
    <n v="7"/>
    <s v="Medicare"/>
    <x v="2"/>
    <s v="Medicare"/>
    <n v="35034.559999999998"/>
    <n v="9459.82"/>
    <n v="0"/>
  </r>
  <r>
    <x v="7280"/>
    <s v="Peconic Bay Medical Center"/>
    <n v="2015"/>
    <n v="7"/>
    <s v="Medicare"/>
    <x v="2"/>
    <s v="Medicare"/>
    <n v="35675.519999999997"/>
    <n v="9298.91"/>
    <n v="0"/>
  </r>
  <r>
    <x v="7281"/>
    <s v="Peconic Bay Medical Center"/>
    <n v="2015"/>
    <n v="7"/>
    <s v="Medicare"/>
    <x v="2"/>
    <s v="Medicare"/>
    <n v="62207.74"/>
    <n v="26097.62"/>
    <n v="0"/>
  </r>
  <r>
    <x v="7282"/>
    <s v="Peconic Bay Medical Center"/>
    <n v="2015"/>
    <n v="7"/>
    <s v="Medicare"/>
    <x v="2"/>
    <s v="Medicare"/>
    <n v="19329.3"/>
    <n v="4576.17"/>
    <n v="0"/>
  </r>
  <r>
    <x v="7283"/>
    <s v="Peconic Bay Medical Center"/>
    <n v="2015"/>
    <n v="7"/>
    <s v="Medicare"/>
    <x v="2"/>
    <s v="Medicare"/>
    <n v="11069.72"/>
    <n v="3174.5"/>
    <n v="0"/>
  </r>
  <r>
    <x v="7284"/>
    <s v="Peconic Bay Medical Center"/>
    <n v="2015"/>
    <n v="7"/>
    <s v="Medicare"/>
    <x v="2"/>
    <s v="Medicare"/>
    <n v="29433.02"/>
    <n v="8808"/>
    <n v="0"/>
  </r>
  <r>
    <x v="7285"/>
    <s v="Peconic Bay Medical Center"/>
    <n v="2015"/>
    <n v="7"/>
    <s v="Medicare"/>
    <x v="2"/>
    <s v="Medicare"/>
    <n v="42597"/>
    <n v="12584.64"/>
    <n v="0"/>
  </r>
  <r>
    <x v="7286"/>
    <s v="Peconic Bay Medical Center"/>
    <n v="2015"/>
    <n v="7"/>
    <s v="Medicare"/>
    <x v="2"/>
    <s v="Medicare"/>
    <n v="21710.94"/>
    <n v="5710.06"/>
    <n v="0"/>
  </r>
  <r>
    <x v="7287"/>
    <s v="Peconic Bay Medical Center"/>
    <n v="2015"/>
    <n v="7"/>
    <s v="Medicare"/>
    <x v="2"/>
    <s v="Medicare"/>
    <n v="73393.88"/>
    <n v="20488.939999999999"/>
    <n v="0"/>
  </r>
  <r>
    <x v="7288"/>
    <s v="Peconic Bay Medical Center"/>
    <n v="2015"/>
    <n v="7"/>
    <s v="Medicare"/>
    <x v="2"/>
    <s v="Medicare"/>
    <n v="12468.6"/>
    <n v="2976.13"/>
    <n v="0"/>
  </r>
  <r>
    <x v="7289"/>
    <s v="Peconic Bay Medical Center"/>
    <n v="2015"/>
    <n v="7"/>
    <s v="Medicare"/>
    <x v="2"/>
    <s v="Medicare"/>
    <n v="87772.78"/>
    <n v="60908.77"/>
    <n v="0"/>
  </r>
  <r>
    <x v="7290"/>
    <s v="Peconic Bay Medical Center"/>
    <n v="2015"/>
    <n v="7"/>
    <s v="Medicare"/>
    <x v="2"/>
    <s v="Medicare"/>
    <n v="45087.44"/>
    <n v="14191.4"/>
    <n v="0"/>
  </r>
  <r>
    <x v="7291"/>
    <s v="Peconic Bay Medical Center"/>
    <n v="2015"/>
    <n v="7"/>
    <s v="Medicare"/>
    <x v="2"/>
    <s v="Medicare"/>
    <n v="55915.42"/>
    <n v="18015.21"/>
    <n v="0"/>
  </r>
  <r>
    <x v="7292"/>
    <s v="Peconic Bay Medical Center"/>
    <n v="2015"/>
    <n v="7"/>
    <s v="Medicare"/>
    <x v="2"/>
    <s v="Medicare"/>
    <n v="35587.760000000002"/>
    <n v="9991.7000000000007"/>
    <n v="0"/>
  </r>
  <r>
    <x v="7293"/>
    <s v="Peconic Bay Medical Center"/>
    <n v="2015"/>
    <n v="7"/>
    <s v="Medicare"/>
    <x v="2"/>
    <s v="Medicare"/>
    <n v="53379.48"/>
    <n v="39285.19"/>
    <n v="0"/>
  </r>
  <r>
    <x v="7294"/>
    <s v="Peconic Bay Medical Center"/>
    <n v="2015"/>
    <n v="7"/>
    <s v="Medicare"/>
    <x v="2"/>
    <s v="Medicare"/>
    <n v="29854.42"/>
    <n v="7604.59"/>
    <n v="0"/>
  </r>
  <r>
    <x v="7295"/>
    <s v="Peconic Bay Medical Center"/>
    <n v="2015"/>
    <n v="7"/>
    <s v="Medicare"/>
    <x v="2"/>
    <s v="Medicare"/>
    <n v="41262.120000000003"/>
    <n v="12623.33"/>
    <n v="0"/>
  </r>
  <r>
    <x v="7296"/>
    <s v="Peconic Bay Medical Center"/>
    <n v="2015"/>
    <n v="7"/>
    <s v="Medicare"/>
    <x v="2"/>
    <s v="Medicare"/>
    <n v="41600.78"/>
    <n v="10855.83"/>
    <n v="0"/>
  </r>
  <r>
    <x v="7297"/>
    <s v="Peconic Bay Medical Center"/>
    <n v="2015"/>
    <n v="7"/>
    <s v="Medicare"/>
    <x v="2"/>
    <s v="Medicare"/>
    <n v="19760.400000000001"/>
    <n v="5078.88"/>
    <n v="0"/>
  </r>
  <r>
    <x v="7298"/>
    <s v="Peconic Bay Medical Center"/>
    <n v="2015"/>
    <n v="7"/>
    <s v="Medicare"/>
    <x v="2"/>
    <s v="Medicare"/>
    <n v="38102.28"/>
    <n v="11288.01"/>
    <n v="0"/>
  </r>
  <r>
    <x v="7299"/>
    <s v="Peconic Bay Medical Center"/>
    <n v="2015"/>
    <n v="7"/>
    <s v="Medicare"/>
    <x v="2"/>
    <s v="Medicare"/>
    <n v="31057.24"/>
    <n v="9757.7099999999991"/>
    <n v="0"/>
  </r>
  <r>
    <x v="7300"/>
    <s v="Peconic Bay Medical Center"/>
    <n v="2015"/>
    <n v="7"/>
    <s v="Medicare"/>
    <x v="2"/>
    <s v="Medicare"/>
    <n v="23514.240000000002"/>
    <n v="7063.14"/>
    <n v="0"/>
  </r>
  <r>
    <x v="7301"/>
    <s v="Peconic Bay Medical Center"/>
    <n v="2015"/>
    <n v="7"/>
    <s v="Medicare"/>
    <x v="2"/>
    <s v="Medicare"/>
    <n v="34459.919999999998"/>
    <n v="10557.69"/>
    <n v="0"/>
  </r>
  <r>
    <x v="7302"/>
    <s v="Peconic Bay Medical Center"/>
    <n v="2015"/>
    <n v="7"/>
    <s v="Medicare"/>
    <x v="2"/>
    <s v="Medicare"/>
    <n v="19585.32"/>
    <n v="6026.04"/>
    <n v="0"/>
  </r>
  <r>
    <x v="7303"/>
    <s v="Peconic Bay Medical Center"/>
    <n v="2015"/>
    <n v="7"/>
    <s v="Medicare"/>
    <x v="2"/>
    <s v="Medicare"/>
    <n v="34757.339999999997"/>
    <n v="10160.67"/>
    <n v="0"/>
  </r>
  <r>
    <x v="7304"/>
    <s v="Peconic Bay Medical Center"/>
    <n v="2015"/>
    <n v="7"/>
    <s v="Medicare"/>
    <x v="2"/>
    <s v="Medicare"/>
    <n v="178112.47"/>
    <n v="140494.70000000001"/>
    <n v="0"/>
  </r>
  <r>
    <x v="7305"/>
    <s v="Peconic Bay Medical Center"/>
    <n v="2015"/>
    <n v="7"/>
    <s v="Medicare"/>
    <x v="2"/>
    <s v="Medicare"/>
    <n v="25695.119999999999"/>
    <n v="8061.38"/>
    <n v="0"/>
  </r>
  <r>
    <x v="7306"/>
    <s v="Peconic Bay Medical Center"/>
    <n v="2015"/>
    <n v="7"/>
    <s v="Medicare"/>
    <x v="2"/>
    <s v="Medicare"/>
    <n v="40576.26"/>
    <n v="11355.64"/>
    <n v="0"/>
  </r>
  <r>
    <x v="7307"/>
    <s v="Peconic Bay Medical Center"/>
    <n v="2015"/>
    <n v="7"/>
    <s v="Medicare"/>
    <x v="2"/>
    <s v="Medicare"/>
    <n v="23183.360000000001"/>
    <n v="5742.74"/>
    <n v="0"/>
  </r>
  <r>
    <x v="7308"/>
    <s v="Peconic Bay Medical Center"/>
    <n v="2015"/>
    <n v="7"/>
    <s v="Medicare"/>
    <x v="2"/>
    <s v="Medicare"/>
    <n v="28471.78"/>
    <n v="7197"/>
    <n v="0"/>
  </r>
  <r>
    <x v="7309"/>
    <s v="Peconic Bay Medical Center"/>
    <n v="2015"/>
    <n v="7"/>
    <s v="Medicare"/>
    <x v="2"/>
    <s v="Medicare"/>
    <n v="78987.14"/>
    <n v="45419.39"/>
    <n v="0"/>
  </r>
  <r>
    <x v="7310"/>
    <s v="Peconic Bay Medical Center"/>
    <n v="2015"/>
    <n v="7"/>
    <s v="Medicare"/>
    <x v="2"/>
    <s v="Medicare"/>
    <n v="15773.42"/>
    <n v="3336.97"/>
    <n v="0"/>
  </r>
  <r>
    <x v="7311"/>
    <s v="Peconic Bay Medical Center"/>
    <n v="2015"/>
    <n v="7"/>
    <s v="Medicare"/>
    <x v="2"/>
    <s v="Medicare"/>
    <n v="15009.86"/>
    <n v="4338.92"/>
    <n v="0"/>
  </r>
  <r>
    <x v="7312"/>
    <s v="Peconic Bay Medical Center"/>
    <n v="2015"/>
    <n v="7"/>
    <s v="Medicare"/>
    <x v="2"/>
    <s v="Medicare"/>
    <n v="35465.660000000003"/>
    <n v="10912.94"/>
    <n v="0"/>
  </r>
  <r>
    <x v="7313"/>
    <s v="Peconic Bay Medical Center"/>
    <n v="2015"/>
    <n v="7"/>
    <s v="Medicare"/>
    <x v="2"/>
    <s v="Medicare"/>
    <n v="65893.36"/>
    <n v="37768.620000000003"/>
    <n v="0"/>
  </r>
  <r>
    <x v="7314"/>
    <s v="Peconic Bay Medical Center"/>
    <n v="2015"/>
    <n v="7"/>
    <s v="Medicare"/>
    <x v="2"/>
    <s v="Medicare"/>
    <n v="13277.34"/>
    <n v="3159.19"/>
    <n v="0"/>
  </r>
  <r>
    <x v="7315"/>
    <s v="Peconic Bay Medical Center"/>
    <n v="2015"/>
    <n v="7"/>
    <s v="Medicare"/>
    <x v="2"/>
    <s v="Medicare"/>
    <n v="16207.04"/>
    <n v="4718.47"/>
    <n v="0"/>
  </r>
  <r>
    <x v="7316"/>
    <s v="Peconic Bay Medical Center"/>
    <n v="2015"/>
    <n v="7"/>
    <s v="Medicare"/>
    <x v="2"/>
    <s v="Medicare"/>
    <n v="37560.04"/>
    <n v="11435.79"/>
    <n v="0"/>
  </r>
  <r>
    <x v="7317"/>
    <s v="Peconic Bay Medical Center"/>
    <n v="2015"/>
    <n v="7"/>
    <s v="Medicare"/>
    <x v="2"/>
    <s v="Medicare"/>
    <n v="34738.92"/>
    <n v="7403.72"/>
    <n v="0"/>
  </r>
  <r>
    <x v="7318"/>
    <s v="Peconic Bay Medical Center"/>
    <n v="2015"/>
    <n v="7"/>
    <s v="Medicare"/>
    <x v="2"/>
    <s v="Medicare"/>
    <n v="49709.48"/>
    <n v="24894.65"/>
    <n v="0"/>
  </r>
  <r>
    <x v="7319"/>
    <s v="Peconic Bay Medical Center"/>
    <n v="2015"/>
    <n v="7"/>
    <s v="Medicare"/>
    <x v="2"/>
    <s v="Medicare"/>
    <n v="87677.26"/>
    <n v="59073.71"/>
    <n v="0"/>
  </r>
  <r>
    <x v="7320"/>
    <s v="Peconic Bay Medical Center"/>
    <n v="2015"/>
    <n v="7"/>
    <s v="Medicare"/>
    <x v="2"/>
    <s v="Medicare"/>
    <n v="52984.56"/>
    <n v="16348.11"/>
    <n v="0"/>
  </r>
  <r>
    <x v="7321"/>
    <s v="Peconic Bay Medical Center"/>
    <n v="2015"/>
    <n v="7"/>
    <s v="Medicare"/>
    <x v="2"/>
    <s v="Medicare"/>
    <n v="18983.66"/>
    <n v="5143.04"/>
    <n v="0"/>
  </r>
  <r>
    <x v="7322"/>
    <s v="Peconic Bay Medical Center"/>
    <n v="2015"/>
    <n v="7"/>
    <s v="Medicare"/>
    <x v="2"/>
    <s v="Medicare"/>
    <n v="16388.8"/>
    <n v="3669.3"/>
    <n v="0"/>
  </r>
  <r>
    <x v="7323"/>
    <s v="Peconic Bay Medical Center"/>
    <n v="2015"/>
    <n v="7"/>
    <s v="Medicare"/>
    <x v="2"/>
    <s v="Medicare"/>
    <n v="17963.16"/>
    <n v="5666.28"/>
    <n v="0"/>
  </r>
  <r>
    <x v="7324"/>
    <s v="Peconic Bay Medical Center"/>
    <n v="2015"/>
    <n v="7"/>
    <s v="Medicare"/>
    <x v="2"/>
    <s v="Medicare"/>
    <n v="25545.08"/>
    <n v="7399.3"/>
    <n v="0"/>
  </r>
  <r>
    <x v="7325"/>
    <s v="Peconic Bay Medical Center"/>
    <n v="2015"/>
    <n v="7"/>
    <s v="Medicare"/>
    <x v="2"/>
    <s v="Medicare"/>
    <n v="71317.42"/>
    <n v="39924.589999999997"/>
    <n v="0"/>
  </r>
  <r>
    <x v="7326"/>
    <s v="Peconic Bay Medical Center"/>
    <n v="2015"/>
    <n v="7"/>
    <s v="Medicare"/>
    <x v="2"/>
    <s v="Medicare"/>
    <n v="130125.72"/>
    <n v="46665.69"/>
    <n v="0"/>
  </r>
  <r>
    <x v="7327"/>
    <s v="Peconic Bay Medical Center"/>
    <n v="2015"/>
    <n v="7"/>
    <s v="Medicare"/>
    <x v="2"/>
    <s v="Medicare"/>
    <n v="26187.360000000001"/>
    <n v="6341.51"/>
    <n v="0"/>
  </r>
  <r>
    <x v="7328"/>
    <s v="Peconic Bay Medical Center"/>
    <n v="2015"/>
    <n v="7"/>
    <s v="Medicare"/>
    <x v="2"/>
    <s v="Medicare"/>
    <n v="30987.46"/>
    <n v="8059.28"/>
    <n v="0"/>
  </r>
  <r>
    <x v="7329"/>
    <s v="Peconic Bay Medical Center"/>
    <n v="2015"/>
    <n v="7"/>
    <s v="Medicare"/>
    <x v="2"/>
    <s v="Medicare"/>
    <n v="116103.3"/>
    <n v="41432.07"/>
    <n v="0"/>
  </r>
  <r>
    <x v="7330"/>
    <s v="Peconic Bay Medical Center"/>
    <n v="2015"/>
    <n v="7"/>
    <s v="Medicare"/>
    <x v="2"/>
    <s v="Medicare"/>
    <n v="26949.58"/>
    <n v="8342.8700000000008"/>
    <n v="0"/>
  </r>
  <r>
    <x v="7331"/>
    <s v="Peconic Bay Medical Center"/>
    <n v="2015"/>
    <n v="7"/>
    <s v="Medicare"/>
    <x v="2"/>
    <s v="Medicare"/>
    <n v="80863.3"/>
    <n v="27215.75"/>
    <n v="0"/>
  </r>
  <r>
    <x v="7332"/>
    <s v="Peconic Bay Medical Center"/>
    <n v="2015"/>
    <n v="7"/>
    <s v="Medicare"/>
    <x v="2"/>
    <s v="Medicare"/>
    <n v="54959.88"/>
    <n v="16172.39"/>
    <n v="0"/>
  </r>
  <r>
    <x v="7333"/>
    <s v="Peconic Bay Medical Center"/>
    <n v="2015"/>
    <n v="7"/>
    <s v="Medicare"/>
    <x v="2"/>
    <s v="Medicare"/>
    <n v="22626.18"/>
    <n v="6139.79"/>
    <n v="0"/>
  </r>
  <r>
    <x v="7334"/>
    <s v="Peconic Bay Medical Center"/>
    <n v="2015"/>
    <n v="7"/>
    <s v="Medicare"/>
    <x v="2"/>
    <s v="Medicare"/>
    <n v="129421.89"/>
    <n v="98205.48"/>
    <n v="0"/>
  </r>
  <r>
    <x v="7335"/>
    <s v="Peconic Bay Medical Center"/>
    <n v="2015"/>
    <n v="7"/>
    <s v="Medicare"/>
    <x v="2"/>
    <s v="Medicare"/>
    <n v="34783.54"/>
    <n v="10155.030000000001"/>
    <n v="0"/>
  </r>
  <r>
    <x v="7336"/>
    <s v="Peconic Bay Medical Center"/>
    <n v="2015"/>
    <n v="7"/>
    <s v="Medicare"/>
    <x v="2"/>
    <s v="Medicare"/>
    <n v="29402.16"/>
    <n v="8082.51"/>
    <n v="0"/>
  </r>
  <r>
    <x v="7337"/>
    <s v="Peconic Bay Medical Center"/>
    <n v="2015"/>
    <n v="7"/>
    <s v="Medicare"/>
    <x v="2"/>
    <s v="Medicare"/>
    <n v="14158.9"/>
    <n v="4218.66"/>
    <n v="0"/>
  </r>
  <r>
    <x v="7338"/>
    <s v="Peconic Bay Medical Center"/>
    <n v="2015"/>
    <n v="7"/>
    <s v="Medicare"/>
    <x v="2"/>
    <s v="Medicare"/>
    <n v="46134.239999999998"/>
    <n v="13492.03"/>
    <n v="0"/>
  </r>
  <r>
    <x v="7339"/>
    <s v="Peconic Bay Medical Center"/>
    <n v="2015"/>
    <n v="7"/>
    <s v="Medicare"/>
    <x v="2"/>
    <s v="Medicare"/>
    <n v="64136.44"/>
    <n v="21293.11"/>
    <n v="0"/>
  </r>
  <r>
    <x v="7340"/>
    <s v="Peconic Bay Medical Center"/>
    <n v="2015"/>
    <n v="7"/>
    <s v="Medicare"/>
    <x v="2"/>
    <s v="Medicare"/>
    <n v="29897.24"/>
    <n v="9233.16"/>
    <n v="0"/>
  </r>
  <r>
    <x v="7341"/>
    <s v="Peconic Bay Medical Center"/>
    <n v="2015"/>
    <n v="7"/>
    <s v="Medicare"/>
    <x v="2"/>
    <s v="Medicare"/>
    <n v="28296.84"/>
    <n v="8476.17"/>
    <n v="0"/>
  </r>
  <r>
    <x v="7342"/>
    <s v="Peconic Bay Medical Center"/>
    <n v="2015"/>
    <n v="7"/>
    <s v="Medicare"/>
    <x v="2"/>
    <s v="Medicare"/>
    <n v="24228.2"/>
    <n v="6194.52"/>
    <n v="0"/>
  </r>
  <r>
    <x v="7343"/>
    <s v="Peconic Bay Medical Center"/>
    <n v="2015"/>
    <n v="7"/>
    <s v="Medicare"/>
    <x v="2"/>
    <s v="Medicare"/>
    <n v="52104.1"/>
    <n v="19931.32"/>
    <n v="0"/>
  </r>
  <r>
    <x v="7344"/>
    <s v="Peconic Bay Medical Center"/>
    <n v="2015"/>
    <n v="7"/>
    <s v="Medicare"/>
    <x v="2"/>
    <s v="Medicare"/>
    <n v="36337.599999999999"/>
    <n v="8615.7999999999993"/>
    <n v="0"/>
  </r>
  <r>
    <x v="7345"/>
    <s v="Peconic Bay Medical Center"/>
    <n v="2015"/>
    <n v="7"/>
    <s v="Medicare"/>
    <x v="2"/>
    <s v="Medicare"/>
    <n v="28445.24"/>
    <n v="7803.66"/>
    <n v="0"/>
  </r>
  <r>
    <x v="7346"/>
    <s v="Peconic Bay Medical Center"/>
    <n v="2015"/>
    <n v="7"/>
    <s v="Medicare"/>
    <x v="2"/>
    <s v="Medicare"/>
    <n v="49700.82"/>
    <n v="13236.85"/>
    <n v="0"/>
  </r>
  <r>
    <x v="7347"/>
    <s v="Peconic Bay Medical Center"/>
    <n v="2015"/>
    <n v="7"/>
    <s v="Medicare"/>
    <x v="2"/>
    <s v="Medicare"/>
    <n v="20244.400000000001"/>
    <n v="4076.02"/>
    <n v="0"/>
  </r>
  <r>
    <x v="7348"/>
    <s v="Peconic Bay Medical Center"/>
    <n v="2015"/>
    <n v="7"/>
    <s v="Medicare"/>
    <x v="2"/>
    <s v="Medicare"/>
    <n v="32222.42"/>
    <n v="6800.03"/>
    <n v="0"/>
  </r>
  <r>
    <x v="7349"/>
    <s v="Peconic Bay Medical Center"/>
    <n v="2015"/>
    <n v="7"/>
    <s v="Medicare"/>
    <x v="2"/>
    <s v="Medicare"/>
    <n v="26083.599999999999"/>
    <n v="7705.28"/>
    <n v="0"/>
  </r>
  <r>
    <x v="7350"/>
    <s v="Peconic Bay Medical Center"/>
    <n v="2015"/>
    <n v="7"/>
    <s v="Medicare"/>
    <x v="2"/>
    <s v="Medicare"/>
    <n v="27051.88"/>
    <n v="10527.09"/>
    <n v="0"/>
  </r>
  <r>
    <x v="7351"/>
    <s v="Peconic Bay Medical Center"/>
    <n v="2015"/>
    <n v="7"/>
    <s v="Medicare"/>
    <x v="2"/>
    <s v="Medicare"/>
    <n v="34227.379999999997"/>
    <n v="19731.66"/>
    <n v="0"/>
  </r>
  <r>
    <x v="7352"/>
    <s v="Peconic Bay Medical Center"/>
    <n v="2015"/>
    <n v="7"/>
    <s v="Medicare"/>
    <x v="2"/>
    <s v="Medicare"/>
    <n v="22825.1"/>
    <n v="6476.36"/>
    <n v="0"/>
  </r>
  <r>
    <x v="7353"/>
    <s v="Peconic Bay Medical Center"/>
    <n v="2015"/>
    <n v="7"/>
    <s v="Medicare"/>
    <x v="2"/>
    <s v="Medicare"/>
    <n v="49863.62"/>
    <n v="14692.11"/>
    <n v="0"/>
  </r>
  <r>
    <x v="7354"/>
    <s v="Peconic Bay Medical Center"/>
    <n v="2015"/>
    <n v="7"/>
    <s v="Medicare"/>
    <x v="2"/>
    <s v="Medicare"/>
    <n v="21218.52"/>
    <n v="2879.38"/>
    <n v="0"/>
  </r>
  <r>
    <x v="7355"/>
    <s v="Peconic Bay Medical Center"/>
    <n v="2015"/>
    <n v="7"/>
    <s v="Medicare"/>
    <x v="2"/>
    <s v="Medicare"/>
    <n v="9579.82"/>
    <n v="2622.51"/>
    <n v="0"/>
  </r>
  <r>
    <x v="7356"/>
    <s v="Peconic Bay Medical Center"/>
    <n v="2015"/>
    <n v="7"/>
    <s v="Medicare"/>
    <x v="2"/>
    <s v="Medicare"/>
    <n v="15190.26"/>
    <n v="3596.98"/>
    <n v="0"/>
  </r>
  <r>
    <x v="7357"/>
    <s v="Peconic Bay Medical Center"/>
    <n v="2015"/>
    <n v="7"/>
    <s v="Medicare"/>
    <x v="2"/>
    <s v="Medicare"/>
    <n v="36169.379999999997"/>
    <n v="11148.83"/>
    <n v="0"/>
  </r>
  <r>
    <x v="7358"/>
    <s v="Peconic Bay Medical Center"/>
    <n v="2015"/>
    <n v="7"/>
    <s v="Medicare"/>
    <x v="2"/>
    <s v="Medicare"/>
    <n v="118454.48"/>
    <n v="41674.61"/>
    <n v="0"/>
  </r>
  <r>
    <x v="7359"/>
    <s v="Peconic Bay Medical Center"/>
    <n v="2015"/>
    <n v="7"/>
    <s v="Medicare"/>
    <x v="2"/>
    <s v="Medicare"/>
    <n v="23384.720000000001"/>
    <n v="5496.89"/>
    <n v="0"/>
  </r>
  <r>
    <x v="7360"/>
    <s v="Peconic Bay Medical Center"/>
    <n v="2015"/>
    <n v="7"/>
    <s v="Medicare"/>
    <x v="2"/>
    <s v="Medicare"/>
    <n v="15207.1"/>
    <n v="4611.2700000000004"/>
    <n v="0"/>
  </r>
  <r>
    <x v="7361"/>
    <s v="Peconic Bay Medical Center"/>
    <n v="2015"/>
    <n v="7"/>
    <s v="Medicare"/>
    <x v="2"/>
    <s v="Medicare"/>
    <n v="24737.06"/>
    <n v="7421.22"/>
    <n v="0"/>
  </r>
  <r>
    <x v="7362"/>
    <s v="Peconic Bay Medical Center"/>
    <n v="2015"/>
    <n v="7"/>
    <s v="Medicare"/>
    <x v="2"/>
    <s v="Medicare"/>
    <n v="30039.4"/>
    <n v="9473.3700000000008"/>
    <n v="0"/>
  </r>
  <r>
    <x v="7363"/>
    <s v="Peconic Bay Medical Center"/>
    <n v="2015"/>
    <n v="7"/>
    <s v="Medicare"/>
    <x v="2"/>
    <s v="Medicare"/>
    <n v="19670.560000000001"/>
    <n v="5204.71"/>
    <n v="0"/>
  </r>
  <r>
    <x v="7364"/>
    <s v="Peconic Bay Medical Center"/>
    <n v="2015"/>
    <n v="7"/>
    <s v="Medicare"/>
    <x v="2"/>
    <s v="Medicare"/>
    <n v="42992.21"/>
    <n v="16948.47"/>
    <n v="0"/>
  </r>
  <r>
    <x v="7365"/>
    <s v="Peconic Bay Medical Center"/>
    <n v="2015"/>
    <n v="7"/>
    <s v="Medicare"/>
    <x v="2"/>
    <s v="Medicare"/>
    <n v="27003.16"/>
    <n v="7102.47"/>
    <n v="0"/>
  </r>
  <r>
    <x v="7366"/>
    <s v="Peconic Bay Medical Center"/>
    <n v="2015"/>
    <n v="7"/>
    <s v="Medicare"/>
    <x v="2"/>
    <s v="Medicare"/>
    <n v="18953.560000000001"/>
    <n v="4450.71"/>
    <n v="0"/>
  </r>
  <r>
    <x v="7367"/>
    <s v="Peconic Bay Medical Center"/>
    <n v="2015"/>
    <n v="7"/>
    <s v="Medicare"/>
    <x v="2"/>
    <s v="Medicare"/>
    <n v="15593.8"/>
    <n v="2939.96"/>
    <n v="0"/>
  </r>
  <r>
    <x v="7368"/>
    <s v="Peconic Bay Medical Center"/>
    <n v="2015"/>
    <n v="7"/>
    <s v="Medicare"/>
    <x v="2"/>
    <s v="Medicare"/>
    <n v="26194.720000000001"/>
    <n v="5426.03"/>
    <n v="0"/>
  </r>
  <r>
    <x v="7369"/>
    <s v="Peconic Bay Medical Center"/>
    <n v="2015"/>
    <n v="7"/>
    <s v="Medicare"/>
    <x v="2"/>
    <s v="Medicare"/>
    <n v="33046.82"/>
    <n v="9959.0499999999993"/>
    <n v="0"/>
  </r>
  <r>
    <x v="7370"/>
    <s v="Peconic Bay Medical Center"/>
    <n v="2015"/>
    <n v="7"/>
    <s v="Medicare"/>
    <x v="2"/>
    <s v="Medicare"/>
    <n v="18375.259999999998"/>
    <n v="4064.48"/>
    <n v="0"/>
  </r>
  <r>
    <x v="7371"/>
    <s v="Peconic Bay Medical Center"/>
    <n v="2015"/>
    <n v="7"/>
    <s v="Medicare"/>
    <x v="2"/>
    <s v="Medicare"/>
    <n v="57922.52"/>
    <n v="25075.11"/>
    <n v="0"/>
  </r>
  <r>
    <x v="7372"/>
    <s v="Peconic Bay Medical Center"/>
    <n v="2015"/>
    <n v="7"/>
    <s v="Medicare"/>
    <x v="2"/>
    <s v="Medicare"/>
    <n v="17749.12"/>
    <n v="5047.67"/>
    <n v="0"/>
  </r>
  <r>
    <x v="7373"/>
    <s v="Peconic Bay Medical Center"/>
    <n v="2015"/>
    <n v="7"/>
    <s v="Medicare"/>
    <x v="2"/>
    <s v="Medicare"/>
    <n v="44082.52"/>
    <n v="12936.63"/>
    <n v="0"/>
  </r>
  <r>
    <x v="7374"/>
    <s v="Peconic Bay Medical Center"/>
    <n v="2015"/>
    <n v="7"/>
    <s v="Medicare"/>
    <x v="2"/>
    <s v="Medicare"/>
    <n v="86939.22"/>
    <n v="48516.06"/>
    <n v="0"/>
  </r>
  <r>
    <x v="7375"/>
    <s v="Peconic Bay Medical Center"/>
    <n v="2015"/>
    <n v="7"/>
    <s v="Medicare"/>
    <x v="2"/>
    <s v="Medicare"/>
    <n v="16180.42"/>
    <n v="4277.45"/>
    <n v="0"/>
  </r>
  <r>
    <x v="7376"/>
    <s v="Peconic Bay Medical Center"/>
    <n v="2015"/>
    <n v="7"/>
    <s v="Medicare"/>
    <x v="2"/>
    <s v="Medicare"/>
    <n v="10766.44"/>
    <n v="2964.67"/>
    <n v="0"/>
  </r>
  <r>
    <x v="7377"/>
    <s v="Peconic Bay Medical Center"/>
    <n v="2015"/>
    <n v="7"/>
    <s v="Medicare"/>
    <x v="2"/>
    <s v="Medicare"/>
    <n v="30475.14"/>
    <n v="7277.95"/>
    <n v="0"/>
  </r>
  <r>
    <x v="7378"/>
    <s v="Peconic Bay Medical Center"/>
    <n v="2015"/>
    <n v="7"/>
    <s v="Medicare"/>
    <x v="2"/>
    <s v="Medicare"/>
    <n v="24905.66"/>
    <n v="6341.81"/>
    <n v="0"/>
  </r>
  <r>
    <x v="7379"/>
    <s v="Peconic Bay Medical Center"/>
    <n v="2015"/>
    <n v="7"/>
    <s v="Medicare"/>
    <x v="2"/>
    <s v="Medicare"/>
    <n v="30906.86"/>
    <n v="10514.61"/>
    <n v="0"/>
  </r>
  <r>
    <x v="7380"/>
    <s v="Peconic Bay Medical Center"/>
    <n v="2015"/>
    <n v="7"/>
    <s v="Medicare"/>
    <x v="2"/>
    <s v="Medicare"/>
    <n v="27414.36"/>
    <n v="8380.4599999999991"/>
    <n v="0"/>
  </r>
  <r>
    <x v="7381"/>
    <s v="Peconic Bay Medical Center"/>
    <n v="2015"/>
    <n v="7"/>
    <s v="Medicare"/>
    <x v="2"/>
    <s v="Medicare"/>
    <n v="11857.84"/>
    <n v="3005.92"/>
    <n v="0"/>
  </r>
  <r>
    <x v="7382"/>
    <s v="Peconic Bay Medical Center"/>
    <n v="2015"/>
    <n v="7"/>
    <s v="Medicare"/>
    <x v="2"/>
    <s v="Medicare"/>
    <n v="45239.62"/>
    <n v="14354.39"/>
    <n v="0"/>
  </r>
  <r>
    <x v="7383"/>
    <s v="Peconic Bay Medical Center"/>
    <n v="2015"/>
    <n v="7"/>
    <s v="Medicare"/>
    <x v="2"/>
    <s v="Medicare"/>
    <n v="71605.66"/>
    <n v="21566.38"/>
    <n v="0"/>
  </r>
  <r>
    <x v="7384"/>
    <s v="Peconic Bay Medical Center"/>
    <n v="2015"/>
    <n v="7"/>
    <s v="Medicare"/>
    <x v="2"/>
    <s v="Medicare"/>
    <n v="10716.34"/>
    <n v="2899.06"/>
    <n v="0"/>
  </r>
  <r>
    <x v="7385"/>
    <s v="Peconic Bay Medical Center"/>
    <n v="2015"/>
    <n v="7"/>
    <s v="Medicare"/>
    <x v="2"/>
    <s v="Medicare"/>
    <n v="27161.78"/>
    <n v="7731.34"/>
    <n v="0"/>
  </r>
  <r>
    <x v="7386"/>
    <s v="Peconic Bay Medical Center"/>
    <n v="2015"/>
    <n v="7"/>
    <s v="Medicare"/>
    <x v="2"/>
    <s v="Medicare"/>
    <n v="34233.839999999997"/>
    <n v="10105.09"/>
    <n v="0"/>
  </r>
  <r>
    <x v="7387"/>
    <s v="Peconic Bay Medical Center"/>
    <n v="2015"/>
    <n v="7"/>
    <s v="Medicare"/>
    <x v="2"/>
    <s v="Medicare"/>
    <n v="20468.5"/>
    <n v="2692.62"/>
    <n v="0"/>
  </r>
  <r>
    <x v="7388"/>
    <s v="Peconic Bay Medical Center"/>
    <n v="2015"/>
    <n v="7"/>
    <s v="Medicare"/>
    <x v="2"/>
    <s v="Medicare"/>
    <n v="40950.699999999997"/>
    <n v="11694.38"/>
    <n v="0"/>
  </r>
  <r>
    <x v="7389"/>
    <s v="Peconic Bay Medical Center"/>
    <n v="2015"/>
    <n v="7"/>
    <s v="Medicare"/>
    <x v="2"/>
    <s v="Medicare"/>
    <n v="41841.379999999997"/>
    <n v="12685.17"/>
    <n v="0"/>
  </r>
  <r>
    <x v="7390"/>
    <s v="Peconic Bay Medical Center"/>
    <n v="2015"/>
    <n v="7"/>
    <s v="Medicare"/>
    <x v="2"/>
    <s v="Medicare"/>
    <n v="27914.46"/>
    <n v="6761.08"/>
    <n v="0"/>
  </r>
  <r>
    <x v="7391"/>
    <s v="Peconic Bay Medical Center"/>
    <n v="2015"/>
    <n v="7"/>
    <s v="Medicare"/>
    <x v="2"/>
    <s v="Medicare"/>
    <n v="12868.3"/>
    <n v="4372.8500000000004"/>
    <n v="0"/>
  </r>
  <r>
    <x v="7392"/>
    <s v="Peconic Bay Medical Center"/>
    <n v="2015"/>
    <n v="7"/>
    <s v="Medicare"/>
    <x v="2"/>
    <s v="Medicare"/>
    <n v="23406.28"/>
    <n v="4357.0600000000004"/>
    <n v="0"/>
  </r>
  <r>
    <x v="7393"/>
    <s v="Peconic Bay Medical Center"/>
    <n v="2015"/>
    <n v="7"/>
    <s v="Medicare"/>
    <x v="2"/>
    <s v="Medicare"/>
    <n v="52114.28"/>
    <n v="16068.02"/>
    <n v="0"/>
  </r>
  <r>
    <x v="7394"/>
    <s v="Peconic Bay Medical Center"/>
    <n v="2015"/>
    <n v="7"/>
    <s v="Medicare"/>
    <x v="2"/>
    <s v="Medicare"/>
    <n v="29563.16"/>
    <n v="8831.43"/>
    <n v="0"/>
  </r>
  <r>
    <x v="7395"/>
    <s v="Peconic Bay Medical Center"/>
    <n v="2015"/>
    <n v="7"/>
    <s v="Medicare"/>
    <x v="2"/>
    <s v="Medicare"/>
    <n v="9185.9"/>
    <n v="2439.25"/>
    <n v="0"/>
  </r>
  <r>
    <x v="7396"/>
    <s v="Peconic Bay Medical Center"/>
    <n v="2015"/>
    <n v="7"/>
    <s v="Medicare"/>
    <x v="2"/>
    <s v="Medicare"/>
    <n v="17834.98"/>
    <n v="4690.3599999999997"/>
    <n v="0"/>
  </r>
  <r>
    <x v="7397"/>
    <s v="Peconic Bay Medical Center"/>
    <n v="2015"/>
    <n v="7"/>
    <s v="Medicare"/>
    <x v="2"/>
    <s v="Medicare"/>
    <n v="11802.64"/>
    <n v="2702.55"/>
    <n v="0"/>
  </r>
  <r>
    <x v="7398"/>
    <s v="Peconic Bay Medical Center"/>
    <n v="2015"/>
    <n v="7"/>
    <s v="Medicare"/>
    <x v="2"/>
    <s v="Medicare"/>
    <n v="41551.42"/>
    <n v="12051.99"/>
    <n v="0"/>
  </r>
  <r>
    <x v="7399"/>
    <s v="Peconic Bay Medical Center"/>
    <n v="2015"/>
    <n v="7"/>
    <s v="Medicare"/>
    <x v="2"/>
    <s v="Medicare"/>
    <n v="147287.92000000001"/>
    <n v="71962.94"/>
    <n v="0"/>
  </r>
  <r>
    <x v="7400"/>
    <s v="Peconic Bay Medical Center"/>
    <n v="2015"/>
    <n v="7"/>
    <s v="Medicare"/>
    <x v="2"/>
    <s v="Medicare"/>
    <n v="10215.56"/>
    <n v="2625.92"/>
    <n v="0"/>
  </r>
  <r>
    <x v="7401"/>
    <s v="Peconic Bay Medical Center"/>
    <n v="2015"/>
    <n v="7"/>
    <s v="Medicare"/>
    <x v="2"/>
    <s v="Medicare"/>
    <n v="45001.36"/>
    <n v="12069.84"/>
    <n v="0"/>
  </r>
  <r>
    <x v="7402"/>
    <s v="Peconic Bay Medical Center"/>
    <n v="2015"/>
    <n v="7"/>
    <s v="Medicare"/>
    <x v="2"/>
    <s v="Medicare"/>
    <n v="78874.240000000005"/>
    <n v="25398.3"/>
    <n v="0"/>
  </r>
  <r>
    <x v="7403"/>
    <s v="Peconic Bay Medical Center"/>
    <n v="2015"/>
    <n v="7"/>
    <s v="Medicare"/>
    <x v="2"/>
    <s v="Medicare"/>
    <n v="20408.080000000002"/>
    <n v="6156.17"/>
    <n v="0"/>
  </r>
  <r>
    <x v="7404"/>
    <s v="Peconic Bay Medical Center"/>
    <n v="2015"/>
    <n v="7"/>
    <s v="Medicare"/>
    <x v="2"/>
    <s v="Medicare"/>
    <n v="49069.72"/>
    <n v="15172.3"/>
    <n v="0"/>
  </r>
  <r>
    <x v="7405"/>
    <s v="Peconic Bay Medical Center"/>
    <n v="2015"/>
    <n v="7"/>
    <s v="Medicare"/>
    <x v="2"/>
    <s v="Medicare"/>
    <n v="39413.760000000002"/>
    <n v="12542.67"/>
    <n v="0"/>
  </r>
  <r>
    <x v="7406"/>
    <s v="Peconic Bay Medical Center"/>
    <n v="2015"/>
    <n v="7"/>
    <s v="Medicare"/>
    <x v="2"/>
    <s v="Medicare"/>
    <n v="13737.06"/>
    <n v="2595.46"/>
    <n v="0"/>
  </r>
  <r>
    <x v="7407"/>
    <s v="Peconic Bay Medical Center"/>
    <n v="2015"/>
    <n v="7"/>
    <s v="Medicare"/>
    <x v="2"/>
    <s v="Medicare"/>
    <n v="93564.04"/>
    <n v="40132.129999999997"/>
    <n v="0"/>
  </r>
  <r>
    <x v="7408"/>
    <s v="Peconic Bay Medical Center"/>
    <n v="2015"/>
    <n v="7"/>
    <s v="Medicare"/>
    <x v="2"/>
    <s v="Medicare"/>
    <n v="26740.14"/>
    <n v="7137.18"/>
    <n v="0"/>
  </r>
  <r>
    <x v="7409"/>
    <s v="Peconic Bay Medical Center"/>
    <n v="2015"/>
    <n v="7"/>
    <s v="Medicare"/>
    <x v="2"/>
    <s v="Medicare"/>
    <n v="23754.28"/>
    <n v="7185.93"/>
    <n v="0"/>
  </r>
  <r>
    <x v="7410"/>
    <s v="Peconic Bay Medical Center"/>
    <n v="2015"/>
    <n v="7"/>
    <s v="Medicare"/>
    <x v="2"/>
    <s v="Medicare"/>
    <n v="13498.38"/>
    <n v="2506.38"/>
    <n v="0"/>
  </r>
  <r>
    <x v="7411"/>
    <s v="Peconic Bay Medical Center"/>
    <n v="2015"/>
    <n v="7"/>
    <s v="Medicare"/>
    <x v="2"/>
    <s v="Medicare"/>
    <n v="109982.04"/>
    <n v="54536.25"/>
    <n v="0"/>
  </r>
  <r>
    <x v="7412"/>
    <s v="Peconic Bay Medical Center"/>
    <n v="2015"/>
    <n v="7"/>
    <s v="Medicare"/>
    <x v="2"/>
    <s v="Medicare"/>
    <n v="32771.08"/>
    <n v="6247.03"/>
    <n v="0"/>
  </r>
  <r>
    <x v="7413"/>
    <s v="Peconic Bay Medical Center"/>
    <n v="2015"/>
    <n v="7"/>
    <s v="Medicare"/>
    <x v="2"/>
    <s v="Medicare"/>
    <n v="13649.58"/>
    <n v="3279.68"/>
    <n v="0"/>
  </r>
  <r>
    <x v="7414"/>
    <s v="Peconic Bay Medical Center"/>
    <n v="2015"/>
    <n v="7"/>
    <s v="Medicare"/>
    <x v="2"/>
    <s v="Medicare"/>
    <n v="32248.959999999999"/>
    <n v="9708.6299999999992"/>
    <n v="0"/>
  </r>
  <r>
    <x v="7415"/>
    <s v="Peconic Bay Medical Center"/>
    <n v="2015"/>
    <n v="7"/>
    <s v="Medicare"/>
    <x v="2"/>
    <s v="Medicare"/>
    <n v="14996.86"/>
    <n v="4047.01"/>
    <n v="0"/>
  </r>
  <r>
    <x v="7416"/>
    <s v="Peconic Bay Medical Center"/>
    <n v="2015"/>
    <n v="7"/>
    <s v="Medicare"/>
    <x v="2"/>
    <s v="Medicare"/>
    <n v="19282.52"/>
    <n v="5259.32"/>
    <n v="0"/>
  </r>
  <r>
    <x v="7417"/>
    <s v="Peconic Bay Medical Center"/>
    <n v="2015"/>
    <n v="7"/>
    <s v="Medicare"/>
    <x v="2"/>
    <s v="Medicare"/>
    <n v="25167.66"/>
    <n v="6877.91"/>
    <n v="0"/>
  </r>
  <r>
    <x v="7418"/>
    <s v="Peconic Bay Medical Center"/>
    <n v="2015"/>
    <n v="7"/>
    <s v="Medicare"/>
    <x v="2"/>
    <s v="Medicare"/>
    <n v="31720.78"/>
    <n v="7436.98"/>
    <n v="0"/>
  </r>
  <r>
    <x v="7419"/>
    <s v="Peconic Bay Medical Center"/>
    <n v="2015"/>
    <n v="7"/>
    <s v="Medicare"/>
    <x v="2"/>
    <s v="Medicare"/>
    <n v="31845.7"/>
    <n v="5374.39"/>
    <n v="0"/>
  </r>
  <r>
    <x v="7420"/>
    <s v="Peconic Bay Medical Center"/>
    <n v="2015"/>
    <n v="7"/>
    <s v="Medicare"/>
    <x v="2"/>
    <s v="Medicare"/>
    <n v="118186.34"/>
    <n v="55394.29"/>
    <n v="0"/>
  </r>
  <r>
    <x v="7421"/>
    <s v="Peconic Bay Medical Center"/>
    <n v="2015"/>
    <n v="7"/>
    <s v="Medicare"/>
    <x v="2"/>
    <s v="Medicare"/>
    <n v="21862.38"/>
    <n v="12880.67"/>
    <n v="0"/>
  </r>
  <r>
    <x v="7422"/>
    <s v="Peconic Bay Medical Center"/>
    <n v="2015"/>
    <n v="7"/>
    <s v="Medicare"/>
    <x v="2"/>
    <s v="Medicare"/>
    <n v="19906.16"/>
    <n v="4730"/>
    <n v="0"/>
  </r>
  <r>
    <x v="7423"/>
    <s v="Peconic Bay Medical Center"/>
    <n v="2015"/>
    <n v="7"/>
    <s v="Medicare"/>
    <x v="2"/>
    <s v="Medicare"/>
    <n v="17313.54"/>
    <n v="4403.88"/>
    <n v="0"/>
  </r>
  <r>
    <x v="7424"/>
    <s v="Peconic Bay Medical Center"/>
    <n v="2015"/>
    <n v="7"/>
    <s v="Medicare"/>
    <x v="2"/>
    <s v="Medicare"/>
    <n v="321784.65999999997"/>
    <n v="165468.56"/>
    <n v="0"/>
  </r>
  <r>
    <x v="7425"/>
    <s v="Peconic Bay Medical Center"/>
    <n v="2015"/>
    <n v="7"/>
    <s v="Medicare"/>
    <x v="2"/>
    <s v="Medicare"/>
    <n v="19028.8"/>
    <n v="5691.25"/>
    <n v="0"/>
  </r>
  <r>
    <x v="7426"/>
    <s v="Peconic Bay Medical Center"/>
    <n v="2015"/>
    <n v="7"/>
    <s v="Medicare"/>
    <x v="2"/>
    <s v="Medicare"/>
    <n v="35402.44"/>
    <n v="7672.44"/>
    <n v="0"/>
  </r>
  <r>
    <x v="7427"/>
    <s v="Peconic Bay Medical Center"/>
    <n v="2015"/>
    <n v="7"/>
    <s v="Medicare"/>
    <x v="2"/>
    <s v="Medicare"/>
    <n v="48234"/>
    <n v="23148.799999999999"/>
    <n v="0"/>
  </r>
  <r>
    <x v="7428"/>
    <s v="Peconic Bay Medical Center"/>
    <n v="2015"/>
    <n v="7"/>
    <s v="Medicare"/>
    <x v="2"/>
    <s v="Medicare"/>
    <n v="29664.400000000001"/>
    <n v="8398.5499999999993"/>
    <n v="0"/>
  </r>
  <r>
    <x v="7429"/>
    <s v="Peconic Bay Medical Center"/>
    <n v="2015"/>
    <n v="7"/>
    <s v="Medicare"/>
    <x v="2"/>
    <s v="Medicare"/>
    <n v="44757.68"/>
    <n v="13498.26"/>
    <n v="0"/>
  </r>
  <r>
    <x v="7430"/>
    <s v="Peconic Bay Medical Center"/>
    <n v="2015"/>
    <n v="7"/>
    <s v="Medicare"/>
    <x v="2"/>
    <s v="Medicare"/>
    <n v="27979.24"/>
    <n v="5529.74"/>
    <n v="0"/>
  </r>
  <r>
    <x v="7431"/>
    <s v="Peconic Bay Medical Center"/>
    <n v="2015"/>
    <n v="7"/>
    <s v="Medicare"/>
    <x v="2"/>
    <s v="Medicare"/>
    <n v="20052.8"/>
    <n v="5684.87"/>
    <n v="0"/>
  </r>
  <r>
    <x v="7432"/>
    <s v="Peconic Bay Medical Center"/>
    <n v="2015"/>
    <n v="7"/>
    <s v="Medicare"/>
    <x v="2"/>
    <s v="Medicare"/>
    <n v="26270.560000000001"/>
    <n v="7463.51"/>
    <n v="0"/>
  </r>
  <r>
    <x v="7433"/>
    <s v="Peconic Bay Medical Center"/>
    <n v="2015"/>
    <n v="7"/>
    <s v="Medicare"/>
    <x v="2"/>
    <s v="Medicare"/>
    <n v="64442.44"/>
    <n v="25682.880000000001"/>
    <n v="0"/>
  </r>
  <r>
    <x v="7434"/>
    <s v="Peconic Bay Medical Center"/>
    <n v="2015"/>
    <n v="7"/>
    <s v="Medicare"/>
    <x v="2"/>
    <s v="Medicare"/>
    <n v="29171.42"/>
    <n v="8302.83"/>
    <n v="0"/>
  </r>
  <r>
    <x v="7435"/>
    <s v="Peconic Bay Medical Center"/>
    <n v="2015"/>
    <n v="7"/>
    <s v="Medicare"/>
    <x v="2"/>
    <s v="Medicare"/>
    <n v="277297.65999999997"/>
    <n v="143515.91"/>
    <n v="0"/>
  </r>
  <r>
    <x v="7436"/>
    <s v="Peconic Bay Medical Center"/>
    <n v="2015"/>
    <n v="7"/>
    <s v="Medicare"/>
    <x v="2"/>
    <s v="Medicare"/>
    <n v="105386.66"/>
    <n v="27239.55"/>
    <n v="0"/>
  </r>
  <r>
    <x v="7437"/>
    <s v="Peconic Bay Medical Center"/>
    <n v="2015"/>
    <n v="7"/>
    <s v="Medicare"/>
    <x v="2"/>
    <s v="Medicare"/>
    <n v="111783.9"/>
    <n v="53676.480000000003"/>
    <n v="0"/>
  </r>
  <r>
    <x v="7438"/>
    <s v="Peconic Bay Medical Center"/>
    <n v="2015"/>
    <n v="7"/>
    <s v="Medicare"/>
    <x v="2"/>
    <s v="Medicare"/>
    <n v="32470.6"/>
    <n v="13201.27"/>
    <n v="0"/>
  </r>
  <r>
    <x v="7439"/>
    <s v="Peconic Bay Medical Center"/>
    <n v="2015"/>
    <n v="7"/>
    <s v="Medicare"/>
    <x v="2"/>
    <s v="Medicare"/>
    <n v="47169.48"/>
    <n v="12962.82"/>
    <n v="0"/>
  </r>
  <r>
    <x v="7440"/>
    <s v="Peconic Bay Medical Center"/>
    <n v="2015"/>
    <n v="7"/>
    <s v="Medicare"/>
    <x v="2"/>
    <s v="Medicare"/>
    <n v="31216.54"/>
    <n v="7813.42"/>
    <n v="0"/>
  </r>
  <r>
    <x v="7441"/>
    <s v="Peconic Bay Medical Center"/>
    <n v="2015"/>
    <n v="7"/>
    <s v="Medicare"/>
    <x v="2"/>
    <s v="Medicare"/>
    <n v="15881.36"/>
    <n v="3812.72"/>
    <n v="0"/>
  </r>
  <r>
    <x v="7442"/>
    <s v="Peconic Bay Medical Center"/>
    <n v="2015"/>
    <n v="7"/>
    <s v="Medicare"/>
    <x v="2"/>
    <s v="Medicare"/>
    <n v="31779.84"/>
    <n v="9254.1299999999992"/>
    <n v="0"/>
  </r>
  <r>
    <x v="7443"/>
    <s v="Peconic Bay Medical Center"/>
    <n v="2015"/>
    <n v="7"/>
    <s v="Medicare"/>
    <x v="2"/>
    <s v="Medicare"/>
    <n v="38776.28"/>
    <n v="20232.669999999998"/>
    <n v="0"/>
  </r>
  <r>
    <x v="7444"/>
    <s v="Peconic Bay Medical Center"/>
    <n v="2015"/>
    <n v="7"/>
    <s v="Medicare"/>
    <x v="2"/>
    <s v="Medicare"/>
    <n v="13436.54"/>
    <n v="2758.87"/>
    <n v="0"/>
  </r>
  <r>
    <x v="7445"/>
    <s v="Peconic Bay Medical Center"/>
    <n v="2015"/>
    <n v="7"/>
    <s v="Medicare"/>
    <x v="2"/>
    <s v="Medicare"/>
    <n v="28820.639999999999"/>
    <n v="7771.27"/>
    <n v="0"/>
  </r>
  <r>
    <x v="7446"/>
    <s v="Peconic Bay Medical Center"/>
    <n v="2015"/>
    <n v="7"/>
    <s v="Medicare"/>
    <x v="2"/>
    <s v="Medicare"/>
    <n v="48250.92"/>
    <n v="21997.35"/>
    <n v="0"/>
  </r>
  <r>
    <x v="7447"/>
    <s v="Peconic Bay Medical Center"/>
    <n v="2015"/>
    <n v="7"/>
    <s v="Medicare"/>
    <x v="2"/>
    <s v="Medicare"/>
    <n v="52733.279999999999"/>
    <n v="15322.51"/>
    <n v="0"/>
  </r>
  <r>
    <x v="7448"/>
    <s v="Peconic Bay Medical Center"/>
    <n v="2015"/>
    <n v="7"/>
    <s v="Medicare"/>
    <x v="2"/>
    <s v="Medicare"/>
    <n v="10421.68"/>
    <n v="2746.02"/>
    <n v="0"/>
  </r>
  <r>
    <x v="7449"/>
    <s v="Peconic Bay Medical Center"/>
    <n v="2015"/>
    <n v="7"/>
    <s v="Medicare"/>
    <x v="2"/>
    <s v="Medicare"/>
    <n v="48028.28"/>
    <n v="17169.61"/>
    <n v="0"/>
  </r>
  <r>
    <x v="7450"/>
    <s v="Peconic Bay Medical Center"/>
    <n v="2015"/>
    <n v="7"/>
    <s v="Medicare"/>
    <x v="2"/>
    <s v="Medicare"/>
    <n v="14277.88"/>
    <n v="3223.78"/>
    <n v="0"/>
  </r>
  <r>
    <x v="7451"/>
    <s v="Peconic Bay Medical Center"/>
    <n v="2015"/>
    <n v="7"/>
    <s v="Medicare"/>
    <x v="2"/>
    <s v="Medicare"/>
    <n v="18573.36"/>
    <n v="4860.04"/>
    <n v="0"/>
  </r>
  <r>
    <x v="7452"/>
    <s v="Peconic Bay Medical Center"/>
    <n v="2015"/>
    <n v="7"/>
    <s v="Medicare"/>
    <x v="2"/>
    <s v="Medicare"/>
    <n v="24777.38"/>
    <n v="6529.28"/>
    <n v="0"/>
  </r>
  <r>
    <x v="7453"/>
    <s v="Peconic Bay Medical Center"/>
    <n v="2015"/>
    <n v="7"/>
    <s v="Medicare"/>
    <x v="2"/>
    <s v="Medicare"/>
    <n v="9059.7199999999993"/>
    <n v="2480.8200000000002"/>
    <n v="0"/>
  </r>
  <r>
    <x v="7454"/>
    <s v="Peconic Bay Medical Center"/>
    <n v="2015"/>
    <n v="7"/>
    <s v="Medicare"/>
    <x v="2"/>
    <s v="Medicare"/>
    <n v="45021.34"/>
    <n v="13328.37"/>
    <n v="0"/>
  </r>
  <r>
    <x v="7455"/>
    <s v="Peconic Bay Medical Center"/>
    <n v="2015"/>
    <n v="7"/>
    <s v="Medicare"/>
    <x v="2"/>
    <s v="Medicare"/>
    <n v="32929.96"/>
    <n v="9874.43"/>
    <n v="0"/>
  </r>
  <r>
    <x v="7456"/>
    <s v="Peconic Bay Medical Center"/>
    <n v="2015"/>
    <n v="7"/>
    <s v="Medicare"/>
    <x v="2"/>
    <s v="Medicare"/>
    <n v="39542.1"/>
    <n v="12349.18"/>
    <n v="0"/>
  </r>
  <r>
    <x v="7457"/>
    <s v="Peconic Bay Medical Center"/>
    <n v="2015"/>
    <n v="7"/>
    <s v="Medicare"/>
    <x v="2"/>
    <s v="Medicare"/>
    <n v="19113.12"/>
    <n v="5074"/>
    <n v="0"/>
  </r>
  <r>
    <x v="7458"/>
    <s v="Peconic Bay Medical Center"/>
    <n v="2015"/>
    <n v="7"/>
    <s v="Medicare"/>
    <x v="2"/>
    <s v="Medicare"/>
    <n v="39736.660000000003"/>
    <n v="11269.7"/>
    <n v="0"/>
  </r>
  <r>
    <x v="7459"/>
    <s v="Peconic Bay Medical Center"/>
    <n v="2015"/>
    <n v="7"/>
    <s v="Medicare"/>
    <x v="2"/>
    <s v="Medicare"/>
    <n v="24697.52"/>
    <n v="6628.92"/>
    <n v="0"/>
  </r>
  <r>
    <x v="7460"/>
    <s v="Peconic Bay Medical Center"/>
    <n v="2015"/>
    <n v="7"/>
    <s v="Medicare"/>
    <x v="2"/>
    <s v="Medicare"/>
    <n v="22145.919999999998"/>
    <n v="5353.9"/>
    <n v="0"/>
  </r>
  <r>
    <x v="7461"/>
    <s v="Peconic Bay Medical Center"/>
    <n v="2015"/>
    <n v="7"/>
    <s v="Medicare"/>
    <x v="2"/>
    <s v="Medicare"/>
    <n v="20829.84"/>
    <n v="4938.66"/>
    <n v="0"/>
  </r>
  <r>
    <x v="7462"/>
    <s v="Peconic Bay Medical Center"/>
    <n v="2015"/>
    <n v="7"/>
    <s v="Medicare"/>
    <x v="2"/>
    <s v="Medicare"/>
    <n v="15771.48"/>
    <n v="4646.38"/>
    <n v="0"/>
  </r>
  <r>
    <x v="7463"/>
    <s v="Peconic Bay Medical Center"/>
    <n v="2015"/>
    <n v="7"/>
    <s v="Medicare"/>
    <x v="2"/>
    <s v="Medicare"/>
    <n v="47518.400000000001"/>
    <n v="13592.04"/>
    <n v="0"/>
  </r>
  <r>
    <x v="7464"/>
    <s v="Peconic Bay Medical Center"/>
    <n v="2015"/>
    <n v="7"/>
    <s v="Medicare"/>
    <x v="2"/>
    <s v="Medicare"/>
    <n v="16902.52"/>
    <n v="3270.91"/>
    <n v="0"/>
  </r>
  <r>
    <x v="7465"/>
    <s v="Peconic Bay Medical Center"/>
    <n v="2015"/>
    <n v="7"/>
    <s v="Medicare"/>
    <x v="2"/>
    <s v="Medicare"/>
    <n v="27239.64"/>
    <n v="8009.72"/>
    <n v="0"/>
  </r>
  <r>
    <x v="7466"/>
    <s v="Peconic Bay Medical Center"/>
    <n v="2015"/>
    <n v="7"/>
    <s v="Medicare"/>
    <x v="2"/>
    <s v="Medicare"/>
    <n v="46363.199999999997"/>
    <n v="13521.8"/>
    <n v="0"/>
  </r>
  <r>
    <x v="7467"/>
    <s v="Peconic Bay Medical Center"/>
    <n v="2015"/>
    <n v="7"/>
    <s v="Medicare"/>
    <x v="2"/>
    <s v="Medicare"/>
    <n v="25731.54"/>
    <n v="6534.69"/>
    <n v="0"/>
  </r>
  <r>
    <x v="7468"/>
    <s v="Peconic Bay Medical Center"/>
    <n v="2015"/>
    <n v="7"/>
    <s v="Medicare"/>
    <x v="2"/>
    <s v="Medicare"/>
    <n v="10517.18"/>
    <n v="2809.47"/>
    <n v="0"/>
  </r>
  <r>
    <x v="7469"/>
    <s v="Peconic Bay Medical Center"/>
    <n v="2015"/>
    <n v="7"/>
    <s v="Medicare"/>
    <x v="2"/>
    <s v="Medicare"/>
    <n v="17536.02"/>
    <n v="5455.05"/>
    <n v="0"/>
  </r>
  <r>
    <x v="7470"/>
    <s v="Peconic Bay Medical Center"/>
    <n v="2015"/>
    <n v="7"/>
    <s v="Medicare"/>
    <x v="2"/>
    <s v="Medicare"/>
    <n v="18516.3"/>
    <n v="5630.16"/>
    <n v="0"/>
  </r>
  <r>
    <x v="7471"/>
    <s v="Peconic Bay Medical Center"/>
    <n v="2015"/>
    <n v="7"/>
    <s v="Medicare"/>
    <x v="2"/>
    <s v="Medicare"/>
    <n v="40059.199999999997"/>
    <n v="14947.66"/>
    <n v="0"/>
  </r>
  <r>
    <x v="7472"/>
    <s v="Peconic Bay Medical Center"/>
    <n v="2015"/>
    <n v="7"/>
    <s v="Medicare"/>
    <x v="2"/>
    <s v="Medicare"/>
    <n v="33298.720000000001"/>
    <n v="9216.6299999999992"/>
    <n v="0"/>
  </r>
  <r>
    <x v="7473"/>
    <s v="Peconic Bay Medical Center"/>
    <n v="2015"/>
    <n v="7"/>
    <s v="Medicare"/>
    <x v="2"/>
    <s v="Medicare"/>
    <n v="35326.019999999997"/>
    <n v="9724.75"/>
    <n v="0"/>
  </r>
  <r>
    <x v="7474"/>
    <s v="Peconic Bay Medical Center"/>
    <n v="2015"/>
    <n v="7"/>
    <s v="Medicare"/>
    <x v="2"/>
    <s v="Medicare"/>
    <n v="12347.54"/>
    <n v="2908.19"/>
    <n v="0"/>
  </r>
  <r>
    <x v="7475"/>
    <s v="Peconic Bay Medical Center"/>
    <n v="2015"/>
    <n v="7"/>
    <s v="Medicare"/>
    <x v="2"/>
    <s v="Medicare"/>
    <n v="11672.64"/>
    <n v="2996.95"/>
    <n v="0"/>
  </r>
  <r>
    <x v="7476"/>
    <s v="Peconic Bay Medical Center"/>
    <n v="2015"/>
    <n v="7"/>
    <s v="Medicare"/>
    <x v="2"/>
    <s v="Medicare"/>
    <n v="29795.24"/>
    <n v="8771.7999999999993"/>
    <n v="0"/>
  </r>
  <r>
    <x v="7477"/>
    <s v="Peconic Bay Medical Center"/>
    <n v="2015"/>
    <n v="7"/>
    <s v="Medicare"/>
    <x v="2"/>
    <s v="Medicare"/>
    <n v="12169.32"/>
    <n v="2793.98"/>
    <n v="0"/>
  </r>
  <r>
    <x v="7478"/>
    <s v="Peconic Bay Medical Center"/>
    <n v="2015"/>
    <n v="7"/>
    <s v="Medicare"/>
    <x v="2"/>
    <s v="Medicare"/>
    <n v="29645.200000000001"/>
    <n v="8717.1"/>
    <n v="0"/>
  </r>
  <r>
    <x v="7479"/>
    <s v="Peconic Bay Medical Center"/>
    <n v="2015"/>
    <n v="7"/>
    <s v="Medicare"/>
    <x v="2"/>
    <s v="Medicare"/>
    <n v="21821"/>
    <n v="5458.11"/>
    <n v="0"/>
  </r>
  <r>
    <x v="7480"/>
    <s v="Peconic Bay Medical Center"/>
    <n v="2015"/>
    <n v="7"/>
    <s v="Medicare"/>
    <x v="2"/>
    <s v="Medicare"/>
    <n v="21883.119999999999"/>
    <n v="4104.1000000000004"/>
    <n v="0"/>
  </r>
  <r>
    <x v="7481"/>
    <s v="Peconic Bay Medical Center"/>
    <n v="2015"/>
    <n v="7"/>
    <s v="Medicare"/>
    <x v="2"/>
    <s v="Medicare"/>
    <n v="23885.48"/>
    <n v="7534.61"/>
    <n v="0"/>
  </r>
  <r>
    <x v="7482"/>
    <s v="Peconic Bay Medical Center"/>
    <n v="2015"/>
    <n v="7"/>
    <s v="Medicare"/>
    <x v="2"/>
    <s v="Medicare"/>
    <n v="31049.040000000001"/>
    <n v="9877.52"/>
    <n v="0"/>
  </r>
  <r>
    <x v="7483"/>
    <s v="Peconic Bay Medical Center"/>
    <n v="2015"/>
    <n v="7"/>
    <s v="Medicare"/>
    <x v="2"/>
    <s v="Medicare"/>
    <n v="35657.22"/>
    <n v="10438.07"/>
    <n v="0"/>
  </r>
  <r>
    <x v="7484"/>
    <s v="Peconic Bay Medical Center"/>
    <n v="2015"/>
    <n v="7"/>
    <s v="Medicare"/>
    <x v="2"/>
    <s v="Medicare"/>
    <n v="12318.02"/>
    <n v="3391.97"/>
    <n v="0"/>
  </r>
  <r>
    <x v="7485"/>
    <s v="Peconic Bay Medical Center"/>
    <n v="2015"/>
    <n v="7"/>
    <s v="Medicare"/>
    <x v="2"/>
    <s v="Medicare"/>
    <n v="21636.76"/>
    <n v="2998.8"/>
    <n v="0"/>
  </r>
  <r>
    <x v="7486"/>
    <s v="Peconic Bay Medical Center"/>
    <n v="2015"/>
    <n v="7"/>
    <s v="Medicare"/>
    <x v="2"/>
    <s v="Medicare"/>
    <n v="61486.78"/>
    <n v="18871.599999999999"/>
    <n v="0"/>
  </r>
  <r>
    <x v="7487"/>
    <s v="Peconic Bay Medical Center"/>
    <n v="2015"/>
    <n v="7"/>
    <s v="Medicare"/>
    <x v="2"/>
    <s v="Medicare"/>
    <n v="32641.86"/>
    <n v="8328.67"/>
    <n v="0"/>
  </r>
  <r>
    <x v="7488"/>
    <s v="Peconic Bay Medical Center"/>
    <n v="2015"/>
    <n v="7"/>
    <s v="Medicare"/>
    <x v="2"/>
    <s v="Medicare"/>
    <n v="26568.78"/>
    <n v="6904.29"/>
    <n v="0"/>
  </r>
  <r>
    <x v="7489"/>
    <s v="Peconic Bay Medical Center"/>
    <n v="2015"/>
    <n v="7"/>
    <s v="Medicare"/>
    <x v="2"/>
    <s v="Medicare"/>
    <n v="101061.48"/>
    <n v="27803.17"/>
    <n v="0"/>
  </r>
  <r>
    <x v="7490"/>
    <s v="Peconic Bay Medical Center"/>
    <n v="2015"/>
    <n v="7"/>
    <s v="Medicare"/>
    <x v="2"/>
    <s v="Medicare"/>
    <n v="20317.419999999998"/>
    <n v="5833.16"/>
    <n v="0"/>
  </r>
  <r>
    <x v="7491"/>
    <s v="Peconic Bay Medical Center"/>
    <n v="2015"/>
    <n v="7"/>
    <s v="Medicare"/>
    <x v="2"/>
    <s v="Medicare"/>
    <n v="21094.16"/>
    <n v="6269.05"/>
    <n v="0"/>
  </r>
  <r>
    <x v="7492"/>
    <s v="Peconic Bay Medical Center"/>
    <n v="2015"/>
    <n v="7"/>
    <s v="Medicare"/>
    <x v="2"/>
    <s v="Medicare"/>
    <n v="52035.62"/>
    <n v="16161.84"/>
    <n v="0"/>
  </r>
  <r>
    <x v="7493"/>
    <s v="Peconic Bay Medical Center"/>
    <n v="2015"/>
    <n v="7"/>
    <s v="Medicare"/>
    <x v="2"/>
    <s v="Medicare"/>
    <n v="25160.62"/>
    <n v="13397.15"/>
    <n v="0"/>
  </r>
  <r>
    <x v="7494"/>
    <s v="Peconic Bay Medical Center"/>
    <n v="2015"/>
    <n v="7"/>
    <s v="Medicare"/>
    <x v="2"/>
    <s v="Medicare"/>
    <n v="59137.34"/>
    <n v="18466.830000000002"/>
    <n v="0"/>
  </r>
  <r>
    <x v="7495"/>
    <s v="Peconic Bay Medical Center"/>
    <n v="2015"/>
    <n v="7"/>
    <s v="Medicare"/>
    <x v="2"/>
    <s v="Medicare"/>
    <n v="80596.06"/>
    <n v="33881.589999999997"/>
    <n v="0"/>
  </r>
  <r>
    <x v="7496"/>
    <s v="Peconic Bay Medical Center"/>
    <n v="2015"/>
    <n v="7"/>
    <s v="Medicare"/>
    <x v="2"/>
    <s v="Medicare"/>
    <n v="16260.52"/>
    <n v="3387.64"/>
    <n v="0"/>
  </r>
  <r>
    <x v="7497"/>
    <s v="Peconic Bay Medical Center"/>
    <n v="2015"/>
    <n v="7"/>
    <s v="Medicare"/>
    <x v="2"/>
    <s v="Medicare"/>
    <n v="44587.74"/>
    <n v="13405.16"/>
    <n v="0"/>
  </r>
  <r>
    <x v="7498"/>
    <s v="Peconic Bay Medical Center"/>
    <n v="2015"/>
    <n v="7"/>
    <s v="Medicare"/>
    <x v="2"/>
    <s v="Medicare"/>
    <n v="36202.06"/>
    <n v="10347.959999999999"/>
    <n v="0"/>
  </r>
  <r>
    <x v="7499"/>
    <s v="Peconic Bay Medical Center"/>
    <n v="2015"/>
    <n v="7"/>
    <s v="Medicare"/>
    <x v="2"/>
    <s v="Medicare"/>
    <n v="14350.9"/>
    <n v="4341.12"/>
    <n v="0"/>
  </r>
  <r>
    <x v="7500"/>
    <s v="Peconic Bay Medical Center"/>
    <n v="2015"/>
    <n v="7"/>
    <s v="Medicare"/>
    <x v="2"/>
    <s v="Medicare"/>
    <n v="67818.259999999995"/>
    <n v="25604.86"/>
    <n v="0"/>
  </r>
  <r>
    <x v="7501"/>
    <s v="Peconic Bay Medical Center"/>
    <n v="2015"/>
    <n v="7"/>
    <s v="Medicare"/>
    <x v="2"/>
    <s v="Medicare"/>
    <n v="14661.96"/>
    <n v="3040.6"/>
    <n v="0"/>
  </r>
  <r>
    <x v="7502"/>
    <s v="Peconic Bay Medical Center"/>
    <n v="2015"/>
    <n v="7"/>
    <s v="Medicare"/>
    <x v="2"/>
    <s v="Medicare"/>
    <n v="35528"/>
    <n v="8851.8700000000008"/>
    <n v="0"/>
  </r>
  <r>
    <x v="7503"/>
    <s v="Peconic Bay Medical Center"/>
    <n v="2015"/>
    <n v="7"/>
    <s v="Medicare"/>
    <x v="2"/>
    <s v="Medicare"/>
    <n v="10982.86"/>
    <n v="2903.94"/>
    <n v="0"/>
  </r>
  <r>
    <x v="7504"/>
    <s v="Peconic Bay Medical Center"/>
    <n v="2015"/>
    <n v="7"/>
    <s v="Medicare"/>
    <x v="2"/>
    <s v="Medicare"/>
    <n v="20952.580000000002"/>
    <n v="5532.26"/>
    <n v="0"/>
  </r>
  <r>
    <x v="7505"/>
    <s v="Peconic Bay Medical Center"/>
    <n v="2015"/>
    <n v="7"/>
    <s v="Medicare"/>
    <x v="2"/>
    <s v="Medicare"/>
    <n v="16418.060000000001"/>
    <n v="4681.93"/>
    <n v="0"/>
  </r>
  <r>
    <x v="7506"/>
    <s v="Peconic Bay Medical Center"/>
    <n v="2015"/>
    <n v="7"/>
    <s v="Medicare"/>
    <x v="2"/>
    <s v="Medicare"/>
    <n v="21662.9"/>
    <n v="6119.88"/>
    <n v="0"/>
  </r>
  <r>
    <x v="7507"/>
    <s v="Peconic Bay Medical Center"/>
    <n v="2015"/>
    <n v="7"/>
    <s v="Medicare"/>
    <x v="2"/>
    <s v="Medicare"/>
    <n v="29034.18"/>
    <n v="7058.06"/>
    <n v="0"/>
  </r>
  <r>
    <x v="7508"/>
    <s v="Peconic Bay Medical Center"/>
    <n v="2015"/>
    <n v="7"/>
    <s v="Medicare"/>
    <x v="2"/>
    <s v="Medicare"/>
    <n v="13114.04"/>
    <n v="2981.38"/>
    <n v="0"/>
  </r>
  <r>
    <x v="7509"/>
    <s v="Peconic Bay Medical Center"/>
    <n v="2015"/>
    <n v="7"/>
    <s v="Medicare"/>
    <x v="2"/>
    <s v="Medicare"/>
    <n v="8524.68"/>
    <n v="2337.1999999999998"/>
    <n v="0"/>
  </r>
  <r>
    <x v="7510"/>
    <s v="Peconic Bay Medical Center"/>
    <n v="2015"/>
    <n v="7"/>
    <s v="Medicare"/>
    <x v="2"/>
    <s v="Medicare"/>
    <n v="32871.9"/>
    <n v="16334.93"/>
    <n v="0"/>
  </r>
  <r>
    <x v="7511"/>
    <s v="Peconic Bay Medical Center"/>
    <n v="2015"/>
    <n v="7"/>
    <s v="Medicare"/>
    <x v="2"/>
    <s v="Medicare"/>
    <n v="23109.74"/>
    <n v="10248.01"/>
    <n v="0"/>
  </r>
  <r>
    <x v="7512"/>
    <s v="Peconic Bay Medical Center"/>
    <n v="2015"/>
    <n v="7"/>
    <s v="Medicare"/>
    <x v="2"/>
    <s v="Medicare"/>
    <n v="59260.12"/>
    <n v="17090.21"/>
    <n v="0"/>
  </r>
  <r>
    <x v="7513"/>
    <s v="Peconic Bay Medical Center"/>
    <n v="2015"/>
    <n v="7"/>
    <s v="Medicare"/>
    <x v="2"/>
    <s v="Medicare"/>
    <n v="38114.76"/>
    <n v="12017.6"/>
    <n v="0"/>
  </r>
  <r>
    <x v="7514"/>
    <s v="Peconic Bay Medical Center"/>
    <n v="2015"/>
    <n v="7"/>
    <s v="Medicare"/>
    <x v="2"/>
    <s v="Medicare"/>
    <n v="32119.84"/>
    <n v="8894.11"/>
    <n v="0"/>
  </r>
  <r>
    <x v="7515"/>
    <s v="Peconic Bay Medical Center"/>
    <n v="2015"/>
    <n v="7"/>
    <s v="Medicare"/>
    <x v="2"/>
    <s v="Medicare"/>
    <n v="63469.279999999999"/>
    <n v="20376.86"/>
    <n v="0"/>
  </r>
  <r>
    <x v="7516"/>
    <s v="Peconic Bay Medical Center"/>
    <n v="2015"/>
    <n v="7"/>
    <s v="Medicare"/>
    <x v="2"/>
    <s v="Medicare"/>
    <n v="47818.2"/>
    <n v="14869.35"/>
    <n v="0"/>
  </r>
  <r>
    <x v="7517"/>
    <s v="Peconic Bay Medical Center"/>
    <n v="2015"/>
    <n v="7"/>
    <s v="Medicare"/>
    <x v="2"/>
    <s v="Medicare"/>
    <n v="26104.36"/>
    <n v="7901.53"/>
    <n v="0"/>
  </r>
  <r>
    <x v="7518"/>
    <s v="Peconic Bay Medical Center"/>
    <n v="2015"/>
    <n v="7"/>
    <s v="Medicare"/>
    <x v="2"/>
    <s v="Medicare"/>
    <n v="30242.32"/>
    <n v="11756.45"/>
    <n v="0"/>
  </r>
  <r>
    <x v="7519"/>
    <s v="Peconic Bay Medical Center"/>
    <n v="2015"/>
    <n v="7"/>
    <s v="Medicare"/>
    <x v="2"/>
    <s v="Medicare"/>
    <n v="15604.68"/>
    <n v="4524.5600000000004"/>
    <n v="0"/>
  </r>
  <r>
    <x v="7520"/>
    <s v="Peconic Bay Medical Center"/>
    <n v="2015"/>
    <n v="7"/>
    <s v="Medicare"/>
    <x v="2"/>
    <s v="Medicare"/>
    <n v="24315.9"/>
    <n v="7557.83"/>
    <n v="0"/>
  </r>
  <r>
    <x v="7521"/>
    <s v="Peconic Bay Medical Center"/>
    <n v="2015"/>
    <n v="7"/>
    <s v="Medicare"/>
    <x v="2"/>
    <s v="Medicare"/>
    <n v="14043.18"/>
    <n v="6565.62"/>
    <n v="0"/>
  </r>
  <r>
    <x v="7522"/>
    <s v="Peconic Bay Medical Center"/>
    <n v="2015"/>
    <n v="7"/>
    <s v="Medicare"/>
    <x v="2"/>
    <s v="Medicare"/>
    <n v="30178.78"/>
    <n v="6317.87"/>
    <n v="0"/>
  </r>
  <r>
    <x v="7523"/>
    <s v="Peconic Bay Medical Center"/>
    <n v="2015"/>
    <n v="7"/>
    <s v="Medicare"/>
    <x v="2"/>
    <s v="Medicare"/>
    <n v="18710.66"/>
    <n v="4677.37"/>
    <n v="0"/>
  </r>
  <r>
    <x v="7524"/>
    <s v="Peconic Bay Medical Center"/>
    <n v="2015"/>
    <n v="7"/>
    <s v="Medicare"/>
    <x v="2"/>
    <s v="Medicare"/>
    <n v="9720.9599999999991"/>
    <n v="2499.8000000000002"/>
    <n v="0"/>
  </r>
  <r>
    <x v="7525"/>
    <s v="Peconic Bay Medical Center"/>
    <n v="2015"/>
    <n v="7"/>
    <s v="Medicare"/>
    <x v="2"/>
    <s v="Medicare"/>
    <n v="65785.600000000006"/>
    <n v="28672"/>
    <n v="0"/>
  </r>
  <r>
    <x v="7526"/>
    <s v="Peconic Bay Medical Center"/>
    <n v="2015"/>
    <n v="7"/>
    <s v="Medicare"/>
    <x v="2"/>
    <s v="Medicare"/>
    <n v="28203.119999999999"/>
    <n v="8212.33"/>
    <n v="0"/>
  </r>
  <r>
    <x v="7527"/>
    <s v="Peconic Bay Medical Center"/>
    <n v="2015"/>
    <n v="7"/>
    <s v="Medicare"/>
    <x v="2"/>
    <s v="Medicare"/>
    <n v="17720.84"/>
    <n v="5495.01"/>
    <n v="0"/>
  </r>
  <r>
    <x v="7528"/>
    <s v="Peconic Bay Medical Center"/>
    <n v="2015"/>
    <n v="7"/>
    <s v="Medicare"/>
    <x v="2"/>
    <s v="Medicare"/>
    <n v="30384.38"/>
    <n v="7831.58"/>
    <n v="0"/>
  </r>
  <r>
    <x v="7529"/>
    <s v="Peconic Bay Medical Center"/>
    <n v="2015"/>
    <n v="7"/>
    <s v="Medicare"/>
    <x v="2"/>
    <s v="Medicare"/>
    <n v="36479.68"/>
    <n v="7429.81"/>
    <n v="0"/>
  </r>
  <r>
    <x v="7530"/>
    <s v="Peconic Bay Medical Center"/>
    <n v="2015"/>
    <n v="7"/>
    <s v="Medicare"/>
    <x v="2"/>
    <s v="Medicare"/>
    <n v="55454.44"/>
    <n v="15839.29"/>
    <n v="0"/>
  </r>
  <r>
    <x v="7531"/>
    <s v="Peconic Bay Medical Center"/>
    <n v="2015"/>
    <n v="7"/>
    <s v="Medicare"/>
    <x v="2"/>
    <s v="Medicare"/>
    <n v="23229.96"/>
    <n v="6831.2"/>
    <n v="0"/>
  </r>
  <r>
    <x v="7532"/>
    <s v="Peconic Bay Medical Center"/>
    <n v="2015"/>
    <n v="7"/>
    <s v="Medicare"/>
    <x v="2"/>
    <s v="Medicare"/>
    <n v="15928.32"/>
    <n v="4672.3999999999996"/>
    <n v="0"/>
  </r>
  <r>
    <x v="7533"/>
    <s v="Peconic Bay Medical Center"/>
    <n v="2015"/>
    <n v="7"/>
    <s v="Medicare"/>
    <x v="2"/>
    <s v="Medicare"/>
    <n v="65192.26"/>
    <n v="43350.16"/>
    <n v="0"/>
  </r>
  <r>
    <x v="7534"/>
    <s v="Peconic Bay Medical Center"/>
    <n v="2015"/>
    <n v="7"/>
    <s v="Medicare"/>
    <x v="2"/>
    <s v="Medicare"/>
    <n v="21467.42"/>
    <n v="6059.2"/>
    <n v="0"/>
  </r>
  <r>
    <x v="7535"/>
    <s v="Peconic Bay Medical Center"/>
    <n v="2015"/>
    <n v="7"/>
    <s v="Medicare"/>
    <x v="2"/>
    <s v="Medicare"/>
    <n v="20043.080000000002"/>
    <n v="5424.27"/>
    <n v="0"/>
  </r>
  <r>
    <x v="7536"/>
    <s v="Peconic Bay Medical Center"/>
    <n v="2015"/>
    <n v="7"/>
    <s v="Medicare"/>
    <x v="2"/>
    <s v="Medicare"/>
    <n v="16561.52"/>
    <n v="7177.57"/>
    <n v="0"/>
  </r>
  <r>
    <x v="7537"/>
    <s v="Peconic Bay Medical Center"/>
    <n v="2015"/>
    <n v="7"/>
    <s v="Medicare"/>
    <x v="2"/>
    <s v="Medicare"/>
    <n v="19884.560000000001"/>
    <n v="6643.3"/>
    <n v="0"/>
  </r>
  <r>
    <x v="7538"/>
    <s v="Peconic Bay Medical Center"/>
    <n v="2015"/>
    <n v="7"/>
    <s v="Medicare"/>
    <x v="2"/>
    <s v="Medicare"/>
    <n v="19367.259999999998"/>
    <n v="5133.3500000000004"/>
    <n v="0"/>
  </r>
  <r>
    <x v="7539"/>
    <s v="Peconic Bay Medical Center"/>
    <n v="2015"/>
    <n v="7"/>
    <s v="Medicare"/>
    <x v="2"/>
    <s v="Medicare"/>
    <n v="24680.76"/>
    <n v="7987.46"/>
    <n v="0"/>
  </r>
  <r>
    <x v="7540"/>
    <s v="Peconic Bay Medical Center"/>
    <n v="2015"/>
    <n v="7"/>
    <s v="Medicare"/>
    <x v="2"/>
    <s v="Medicare"/>
    <n v="10327.26"/>
    <n v="2549.3000000000002"/>
    <n v="0"/>
  </r>
  <r>
    <x v="7541"/>
    <s v="Peconic Bay Medical Center"/>
    <n v="2015"/>
    <n v="7"/>
    <s v="Medicare"/>
    <x v="2"/>
    <s v="Medicare"/>
    <n v="19061.939999999999"/>
    <n v="5287.24"/>
    <n v="0"/>
  </r>
  <r>
    <x v="7542"/>
    <s v="Peconic Bay Medical Center"/>
    <n v="2015"/>
    <n v="7"/>
    <s v="Medicare"/>
    <x v="2"/>
    <s v="Medicare"/>
    <n v="20397.560000000001"/>
    <n v="6041.49"/>
    <n v="0"/>
  </r>
  <r>
    <x v="7543"/>
    <s v="Peconic Bay Medical Center"/>
    <n v="2015"/>
    <n v="7"/>
    <s v="Medicare"/>
    <x v="2"/>
    <s v="Medicare"/>
    <n v="32957.18"/>
    <n v="8282.01"/>
    <n v="0"/>
  </r>
  <r>
    <x v="7544"/>
    <s v="Peconic Bay Medical Center"/>
    <n v="2015"/>
    <n v="7"/>
    <s v="Medicare"/>
    <x v="2"/>
    <s v="Medicare"/>
    <n v="18118.48"/>
    <n v="4737.9399999999996"/>
    <n v="0"/>
  </r>
  <r>
    <x v="7545"/>
    <s v="Peconic Bay Medical Center"/>
    <n v="2015"/>
    <n v="7"/>
    <s v="Medicare"/>
    <x v="2"/>
    <s v="Medicare"/>
    <n v="42765.96"/>
    <n v="13396.44"/>
    <n v="0"/>
  </r>
  <r>
    <x v="7546"/>
    <s v="Peconic Bay Medical Center"/>
    <n v="2015"/>
    <n v="7"/>
    <s v="Medicare"/>
    <x v="2"/>
    <s v="Medicare"/>
    <n v="45737.5"/>
    <n v="15003.81"/>
    <n v="0"/>
  </r>
  <r>
    <x v="7547"/>
    <s v="Peconic Bay Medical Center"/>
    <n v="2015"/>
    <n v="7"/>
    <s v="Medicare"/>
    <x v="2"/>
    <s v="Medicare"/>
    <n v="47677.47"/>
    <n v="15136.56"/>
    <n v="0"/>
  </r>
  <r>
    <x v="7548"/>
    <s v="Peconic Bay Medical Center"/>
    <n v="2015"/>
    <n v="7"/>
    <s v="Medicare"/>
    <x v="2"/>
    <s v="Medicare"/>
    <n v="20463.7"/>
    <n v="5002.8"/>
    <n v="0"/>
  </r>
  <r>
    <x v="7549"/>
    <s v="Peconic Bay Medical Center"/>
    <n v="2015"/>
    <n v="7"/>
    <s v="Medicare"/>
    <x v="2"/>
    <s v="Medicare"/>
    <n v="20163"/>
    <n v="6141.4"/>
    <n v="0"/>
  </r>
  <r>
    <x v="7550"/>
    <s v="Peconic Bay Medical Center"/>
    <n v="2015"/>
    <n v="7"/>
    <s v="Medicare"/>
    <x v="2"/>
    <s v="Medicare"/>
    <n v="32694.86"/>
    <n v="8502.31"/>
    <n v="0"/>
  </r>
  <r>
    <x v="7551"/>
    <s v="Peconic Bay Medical Center"/>
    <n v="2015"/>
    <n v="7"/>
    <s v="Medicare"/>
    <x v="2"/>
    <s v="Medicare"/>
    <n v="29266.02"/>
    <n v="8679.64"/>
    <n v="0"/>
  </r>
  <r>
    <x v="7552"/>
    <s v="Peconic Bay Medical Center"/>
    <n v="2015"/>
    <n v="7"/>
    <s v="Medicare"/>
    <x v="2"/>
    <s v="Medicare"/>
    <n v="47086.400000000001"/>
    <n v="14419.27"/>
    <n v="0"/>
  </r>
  <r>
    <x v="7553"/>
    <s v="Peconic Bay Medical Center"/>
    <n v="2015"/>
    <n v="7"/>
    <s v="Medicare"/>
    <x v="2"/>
    <s v="Medicare"/>
    <n v="12334"/>
    <n v="3194.91"/>
    <n v="0"/>
  </r>
  <r>
    <x v="7554"/>
    <s v="Peconic Bay Medical Center"/>
    <n v="2015"/>
    <n v="7"/>
    <s v="Medicare"/>
    <x v="2"/>
    <s v="Medicare"/>
    <n v="25570.78"/>
    <n v="6617.89"/>
    <n v="0"/>
  </r>
  <r>
    <x v="7555"/>
    <s v="Peconic Bay Medical Center"/>
    <n v="2015"/>
    <n v="7"/>
    <s v="Medicare"/>
    <x v="2"/>
    <s v="Medicare"/>
    <n v="19889.84"/>
    <n v="3778.71"/>
    <n v="0"/>
  </r>
  <r>
    <x v="7556"/>
    <s v="Peconic Bay Medical Center"/>
    <n v="2015"/>
    <n v="7"/>
    <s v="Medicare"/>
    <x v="2"/>
    <s v="Medicare"/>
    <n v="12440.28"/>
    <n v="2878.62"/>
    <n v="0"/>
  </r>
  <r>
    <x v="7557"/>
    <s v="Peconic Bay Medical Center"/>
    <n v="2015"/>
    <n v="7"/>
    <s v="Medicare"/>
    <x v="2"/>
    <s v="Medicare"/>
    <n v="24887.58"/>
    <n v="6822.7"/>
    <n v="0"/>
  </r>
  <r>
    <x v="7558"/>
    <s v="Peconic Bay Medical Center"/>
    <n v="2015"/>
    <n v="7"/>
    <s v="Medicare"/>
    <x v="2"/>
    <s v="Medicare"/>
    <n v="39647.4"/>
    <n v="10420.200000000001"/>
    <n v="0"/>
  </r>
  <r>
    <x v="7559"/>
    <s v="Peconic Bay Medical Center"/>
    <n v="2015"/>
    <n v="7"/>
    <s v="Medicare"/>
    <x v="2"/>
    <s v="Medicare"/>
    <n v="14421.36"/>
    <n v="3288.14"/>
    <n v="0"/>
  </r>
  <r>
    <x v="7560"/>
    <s v="Peconic Bay Medical Center"/>
    <n v="2015"/>
    <n v="7"/>
    <s v="Medicare"/>
    <x v="2"/>
    <s v="Medicare"/>
    <n v="125038.61"/>
    <n v="114011.74"/>
    <n v="0"/>
  </r>
  <r>
    <x v="7561"/>
    <s v="Peconic Bay Medical Center"/>
    <n v="2015"/>
    <n v="7"/>
    <s v="Medicare"/>
    <x v="2"/>
    <s v="Medicare"/>
    <n v="26934.04"/>
    <n v="6810.51"/>
    <n v="0"/>
  </r>
  <r>
    <x v="7562"/>
    <s v="Peconic Bay Medical Center"/>
    <n v="2015"/>
    <n v="7"/>
    <s v="Medicare"/>
    <x v="2"/>
    <s v="Medicare"/>
    <n v="33913.78"/>
    <n v="17095.669999999998"/>
    <n v="0"/>
  </r>
  <r>
    <x v="7563"/>
    <s v="Peconic Bay Medical Center"/>
    <n v="2015"/>
    <n v="7"/>
    <s v="Medicare"/>
    <x v="2"/>
    <s v="Medicare"/>
    <n v="19833.48"/>
    <n v="4936.1099999999997"/>
    <n v="0"/>
  </r>
  <r>
    <x v="7564"/>
    <s v="Peconic Bay Medical Center"/>
    <n v="2015"/>
    <n v="7"/>
    <s v="Medicare"/>
    <x v="2"/>
    <s v="Medicare"/>
    <n v="28950.720000000001"/>
    <n v="7180.21"/>
    <n v="0"/>
  </r>
  <r>
    <x v="7565"/>
    <s v="Peconic Bay Medical Center"/>
    <n v="2015"/>
    <n v="7"/>
    <s v="Medicare"/>
    <x v="2"/>
    <s v="Medicare"/>
    <n v="12680.26"/>
    <n v="2826.4"/>
    <n v="0"/>
  </r>
  <r>
    <x v="7566"/>
    <s v="Peconic Bay Medical Center"/>
    <n v="2015"/>
    <n v="7"/>
    <s v="Medicare"/>
    <x v="2"/>
    <s v="Medicare"/>
    <n v="31753.18"/>
    <n v="7508.46"/>
    <n v="0"/>
  </r>
  <r>
    <x v="7567"/>
    <s v="Peconic Bay Medical Center"/>
    <n v="2015"/>
    <n v="7"/>
    <s v="Medicare"/>
    <x v="2"/>
    <s v="Medicare"/>
    <n v="17378.580000000002"/>
    <n v="6667.99"/>
    <n v="0"/>
  </r>
  <r>
    <x v="7568"/>
    <s v="Peconic Bay Medical Center"/>
    <n v="2015"/>
    <n v="7"/>
    <s v="Medicare"/>
    <x v="2"/>
    <s v="Medicare"/>
    <n v="14712.16"/>
    <n v="4113.24"/>
    <n v="0"/>
  </r>
  <r>
    <x v="7569"/>
    <s v="Peconic Bay Medical Center"/>
    <n v="2015"/>
    <n v="7"/>
    <s v="Medicare"/>
    <x v="2"/>
    <s v="Medicare"/>
    <n v="10787.46"/>
    <n v="2832.55"/>
    <n v="0"/>
  </r>
  <r>
    <x v="7570"/>
    <s v="Peconic Bay Medical Center"/>
    <n v="2015"/>
    <n v="7"/>
    <s v="Medicare"/>
    <x v="2"/>
    <s v="Medicare"/>
    <n v="30567.56"/>
    <n v="8435.41"/>
    <n v="0"/>
  </r>
  <r>
    <x v="7571"/>
    <s v="Peconic Bay Medical Center"/>
    <n v="2015"/>
    <n v="7"/>
    <s v="Medicare"/>
    <x v="2"/>
    <s v="Medicare"/>
    <n v="33862"/>
    <n v="9348.15"/>
    <n v="0"/>
  </r>
  <r>
    <x v="7572"/>
    <s v="Peconic Bay Medical Center"/>
    <n v="2015"/>
    <n v="7"/>
    <s v="Medicare"/>
    <x v="2"/>
    <s v="Medicare"/>
    <n v="31739.3"/>
    <n v="8516.39"/>
    <n v="0"/>
  </r>
  <r>
    <x v="7573"/>
    <s v="Peconic Bay Medical Center"/>
    <n v="2015"/>
    <n v="7"/>
    <s v="Medicare"/>
    <x v="2"/>
    <s v="Medicare"/>
    <n v="30217.02"/>
    <n v="8763.5"/>
    <n v="0"/>
  </r>
  <r>
    <x v="7574"/>
    <s v="Peconic Bay Medical Center"/>
    <n v="2015"/>
    <n v="7"/>
    <s v="Medicare"/>
    <x v="2"/>
    <s v="Medicare"/>
    <n v="34033.480000000003"/>
    <n v="8329.98"/>
    <n v="0"/>
  </r>
  <r>
    <x v="7575"/>
    <s v="Peconic Bay Medical Center"/>
    <n v="2015"/>
    <n v="7"/>
    <s v="Medicare"/>
    <x v="2"/>
    <s v="Medicare"/>
    <n v="47020.2"/>
    <n v="13855.03"/>
    <n v="0"/>
  </r>
  <r>
    <x v="7576"/>
    <s v="Peconic Bay Medical Center"/>
    <n v="2015"/>
    <n v="7"/>
    <s v="Medicare"/>
    <x v="2"/>
    <s v="Medicare"/>
    <n v="10130.540000000001"/>
    <n v="2761.6"/>
    <n v="0"/>
  </r>
  <r>
    <x v="7577"/>
    <s v="Peconic Bay Medical Center"/>
    <n v="2015"/>
    <n v="7"/>
    <s v="Medicare"/>
    <x v="2"/>
    <s v="Medicare"/>
    <n v="33672.92"/>
    <n v="8243.17"/>
    <n v="0"/>
  </r>
  <r>
    <x v="7578"/>
    <s v="Peconic Bay Medical Center"/>
    <n v="2015"/>
    <n v="7"/>
    <s v="Medicare"/>
    <x v="2"/>
    <s v="Medicare"/>
    <n v="25654.98"/>
    <n v="7450.19"/>
    <n v="0"/>
  </r>
  <r>
    <x v="7579"/>
    <s v="Peconic Bay Medical Center"/>
    <n v="2015"/>
    <n v="7"/>
    <s v="Medicare"/>
    <x v="2"/>
    <s v="Medicare"/>
    <n v="81548.179999999993"/>
    <n v="43735.199999999997"/>
    <n v="0"/>
  </r>
  <r>
    <x v="7580"/>
    <s v="Peconic Bay Medical Center"/>
    <n v="2015"/>
    <n v="7"/>
    <s v="Medicare"/>
    <x v="2"/>
    <s v="Medicare"/>
    <n v="14202.56"/>
    <n v="3628.8"/>
    <n v="0"/>
  </r>
  <r>
    <x v="7581"/>
    <s v="Peconic Bay Medical Center"/>
    <n v="2015"/>
    <n v="7"/>
    <s v="Medicare"/>
    <x v="2"/>
    <s v="Medicare"/>
    <n v="27210.14"/>
    <n v="7886.18"/>
    <n v="0"/>
  </r>
  <r>
    <x v="7582"/>
    <s v="Peconic Bay Medical Center"/>
    <n v="2015"/>
    <n v="7"/>
    <s v="Medicare"/>
    <x v="2"/>
    <s v="Medicare"/>
    <n v="22836.84"/>
    <n v="6898.41"/>
    <n v="0"/>
  </r>
  <r>
    <x v="7583"/>
    <s v="Peconic Bay Medical Center"/>
    <n v="2015"/>
    <n v="7"/>
    <s v="Medicare"/>
    <x v="2"/>
    <s v="Medicare"/>
    <n v="63900.38"/>
    <n v="26605.82"/>
    <n v="0"/>
  </r>
  <r>
    <x v="7584"/>
    <s v="Peconic Bay Medical Center"/>
    <n v="2015"/>
    <n v="8"/>
    <s v="Miscellaneous/Other"/>
    <x v="3"/>
    <s v="Other"/>
    <n v="74918.12"/>
    <n v="56043.67"/>
    <n v="0"/>
  </r>
  <r>
    <x v="7585"/>
    <s v="Peconic Bay Medical Center"/>
    <n v="2015"/>
    <n v="8"/>
    <s v="Miscellaneous/Other"/>
    <x v="3"/>
    <s v="Other"/>
    <n v="47455.199999999997"/>
    <n v="26131.97"/>
    <n v="0"/>
  </r>
  <r>
    <x v="7586"/>
    <s v="Peconic Bay Medical Center"/>
    <n v="2015"/>
    <n v="8"/>
    <s v="Miscellaneous/Other"/>
    <x v="3"/>
    <s v="Other"/>
    <n v="125558.87"/>
    <n v="109060.48"/>
    <n v="0"/>
  </r>
  <r>
    <x v="7587"/>
    <s v="Peconic Bay Medical Center"/>
    <n v="2015"/>
    <n v="8"/>
    <s v="Miscellaneous/Other"/>
    <x v="3"/>
    <s v="Other"/>
    <n v="70063.86"/>
    <n v="50955.71"/>
    <n v="0"/>
  </r>
  <r>
    <x v="7588"/>
    <s v="Peconic Bay Medical Center"/>
    <n v="2015"/>
    <n v="8"/>
    <s v="Miscellaneous/Other"/>
    <x v="3"/>
    <s v="Other"/>
    <n v="70311.259999999995"/>
    <n v="23882.85"/>
    <n v="0"/>
  </r>
  <r>
    <x v="7589"/>
    <s v="Peconic Bay Medical Center"/>
    <n v="2015"/>
    <n v="8"/>
    <s v="Miscellaneous/Other"/>
    <x v="3"/>
    <s v="Other"/>
    <n v="38545.360000000001"/>
    <n v="20429.310000000001"/>
    <n v="0"/>
  </r>
  <r>
    <x v="7590"/>
    <s v="Peconic Bay Medical Center"/>
    <n v="2015"/>
    <n v="8"/>
    <s v="Miscellaneous/Other"/>
    <x v="3"/>
    <s v="Other"/>
    <n v="67472.72"/>
    <n v="49127.360000000001"/>
    <n v="0"/>
  </r>
  <r>
    <x v="7591"/>
    <s v="Peconic Bay Medical Center"/>
    <n v="2015"/>
    <n v="8"/>
    <s v="Miscellaneous/Other"/>
    <x v="3"/>
    <s v="Other"/>
    <n v="94144.74"/>
    <n v="57575.56"/>
    <n v="0"/>
  </r>
  <r>
    <x v="7592"/>
    <s v="Peconic Bay Medical Center"/>
    <n v="2015"/>
    <n v="8"/>
    <s v="Miscellaneous/Other"/>
    <x v="3"/>
    <s v="Other"/>
    <n v="182324.86"/>
    <n v="175398.08"/>
    <n v="0"/>
  </r>
  <r>
    <x v="7593"/>
    <s v="Peconic Bay Medical Center"/>
    <n v="2015"/>
    <n v="8"/>
    <s v="Miscellaneous/Other"/>
    <x v="3"/>
    <s v="Other"/>
    <n v="239361.72"/>
    <n v="79676.960000000006"/>
    <n v="0"/>
  </r>
  <r>
    <x v="7594"/>
    <s v="Peconic Bay Medical Center"/>
    <n v="2015"/>
    <n v="8"/>
    <s v="Miscellaneous/Other"/>
    <x v="3"/>
    <s v="Other"/>
    <n v="65501.66"/>
    <n v="47144.11"/>
    <n v="0"/>
  </r>
  <r>
    <x v="7595"/>
    <s v="Peconic Bay Medical Center"/>
    <n v="2015"/>
    <n v="8"/>
    <s v="Miscellaneous/Other"/>
    <x v="3"/>
    <s v="Other"/>
    <n v="374194.52"/>
    <n v="119947.01"/>
    <n v="0"/>
  </r>
  <r>
    <x v="7596"/>
    <s v="Peconic Bay Medical Center"/>
    <n v="2015"/>
    <n v="8"/>
    <s v="Miscellaneous/Other"/>
    <x v="3"/>
    <s v="Other"/>
    <n v="72654.3"/>
    <n v="55763.88"/>
    <n v="0"/>
  </r>
  <r>
    <x v="7597"/>
    <s v="Peconic Bay Medical Center"/>
    <n v="2015"/>
    <n v="8"/>
    <s v="Miscellaneous/Other"/>
    <x v="3"/>
    <s v="Other"/>
    <n v="1089805.72"/>
    <n v="376311.71"/>
    <n v="0"/>
  </r>
  <r>
    <x v="7598"/>
    <s v="Peconic Bay Medical Center"/>
    <n v="2015"/>
    <n v="8"/>
    <s v="Miscellaneous/Other"/>
    <x v="3"/>
    <s v="Other"/>
    <n v="62814.09"/>
    <n v="43983.839999999997"/>
    <n v="0"/>
  </r>
  <r>
    <x v="7599"/>
    <s v="Peconic Bay Medical Center"/>
    <n v="2015"/>
    <n v="8"/>
    <s v="Miscellaneous/Other"/>
    <x v="3"/>
    <s v="Other"/>
    <n v="70064.479999999996"/>
    <n v="52330.65"/>
    <n v="0"/>
  </r>
  <r>
    <x v="7600"/>
    <s v="Peconic Bay Medical Center"/>
    <n v="2015"/>
    <n v="8"/>
    <s v="Miscellaneous/Other"/>
    <x v="3"/>
    <s v="Other"/>
    <n v="65793.88"/>
    <n v="47272.89"/>
    <n v="0"/>
  </r>
  <r>
    <x v="7601"/>
    <s v="Peconic Bay Medical Center"/>
    <n v="2015"/>
    <n v="8"/>
    <s v="Miscellaneous/Other"/>
    <x v="3"/>
    <s v="Other"/>
    <n v="80818.58"/>
    <n v="63038.86"/>
    <n v="0"/>
  </r>
  <r>
    <x v="7602"/>
    <s v="Peconic Bay Medical Center"/>
    <n v="2015"/>
    <n v="8"/>
    <s v="Miscellaneous/Other"/>
    <x v="3"/>
    <s v="Other"/>
    <n v="62426.720000000001"/>
    <n v="50733.68"/>
    <n v="0"/>
  </r>
  <r>
    <x v="7603"/>
    <s v="Peconic Bay Medical Center"/>
    <n v="2015"/>
    <n v="8"/>
    <s v="Miscellaneous/Other"/>
    <x v="3"/>
    <s v="Other"/>
    <n v="2121068.34"/>
    <n v="728420.4"/>
    <n v="0"/>
  </r>
  <r>
    <x v="7604"/>
    <s v="Peconic Bay Medical Center"/>
    <n v="2015"/>
    <n v="8"/>
    <s v="Miscellaneous/Other"/>
    <x v="3"/>
    <s v="Other"/>
    <n v="62375.26"/>
    <n v="45245.4"/>
    <n v="0"/>
  </r>
  <r>
    <x v="7605"/>
    <s v="Peconic Bay Medical Center"/>
    <n v="2015"/>
    <n v="8"/>
    <s v="Miscellaneous/Other"/>
    <x v="3"/>
    <s v="Other"/>
    <n v="68072.34"/>
    <n v="49425.97"/>
    <n v="0"/>
  </r>
  <r>
    <x v="7606"/>
    <s v="Peconic Bay Medical Center"/>
    <n v="2015"/>
    <n v="8"/>
    <s v="Miscellaneous/Other"/>
    <x v="3"/>
    <s v="Other"/>
    <n v="59878.12"/>
    <n v="45572.11"/>
    <n v="0"/>
  </r>
  <r>
    <x v="7607"/>
    <s v="Peconic Bay Medical Center"/>
    <n v="2015"/>
    <n v="8"/>
    <s v="Miscellaneous/Other"/>
    <x v="3"/>
    <s v="Other"/>
    <n v="76978.02"/>
    <n v="58924.1"/>
    <n v="0"/>
  </r>
  <r>
    <x v="7608"/>
    <s v="Peconic Bay Medical Center"/>
    <n v="2015"/>
    <n v="8"/>
    <s v="Miscellaneous/Other"/>
    <x v="3"/>
    <s v="Other"/>
    <n v="206261.18"/>
    <n v="187811.25"/>
    <n v="0"/>
  </r>
  <r>
    <x v="7609"/>
    <s v="Peconic Bay Medical Center"/>
    <n v="2015"/>
    <n v="8"/>
    <s v="Miscellaneous/Other"/>
    <x v="3"/>
    <s v="Other"/>
    <n v="145089.92000000001"/>
    <n v="51187.47"/>
    <n v="0"/>
  </r>
  <r>
    <x v="7610"/>
    <s v="Peconic Bay Medical Center"/>
    <n v="2015"/>
    <n v="8"/>
    <s v="Miscellaneous/Other"/>
    <x v="3"/>
    <s v="Other"/>
    <n v="2951.92"/>
    <n v="2009.81"/>
    <n v="0"/>
  </r>
  <r>
    <x v="7611"/>
    <s v="Peconic Bay Medical Center"/>
    <n v="2015"/>
    <n v="8"/>
    <s v="Miscellaneous/Other"/>
    <x v="3"/>
    <s v="Other"/>
    <n v="37886.44"/>
    <n v="9668.14"/>
    <n v="0"/>
  </r>
  <r>
    <x v="7612"/>
    <s v="Peconic Bay Medical Center"/>
    <n v="2015"/>
    <n v="8"/>
    <s v="Miscellaneous/Other"/>
    <x v="3"/>
    <s v="Other"/>
    <n v="77641.14"/>
    <n v="59102.68"/>
    <n v="0"/>
  </r>
  <r>
    <x v="7613"/>
    <s v="Peconic Bay Medical Center"/>
    <n v="2015"/>
    <n v="8"/>
    <s v="Miscellaneous/Other"/>
    <x v="3"/>
    <s v="Other"/>
    <n v="66842.179999999993"/>
    <n v="32443.93"/>
    <n v="0"/>
  </r>
  <r>
    <x v="7614"/>
    <s v="Peconic Bay Medical Center"/>
    <n v="2015"/>
    <n v="8"/>
    <s v="Miscellaneous/Other"/>
    <x v="3"/>
    <s v="Other"/>
    <n v="17796.18"/>
    <n v="7618.52"/>
    <n v="0"/>
  </r>
  <r>
    <x v="7615"/>
    <s v="Peconic Bay Medical Center"/>
    <n v="2015"/>
    <n v="8"/>
    <s v="Miscellaneous/Other"/>
    <x v="3"/>
    <s v="Other"/>
    <n v="59929.440000000002"/>
    <n v="42006.53"/>
    <n v="0"/>
  </r>
  <r>
    <x v="7616"/>
    <s v="Peconic Bay Medical Center"/>
    <n v="2015"/>
    <n v="8"/>
    <s v="Miscellaneous/Other"/>
    <x v="3"/>
    <s v="Other"/>
    <n v="79184.34"/>
    <n v="61830.55"/>
    <n v="0"/>
  </r>
  <r>
    <x v="7617"/>
    <s v="Peconic Bay Medical Center"/>
    <n v="2015"/>
    <n v="8"/>
    <s v="Miscellaneous/Other"/>
    <x v="3"/>
    <s v="Other"/>
    <n v="4590.12"/>
    <n v="1595.83"/>
    <n v="0"/>
  </r>
  <r>
    <x v="7618"/>
    <s v="Peconic Bay Medical Center"/>
    <n v="2015"/>
    <n v="8"/>
    <s v="Miscellaneous/Other"/>
    <x v="3"/>
    <s v="Other"/>
    <n v="85483.94"/>
    <n v="52713.919999999998"/>
    <n v="0"/>
  </r>
  <r>
    <x v="7619"/>
    <s v="Peconic Bay Medical Center"/>
    <n v="2015"/>
    <n v="8"/>
    <s v="Miscellaneous/Other"/>
    <x v="3"/>
    <s v="Other"/>
    <n v="66147.48"/>
    <n v="46574.84"/>
    <n v="0"/>
  </r>
  <r>
    <x v="7620"/>
    <s v="Peconic Bay Medical Center"/>
    <n v="2015"/>
    <n v="8"/>
    <s v="Miscellaneous/Other"/>
    <x v="3"/>
    <s v="Other"/>
    <n v="66473.320000000007"/>
    <n v="48896.73"/>
    <n v="0"/>
  </r>
  <r>
    <x v="7621"/>
    <s v="Peconic Bay Medical Center"/>
    <n v="2015"/>
    <n v="8"/>
    <s v="Miscellaneous/Other"/>
    <x v="3"/>
    <s v="Other"/>
    <n v="80182.559999999998"/>
    <n v="48322.080000000002"/>
    <n v="0"/>
  </r>
  <r>
    <x v="7622"/>
    <s v="Peconic Bay Medical Center"/>
    <n v="2015"/>
    <n v="8"/>
    <s v="Miscellaneous/Other"/>
    <x v="3"/>
    <s v="Other"/>
    <n v="65494.8"/>
    <n v="46463.75"/>
    <n v="0"/>
  </r>
  <r>
    <x v="7623"/>
    <s v="Peconic Bay Medical Center"/>
    <n v="2015"/>
    <n v="8"/>
    <s v="Miscellaneous/Other"/>
    <x v="3"/>
    <s v="Other"/>
    <n v="6261.34"/>
    <n v="1830.37"/>
    <n v="0"/>
  </r>
  <r>
    <x v="7624"/>
    <s v="Peconic Bay Medical Center"/>
    <n v="2015"/>
    <n v="8"/>
    <s v="Miscellaneous/Other"/>
    <x v="3"/>
    <s v="Other"/>
    <n v="31403.18"/>
    <n v="9688.51"/>
    <n v="0"/>
  </r>
  <r>
    <x v="7625"/>
    <s v="Peconic Bay Medical Center"/>
    <n v="2015"/>
    <n v="8"/>
    <s v="Miscellaneous/Other"/>
    <x v="3"/>
    <s v="Other"/>
    <n v="6411.08"/>
    <n v="6619.42"/>
    <n v="1"/>
  </r>
  <r>
    <x v="7626"/>
    <s v="Peconic Bay Medical Center"/>
    <n v="2015"/>
    <n v="8"/>
    <s v="Miscellaneous/Other"/>
    <x v="3"/>
    <s v="Other"/>
    <n v="69422.86"/>
    <n v="23875.27"/>
    <n v="0"/>
  </r>
  <r>
    <x v="7627"/>
    <s v="Peconic Bay Medical Center"/>
    <n v="2015"/>
    <n v="8"/>
    <s v="Miscellaneous/Other"/>
    <x v="3"/>
    <s v="Other"/>
    <n v="90001.42"/>
    <n v="64359.65"/>
    <n v="0"/>
  </r>
  <r>
    <x v="7628"/>
    <s v="Peconic Bay Medical Center"/>
    <n v="2015"/>
    <n v="8"/>
    <s v="Miscellaneous/Other"/>
    <x v="3"/>
    <s v="Other"/>
    <n v="127109.19"/>
    <n v="120935.76"/>
    <n v="0"/>
  </r>
  <r>
    <x v="7629"/>
    <s v="Peconic Bay Medical Center"/>
    <n v="2015"/>
    <n v="8"/>
    <s v="Miscellaneous/Other"/>
    <x v="3"/>
    <s v="Other"/>
    <n v="81676.960000000006"/>
    <n v="60774.84"/>
    <n v="0"/>
  </r>
  <r>
    <x v="7630"/>
    <s v="Peconic Bay Medical Center"/>
    <n v="2015"/>
    <n v="8"/>
    <s v="Miscellaneous/Other"/>
    <x v="3"/>
    <s v="Other"/>
    <n v="18835.66"/>
    <n v="4262.24"/>
    <n v="0"/>
  </r>
  <r>
    <x v="7631"/>
    <s v="Peconic Bay Medical Center"/>
    <n v="2015"/>
    <n v="8"/>
    <s v="Miscellaneous/Other"/>
    <x v="3"/>
    <s v="Other"/>
    <n v="109994.26"/>
    <n v="98528.39"/>
    <n v="0"/>
  </r>
  <r>
    <x v="7632"/>
    <s v="Peconic Bay Medical Center"/>
    <n v="2015"/>
    <n v="8"/>
    <s v="Miscellaneous/Other"/>
    <x v="3"/>
    <s v="Other"/>
    <n v="32324.080000000002"/>
    <n v="17252.419999999998"/>
    <n v="0"/>
  </r>
  <r>
    <x v="7633"/>
    <s v="Peconic Bay Medical Center"/>
    <n v="2015"/>
    <n v="8"/>
    <s v="Miscellaneous/Other"/>
    <x v="3"/>
    <s v="Other"/>
    <n v="71848.539999999994"/>
    <n v="54938.81"/>
    <n v="0"/>
  </r>
  <r>
    <x v="7634"/>
    <s v="Peconic Bay Medical Center"/>
    <n v="2015"/>
    <n v="5"/>
    <s v="Federal/State/Local/VA"/>
    <x v="3"/>
    <s v="Other"/>
    <n v="37994.720000000001"/>
    <n v="25639.71"/>
    <n v="0"/>
  </r>
  <r>
    <x v="7635"/>
    <s v="Peconic Bay Medical Center"/>
    <n v="2015"/>
    <n v="8"/>
    <s v="Miscellaneous/Other"/>
    <x v="3"/>
    <s v="Other"/>
    <n v="55988.26"/>
    <n v="22034.37"/>
    <n v="0"/>
  </r>
  <r>
    <x v="7636"/>
    <s v="Peconic Bay Medical Center"/>
    <n v="2015"/>
    <n v="8"/>
    <s v="Miscellaneous/Other"/>
    <x v="3"/>
    <s v="Other"/>
    <n v="63069.34"/>
    <n v="42811.56"/>
    <n v="0"/>
  </r>
  <r>
    <x v="7637"/>
    <s v="Peconic Bay Medical Center"/>
    <n v="2015"/>
    <n v="8"/>
    <s v="Miscellaneous/Other"/>
    <x v="3"/>
    <s v="Other"/>
    <n v="37912.400000000001"/>
    <n v="11529.89"/>
    <n v="0"/>
  </r>
  <r>
    <x v="7638"/>
    <s v="Peconic Bay Medical Center"/>
    <n v="2015"/>
    <n v="8"/>
    <s v="Miscellaneous/Other"/>
    <x v="3"/>
    <s v="Other"/>
    <n v="24217.46"/>
    <n v="12721.8"/>
    <n v="0"/>
  </r>
  <r>
    <x v="7639"/>
    <s v="Peconic Bay Medical Center"/>
    <n v="2015"/>
    <n v="8"/>
    <s v="Miscellaneous/Other"/>
    <x v="3"/>
    <s v="Other"/>
    <n v="43949.84"/>
    <n v="9988.07"/>
    <n v="0"/>
  </r>
  <r>
    <x v="7640"/>
    <s v="Peconic Bay Medical Center"/>
    <n v="2015"/>
    <n v="8"/>
    <s v="Miscellaneous/Other"/>
    <x v="3"/>
    <s v="Other"/>
    <n v="10097.459999999999"/>
    <n v="2679.97"/>
    <n v="0"/>
  </r>
  <r>
    <x v="7641"/>
    <s v="Peconic Bay Medical Center"/>
    <n v="2015"/>
    <n v="8"/>
    <s v="Miscellaneous/Other"/>
    <x v="3"/>
    <s v="Other"/>
    <n v="62548"/>
    <n v="19127.400000000001"/>
    <n v="0"/>
  </r>
  <r>
    <x v="7642"/>
    <s v="Peconic Bay Medical Center"/>
    <n v="2015"/>
    <n v="8"/>
    <s v="Miscellaneous/Other"/>
    <x v="3"/>
    <s v="Other"/>
    <n v="34818.26"/>
    <n v="10010.209999999999"/>
    <n v="0"/>
  </r>
  <r>
    <x v="7643"/>
    <s v="Peconic Bay Medical Center"/>
    <n v="2015"/>
    <n v="8"/>
    <s v="Miscellaneous/Other"/>
    <x v="3"/>
    <s v="Other"/>
    <n v="15700.7"/>
    <n v="4497.25"/>
    <n v="0"/>
  </r>
  <r>
    <x v="7644"/>
    <s v="Peconic Bay Medical Center"/>
    <n v="2015"/>
    <n v="8"/>
    <s v="Miscellaneous/Other"/>
    <x v="3"/>
    <s v="Other"/>
    <n v="47146.52"/>
    <n v="14327"/>
    <n v="0"/>
  </r>
  <r>
    <x v="7645"/>
    <s v="Peconic Bay Medical Center"/>
    <n v="2015"/>
    <n v="8"/>
    <s v="Miscellaneous/Other"/>
    <x v="3"/>
    <s v="Other"/>
    <n v="66097.279999999999"/>
    <n v="43985.760000000002"/>
    <n v="0"/>
  </r>
  <r>
    <x v="7646"/>
    <s v="Peconic Bay Medical Center"/>
    <n v="2015"/>
    <n v="8"/>
    <s v="Miscellaneous/Other"/>
    <x v="3"/>
    <s v="Other"/>
    <n v="249332.84"/>
    <n v="228525.33"/>
    <n v="0"/>
  </r>
  <r>
    <x v="7647"/>
    <s v="Peconic Bay Medical Center"/>
    <n v="2015"/>
    <n v="8"/>
    <s v="Miscellaneous/Other"/>
    <x v="3"/>
    <s v="Other"/>
    <n v="30742.26"/>
    <n v="17601.87"/>
    <n v="0"/>
  </r>
  <r>
    <x v="7648"/>
    <s v="Peconic Bay Medical Center"/>
    <n v="2015"/>
    <n v="8"/>
    <s v="Miscellaneous/Other"/>
    <x v="3"/>
    <s v="Other"/>
    <n v="78484.66"/>
    <n v="59313.69"/>
    <n v="0"/>
  </r>
  <r>
    <x v="7649"/>
    <s v="Peconic Bay Medical Center"/>
    <n v="2015"/>
    <n v="8"/>
    <s v="Miscellaneous/Other"/>
    <x v="3"/>
    <s v="Other"/>
    <n v="36680.82"/>
    <n v="9266.85"/>
    <n v="0"/>
  </r>
  <r>
    <x v="7650"/>
    <s v="Peconic Bay Medical Center"/>
    <n v="2015"/>
    <n v="8"/>
    <s v="Miscellaneous/Other"/>
    <x v="3"/>
    <s v="Other"/>
    <n v="33672.379999999997"/>
    <n v="7416.95"/>
    <n v="0"/>
  </r>
  <r>
    <x v="7651"/>
    <s v="Peconic Bay Medical Center"/>
    <n v="2015"/>
    <n v="8"/>
    <s v="Miscellaneous/Other"/>
    <x v="3"/>
    <s v="Other"/>
    <n v="33439.78"/>
    <n v="5404.41"/>
    <n v="0"/>
  </r>
  <r>
    <x v="7652"/>
    <s v="Peconic Bay Medical Center"/>
    <n v="2015"/>
    <n v="8"/>
    <s v="Miscellaneous/Other"/>
    <x v="3"/>
    <s v="Other"/>
    <n v="29779.34"/>
    <n v="8555.92"/>
    <n v="0"/>
  </r>
  <r>
    <x v="7653"/>
    <s v="Peconic Bay Medical Center"/>
    <n v="2015"/>
    <n v="8"/>
    <s v="Miscellaneous/Other"/>
    <x v="3"/>
    <s v="Other"/>
    <n v="14411.14"/>
    <n v="4187.13"/>
    <n v="0"/>
  </r>
  <r>
    <x v="7654"/>
    <s v="Peconic Bay Medical Center"/>
    <n v="2015"/>
    <n v="8"/>
    <s v="Miscellaneous/Other"/>
    <x v="3"/>
    <s v="Other"/>
    <n v="20882.740000000002"/>
    <n v="3528.34"/>
    <n v="0"/>
  </r>
  <r>
    <x v="7655"/>
    <s v="Peconic Bay Medical Center"/>
    <n v="2015"/>
    <n v="8"/>
    <s v="Miscellaneous/Other"/>
    <x v="3"/>
    <s v="Other"/>
    <n v="51524.18"/>
    <n v="18152.21"/>
    <n v="0"/>
  </r>
  <r>
    <x v="7656"/>
    <s v="Peconic Bay Medical Center"/>
    <n v="2015"/>
    <n v="8"/>
    <s v="Miscellaneous/Other"/>
    <x v="3"/>
    <s v="Other"/>
    <n v="144189.70000000001"/>
    <n v="80435.02"/>
    <n v="0"/>
  </r>
  <r>
    <x v="7657"/>
    <s v="Peconic Bay Medical Center"/>
    <n v="2015"/>
    <n v="8"/>
    <s v="Miscellaneous/Other"/>
    <x v="3"/>
    <s v="Other"/>
    <n v="17585.66"/>
    <n v="3157.72"/>
    <n v="0"/>
  </r>
  <r>
    <x v="7658"/>
    <s v="Peconic Bay Medical Center"/>
    <n v="2015"/>
    <n v="8"/>
    <s v="Miscellaneous/Other"/>
    <x v="3"/>
    <s v="Other"/>
    <n v="65034.52"/>
    <n v="44068.97"/>
    <n v="0"/>
  </r>
  <r>
    <x v="7659"/>
    <s v="Peconic Bay Medical Center"/>
    <n v="2015"/>
    <n v="8"/>
    <s v="Miscellaneous/Other"/>
    <x v="3"/>
    <s v="Other"/>
    <n v="139467.5"/>
    <n v="80908.45"/>
    <n v="0"/>
  </r>
  <r>
    <x v="7660"/>
    <s v="Peconic Bay Medical Center"/>
    <n v="2015"/>
    <n v="8"/>
    <s v="Miscellaneous/Other"/>
    <x v="3"/>
    <s v="Other"/>
    <n v="129785.72"/>
    <n v="116874.96"/>
    <n v="0"/>
  </r>
  <r>
    <x v="7661"/>
    <s v="Peconic Bay Medical Center"/>
    <n v="2015"/>
    <n v="8"/>
    <s v="Miscellaneous/Other"/>
    <x v="3"/>
    <s v="Other"/>
    <n v="75904.58"/>
    <n v="56852.17"/>
    <n v="0"/>
  </r>
  <r>
    <x v="7662"/>
    <s v="Peconic Bay Medical Center"/>
    <n v="2015"/>
    <n v="8"/>
    <s v="Miscellaneous/Other"/>
    <x v="3"/>
    <s v="Other"/>
    <n v="222607.45"/>
    <n v="198488.54"/>
    <n v="0"/>
  </r>
  <r>
    <x v="7663"/>
    <s v="Peconic Bay Medical Center"/>
    <n v="2015"/>
    <n v="8"/>
    <s v="Miscellaneous/Other"/>
    <x v="3"/>
    <s v="Other"/>
    <n v="7949.22"/>
    <n v="2159.9499999999998"/>
    <n v="0"/>
  </r>
  <r>
    <x v="7664"/>
    <s v="Peconic Bay Medical Center"/>
    <n v="2015"/>
    <n v="8"/>
    <s v="Miscellaneous/Other"/>
    <x v="3"/>
    <s v="Other"/>
    <n v="338583.82"/>
    <n v="107846.73"/>
    <n v="0"/>
  </r>
  <r>
    <x v="7665"/>
    <s v="Peconic Bay Medical Center"/>
    <n v="2015"/>
    <n v="8"/>
    <s v="Miscellaneous/Other"/>
    <x v="3"/>
    <s v="Other"/>
    <n v="22118.74"/>
    <n v="5942.89"/>
    <n v="0"/>
  </r>
  <r>
    <x v="7666"/>
    <s v="Peconic Bay Medical Center"/>
    <n v="2015"/>
    <n v="8"/>
    <s v="Miscellaneous/Other"/>
    <x v="3"/>
    <s v="Other"/>
    <n v="118962.8"/>
    <n v="80493.38"/>
    <n v="0"/>
  </r>
  <r>
    <x v="7667"/>
    <s v="Peconic Bay Medical Center"/>
    <n v="2015"/>
    <n v="8"/>
    <s v="Miscellaneous/Other"/>
    <x v="3"/>
    <s v="Other"/>
    <n v="39612"/>
    <n v="10723.2"/>
    <n v="0"/>
  </r>
  <r>
    <x v="7668"/>
    <s v="Peconic Bay Medical Center"/>
    <n v="2015"/>
    <n v="8"/>
    <s v="Miscellaneous/Other"/>
    <x v="3"/>
    <s v="Other"/>
    <n v="20815.62"/>
    <n v="3058.5"/>
    <n v="0"/>
  </r>
  <r>
    <x v="7669"/>
    <s v="Peconic Bay Medical Center"/>
    <n v="2015"/>
    <n v="8"/>
    <s v="Miscellaneous/Other"/>
    <x v="3"/>
    <s v="Other"/>
    <n v="40938.76"/>
    <n v="10208.290000000001"/>
    <n v="0"/>
  </r>
  <r>
    <x v="7670"/>
    <s v="Peconic Bay Medical Center"/>
    <n v="2015"/>
    <n v="8"/>
    <s v="Miscellaneous/Other"/>
    <x v="3"/>
    <s v="Other"/>
    <n v="36492.06"/>
    <n v="8096.98"/>
    <n v="0"/>
  </r>
  <r>
    <x v="7671"/>
    <s v="Peconic Bay Medical Center"/>
    <n v="2015"/>
    <n v="8"/>
    <s v="Miscellaneous/Other"/>
    <x v="3"/>
    <s v="Other"/>
    <n v="114968.94"/>
    <n v="52230.78"/>
    <n v="0"/>
  </r>
  <r>
    <x v="7672"/>
    <s v="Peconic Bay Medical Center"/>
    <n v="2015"/>
    <n v="8"/>
    <s v="Miscellaneous/Other"/>
    <x v="3"/>
    <s v="Other"/>
    <n v="44083.51"/>
    <n v="12795.89"/>
    <n v="0"/>
  </r>
  <r>
    <x v="7673"/>
    <s v="Peconic Bay Medical Center"/>
    <n v="2015"/>
    <n v="8"/>
    <s v="Miscellaneous/Other"/>
    <x v="3"/>
    <s v="Other"/>
    <n v="25503.38"/>
    <n v="8063.15"/>
    <n v="0"/>
  </r>
  <r>
    <x v="7674"/>
    <s v="Peconic Bay Medical Center"/>
    <n v="2015"/>
    <n v="8"/>
    <s v="Miscellaneous/Other"/>
    <x v="3"/>
    <s v="Other"/>
    <n v="19053.48"/>
    <n v="5578.33"/>
    <n v="0"/>
  </r>
  <r>
    <x v="7675"/>
    <s v="Peconic Bay Medical Center"/>
    <n v="2015"/>
    <n v="8"/>
    <s v="Miscellaneous/Other"/>
    <x v="3"/>
    <s v="Other"/>
    <n v="16223.9"/>
    <n v="3590.25"/>
    <n v="0"/>
  </r>
  <r>
    <x v="7676"/>
    <s v="Peconic Bay Medical Center"/>
    <n v="2015"/>
    <n v="5"/>
    <s v="Federal/State/Local/VA"/>
    <x v="3"/>
    <s v="Other"/>
    <n v="9463.74"/>
    <n v="2165.94"/>
    <n v="0"/>
  </r>
  <r>
    <x v="7677"/>
    <s v="Peconic Bay Medical Center"/>
    <n v="2015"/>
    <n v="8"/>
    <s v="Miscellaneous/Other"/>
    <x v="3"/>
    <s v="Other"/>
    <n v="18170.54"/>
    <n v="2728.32"/>
    <n v="0"/>
  </r>
  <r>
    <x v="7678"/>
    <s v="Peconic Bay Medical Center"/>
    <n v="2015"/>
    <n v="8"/>
    <s v="Miscellaneous/Other"/>
    <x v="3"/>
    <s v="Other"/>
    <n v="23398.68"/>
    <n v="3119.63"/>
    <n v="0"/>
  </r>
  <r>
    <x v="7679"/>
    <s v="Peconic Bay Medical Center"/>
    <n v="2015"/>
    <n v="8"/>
    <s v="Miscellaneous/Other"/>
    <x v="3"/>
    <s v="Other"/>
    <n v="40149.800000000003"/>
    <n v="13306.42"/>
    <n v="0"/>
  </r>
  <r>
    <x v="7680"/>
    <s v="Peconic Bay Medical Center"/>
    <n v="2015"/>
    <n v="8"/>
    <s v="Miscellaneous/Other"/>
    <x v="3"/>
    <s v="Other"/>
    <n v="38493.839999999997"/>
    <n v="10898.86"/>
    <n v="0"/>
  </r>
  <r>
    <x v="7681"/>
    <s v="Peconic Bay Medical Center"/>
    <n v="2015"/>
    <n v="8"/>
    <s v="Miscellaneous/Other"/>
    <x v="3"/>
    <s v="Other"/>
    <n v="42773.98"/>
    <n v="10531.08"/>
    <n v="0"/>
  </r>
  <r>
    <x v="7682"/>
    <s v="Peconic Bay Medical Center"/>
    <n v="2015"/>
    <n v="5"/>
    <s v="Federal/State/Local/VA"/>
    <x v="3"/>
    <s v="Other"/>
    <n v="14487.16"/>
    <n v="2983.57"/>
    <n v="0"/>
  </r>
  <r>
    <x v="7683"/>
    <s v="Peconic Bay Medical Center"/>
    <n v="2015"/>
    <n v="8"/>
    <s v="Miscellaneous/Other"/>
    <x v="3"/>
    <s v="Other"/>
    <n v="15955.64"/>
    <n v="2946.63"/>
    <n v="0"/>
  </r>
  <r>
    <x v="7684"/>
    <s v="Peconic Bay Medical Center"/>
    <n v="2015"/>
    <n v="8"/>
    <s v="Miscellaneous/Other"/>
    <x v="3"/>
    <s v="Other"/>
    <n v="26381.919999999998"/>
    <n v="6749.84"/>
    <n v="0"/>
  </r>
  <r>
    <x v="7685"/>
    <s v="Peconic Bay Medical Center"/>
    <n v="2015"/>
    <n v="8"/>
    <s v="Miscellaneous/Other"/>
    <x v="3"/>
    <s v="Other"/>
    <n v="61567"/>
    <n v="29091.34"/>
    <n v="0"/>
  </r>
  <r>
    <x v="7686"/>
    <s v="Peconic Bay Medical Center"/>
    <n v="2015"/>
    <n v="8"/>
    <s v="Miscellaneous/Other"/>
    <x v="3"/>
    <s v="Other"/>
    <n v="36636.6"/>
    <n v="11274.94"/>
    <n v="0"/>
  </r>
  <r>
    <x v="7687"/>
    <s v="Peconic Bay Medical Center"/>
    <n v="2015"/>
    <n v="8"/>
    <s v="Miscellaneous/Other"/>
    <x v="3"/>
    <s v="Other"/>
    <n v="27430.42"/>
    <n v="5273.3"/>
    <n v="0"/>
  </r>
  <r>
    <x v="7688"/>
    <s v="Peconic Bay Medical Center"/>
    <n v="2015"/>
    <n v="8"/>
    <s v="Miscellaneous/Other"/>
    <x v="3"/>
    <s v="Other"/>
    <n v="10767.72"/>
    <n v="2507.65"/>
    <n v="0"/>
  </r>
  <r>
    <x v="7689"/>
    <s v="Peconic Bay Medical Center"/>
    <n v="2015"/>
    <n v="8"/>
    <s v="Miscellaneous/Other"/>
    <x v="3"/>
    <s v="Other"/>
    <n v="231248.14"/>
    <n v="84436.21"/>
    <n v="0"/>
  </r>
  <r>
    <x v="7690"/>
    <s v="Peconic Bay Medical Center"/>
    <n v="2015"/>
    <n v="8"/>
    <s v="Miscellaneous/Other"/>
    <x v="3"/>
    <s v="Other"/>
    <n v="16473.2"/>
    <n v="2411.2600000000002"/>
    <n v="0"/>
  </r>
  <r>
    <x v="7691"/>
    <s v="Peconic Bay Medical Center"/>
    <n v="2015"/>
    <n v="5"/>
    <s v="Federal/State/Local/VA"/>
    <x v="3"/>
    <s v="Other"/>
    <n v="34348.160000000003"/>
    <n v="9810.4599999999991"/>
    <n v="0"/>
  </r>
  <r>
    <x v="7692"/>
    <s v="Peconic Bay Medical Center"/>
    <n v="2015"/>
    <n v="8"/>
    <s v="Miscellaneous/Other"/>
    <x v="3"/>
    <s v="Other"/>
    <n v="19321.3"/>
    <n v="5922.8"/>
    <n v="0"/>
  </r>
  <r>
    <x v="7693"/>
    <s v="Peconic Bay Medical Center"/>
    <n v="2015"/>
    <n v="8"/>
    <s v="Miscellaneous/Other"/>
    <x v="3"/>
    <s v="Other"/>
    <n v="32700.560000000001"/>
    <n v="16274.07"/>
    <n v="0"/>
  </r>
  <r>
    <x v="7694"/>
    <s v="Peconic Bay Medical Center"/>
    <n v="2015"/>
    <n v="8"/>
    <s v="Miscellaneous/Other"/>
    <x v="3"/>
    <s v="Other"/>
    <n v="19676.36"/>
    <n v="5212.33"/>
    <n v="0"/>
  </r>
  <r>
    <x v="7695"/>
    <s v="Peconic Bay Medical Center"/>
    <n v="2015"/>
    <n v="5"/>
    <s v="Federal/State/Local/VA"/>
    <x v="3"/>
    <s v="Other"/>
    <n v="49186.54"/>
    <n v="11803.78"/>
    <n v="0"/>
  </r>
  <r>
    <x v="7696"/>
    <s v="Peconic Bay Medical Center"/>
    <n v="2015"/>
    <n v="8"/>
    <s v="Miscellaneous/Other"/>
    <x v="3"/>
    <s v="Other"/>
    <n v="97863.34"/>
    <n v="36166.269999999997"/>
    <n v="0"/>
  </r>
  <r>
    <x v="7697"/>
    <s v="Peconic Bay Medical Center"/>
    <n v="2015"/>
    <n v="8"/>
    <s v="Miscellaneous/Other"/>
    <x v="3"/>
    <s v="Other"/>
    <n v="105282.04"/>
    <n v="69124.7"/>
    <n v="0"/>
  </r>
  <r>
    <x v="7698"/>
    <s v="Peconic Bay Medical Center"/>
    <n v="2015"/>
    <n v="8"/>
    <s v="Miscellaneous/Other"/>
    <x v="3"/>
    <s v="Other"/>
    <n v="18610.740000000002"/>
    <n v="4672.4399999999996"/>
    <n v="0"/>
  </r>
  <r>
    <x v="7699"/>
    <s v="Peconic Bay Medical Center"/>
    <n v="2015"/>
    <n v="8"/>
    <s v="Miscellaneous/Other"/>
    <x v="3"/>
    <s v="Other"/>
    <n v="33807.26"/>
    <n v="19799.400000000001"/>
    <n v="0"/>
  </r>
  <r>
    <x v="7700"/>
    <s v="Peconic Bay Medical Center"/>
    <n v="2015"/>
    <n v="8"/>
    <s v="Miscellaneous/Other"/>
    <x v="3"/>
    <s v="Other"/>
    <n v="14454.52"/>
    <n v="4404.3900000000003"/>
    <n v="0"/>
  </r>
  <r>
    <x v="7701"/>
    <s v="Peconic Bay Medical Center"/>
    <n v="2015"/>
    <n v="8"/>
    <s v="Miscellaneous/Other"/>
    <x v="3"/>
    <s v="Other"/>
    <n v="32204.22"/>
    <n v="5804.95"/>
    <n v="0"/>
  </r>
  <r>
    <x v="7702"/>
    <s v="Peconic Bay Medical Center"/>
    <n v="2015"/>
    <n v="8"/>
    <s v="Miscellaneous/Other"/>
    <x v="3"/>
    <s v="Other"/>
    <n v="34916.94"/>
    <n v="11276.48"/>
    <n v="0"/>
  </r>
  <r>
    <x v="7703"/>
    <s v="Peconic Bay Medical Center"/>
    <n v="2015"/>
    <n v="8"/>
    <s v="Miscellaneous/Other"/>
    <x v="3"/>
    <s v="Other"/>
    <n v="38907.26"/>
    <n v="13991.82"/>
    <n v="0"/>
  </r>
  <r>
    <x v="7704"/>
    <s v="Peconic Bay Medical Center"/>
    <n v="2015"/>
    <n v="5"/>
    <s v="Federal/State/Local/VA"/>
    <x v="3"/>
    <s v="Other"/>
    <n v="13952.28"/>
    <n v="4093.27"/>
    <n v="0"/>
  </r>
  <r>
    <x v="7705"/>
    <s v="Peconic Bay Medical Center"/>
    <n v="2015"/>
    <n v="8"/>
    <s v="Miscellaneous/Other"/>
    <x v="3"/>
    <s v="Other"/>
    <n v="39483.07"/>
    <n v="21931.15"/>
    <n v="0"/>
  </r>
  <r>
    <x v="7706"/>
    <s v="Peconic Bay Medical Center"/>
    <n v="2015"/>
    <n v="8"/>
    <s v="Miscellaneous/Other"/>
    <x v="3"/>
    <s v="Other"/>
    <n v="60766.58"/>
    <n v="19045.48"/>
    <n v="0"/>
  </r>
  <r>
    <x v="7707"/>
    <s v="Peconic Bay Medical Center"/>
    <n v="2015"/>
    <n v="8"/>
    <s v="Miscellaneous/Other"/>
    <x v="3"/>
    <s v="Other"/>
    <n v="51323.6"/>
    <n v="14905.28"/>
    <n v="0"/>
  </r>
  <r>
    <x v="7708"/>
    <s v="Peconic Bay Medical Center"/>
    <n v="2015"/>
    <n v="8"/>
    <s v="Miscellaneous/Other"/>
    <x v="3"/>
    <s v="Other"/>
    <n v="9709.5"/>
    <n v="2928.21"/>
    <n v="0"/>
  </r>
  <r>
    <x v="7709"/>
    <s v="Peconic Bay Medical Center"/>
    <n v="2015"/>
    <n v="8"/>
    <s v="Miscellaneous/Other"/>
    <x v="3"/>
    <s v="Other"/>
    <n v="14605.36"/>
    <n v="4336.29"/>
    <n v="0"/>
  </r>
  <r>
    <x v="7710"/>
    <s v="Peconic Bay Medical Center"/>
    <n v="2015"/>
    <n v="5"/>
    <s v="Federal/State/Local/VA"/>
    <x v="3"/>
    <s v="Other"/>
    <n v="29354.3"/>
    <n v="11427.01"/>
    <n v="0"/>
  </r>
  <r>
    <x v="7711"/>
    <s v="Peconic Bay Medical Center"/>
    <n v="2015"/>
    <n v="8"/>
    <s v="Miscellaneous/Other"/>
    <x v="3"/>
    <s v="Other"/>
    <n v="146031.9"/>
    <n v="77786.02"/>
    <n v="0"/>
  </r>
  <r>
    <x v="7712"/>
    <s v="Peconic Bay Medical Center"/>
    <n v="2015"/>
    <n v="8"/>
    <s v="Miscellaneous/Other"/>
    <x v="3"/>
    <s v="Other"/>
    <n v="30825.279999999999"/>
    <n v="8447.9"/>
    <n v="0"/>
  </r>
  <r>
    <x v="7713"/>
    <s v="Peconic Bay Medical Center"/>
    <n v="2015"/>
    <n v="8"/>
    <s v="Miscellaneous/Other"/>
    <x v="3"/>
    <s v="Other"/>
    <n v="14383.18"/>
    <n v="4381.38"/>
    <n v="0"/>
  </r>
  <r>
    <x v="7714"/>
    <s v="Peconic Bay Medical Center"/>
    <n v="2015"/>
    <n v="8"/>
    <s v="Miscellaneous/Other"/>
    <x v="3"/>
    <s v="Other"/>
    <n v="52100.84"/>
    <n v="32863.949999999997"/>
    <n v="0"/>
  </r>
  <r>
    <x v="7715"/>
    <s v="Peconic Bay Medical Center"/>
    <n v="2015"/>
    <n v="5"/>
    <s v="Federal/State/Local/VA"/>
    <x v="3"/>
    <s v="Other"/>
    <n v="24558.06"/>
    <n v="6378.29"/>
    <n v="0"/>
  </r>
  <r>
    <x v="7716"/>
    <s v="Peconic Bay Medical Center"/>
    <n v="2015"/>
    <n v="8"/>
    <s v="Miscellaneous/Other"/>
    <x v="3"/>
    <s v="Other"/>
    <n v="27529.040000000001"/>
    <n v="11891.97"/>
    <n v="0"/>
  </r>
  <r>
    <x v="7717"/>
    <s v="Peconic Bay Medical Center"/>
    <n v="2015"/>
    <n v="8"/>
    <s v="Miscellaneous/Other"/>
    <x v="3"/>
    <s v="Other"/>
    <n v="16043.4"/>
    <n v="2878.14"/>
    <n v="0"/>
  </r>
  <r>
    <x v="7718"/>
    <s v="Peconic Bay Medical Center"/>
    <n v="2015"/>
    <n v="8"/>
    <s v="Miscellaneous/Other"/>
    <x v="3"/>
    <s v="Other"/>
    <n v="15012.68"/>
    <n v="4384.25"/>
    <n v="0"/>
  </r>
  <r>
    <x v="7719"/>
    <s v="Peconic Bay Medical Center"/>
    <n v="2015"/>
    <n v="8"/>
    <s v="Miscellaneous/Other"/>
    <x v="3"/>
    <s v="Other"/>
    <n v="74063.92"/>
    <n v="38942.17"/>
    <n v="0"/>
  </r>
  <r>
    <x v="7720"/>
    <s v="Peconic Bay Medical Center"/>
    <n v="2015"/>
    <n v="8"/>
    <s v="Miscellaneous/Other"/>
    <x v="3"/>
    <s v="Other"/>
    <n v="46332.18"/>
    <n v="20922.439999999999"/>
    <n v="0"/>
  </r>
  <r>
    <x v="7721"/>
    <s v="Peconic Bay Medical Center"/>
    <n v="2015"/>
    <n v="8"/>
    <s v="Miscellaneous/Other"/>
    <x v="3"/>
    <s v="Other"/>
    <n v="98950.5"/>
    <n v="29408.21"/>
    <n v="0"/>
  </r>
  <r>
    <x v="7722"/>
    <s v="Peconic Bay Medical Center"/>
    <n v="2015"/>
    <n v="8"/>
    <s v="Miscellaneous/Other"/>
    <x v="3"/>
    <s v="Other"/>
    <n v="64668.800000000003"/>
    <n v="33774.85"/>
    <n v="0"/>
  </r>
  <r>
    <x v="7723"/>
    <s v="Peconic Bay Medical Center"/>
    <n v="2015"/>
    <n v="8"/>
    <s v="Miscellaneous/Other"/>
    <x v="3"/>
    <s v="Other"/>
    <n v="44384.38"/>
    <n v="9904.3700000000008"/>
    <n v="0"/>
  </r>
  <r>
    <x v="7724"/>
    <s v="Peconic Bay Medical Center"/>
    <n v="2015"/>
    <n v="8"/>
    <s v="Miscellaneous/Other"/>
    <x v="3"/>
    <s v="Other"/>
    <n v="21819.64"/>
    <n v="5773.93"/>
    <n v="0"/>
  </r>
  <r>
    <x v="7725"/>
    <s v="Peconic Bay Medical Center"/>
    <n v="2015"/>
    <n v="8"/>
    <s v="Miscellaneous/Other"/>
    <x v="3"/>
    <s v="Other"/>
    <n v="87220.5"/>
    <n v="51285.65"/>
    <n v="0"/>
  </r>
  <r>
    <x v="7726"/>
    <s v="Peconic Bay Medical Center"/>
    <n v="2015"/>
    <n v="8"/>
    <s v="Miscellaneous/Other"/>
    <x v="3"/>
    <s v="Other"/>
    <n v="135548.56"/>
    <n v="66767.03"/>
    <n v="0"/>
  </r>
  <r>
    <x v="7727"/>
    <s v="Peconic Bay Medical Center"/>
    <n v="2015"/>
    <n v="8"/>
    <s v="Miscellaneous/Other"/>
    <x v="3"/>
    <s v="Other"/>
    <n v="36872.14"/>
    <n v="10168.9"/>
    <n v="0"/>
  </r>
  <r>
    <x v="7728"/>
    <s v="Peconic Bay Medical Center"/>
    <n v="2015"/>
    <n v="8"/>
    <s v="Miscellaneous/Other"/>
    <x v="3"/>
    <s v="Other"/>
    <n v="110495.67"/>
    <n v="59656.86"/>
    <n v="0"/>
  </r>
  <r>
    <x v="7729"/>
    <s v="Peconic Bay Medical Center"/>
    <n v="2015"/>
    <n v="8"/>
    <s v="Miscellaneous/Other"/>
    <x v="3"/>
    <s v="Other"/>
    <n v="45463.6"/>
    <n v="33171.58"/>
    <n v="0"/>
  </r>
  <r>
    <x v="7730"/>
    <s v="Peconic Bay Medical Center"/>
    <n v="2015"/>
    <n v="8"/>
    <s v="Miscellaneous/Other"/>
    <x v="3"/>
    <s v="Other"/>
    <n v="71131.56"/>
    <n v="29380.67"/>
    <n v="0"/>
  </r>
  <r>
    <x v="7731"/>
    <s v="Peconic Bay Medical Center"/>
    <n v="2015"/>
    <n v="8"/>
    <s v="Miscellaneous/Other"/>
    <x v="3"/>
    <s v="Other"/>
    <n v="33857.82"/>
    <n v="10418.17"/>
    <n v="0"/>
  </r>
  <r>
    <x v="7732"/>
    <s v="Peconic Bay Medical Center"/>
    <n v="2015"/>
    <n v="8"/>
    <s v="Miscellaneous/Other"/>
    <x v="3"/>
    <s v="Other"/>
    <n v="24425.18"/>
    <n v="6538.6"/>
    <n v="0"/>
  </r>
  <r>
    <x v="7733"/>
    <s v="Peconic Bay Medical Center"/>
    <n v="2015"/>
    <n v="8"/>
    <s v="Miscellaneous/Other"/>
    <x v="3"/>
    <s v="Other"/>
    <n v="171252.22"/>
    <n v="62658.55"/>
    <n v="0"/>
  </r>
  <r>
    <x v="7734"/>
    <s v="Peconic Bay Medical Center"/>
    <n v="2015"/>
    <n v="8"/>
    <s v="Miscellaneous/Other"/>
    <x v="3"/>
    <s v="Other"/>
    <n v="33382.5"/>
    <n v="9576.43"/>
    <n v="0"/>
  </r>
  <r>
    <x v="7735"/>
    <s v="Peconic Bay Medical Center"/>
    <n v="2015"/>
    <n v="8"/>
    <s v="Miscellaneous/Other"/>
    <x v="3"/>
    <s v="Other"/>
    <n v="37542.339999999997"/>
    <n v="10373.209999999999"/>
    <n v="0"/>
  </r>
  <r>
    <x v="7736"/>
    <s v="Peconic Bay Medical Center"/>
    <n v="2015"/>
    <n v="8"/>
    <s v="Miscellaneous/Other"/>
    <x v="3"/>
    <s v="Other"/>
    <n v="34107.360000000001"/>
    <n v="11025.86"/>
    <n v="0"/>
  </r>
  <r>
    <x v="7737"/>
    <s v="Peconic Bay Medical Center"/>
    <n v="2015"/>
    <n v="8"/>
    <s v="Miscellaneous/Other"/>
    <x v="3"/>
    <s v="Other"/>
    <n v="30169.5"/>
    <n v="18761.939999999999"/>
    <n v="0"/>
  </r>
  <r>
    <x v="7738"/>
    <s v="Peconic Bay Medical Center"/>
    <n v="2015"/>
    <n v="8"/>
    <s v="Miscellaneous/Other"/>
    <x v="3"/>
    <s v="Other"/>
    <n v="24605.62"/>
    <n v="7733.76"/>
    <n v="0"/>
  </r>
  <r>
    <x v="7739"/>
    <s v="Peconic Bay Medical Center"/>
    <n v="2015"/>
    <n v="8"/>
    <s v="Miscellaneous/Other"/>
    <x v="3"/>
    <s v="Other"/>
    <n v="33931.699999999997"/>
    <n v="6127.34"/>
    <n v="0"/>
  </r>
  <r>
    <x v="7740"/>
    <s v="Peconic Bay Medical Center"/>
    <n v="2015"/>
    <n v="8"/>
    <s v="Miscellaneous/Other"/>
    <x v="3"/>
    <s v="Other"/>
    <n v="30671.88"/>
    <n v="20563.439999999999"/>
    <n v="0"/>
  </r>
  <r>
    <x v="7741"/>
    <s v="Peconic Bay Medical Center"/>
    <n v="2015"/>
    <n v="8"/>
    <s v="Miscellaneous/Other"/>
    <x v="3"/>
    <s v="Other"/>
    <n v="24796.3"/>
    <n v="4458.5"/>
    <n v="0"/>
  </r>
  <r>
    <x v="7742"/>
    <s v="Peconic Bay Medical Center"/>
    <n v="2015"/>
    <n v="8"/>
    <s v="Miscellaneous/Other"/>
    <x v="3"/>
    <s v="Other"/>
    <n v="40402.379999999997"/>
    <n v="10529"/>
    <n v="0"/>
  </r>
  <r>
    <x v="7743"/>
    <s v="Peconic Bay Medical Center"/>
    <n v="2015"/>
    <n v="8"/>
    <s v="Miscellaneous/Other"/>
    <x v="3"/>
    <s v="Other"/>
    <n v="86221.75"/>
    <n v="52132.3"/>
    <n v="0"/>
  </r>
  <r>
    <x v="7744"/>
    <s v="Peconic Bay Medical Center"/>
    <n v="2015"/>
    <n v="5"/>
    <s v="Federal/State/Local/VA"/>
    <x v="3"/>
    <s v="Other"/>
    <n v="17087.32"/>
    <n v="3820.97"/>
    <n v="0"/>
  </r>
  <r>
    <x v="7745"/>
    <s v="Peconic Bay Medical Center"/>
    <n v="2015"/>
    <n v="8"/>
    <s v="Miscellaneous/Other"/>
    <x v="3"/>
    <s v="Other"/>
    <n v="84343.679999999993"/>
    <n v="47725.14"/>
    <n v="0"/>
  </r>
  <r>
    <x v="7746"/>
    <s v="Peconic Bay Medical Center"/>
    <n v="2015"/>
    <n v="8"/>
    <s v="Miscellaneous/Other"/>
    <x v="3"/>
    <s v="Other"/>
    <n v="62297.8"/>
    <n v="18790.25"/>
    <n v="0"/>
  </r>
  <r>
    <x v="7747"/>
    <s v="Peconic Bay Medical Center"/>
    <n v="2015"/>
    <n v="8"/>
    <s v="Miscellaneous/Other"/>
    <x v="3"/>
    <s v="Other"/>
    <n v="39803.68"/>
    <n v="10636.98"/>
    <n v="0"/>
  </r>
  <r>
    <x v="7748"/>
    <s v="Peconic Bay Medical Center"/>
    <n v="2015"/>
    <n v="8"/>
    <s v="Miscellaneous/Other"/>
    <x v="3"/>
    <s v="Other"/>
    <n v="68756.38"/>
    <n v="31272.84"/>
    <n v="0"/>
  </r>
  <r>
    <x v="7749"/>
    <s v="Peconic Bay Medical Center"/>
    <n v="2015"/>
    <n v="8"/>
    <s v="Miscellaneous/Other"/>
    <x v="3"/>
    <s v="Other"/>
    <n v="16402.48"/>
    <n v="4708.74"/>
    <n v="0"/>
  </r>
  <r>
    <x v="7750"/>
    <s v="Peconic Bay Medical Center"/>
    <n v="2015"/>
    <n v="8"/>
    <s v="Miscellaneous/Other"/>
    <x v="3"/>
    <s v="Other"/>
    <n v="46265.62"/>
    <n v="22504.49"/>
    <n v="0"/>
  </r>
  <r>
    <x v="7751"/>
    <s v="Peconic Bay Medical Center"/>
    <n v="2015"/>
    <n v="8"/>
    <s v="Miscellaneous/Other"/>
    <x v="3"/>
    <s v="Other"/>
    <n v="28126.66"/>
    <n v="5619.94"/>
    <n v="0"/>
  </r>
  <r>
    <x v="7752"/>
    <s v="Peconic Bay Medical Center"/>
    <n v="2015"/>
    <n v="8"/>
    <s v="Miscellaneous/Other"/>
    <x v="3"/>
    <s v="Other"/>
    <n v="94703.74"/>
    <n v="45285.760000000002"/>
    <n v="0"/>
  </r>
  <r>
    <x v="7753"/>
    <s v="Peconic Bay Medical Center"/>
    <n v="2015"/>
    <n v="8"/>
    <s v="Miscellaneous/Other"/>
    <x v="3"/>
    <s v="Other"/>
    <n v="41851.120000000003"/>
    <n v="14593.11"/>
    <n v="0"/>
  </r>
  <r>
    <x v="7754"/>
    <s v="Peconic Bay Medical Center"/>
    <n v="2015"/>
    <n v="8"/>
    <s v="Miscellaneous/Other"/>
    <x v="3"/>
    <s v="Other"/>
    <n v="26293.040000000001"/>
    <n v="7110.5"/>
    <n v="0"/>
  </r>
  <r>
    <x v="7755"/>
    <s v="Peconic Bay Medical Center"/>
    <n v="2015"/>
    <n v="8"/>
    <s v="Miscellaneous/Other"/>
    <x v="3"/>
    <s v="Other"/>
    <n v="20423.02"/>
    <n v="5720.7"/>
    <n v="0"/>
  </r>
  <r>
    <x v="7756"/>
    <s v="Peconic Bay Medical Center"/>
    <n v="2015"/>
    <n v="8"/>
    <s v="Miscellaneous/Other"/>
    <x v="3"/>
    <s v="Other"/>
    <n v="22092.240000000002"/>
    <n v="3270.62"/>
    <n v="0"/>
  </r>
  <r>
    <x v="7757"/>
    <s v="Peconic Bay Medical Center"/>
    <n v="2015"/>
    <n v="8"/>
    <s v="Miscellaneous/Other"/>
    <x v="3"/>
    <s v="Other"/>
    <n v="149933.85999999999"/>
    <n v="61535.75"/>
    <n v="0"/>
  </r>
  <r>
    <x v="7758"/>
    <s v="Peconic Bay Medical Center"/>
    <n v="2015"/>
    <n v="8"/>
    <s v="Miscellaneous/Other"/>
    <x v="3"/>
    <s v="Other"/>
    <n v="28089.9"/>
    <n v="8161.53"/>
    <n v="0"/>
  </r>
  <r>
    <x v="7759"/>
    <s v="Peconic Bay Medical Center"/>
    <n v="2015"/>
    <n v="8"/>
    <s v="Miscellaneous/Other"/>
    <x v="3"/>
    <s v="Other"/>
    <n v="43095.8"/>
    <n v="13796.51"/>
    <n v="0"/>
  </r>
  <r>
    <x v="7760"/>
    <s v="Peconic Bay Medical Center"/>
    <n v="2015"/>
    <n v="8"/>
    <s v="Miscellaneous/Other"/>
    <x v="3"/>
    <s v="Other"/>
    <n v="10447.48"/>
    <n v="2382.42"/>
    <n v="0"/>
  </r>
  <r>
    <x v="7761"/>
    <s v="Peconic Bay Medical Center"/>
    <n v="2015"/>
    <n v="8"/>
    <s v="Miscellaneous/Other"/>
    <x v="3"/>
    <s v="Other"/>
    <n v="17841"/>
    <n v="4656.6899999999996"/>
    <n v="0"/>
  </r>
  <r>
    <x v="7762"/>
    <s v="Peconic Bay Medical Center"/>
    <n v="2015"/>
    <n v="8"/>
    <s v="Miscellaneous/Other"/>
    <x v="3"/>
    <s v="Other"/>
    <n v="17868.560000000001"/>
    <n v="5266.79"/>
    <n v="0"/>
  </r>
  <r>
    <x v="7763"/>
    <s v="Peconic Bay Medical Center"/>
    <n v="2015"/>
    <n v="8"/>
    <s v="Miscellaneous/Other"/>
    <x v="3"/>
    <s v="Other"/>
    <n v="110343.72"/>
    <n v="28905.72"/>
    <n v="0"/>
  </r>
  <r>
    <x v="7764"/>
    <s v="Peconic Bay Medical Center"/>
    <n v="2015"/>
    <n v="8"/>
    <s v="Miscellaneous/Other"/>
    <x v="3"/>
    <s v="Other"/>
    <n v="61863.28"/>
    <n v="17520.349999999999"/>
    <n v="0"/>
  </r>
  <r>
    <x v="7765"/>
    <s v="Peconic Bay Medical Center"/>
    <n v="2015"/>
    <n v="2"/>
    <s v="Self-Pay"/>
    <x v="4"/>
    <s v="Self-Pay"/>
    <n v="24332.16"/>
    <n v="8416.18"/>
    <n v="0"/>
  </r>
  <r>
    <x v="7766"/>
    <s v="Peconic Bay Medical Center"/>
    <n v="2015"/>
    <n v="2"/>
    <s v="Self-Pay"/>
    <x v="4"/>
    <s v="Self-Pay"/>
    <n v="5170.16"/>
    <n v="6281.4"/>
    <n v="1"/>
  </r>
  <r>
    <x v="7767"/>
    <s v="Peconic Bay Medical Center"/>
    <n v="2015"/>
    <n v="2"/>
    <s v="Self-Pay"/>
    <x v="4"/>
    <s v="Self-Pay"/>
    <n v="16382.68"/>
    <n v="2677.71"/>
    <n v="0"/>
  </r>
  <r>
    <x v="7768"/>
    <s v="Peconic Bay Medical Center"/>
    <n v="2015"/>
    <n v="2"/>
    <s v="Self-Pay"/>
    <x v="4"/>
    <s v="Self-Pay"/>
    <n v="14723.16"/>
    <n v="4215.18"/>
    <n v="0"/>
  </r>
  <r>
    <x v="7769"/>
    <s v="Peconic Bay Medical Center"/>
    <n v="2015"/>
    <n v="2"/>
    <s v="Self-Pay"/>
    <x v="4"/>
    <s v="Self-Pay"/>
    <n v="21595.68"/>
    <n v="8669.09"/>
    <n v="0"/>
  </r>
  <r>
    <x v="7770"/>
    <s v="Peconic Bay Medical Center"/>
    <n v="2015"/>
    <n v="2"/>
    <s v="Self-Pay"/>
    <x v="4"/>
    <s v="Self-Pay"/>
    <n v="6286.72"/>
    <n v="7807.46"/>
    <n v="1"/>
  </r>
  <r>
    <x v="7771"/>
    <s v="Peconic Bay Medical Center"/>
    <n v="2015"/>
    <n v="2"/>
    <s v="Self-Pay"/>
    <x v="4"/>
    <s v="Self-Pay"/>
    <n v="14797.82"/>
    <n v="4391.47"/>
    <n v="0"/>
  </r>
  <r>
    <x v="7772"/>
    <s v="Peconic Bay Medical Center"/>
    <n v="2015"/>
    <n v="2"/>
    <s v="Self-Pay"/>
    <x v="4"/>
    <s v="Self-Pay"/>
    <n v="29297.98"/>
    <n v="8719.14"/>
    <n v="0"/>
  </r>
  <r>
    <x v="7773"/>
    <s v="Peconic Bay Medical Center"/>
    <n v="2015"/>
    <n v="2"/>
    <s v="Self-Pay"/>
    <x v="4"/>
    <s v="Self-Pay"/>
    <n v="10589.06"/>
    <n v="2747.23"/>
    <n v="0"/>
  </r>
  <r>
    <x v="7774"/>
    <s v="Peconic Bay Medical Center"/>
    <n v="2015"/>
    <n v="2"/>
    <s v="Self-Pay"/>
    <x v="4"/>
    <s v="Self-Pay"/>
    <n v="5063.33"/>
    <n v="3828.51"/>
    <n v="0"/>
  </r>
  <r>
    <x v="7775"/>
    <s v="Peconic Bay Medical Center"/>
    <n v="2015"/>
    <n v="2"/>
    <s v="Self-Pay"/>
    <x v="4"/>
    <s v="Self-Pay"/>
    <n v="48639.360000000001"/>
    <n v="18993.27"/>
    <n v="0"/>
  </r>
  <r>
    <x v="7776"/>
    <s v="Peconic Bay Medical Center"/>
    <n v="2015"/>
    <n v="2"/>
    <s v="Self-Pay"/>
    <x v="4"/>
    <s v="Self-Pay"/>
    <n v="47533.46"/>
    <n v="35693.75"/>
    <n v="0"/>
  </r>
  <r>
    <x v="7777"/>
    <s v="Peconic Bay Medical Center"/>
    <n v="2015"/>
    <n v="2"/>
    <s v="Self-Pay"/>
    <x v="4"/>
    <s v="Self-Pay"/>
    <n v="24277.42"/>
    <n v="6816.2"/>
    <n v="0"/>
  </r>
  <r>
    <x v="7778"/>
    <s v="Peconic Bay Medical Center"/>
    <n v="2015"/>
    <n v="2"/>
    <s v="Self-Pay"/>
    <x v="4"/>
    <s v="Self-Pay"/>
    <n v="13452.3"/>
    <n v="2725.56"/>
    <n v="0"/>
  </r>
  <r>
    <x v="7779"/>
    <s v="Peconic Bay Medical Center"/>
    <n v="2015"/>
    <n v="2"/>
    <s v="Self-Pay"/>
    <x v="4"/>
    <s v="Self-Pay"/>
    <n v="24678.44"/>
    <n v="13266.54"/>
    <n v="0"/>
  </r>
  <r>
    <x v="7780"/>
    <s v="Peconic Bay Medical Center"/>
    <n v="2015"/>
    <n v="2"/>
    <s v="Self-Pay"/>
    <x v="4"/>
    <s v="Self-Pay"/>
    <n v="62501.68"/>
    <n v="20069.07"/>
    <n v="0"/>
  </r>
  <r>
    <x v="7781"/>
    <s v="Peconic Bay Medical Center"/>
    <n v="2015"/>
    <n v="2"/>
    <s v="Self-Pay"/>
    <x v="4"/>
    <s v="Self-Pay"/>
    <n v="26609.439999999999"/>
    <n v="4934.97"/>
    <n v="0"/>
  </r>
  <r>
    <x v="7782"/>
    <s v="Peconic Bay Medical Center"/>
    <n v="2015"/>
    <n v="2"/>
    <s v="Self-Pay"/>
    <x v="4"/>
    <s v="Self-Pay"/>
    <n v="11848.44"/>
    <n v="3070.19"/>
    <n v="0"/>
  </r>
  <r>
    <x v="7783"/>
    <s v="Peconic Bay Medical Center"/>
    <n v="2015"/>
    <n v="2"/>
    <s v="Self-Pay"/>
    <x v="4"/>
    <s v="Self-Pay"/>
    <n v="44365.42"/>
    <n v="27651.99"/>
    <n v="0"/>
  </r>
  <r>
    <x v="7784"/>
    <s v="Peconic Bay Medical Center"/>
    <n v="2015"/>
    <n v="2"/>
    <s v="Self-Pay"/>
    <x v="4"/>
    <s v="Self-Pay"/>
    <n v="24308.16"/>
    <n v="13709.29"/>
    <n v="0"/>
  </r>
  <r>
    <x v="7785"/>
    <s v="Peconic Bay Medical Center"/>
    <n v="2015"/>
    <n v="2"/>
    <s v="Self-Pay"/>
    <x v="4"/>
    <s v="Self-Pay"/>
    <n v="23598.84"/>
    <n v="9557.74"/>
    <n v="0"/>
  </r>
  <r>
    <x v="7786"/>
    <s v="Peconic Bay Medical Center"/>
    <n v="2015"/>
    <n v="2"/>
    <s v="Self-Pay"/>
    <x v="4"/>
    <s v="Self-Pay"/>
    <n v="46717.98"/>
    <n v="18463.45"/>
    <n v="0"/>
  </r>
  <r>
    <x v="7787"/>
    <s v="Peconic Bay Medical Center"/>
    <n v="2015"/>
    <n v="2"/>
    <s v="Self-Pay"/>
    <x v="4"/>
    <s v="Self-Pay"/>
    <n v="39138.120000000003"/>
    <n v="12605.37"/>
    <n v="0"/>
  </r>
  <r>
    <x v="7788"/>
    <s v="Peconic Bay Medical Center"/>
    <n v="2015"/>
    <n v="2"/>
    <s v="Self-Pay"/>
    <x v="4"/>
    <s v="Self-Pay"/>
    <n v="14635.64"/>
    <n v="4452.1899999999996"/>
    <n v="0"/>
  </r>
  <r>
    <x v="7789"/>
    <s v="Peconic Bay Medical Center"/>
    <n v="2015"/>
    <n v="2"/>
    <s v="Self-Pay"/>
    <x v="4"/>
    <s v="Self-Pay"/>
    <n v="33019.26"/>
    <n v="9263.7000000000007"/>
    <n v="0"/>
  </r>
  <r>
    <x v="7790"/>
    <s v="Peconic Bay Medical Center"/>
    <n v="2015"/>
    <n v="2"/>
    <s v="Self-Pay"/>
    <x v="4"/>
    <s v="Self-Pay"/>
    <n v="25240.3"/>
    <n v="7876.31"/>
    <n v="0"/>
  </r>
  <r>
    <x v="7791"/>
    <s v="Peconic Bay Medical Center"/>
    <n v="2015"/>
    <n v="2"/>
    <s v="Self-Pay"/>
    <x v="4"/>
    <s v="Self-Pay"/>
    <n v="11574.54"/>
    <n v="2509.12"/>
    <n v="0"/>
  </r>
  <r>
    <x v="7792"/>
    <s v="Peconic Bay Medical Center"/>
    <n v="2015"/>
    <n v="2"/>
    <s v="Self-Pay"/>
    <x v="4"/>
    <s v="Self-Pay"/>
    <n v="38273.72"/>
    <n v="10407.52"/>
    <n v="0"/>
  </r>
  <r>
    <x v="7793"/>
    <s v="Peconic Bay Medical Center"/>
    <n v="2015"/>
    <n v="2"/>
    <s v="Self-Pay"/>
    <x v="4"/>
    <s v="Self-Pay"/>
    <n v="11580.72"/>
    <n v="3198.11"/>
    <n v="0"/>
  </r>
  <r>
    <x v="7794"/>
    <s v="Peconic Bay Medical Center"/>
    <n v="2015"/>
    <n v="2"/>
    <s v="Self-Pay"/>
    <x v="4"/>
    <s v="Self-Pay"/>
    <n v="24798.76"/>
    <n v="12012.63"/>
    <n v="0"/>
  </r>
  <r>
    <x v="7795"/>
    <s v="Peconic Bay Medical Center"/>
    <n v="2015"/>
    <n v="2"/>
    <s v="Self-Pay"/>
    <x v="4"/>
    <s v="Self-Pay"/>
    <n v="20978.16"/>
    <n v="8052.04"/>
    <n v="0"/>
  </r>
  <r>
    <x v="7796"/>
    <s v="Peconic Bay Medical Center"/>
    <n v="2015"/>
    <n v="2"/>
    <s v="Self-Pay"/>
    <x v="4"/>
    <s v="Self-Pay"/>
    <n v="9745.02"/>
    <n v="2774.53"/>
    <n v="0"/>
  </r>
  <r>
    <x v="7797"/>
    <s v="Peconic Bay Medical Center"/>
    <n v="2015"/>
    <n v="2"/>
    <s v="Self-Pay"/>
    <x v="4"/>
    <s v="Self-Pay"/>
    <n v="21756.42"/>
    <n v="8484.3700000000008"/>
    <n v="0"/>
  </r>
  <r>
    <x v="7798"/>
    <s v="Peconic Bay Medical Center"/>
    <n v="2015"/>
    <n v="2"/>
    <s v="Self-Pay"/>
    <x v="4"/>
    <s v="Self-Pay"/>
    <n v="14976.96"/>
    <n v="4299.6099999999997"/>
    <n v="0"/>
  </r>
  <r>
    <x v="7799"/>
    <s v="Peconic Bay Medical Center"/>
    <n v="2015"/>
    <n v="2"/>
    <s v="Self-Pay"/>
    <x v="4"/>
    <s v="Self-Pay"/>
    <n v="23646.68"/>
    <n v="4610.33"/>
    <n v="0"/>
  </r>
  <r>
    <x v="7800"/>
    <s v="Peconic Bay Medical Center"/>
    <n v="2015"/>
    <n v="2"/>
    <s v="Self-Pay"/>
    <x v="4"/>
    <s v="Self-Pay"/>
    <n v="78690.080000000002"/>
    <n v="53347.58"/>
    <n v="0"/>
  </r>
  <r>
    <x v="7801"/>
    <s v="Peconic Bay Medical Center"/>
    <n v="2015"/>
    <n v="2"/>
    <s v="Self-Pay"/>
    <x v="4"/>
    <s v="Self-Pay"/>
    <n v="33877.9"/>
    <n v="9273.07"/>
    <n v="0"/>
  </r>
  <r>
    <x v="7802"/>
    <s v="Peconic Bay Medical Center"/>
    <n v="2015"/>
    <n v="2"/>
    <s v="Self-Pay"/>
    <x v="4"/>
    <s v="Self-Pay"/>
    <n v="22241.86"/>
    <n v="7517.73"/>
    <n v="0"/>
  </r>
  <r>
    <x v="7803"/>
    <s v="Peconic Bay Medical Center"/>
    <n v="2015"/>
    <n v="2"/>
    <s v="Self-Pay"/>
    <x v="4"/>
    <s v="Self-Pay"/>
    <n v="57260.81"/>
    <n v="33699.18"/>
    <n v="0"/>
  </r>
  <r>
    <x v="7804"/>
    <s v="Peconic Bay Medical Center"/>
    <n v="2015"/>
    <n v="2"/>
    <s v="Self-Pay"/>
    <x v="4"/>
    <s v="Self-Pay"/>
    <n v="39085.56"/>
    <n v="10919.17"/>
    <n v="0"/>
  </r>
  <r>
    <x v="7805"/>
    <s v="Peconic Bay Medical Center"/>
    <n v="2015"/>
    <n v="2"/>
    <s v="Self-Pay"/>
    <x v="4"/>
    <s v="Self-Pay"/>
    <n v="16470.7"/>
    <n v="5277.6"/>
    <n v="0"/>
  </r>
  <r>
    <x v="7806"/>
    <s v="Peconic Bay Medical Center"/>
    <n v="2015"/>
    <n v="2"/>
    <s v="Self-Pay"/>
    <x v="4"/>
    <s v="Self-Pay"/>
    <n v="25845.74"/>
    <n v="7548.86"/>
    <n v="0"/>
  </r>
  <r>
    <x v="7807"/>
    <s v="Peconic Bay Medical Center"/>
    <n v="2015"/>
    <n v="2"/>
    <s v="Self-Pay"/>
    <x v="4"/>
    <s v="Self-Pay"/>
    <n v="10490.7"/>
    <n v="2752.37"/>
    <n v="0"/>
  </r>
  <r>
    <x v="7808"/>
    <s v="Peconic Bay Medical Center"/>
    <n v="2015"/>
    <n v="2"/>
    <s v="Self-Pay"/>
    <x v="4"/>
    <s v="Self-Pay"/>
    <n v="28207.82"/>
    <n v="6865.05"/>
    <n v="0"/>
  </r>
  <r>
    <x v="7809"/>
    <s v="Peconic Bay Medical Center"/>
    <n v="2015"/>
    <n v="2"/>
    <s v="Self-Pay"/>
    <x v="4"/>
    <s v="Self-Pay"/>
    <n v="22534.240000000002"/>
    <n v="6710"/>
    <n v="0"/>
  </r>
  <r>
    <x v="7810"/>
    <s v="Peconic Bay Medical Center"/>
    <n v="2015"/>
    <n v="2"/>
    <s v="Self-Pay"/>
    <x v="4"/>
    <s v="Self-Pay"/>
    <n v="27493.94"/>
    <n v="13513.29"/>
    <n v="0"/>
  </r>
  <r>
    <x v="7811"/>
    <s v="Peconic Bay Medical Center"/>
    <n v="2015"/>
    <n v="2"/>
    <s v="Self-Pay"/>
    <x v="4"/>
    <s v="Self-Pay"/>
    <n v="33817.56"/>
    <n v="9986.01"/>
    <n v="0"/>
  </r>
  <r>
    <x v="7812"/>
    <s v="Peconic Bay Medical Center"/>
    <n v="2015"/>
    <n v="2"/>
    <s v="Self-Pay"/>
    <x v="4"/>
    <s v="Self-Pay"/>
    <n v="9518.36"/>
    <n v="2622.18"/>
    <n v="0"/>
  </r>
  <r>
    <x v="7813"/>
    <s v="Peconic Bay Medical Center"/>
    <n v="2015"/>
    <n v="2"/>
    <s v="Self-Pay"/>
    <x v="4"/>
    <s v="Self-Pay"/>
    <n v="31557.18"/>
    <n v="12023.51"/>
    <n v="0"/>
  </r>
  <r>
    <x v="7814"/>
    <s v="Peconic Bay Medical Center"/>
    <n v="2015"/>
    <n v="2"/>
    <s v="Self-Pay"/>
    <x v="4"/>
    <s v="Self-Pay"/>
    <n v="20475.080000000002"/>
    <n v="5076.53"/>
    <n v="0"/>
  </r>
  <r>
    <x v="7815"/>
    <s v="Peconic Bay Medical Center"/>
    <n v="2015"/>
    <n v="2"/>
    <s v="Self-Pay"/>
    <x v="4"/>
    <s v="Self-Pay"/>
    <n v="6884.06"/>
    <n v="2058.7800000000002"/>
    <n v="0"/>
  </r>
  <r>
    <x v="7816"/>
    <s v="Peconic Bay Medical Center"/>
    <n v="2015"/>
    <n v="2"/>
    <s v="Self-Pay"/>
    <x v="4"/>
    <s v="Self-Pay"/>
    <n v="32721.16"/>
    <n v="9285.9"/>
    <n v="0"/>
  </r>
  <r>
    <x v="7817"/>
    <s v="Peconic Bay Medical Center"/>
    <n v="2015"/>
    <n v="2"/>
    <s v="Self-Pay"/>
    <x v="4"/>
    <s v="Self-Pay"/>
    <n v="36037"/>
    <n v="10108.870000000001"/>
    <n v="0"/>
  </r>
  <r>
    <x v="7818"/>
    <s v="Peconic Bay Medical Center"/>
    <n v="2015"/>
    <n v="2"/>
    <s v="Self-Pay"/>
    <x v="4"/>
    <s v="Self-Pay"/>
    <n v="41172.879999999997"/>
    <n v="8848.2000000000007"/>
    <n v="0"/>
  </r>
  <r>
    <x v="7819"/>
    <s v="Peconic Bay Medical Center"/>
    <n v="2015"/>
    <n v="2"/>
    <s v="Self-Pay"/>
    <x v="4"/>
    <s v="Self-Pay"/>
    <n v="17562.54"/>
    <n v="4624.88"/>
    <n v="0"/>
  </r>
  <r>
    <x v="7820"/>
    <s v="Peconic Bay Medical Center"/>
    <n v="2015"/>
    <n v="2"/>
    <s v="Self-Pay"/>
    <x v="4"/>
    <s v="Self-Pay"/>
    <n v="39385.879999999997"/>
    <n v="14933.79"/>
    <n v="0"/>
  </r>
  <r>
    <x v="7821"/>
    <s v="Peconic Bay Medical Center"/>
    <n v="2015"/>
    <n v="2"/>
    <s v="Self-Pay"/>
    <x v="4"/>
    <s v="Self-Pay"/>
    <n v="20076.099999999999"/>
    <n v="5725.28"/>
    <n v="0"/>
  </r>
  <r>
    <x v="7822"/>
    <s v="Peconic Bay Medical Center"/>
    <n v="2015"/>
    <n v="2"/>
    <s v="Self-Pay"/>
    <x v="4"/>
    <s v="Self-Pay"/>
    <n v="28807.46"/>
    <n v="9232.01"/>
    <n v="0"/>
  </r>
  <r>
    <x v="7823"/>
    <s v="Peconic Bay Medical Center"/>
    <n v="2015"/>
    <n v="2"/>
    <s v="Self-Pay"/>
    <x v="4"/>
    <s v="Self-Pay"/>
    <n v="23888.68"/>
    <n v="8972.08"/>
    <n v="0"/>
  </r>
  <r>
    <x v="7824"/>
    <s v="Peconic Bay Medical Center"/>
    <n v="2015"/>
    <n v="2"/>
    <s v="Self-Pay"/>
    <x v="4"/>
    <s v="Self-Pay"/>
    <n v="14190.4"/>
    <n v="4229.3"/>
    <n v="0"/>
  </r>
  <r>
    <x v="7825"/>
    <s v="Peconic Bay Medical Center"/>
    <n v="2015"/>
    <n v="2"/>
    <s v="Self-Pay"/>
    <x v="4"/>
    <s v="Self-Pay"/>
    <n v="53270.1"/>
    <n v="12853.12"/>
    <n v="0"/>
  </r>
  <r>
    <x v="7826"/>
    <s v="Peconic Bay Medical Center"/>
    <n v="2015"/>
    <n v="2"/>
    <s v="Self-Pay"/>
    <x v="4"/>
    <s v="Self-Pay"/>
    <n v="11512.58"/>
    <n v="3005.71"/>
    <n v="0"/>
  </r>
  <r>
    <x v="7827"/>
    <s v="Peconic Bay Medical Center"/>
    <n v="2015"/>
    <n v="2"/>
    <s v="Self-Pay"/>
    <x v="4"/>
    <s v="Self-Pay"/>
    <n v="28756.9"/>
    <n v="14070.74"/>
    <n v="0"/>
  </r>
  <r>
    <x v="7828"/>
    <s v="Peconic Bay Medical Center"/>
    <n v="2015"/>
    <n v="2"/>
    <s v="Self-Pay"/>
    <x v="4"/>
    <s v="Self-Pay"/>
    <n v="10530.66"/>
    <n v="2335.5100000000002"/>
    <n v="0"/>
  </r>
  <r>
    <x v="7829"/>
    <s v="Peconic Bay Medical Center"/>
    <n v="2015"/>
    <n v="2"/>
    <s v="Self-Pay"/>
    <x v="4"/>
    <s v="Self-Pay"/>
    <n v="13706.46"/>
    <n v="3125.78"/>
    <n v="0"/>
  </r>
  <r>
    <x v="7830"/>
    <s v="Peconic Bay Medical Center"/>
    <n v="2015"/>
    <n v="2"/>
    <s v="Self-Pay"/>
    <x v="4"/>
    <s v="Self-Pay"/>
    <n v="13348.04"/>
    <n v="3594.08"/>
    <n v="0"/>
  </r>
  <r>
    <x v="7831"/>
    <s v="Peconic Bay Medical Center"/>
    <n v="2015"/>
    <n v="2"/>
    <s v="Self-Pay"/>
    <x v="4"/>
    <s v="Self-Pay"/>
    <n v="38239.64"/>
    <n v="9101.2099999999991"/>
    <n v="0"/>
  </r>
  <r>
    <x v="7832"/>
    <s v="Peconic Bay Medical Center"/>
    <n v="2015"/>
    <n v="2"/>
    <s v="Self-Pay"/>
    <x v="4"/>
    <s v="Self-Pay"/>
    <n v="10542.8"/>
    <n v="2715.86"/>
    <n v="0"/>
  </r>
  <r>
    <x v="7833"/>
    <s v="Peconic Bay Medical Center"/>
    <n v="2015"/>
    <n v="2"/>
    <s v="Self-Pay"/>
    <x v="4"/>
    <s v="Self-Pay"/>
    <n v="26045.599999999999"/>
    <n v="13145.64"/>
    <n v="0"/>
  </r>
  <r>
    <x v="7834"/>
    <s v="Peconic Bay Medical Center"/>
    <n v="2015"/>
    <n v="2"/>
    <s v="Self-Pay"/>
    <x v="4"/>
    <s v="Self-Pay"/>
    <n v="9978.68"/>
    <n v="2671.18"/>
    <n v="0"/>
  </r>
  <r>
    <x v="7835"/>
    <s v="Peconic Bay Medical Center"/>
    <n v="2015"/>
    <n v="2"/>
    <s v="Self-Pay"/>
    <x v="4"/>
    <s v="Self-Pay"/>
    <n v="8706.58"/>
    <n v="2298.89"/>
    <n v="0"/>
  </r>
  <r>
    <x v="7836"/>
    <s v="Peconic Bay Medical Center"/>
    <n v="2015"/>
    <n v="2"/>
    <s v="Self-Pay"/>
    <x v="4"/>
    <s v="Self-Pay"/>
    <n v="9247.8799999999992"/>
    <n v="2488.9299999999998"/>
    <n v="0"/>
  </r>
  <r>
    <x v="7837"/>
    <s v="Peconic Bay Medical Center"/>
    <n v="2015"/>
    <n v="2"/>
    <s v="Self-Pay"/>
    <x v="4"/>
    <s v="Self-Pay"/>
    <n v="13451.42"/>
    <n v="2934.81"/>
    <n v="0"/>
  </r>
  <r>
    <x v="7838"/>
    <s v="Peconic Bay Medical Center"/>
    <n v="2015"/>
    <n v="2"/>
    <s v="Self-Pay"/>
    <x v="4"/>
    <s v="Self-Pay"/>
    <n v="26585.8"/>
    <n v="13008.03"/>
    <n v="0"/>
  </r>
  <r>
    <x v="7839"/>
    <s v="Peconic Bay Medical Center"/>
    <n v="2015"/>
    <n v="2"/>
    <s v="Self-Pay"/>
    <x v="4"/>
    <s v="Self-Pay"/>
    <n v="113827.5"/>
    <n v="47217.62"/>
    <n v="0"/>
  </r>
  <r>
    <x v="7840"/>
    <s v="Peconic Bay Medical Center"/>
    <n v="2015"/>
    <n v="2"/>
    <s v="Self-Pay"/>
    <x v="4"/>
    <s v="Self-Pay"/>
    <n v="16205.14"/>
    <n v="4888.3100000000004"/>
    <n v="0"/>
  </r>
  <r>
    <x v="7841"/>
    <s v="Peconic Bay Medical Center"/>
    <n v="2015"/>
    <n v="2"/>
    <s v="Self-Pay"/>
    <x v="4"/>
    <s v="Self-Pay"/>
    <n v="27181.18"/>
    <n v="7760.76"/>
    <n v="0"/>
  </r>
  <r>
    <x v="7842"/>
    <s v="Peconic Bay Medical Center"/>
    <n v="2015"/>
    <n v="2"/>
    <s v="Self-Pay"/>
    <x v="4"/>
    <s v="Self-Pay"/>
    <n v="20710.02"/>
    <n v="5140.21"/>
    <n v="0"/>
  </r>
  <r>
    <x v="7843"/>
    <s v="Peconic Bay Medical Center"/>
    <n v="2015"/>
    <n v="2"/>
    <s v="Self-Pay"/>
    <x v="4"/>
    <s v="Self-Pay"/>
    <n v="10545.78"/>
    <n v="2970.66"/>
    <n v="0"/>
  </r>
  <r>
    <x v="7844"/>
    <s v="Peconic Bay Medical Center"/>
    <n v="2015"/>
    <n v="2"/>
    <s v="Self-Pay"/>
    <x v="4"/>
    <s v="Self-Pay"/>
    <n v="30296.880000000001"/>
    <n v="10167.82"/>
    <n v="0"/>
  </r>
  <r>
    <x v="7845"/>
    <s v="Peconic Bay Medical Center"/>
    <n v="2015"/>
    <n v="2"/>
    <s v="Self-Pay"/>
    <x v="4"/>
    <s v="Self-Pay"/>
    <n v="13641.14"/>
    <n v="4132.6099999999997"/>
    <n v="0"/>
  </r>
  <r>
    <x v="7846"/>
    <s v="Peconic Bay Medical Center"/>
    <n v="2015"/>
    <n v="2"/>
    <s v="Self-Pay"/>
    <x v="4"/>
    <s v="Self-Pay"/>
    <n v="12508.88"/>
    <n v="3838.1"/>
    <n v="0"/>
  </r>
  <r>
    <x v="7847"/>
    <s v="Peconic Bay Medical Center"/>
    <n v="2015"/>
    <n v="2"/>
    <s v="Self-Pay"/>
    <x v="4"/>
    <s v="Self-Pay"/>
    <n v="27775.42"/>
    <n v="8223.4699999999993"/>
    <n v="0"/>
  </r>
  <r>
    <x v="7848"/>
    <s v="Peconic Bay Medical Center"/>
    <n v="2015"/>
    <n v="2"/>
    <s v="Self-Pay"/>
    <x v="4"/>
    <s v="Self-Pay"/>
    <n v="7967.48"/>
    <n v="2187.2800000000002"/>
    <n v="0"/>
  </r>
  <r>
    <x v="7849"/>
    <s v="Peconic Bay Medical Center"/>
    <n v="2015"/>
    <n v="2"/>
    <s v="Self-Pay"/>
    <x v="4"/>
    <s v="Self-Pay"/>
    <n v="6962"/>
    <n v="1970.8"/>
    <n v="0"/>
  </r>
  <r>
    <x v="7850"/>
    <s v="Peconic Bay Medical Center"/>
    <n v="2015"/>
    <n v="2"/>
    <s v="Self-Pay"/>
    <x v="4"/>
    <s v="Self-Pay"/>
    <n v="17558.96"/>
    <n v="4935.9799999999996"/>
    <n v="0"/>
  </r>
  <r>
    <x v="7851"/>
    <s v="Peconic Bay Medical Center"/>
    <n v="2015"/>
    <n v="2"/>
    <s v="Self-Pay"/>
    <x v="4"/>
    <s v="Self-Pay"/>
    <n v="36108.959999999999"/>
    <n v="12292.92"/>
    <n v="0"/>
  </r>
  <r>
    <x v="7852"/>
    <s v="Peconic Bay Medical Center"/>
    <n v="2015"/>
    <n v="2"/>
    <s v="Self-Pay"/>
    <x v="4"/>
    <s v="Self-Pay"/>
    <n v="54480.71"/>
    <n v="32934.67"/>
    <n v="0"/>
  </r>
  <r>
    <x v="7853"/>
    <s v="Peconic Bay Medical Center"/>
    <n v="2015"/>
    <n v="2"/>
    <s v="Self-Pay"/>
    <x v="4"/>
    <s v="Self-Pay"/>
    <n v="33000.660000000003"/>
    <n v="8746.2900000000009"/>
    <n v="0"/>
  </r>
  <r>
    <x v="7854"/>
    <s v="Peconic Bay Medical Center"/>
    <n v="2015"/>
    <n v="2"/>
    <s v="Self-Pay"/>
    <x v="4"/>
    <s v="Self-Pay"/>
    <n v="26025.01"/>
    <n v="14626.56"/>
    <n v="0"/>
  </r>
  <r>
    <x v="7855"/>
    <s v="Peconic Bay Medical Center"/>
    <n v="2015"/>
    <n v="2"/>
    <s v="Self-Pay"/>
    <x v="4"/>
    <s v="Self-Pay"/>
    <n v="22559.52"/>
    <n v="6745.5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107E2-569C-4938-B081-2AC6D772DD77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dataField="1" showAll="0">
      <items count="7857">
        <item x="1573"/>
        <item x="3174"/>
        <item x="3175"/>
        <item x="1574"/>
        <item x="3176"/>
        <item x="1575"/>
        <item x="1576"/>
        <item x="3177"/>
        <item x="1577"/>
        <item x="3178"/>
        <item x="3179"/>
        <item x="1578"/>
        <item x="3180"/>
        <item x="0"/>
        <item x="3181"/>
        <item x="1"/>
        <item x="3182"/>
        <item x="3183"/>
        <item x="3184"/>
        <item x="2"/>
        <item x="1579"/>
        <item x="1580"/>
        <item x="7584"/>
        <item x="3185"/>
        <item x="3"/>
        <item x="4"/>
        <item x="5"/>
        <item x="3186"/>
        <item x="6"/>
        <item x="3187"/>
        <item x="7"/>
        <item x="3188"/>
        <item x="8"/>
        <item x="3189"/>
        <item x="9"/>
        <item x="10"/>
        <item x="11"/>
        <item x="12"/>
        <item x="3190"/>
        <item x="1581"/>
        <item x="13"/>
        <item x="1582"/>
        <item x="1583"/>
        <item x="1584"/>
        <item x="1585"/>
        <item x="14"/>
        <item x="1586"/>
        <item x="15"/>
        <item x="1587"/>
        <item x="16"/>
        <item x="3191"/>
        <item x="1588"/>
        <item x="1589"/>
        <item x="1590"/>
        <item x="1591"/>
        <item x="3192"/>
        <item x="3193"/>
        <item x="17"/>
        <item x="1592"/>
        <item x="3194"/>
        <item x="1593"/>
        <item x="1594"/>
        <item x="1595"/>
        <item x="3195"/>
        <item x="1596"/>
        <item x="3196"/>
        <item x="3197"/>
        <item x="7585"/>
        <item x="3198"/>
        <item x="1597"/>
        <item x="18"/>
        <item x="3199"/>
        <item x="19"/>
        <item x="1598"/>
        <item x="1599"/>
        <item x="1600"/>
        <item x="3200"/>
        <item x="20"/>
        <item x="21"/>
        <item x="3201"/>
        <item x="22"/>
        <item x="23"/>
        <item x="24"/>
        <item x="25"/>
        <item x="3202"/>
        <item x="26"/>
        <item x="27"/>
        <item x="28"/>
        <item x="1601"/>
        <item x="3203"/>
        <item x="1602"/>
        <item x="1603"/>
        <item x="1604"/>
        <item x="3204"/>
        <item x="1605"/>
        <item x="3205"/>
        <item x="1606"/>
        <item x="1607"/>
        <item x="29"/>
        <item x="3206"/>
        <item x="3207"/>
        <item x="3208"/>
        <item x="30"/>
        <item x="7586"/>
        <item x="3209"/>
        <item x="1608"/>
        <item x="3210"/>
        <item x="3211"/>
        <item x="3212"/>
        <item x="3213"/>
        <item x="7587"/>
        <item x="3214"/>
        <item x="3215"/>
        <item x="31"/>
        <item x="1609"/>
        <item x="1610"/>
        <item x="1611"/>
        <item x="3216"/>
        <item x="1612"/>
        <item x="1613"/>
        <item x="3217"/>
        <item x="32"/>
        <item x="33"/>
        <item x="34"/>
        <item x="1614"/>
        <item x="35"/>
        <item x="3218"/>
        <item x="1615"/>
        <item x="3219"/>
        <item x="36"/>
        <item x="3220"/>
        <item x="3221"/>
        <item x="1616"/>
        <item x="1617"/>
        <item x="37"/>
        <item x="3222"/>
        <item x="1618"/>
        <item x="3223"/>
        <item x="3224"/>
        <item x="3225"/>
        <item x="1619"/>
        <item x="1620"/>
        <item x="3226"/>
        <item x="1621"/>
        <item x="3227"/>
        <item x="3228"/>
        <item x="7588"/>
        <item x="1622"/>
        <item x="3229"/>
        <item x="38"/>
        <item x="3230"/>
        <item x="1623"/>
        <item x="1624"/>
        <item x="1625"/>
        <item x="39"/>
        <item x="3231"/>
        <item x="1626"/>
        <item x="40"/>
        <item x="7589"/>
        <item x="3232"/>
        <item x="3233"/>
        <item x="1627"/>
        <item x="1628"/>
        <item x="3234"/>
        <item x="41"/>
        <item x="3235"/>
        <item x="42"/>
        <item x="43"/>
        <item x="3236"/>
        <item x="1629"/>
        <item x="1630"/>
        <item x="3237"/>
        <item x="3238"/>
        <item x="3239"/>
        <item x="3240"/>
        <item x="1631"/>
        <item x="44"/>
        <item x="3241"/>
        <item x="45"/>
        <item x="1632"/>
        <item x="3242"/>
        <item x="1633"/>
        <item x="1634"/>
        <item x="3243"/>
        <item x="1635"/>
        <item x="3244"/>
        <item x="3245"/>
        <item x="1636"/>
        <item x="46"/>
        <item x="47"/>
        <item x="48"/>
        <item x="49"/>
        <item x="3246"/>
        <item x="50"/>
        <item x="3247"/>
        <item x="51"/>
        <item x="1637"/>
        <item x="3248"/>
        <item x="3249"/>
        <item x="1638"/>
        <item x="1639"/>
        <item x="3250"/>
        <item x="1640"/>
        <item x="52"/>
        <item x="1641"/>
        <item x="53"/>
        <item x="1642"/>
        <item x="3251"/>
        <item x="54"/>
        <item x="1643"/>
        <item x="55"/>
        <item x="3252"/>
        <item x="1644"/>
        <item x="3253"/>
        <item x="3254"/>
        <item x="56"/>
        <item x="3255"/>
        <item x="57"/>
        <item x="3256"/>
        <item x="58"/>
        <item x="3257"/>
        <item x="3258"/>
        <item x="59"/>
        <item x="3259"/>
        <item x="60"/>
        <item x="3260"/>
        <item x="61"/>
        <item x="62"/>
        <item x="3261"/>
        <item x="3262"/>
        <item x="63"/>
        <item x="1645"/>
        <item x="3263"/>
        <item x="64"/>
        <item x="65"/>
        <item x="3264"/>
        <item x="66"/>
        <item x="3265"/>
        <item x="3266"/>
        <item x="67"/>
        <item x="68"/>
        <item x="3267"/>
        <item x="1646"/>
        <item x="3268"/>
        <item x="1647"/>
        <item x="69"/>
        <item x="70"/>
        <item x="1648"/>
        <item x="3269"/>
        <item x="1649"/>
        <item x="3270"/>
        <item x="71"/>
        <item x="3271"/>
        <item x="72"/>
        <item x="1650"/>
        <item x="3272"/>
        <item x="1651"/>
        <item x="73"/>
        <item x="74"/>
        <item x="3273"/>
        <item x="1652"/>
        <item x="3274"/>
        <item x="3275"/>
        <item x="75"/>
        <item x="1653"/>
        <item x="1654"/>
        <item x="3276"/>
        <item x="1655"/>
        <item x="1656"/>
        <item x="76"/>
        <item x="77"/>
        <item x="1657"/>
        <item x="78"/>
        <item x="1658"/>
        <item x="3277"/>
        <item x="3278"/>
        <item x="1659"/>
        <item x="3279"/>
        <item x="3280"/>
        <item x="79"/>
        <item x="3281"/>
        <item x="1660"/>
        <item x="3282"/>
        <item x="80"/>
        <item x="1661"/>
        <item x="81"/>
        <item x="82"/>
        <item x="3283"/>
        <item x="3284"/>
        <item x="83"/>
        <item x="84"/>
        <item x="85"/>
        <item x="1662"/>
        <item x="1663"/>
        <item x="86"/>
        <item x="1664"/>
        <item x="3285"/>
        <item x="1665"/>
        <item x="1666"/>
        <item x="87"/>
        <item x="88"/>
        <item x="3286"/>
        <item x="89"/>
        <item x="3287"/>
        <item x="90"/>
        <item x="1667"/>
        <item x="3288"/>
        <item x="3289"/>
        <item x="91"/>
        <item x="1668"/>
        <item x="92"/>
        <item x="93"/>
        <item x="1669"/>
        <item x="94"/>
        <item x="3290"/>
        <item x="3291"/>
        <item x="1670"/>
        <item x="3292"/>
        <item x="95"/>
        <item x="3293"/>
        <item x="3294"/>
        <item x="96"/>
        <item x="1671"/>
        <item x="3295"/>
        <item x="97"/>
        <item x="98"/>
        <item x="99"/>
        <item x="3296"/>
        <item x="1672"/>
        <item x="3297"/>
        <item x="100"/>
        <item x="101"/>
        <item x="7590"/>
        <item x="3298"/>
        <item x="3299"/>
        <item x="102"/>
        <item x="1673"/>
        <item x="103"/>
        <item x="3300"/>
        <item x="1674"/>
        <item x="1675"/>
        <item x="104"/>
        <item x="7591"/>
        <item x="3301"/>
        <item x="3302"/>
        <item x="1676"/>
        <item x="3303"/>
        <item x="1677"/>
        <item x="3304"/>
        <item x="3305"/>
        <item x="3306"/>
        <item x="105"/>
        <item x="7592"/>
        <item x="106"/>
        <item x="1678"/>
        <item x="7593"/>
        <item x="1679"/>
        <item x="1680"/>
        <item x="107"/>
        <item x="1681"/>
        <item x="3307"/>
        <item x="3308"/>
        <item x="108"/>
        <item x="3309"/>
        <item x="1682"/>
        <item x="3310"/>
        <item x="109"/>
        <item x="3311"/>
        <item x="110"/>
        <item x="3312"/>
        <item x="1683"/>
        <item x="111"/>
        <item x="3313"/>
        <item x="3314"/>
        <item x="3315"/>
        <item x="3316"/>
        <item x="1684"/>
        <item x="112"/>
        <item x="113"/>
        <item x="1685"/>
        <item x="1686"/>
        <item x="114"/>
        <item x="1687"/>
        <item x="1688"/>
        <item x="3317"/>
        <item x="3318"/>
        <item x="1689"/>
        <item x="3319"/>
        <item x="1690"/>
        <item x="3320"/>
        <item x="115"/>
        <item x="7594"/>
        <item x="3321"/>
        <item x="116"/>
        <item x="3322"/>
        <item x="3323"/>
        <item x="117"/>
        <item x="7595"/>
        <item x="118"/>
        <item x="3324"/>
        <item x="1691"/>
        <item x="3325"/>
        <item x="1692"/>
        <item x="1693"/>
        <item x="1694"/>
        <item x="3326"/>
        <item x="3327"/>
        <item x="3328"/>
        <item x="1695"/>
        <item x="3329"/>
        <item x="3330"/>
        <item x="3331"/>
        <item x="3332"/>
        <item x="119"/>
        <item x="3333"/>
        <item x="1696"/>
        <item x="120"/>
        <item x="1697"/>
        <item x="121"/>
        <item x="3334"/>
        <item x="3335"/>
        <item x="1698"/>
        <item x="3336"/>
        <item x="3337"/>
        <item x="1699"/>
        <item x="122"/>
        <item x="1700"/>
        <item x="3338"/>
        <item x="1701"/>
        <item x="123"/>
        <item x="3339"/>
        <item x="1702"/>
        <item x="124"/>
        <item x="3340"/>
        <item x="125"/>
        <item x="1703"/>
        <item x="126"/>
        <item x="3341"/>
        <item x="127"/>
        <item x="1704"/>
        <item x="3342"/>
        <item x="3343"/>
        <item x="1705"/>
        <item x="3344"/>
        <item x="3345"/>
        <item x="3346"/>
        <item x="3347"/>
        <item x="128"/>
        <item x="1706"/>
        <item x="3348"/>
        <item x="3349"/>
        <item x="3350"/>
        <item x="1707"/>
        <item x="1708"/>
        <item x="3351"/>
        <item x="3352"/>
        <item x="3353"/>
        <item x="129"/>
        <item x="130"/>
        <item x="7596"/>
        <item x="1709"/>
        <item x="3354"/>
        <item x="131"/>
        <item x="1710"/>
        <item x="132"/>
        <item x="1711"/>
        <item x="3355"/>
        <item x="3356"/>
        <item x="1712"/>
        <item x="3357"/>
        <item x="133"/>
        <item x="134"/>
        <item x="135"/>
        <item x="3358"/>
        <item x="3359"/>
        <item x="136"/>
        <item x="137"/>
        <item x="1713"/>
        <item x="138"/>
        <item x="139"/>
        <item x="3360"/>
        <item x="1714"/>
        <item x="1715"/>
        <item x="3361"/>
        <item x="3362"/>
        <item x="1716"/>
        <item x="3363"/>
        <item x="3364"/>
        <item x="3365"/>
        <item x="140"/>
        <item x="3366"/>
        <item x="1717"/>
        <item x="1718"/>
        <item x="1719"/>
        <item x="1720"/>
        <item x="3367"/>
        <item x="1721"/>
        <item x="141"/>
        <item x="1722"/>
        <item x="1723"/>
        <item x="3368"/>
        <item x="3369"/>
        <item x="3370"/>
        <item x="1724"/>
        <item x="142"/>
        <item x="3371"/>
        <item x="1725"/>
        <item x="3372"/>
        <item x="143"/>
        <item x="1726"/>
        <item x="1727"/>
        <item x="144"/>
        <item x="1728"/>
        <item x="3373"/>
        <item x="3374"/>
        <item x="145"/>
        <item x="146"/>
        <item x="1729"/>
        <item x="3375"/>
        <item x="1730"/>
        <item x="1731"/>
        <item x="1732"/>
        <item x="147"/>
        <item x="3376"/>
        <item x="1733"/>
        <item x="3377"/>
        <item x="148"/>
        <item x="3378"/>
        <item x="1734"/>
        <item x="3379"/>
        <item x="3380"/>
        <item x="1735"/>
        <item x="149"/>
        <item x="3381"/>
        <item x="1736"/>
        <item x="3382"/>
        <item x="1737"/>
        <item x="1738"/>
        <item x="150"/>
        <item x="1739"/>
        <item x="1740"/>
        <item x="151"/>
        <item x="3383"/>
        <item x="1741"/>
        <item x="3384"/>
        <item x="1742"/>
        <item x="3385"/>
        <item x="152"/>
        <item x="3386"/>
        <item x="3387"/>
        <item x="153"/>
        <item x="1743"/>
        <item x="1744"/>
        <item x="3388"/>
        <item x="154"/>
        <item x="1745"/>
        <item x="155"/>
        <item x="3389"/>
        <item x="3390"/>
        <item x="3391"/>
        <item x="3392"/>
        <item x="1746"/>
        <item x="3393"/>
        <item x="1747"/>
        <item x="3394"/>
        <item x="1748"/>
        <item x="3395"/>
        <item x="3396"/>
        <item x="1749"/>
        <item x="156"/>
        <item x="3397"/>
        <item x="3398"/>
        <item x="3399"/>
        <item x="3400"/>
        <item x="3401"/>
        <item x="3402"/>
        <item x="3403"/>
        <item x="3404"/>
        <item x="3405"/>
        <item x="1750"/>
        <item x="157"/>
        <item x="3406"/>
        <item x="158"/>
        <item x="159"/>
        <item x="3407"/>
        <item x="160"/>
        <item x="3408"/>
        <item x="3409"/>
        <item x="3410"/>
        <item x="3411"/>
        <item x="3412"/>
        <item x="1751"/>
        <item x="161"/>
        <item x="3413"/>
        <item x="7597"/>
        <item x="1752"/>
        <item x="3414"/>
        <item x="3415"/>
        <item x="3416"/>
        <item x="1753"/>
        <item x="1754"/>
        <item x="162"/>
        <item x="3417"/>
        <item x="1755"/>
        <item x="3418"/>
        <item x="3419"/>
        <item x="1756"/>
        <item x="3420"/>
        <item x="163"/>
        <item x="3421"/>
        <item x="3422"/>
        <item x="3423"/>
        <item x="3424"/>
        <item x="3425"/>
        <item x="3426"/>
        <item x="3427"/>
        <item x="164"/>
        <item x="3428"/>
        <item x="165"/>
        <item x="3429"/>
        <item x="3430"/>
        <item x="166"/>
        <item x="167"/>
        <item x="168"/>
        <item x="3431"/>
        <item x="169"/>
        <item x="170"/>
        <item x="3432"/>
        <item x="1757"/>
        <item x="1758"/>
        <item x="3433"/>
        <item x="3434"/>
        <item x="171"/>
        <item x="3435"/>
        <item x="3436"/>
        <item x="7598"/>
        <item x="3437"/>
        <item x="172"/>
        <item x="3438"/>
        <item x="173"/>
        <item x="3439"/>
        <item x="174"/>
        <item x="3440"/>
        <item x="3441"/>
        <item x="1759"/>
        <item x="3442"/>
        <item x="3443"/>
        <item x="3444"/>
        <item x="175"/>
        <item x="3445"/>
        <item x="3446"/>
        <item x="176"/>
        <item x="1760"/>
        <item x="3447"/>
        <item x="177"/>
        <item x="7599"/>
        <item x="1761"/>
        <item x="3448"/>
        <item x="178"/>
        <item x="3449"/>
        <item x="3450"/>
        <item x="3451"/>
        <item x="3452"/>
        <item x="3453"/>
        <item x="3454"/>
        <item x="1762"/>
        <item x="1763"/>
        <item x="3455"/>
        <item x="3456"/>
        <item x="1764"/>
        <item x="3457"/>
        <item x="3458"/>
        <item x="3459"/>
        <item x="179"/>
        <item x="3460"/>
        <item x="180"/>
        <item x="3461"/>
        <item x="3462"/>
        <item x="181"/>
        <item x="3463"/>
        <item x="7600"/>
        <item x="3464"/>
        <item x="3465"/>
        <item x="182"/>
        <item x="3466"/>
        <item x="3467"/>
        <item x="1765"/>
        <item x="3468"/>
        <item x="183"/>
        <item x="1766"/>
        <item x="3469"/>
        <item x="1767"/>
        <item x="3470"/>
        <item x="3471"/>
        <item x="3472"/>
        <item x="1768"/>
        <item x="184"/>
        <item x="3473"/>
        <item x="3474"/>
        <item x="3475"/>
        <item x="3476"/>
        <item x="185"/>
        <item x="3477"/>
        <item x="3478"/>
        <item x="3479"/>
        <item x="186"/>
        <item x="3480"/>
        <item x="187"/>
        <item x="3481"/>
        <item x="188"/>
        <item x="3482"/>
        <item x="1769"/>
        <item x="3483"/>
        <item x="3484"/>
        <item x="1770"/>
        <item x="1771"/>
        <item x="3485"/>
        <item x="3486"/>
        <item x="3487"/>
        <item x="3488"/>
        <item x="189"/>
        <item x="190"/>
        <item x="3489"/>
        <item x="3490"/>
        <item x="191"/>
        <item x="192"/>
        <item x="3491"/>
        <item x="3492"/>
        <item x="3493"/>
        <item x="3494"/>
        <item x="3495"/>
        <item x="1772"/>
        <item x="3496"/>
        <item x="1773"/>
        <item x="3497"/>
        <item x="1774"/>
        <item x="3498"/>
        <item x="1775"/>
        <item x="193"/>
        <item x="1776"/>
        <item x="194"/>
        <item x="195"/>
        <item x="1777"/>
        <item x="3499"/>
        <item x="3500"/>
        <item x="1778"/>
        <item x="1779"/>
        <item x="1780"/>
        <item x="3501"/>
        <item x="3502"/>
        <item x="3503"/>
        <item x="196"/>
        <item x="3504"/>
        <item x="3505"/>
        <item x="197"/>
        <item x="3506"/>
        <item x="3507"/>
        <item x="3508"/>
        <item x="198"/>
        <item x="3509"/>
        <item x="199"/>
        <item x="3510"/>
        <item x="1781"/>
        <item x="3511"/>
        <item x="3512"/>
        <item x="3513"/>
        <item x="200"/>
        <item x="3514"/>
        <item x="3515"/>
        <item x="1782"/>
        <item x="3516"/>
        <item x="3517"/>
        <item x="1783"/>
        <item x="201"/>
        <item x="3518"/>
        <item x="3519"/>
        <item x="202"/>
        <item x="1784"/>
        <item x="3520"/>
        <item x="3521"/>
        <item x="203"/>
        <item x="1785"/>
        <item x="3522"/>
        <item x="1786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204"/>
        <item x="3534"/>
        <item x="3535"/>
        <item x="3536"/>
        <item x="3537"/>
        <item x="1787"/>
        <item x="3538"/>
        <item x="1788"/>
        <item x="3539"/>
        <item x="3540"/>
        <item x="1789"/>
        <item x="3541"/>
        <item x="3542"/>
        <item x="205"/>
        <item x="206"/>
        <item x="3543"/>
        <item x="7765"/>
        <item x="3544"/>
        <item x="3545"/>
        <item x="1790"/>
        <item x="3546"/>
        <item x="3547"/>
        <item x="207"/>
        <item x="208"/>
        <item x="3548"/>
        <item x="3549"/>
        <item x="3550"/>
        <item x="3551"/>
        <item x="3552"/>
        <item x="209"/>
        <item x="3553"/>
        <item x="3554"/>
        <item x="3555"/>
        <item x="3556"/>
        <item x="3557"/>
        <item x="3558"/>
        <item x="3559"/>
        <item x="210"/>
        <item x="211"/>
        <item x="212"/>
        <item x="213"/>
        <item x="3560"/>
        <item x="3561"/>
        <item x="3562"/>
        <item x="3563"/>
        <item x="3564"/>
        <item x="3565"/>
        <item x="7766"/>
        <item x="3566"/>
        <item x="1791"/>
        <item x="214"/>
        <item x="3567"/>
        <item x="3568"/>
        <item x="215"/>
        <item x="1792"/>
        <item x="1793"/>
        <item x="216"/>
        <item x="1794"/>
        <item x="7767"/>
        <item x="217"/>
        <item x="3569"/>
        <item x="1795"/>
        <item x="218"/>
        <item x="219"/>
        <item x="220"/>
        <item x="221"/>
        <item x="3570"/>
        <item x="3571"/>
        <item x="1796"/>
        <item x="3572"/>
        <item x="222"/>
        <item x="1797"/>
        <item x="1798"/>
        <item x="3573"/>
        <item x="3574"/>
        <item x="3575"/>
        <item x="1799"/>
        <item x="1800"/>
        <item x="223"/>
        <item x="224"/>
        <item x="1801"/>
        <item x="3576"/>
        <item x="3577"/>
        <item x="1802"/>
        <item x="7601"/>
        <item x="3578"/>
        <item x="3579"/>
        <item x="3580"/>
        <item x="7602"/>
        <item x="3581"/>
        <item x="1803"/>
        <item x="1804"/>
        <item x="3582"/>
        <item x="3583"/>
        <item x="3584"/>
        <item x="3585"/>
        <item x="3586"/>
        <item x="3587"/>
        <item x="3588"/>
        <item x="225"/>
        <item x="3589"/>
        <item x="226"/>
        <item x="3590"/>
        <item x="3591"/>
        <item x="227"/>
        <item x="3592"/>
        <item x="3593"/>
        <item x="228"/>
        <item x="229"/>
        <item x="230"/>
        <item x="3594"/>
        <item x="3595"/>
        <item x="3596"/>
        <item x="231"/>
        <item x="232"/>
        <item x="3597"/>
        <item x="3598"/>
        <item x="1805"/>
        <item x="3599"/>
        <item x="3600"/>
        <item x="1806"/>
        <item x="1807"/>
        <item x="233"/>
        <item x="234"/>
        <item x="3601"/>
        <item x="3602"/>
        <item x="3603"/>
        <item x="3604"/>
        <item x="7603"/>
        <item x="235"/>
        <item x="3605"/>
        <item x="1808"/>
        <item x="1809"/>
        <item x="236"/>
        <item x="1810"/>
        <item x="3606"/>
        <item x="3607"/>
        <item x="3608"/>
        <item x="3609"/>
        <item x="237"/>
        <item x="238"/>
        <item x="1811"/>
        <item x="3610"/>
        <item x="239"/>
        <item x="240"/>
        <item x="1812"/>
        <item x="3611"/>
        <item x="241"/>
        <item x="242"/>
        <item x="3612"/>
        <item x="3613"/>
        <item x="243"/>
        <item x="1813"/>
        <item x="3614"/>
        <item x="244"/>
        <item x="245"/>
        <item x="7768"/>
        <item x="3615"/>
        <item x="3616"/>
        <item x="246"/>
        <item x="3617"/>
        <item x="3618"/>
        <item x="3619"/>
        <item x="3620"/>
        <item x="247"/>
        <item x="3621"/>
        <item x="3622"/>
        <item x="3623"/>
        <item x="248"/>
        <item x="3624"/>
        <item x="3625"/>
        <item x="249"/>
        <item x="1814"/>
        <item x="250"/>
        <item x="3626"/>
        <item x="1815"/>
        <item x="7604"/>
        <item x="1816"/>
        <item x="3627"/>
        <item x="251"/>
        <item x="3628"/>
        <item x="3629"/>
        <item x="3630"/>
        <item x="3631"/>
        <item x="3632"/>
        <item x="3633"/>
        <item x="252"/>
        <item x="3634"/>
        <item x="253"/>
        <item x="254"/>
        <item x="1817"/>
        <item x="3635"/>
        <item x="1818"/>
        <item x="3636"/>
        <item x="1819"/>
        <item x="3637"/>
        <item x="3638"/>
        <item x="255"/>
        <item x="3639"/>
        <item x="3640"/>
        <item x="3641"/>
        <item x="7605"/>
        <item x="3642"/>
        <item x="3643"/>
        <item x="3644"/>
        <item x="3645"/>
        <item x="3646"/>
        <item x="256"/>
        <item x="257"/>
        <item x="258"/>
        <item x="259"/>
        <item x="3647"/>
        <item x="3648"/>
        <item x="260"/>
        <item x="261"/>
        <item x="3649"/>
        <item x="262"/>
        <item x="7606"/>
        <item x="1820"/>
        <item x="3650"/>
        <item x="3651"/>
        <item x="3652"/>
        <item x="263"/>
        <item x="3653"/>
        <item x="3654"/>
        <item x="264"/>
        <item x="3655"/>
        <item x="3656"/>
        <item x="265"/>
        <item x="1821"/>
        <item x="3657"/>
        <item x="266"/>
        <item x="3658"/>
        <item x="1822"/>
        <item x="3659"/>
        <item x="267"/>
        <item x="268"/>
        <item x="3660"/>
        <item x="3661"/>
        <item x="3662"/>
        <item x="3663"/>
        <item x="3664"/>
        <item x="269"/>
        <item x="3665"/>
        <item x="7607"/>
        <item x="270"/>
        <item x="271"/>
        <item x="272"/>
        <item x="3666"/>
        <item x="273"/>
        <item x="3667"/>
        <item x="3668"/>
        <item x="3669"/>
        <item x="3670"/>
        <item x="274"/>
        <item x="3671"/>
        <item x="3672"/>
        <item x="275"/>
        <item x="3673"/>
        <item x="3674"/>
        <item x="7608"/>
        <item x="3675"/>
        <item x="7769"/>
        <item x="1823"/>
        <item x="7609"/>
        <item x="276"/>
        <item x="3676"/>
        <item x="277"/>
        <item x="1824"/>
        <item x="278"/>
        <item x="3677"/>
        <item x="279"/>
        <item x="280"/>
        <item x="281"/>
        <item x="3678"/>
        <item x="1825"/>
        <item x="282"/>
        <item x="3679"/>
        <item x="3680"/>
        <item x="283"/>
        <item x="3681"/>
        <item x="3682"/>
        <item x="3683"/>
        <item x="3684"/>
        <item x="1826"/>
        <item x="284"/>
        <item x="1827"/>
        <item x="3685"/>
        <item x="3686"/>
        <item x="285"/>
        <item x="286"/>
        <item x="287"/>
        <item x="288"/>
        <item x="1828"/>
        <item x="289"/>
        <item x="3687"/>
        <item x="290"/>
        <item x="1829"/>
        <item x="3688"/>
        <item x="3689"/>
        <item x="1830"/>
        <item x="3690"/>
        <item x="3691"/>
        <item x="291"/>
        <item x="3692"/>
        <item x="1831"/>
        <item x="3693"/>
        <item x="292"/>
        <item x="3694"/>
        <item x="3695"/>
        <item x="1832"/>
        <item x="3696"/>
        <item x="293"/>
        <item x="3697"/>
        <item x="3698"/>
        <item x="3699"/>
        <item x="1833"/>
        <item x="3700"/>
        <item x="3701"/>
        <item x="3702"/>
        <item x="294"/>
        <item x="295"/>
        <item x="3703"/>
        <item x="3704"/>
        <item x="1834"/>
        <item x="296"/>
        <item x="1835"/>
        <item x="3705"/>
        <item x="1836"/>
        <item x="3706"/>
        <item x="297"/>
        <item x="298"/>
        <item x="3707"/>
        <item x="299"/>
        <item x="1837"/>
        <item x="300"/>
        <item x="3708"/>
        <item x="1838"/>
        <item x="1839"/>
        <item x="7770"/>
        <item x="3709"/>
        <item x="3710"/>
        <item x="1840"/>
        <item x="3711"/>
        <item x="3712"/>
        <item x="3713"/>
        <item x="3714"/>
        <item x="301"/>
        <item x="1841"/>
        <item x="3715"/>
        <item x="3716"/>
        <item x="1842"/>
        <item x="3717"/>
        <item x="1843"/>
        <item x="3718"/>
        <item x="1844"/>
        <item x="1845"/>
        <item x="302"/>
        <item x="3719"/>
        <item x="3720"/>
        <item x="303"/>
        <item x="3721"/>
        <item x="3722"/>
        <item x="304"/>
        <item x="1846"/>
        <item x="305"/>
        <item x="1847"/>
        <item x="306"/>
        <item x="3723"/>
        <item x="3724"/>
        <item x="3725"/>
        <item x="3726"/>
        <item x="1848"/>
        <item x="3727"/>
        <item x="3728"/>
        <item x="7610"/>
        <item x="3729"/>
        <item x="307"/>
        <item x="1849"/>
        <item x="1850"/>
        <item x="308"/>
        <item x="1851"/>
        <item x="3730"/>
        <item x="3731"/>
        <item x="3732"/>
        <item x="309"/>
        <item x="3733"/>
        <item x="310"/>
        <item x="3734"/>
        <item x="1852"/>
        <item x="3735"/>
        <item x="3736"/>
        <item x="3737"/>
        <item x="311"/>
        <item x="1853"/>
        <item x="1854"/>
        <item x="1855"/>
        <item x="1856"/>
        <item x="1857"/>
        <item x="1858"/>
        <item x="312"/>
        <item x="313"/>
        <item x="3738"/>
        <item x="3739"/>
        <item x="3740"/>
        <item x="3741"/>
        <item x="3742"/>
        <item x="3743"/>
        <item x="3744"/>
        <item x="3745"/>
        <item x="3746"/>
        <item x="1859"/>
        <item x="1860"/>
        <item x="3747"/>
        <item x="3748"/>
        <item x="314"/>
        <item x="3749"/>
        <item x="3750"/>
        <item x="3751"/>
        <item x="3752"/>
        <item x="3753"/>
        <item x="1861"/>
        <item x="3754"/>
        <item x="3755"/>
        <item x="7771"/>
        <item x="3756"/>
        <item x="1862"/>
        <item x="3757"/>
        <item x="3758"/>
        <item x="3759"/>
        <item x="3760"/>
        <item x="3761"/>
        <item x="3762"/>
        <item x="1863"/>
        <item x="3763"/>
        <item x="3764"/>
        <item x="3765"/>
        <item x="1864"/>
        <item x="3766"/>
        <item x="1865"/>
        <item x="3767"/>
        <item x="315"/>
        <item x="1866"/>
        <item x="316"/>
        <item x="3768"/>
        <item x="1867"/>
        <item x="1868"/>
        <item x="3769"/>
        <item x="317"/>
        <item x="318"/>
        <item x="1869"/>
        <item x="1870"/>
        <item x="3770"/>
        <item x="3771"/>
        <item x="3772"/>
        <item x="319"/>
        <item x="3773"/>
        <item x="3774"/>
        <item x="3775"/>
        <item x="3776"/>
        <item x="320"/>
        <item x="3777"/>
        <item x="321"/>
        <item x="3778"/>
        <item x="3779"/>
        <item x="322"/>
        <item x="1871"/>
        <item x="323"/>
        <item x="324"/>
        <item x="3780"/>
        <item x="3781"/>
        <item x="325"/>
        <item x="3782"/>
        <item x="3783"/>
        <item x="3784"/>
        <item x="3785"/>
        <item x="326"/>
        <item x="3786"/>
        <item x="327"/>
        <item x="328"/>
        <item x="1872"/>
        <item x="329"/>
        <item x="3787"/>
        <item x="330"/>
        <item x="3788"/>
        <item x="3789"/>
        <item x="3790"/>
        <item x="331"/>
        <item x="3791"/>
        <item x="3792"/>
        <item x="1873"/>
        <item x="3793"/>
        <item x="3794"/>
        <item x="3795"/>
        <item x="3796"/>
        <item x="3797"/>
        <item x="1874"/>
        <item x="1875"/>
        <item x="3798"/>
        <item x="3799"/>
        <item x="332"/>
        <item x="333"/>
        <item x="7611"/>
        <item x="334"/>
        <item x="335"/>
        <item x="336"/>
        <item x="3800"/>
        <item x="337"/>
        <item x="1876"/>
        <item x="338"/>
        <item x="1877"/>
        <item x="3801"/>
        <item x="1878"/>
        <item x="3802"/>
        <item x="3803"/>
        <item x="1879"/>
        <item x="3804"/>
        <item x="7612"/>
        <item x="1880"/>
        <item x="339"/>
        <item x="3805"/>
        <item x="3806"/>
        <item x="1881"/>
        <item x="1882"/>
        <item x="340"/>
        <item x="3807"/>
        <item x="341"/>
        <item x="342"/>
        <item x="343"/>
        <item x="344"/>
        <item x="345"/>
        <item x="7613"/>
        <item x="3808"/>
        <item x="346"/>
        <item x="347"/>
        <item x="3809"/>
        <item x="1883"/>
        <item x="348"/>
        <item x="3810"/>
        <item x="7614"/>
        <item x="3811"/>
        <item x="349"/>
        <item x="350"/>
        <item x="1884"/>
        <item x="3812"/>
        <item x="1885"/>
        <item x="351"/>
        <item x="352"/>
        <item x="353"/>
        <item x="1886"/>
        <item x="3813"/>
        <item x="1887"/>
        <item x="3814"/>
        <item x="3815"/>
        <item x="3816"/>
        <item x="3817"/>
        <item x="1888"/>
        <item x="1889"/>
        <item x="3818"/>
        <item x="1890"/>
        <item x="3819"/>
        <item x="3820"/>
        <item x="3821"/>
        <item x="354"/>
        <item x="355"/>
        <item x="1891"/>
        <item x="356"/>
        <item x="1892"/>
        <item x="3822"/>
        <item x="1893"/>
        <item x="3823"/>
        <item x="357"/>
        <item x="3824"/>
        <item x="358"/>
        <item x="3825"/>
        <item x="359"/>
        <item x="7615"/>
        <item x="3826"/>
        <item x="1894"/>
        <item x="3827"/>
        <item x="1895"/>
        <item x="3828"/>
        <item x="3829"/>
        <item x="1896"/>
        <item x="3830"/>
        <item x="360"/>
        <item x="1897"/>
        <item x="361"/>
        <item x="3831"/>
        <item x="1898"/>
        <item x="362"/>
        <item x="3832"/>
        <item x="3833"/>
        <item x="363"/>
        <item x="3834"/>
        <item x="364"/>
        <item x="3835"/>
        <item x="365"/>
        <item x="3836"/>
        <item x="7616"/>
        <item x="3837"/>
        <item x="366"/>
        <item x="3838"/>
        <item x="3839"/>
        <item x="3840"/>
        <item x="367"/>
        <item x="368"/>
        <item x="1899"/>
        <item x="3841"/>
        <item x="3842"/>
        <item x="1900"/>
        <item x="369"/>
        <item x="1901"/>
        <item x="370"/>
        <item x="371"/>
        <item x="3843"/>
        <item x="1902"/>
        <item x="372"/>
        <item x="3844"/>
        <item x="1903"/>
        <item x="3845"/>
        <item x="3846"/>
        <item x="3847"/>
        <item x="1904"/>
        <item x="373"/>
        <item x="374"/>
        <item x="3848"/>
        <item x="375"/>
        <item x="376"/>
        <item x="3849"/>
        <item x="3850"/>
        <item x="3851"/>
        <item x="3852"/>
        <item x="377"/>
        <item x="3853"/>
        <item x="378"/>
        <item x="3854"/>
        <item x="379"/>
        <item x="380"/>
        <item x="3855"/>
        <item x="3856"/>
        <item x="3857"/>
        <item x="3858"/>
        <item x="3859"/>
        <item x="3860"/>
        <item x="3861"/>
        <item x="1905"/>
        <item x="3862"/>
        <item x="3863"/>
        <item x="3864"/>
        <item x="3865"/>
        <item x="3866"/>
        <item x="1906"/>
        <item x="3867"/>
        <item x="3868"/>
        <item x="381"/>
        <item x="3869"/>
        <item x="1907"/>
        <item x="1908"/>
        <item x="3870"/>
        <item x="1909"/>
        <item x="382"/>
        <item x="1910"/>
        <item x="7617"/>
        <item x="3871"/>
        <item x="1911"/>
        <item x="3872"/>
        <item x="3873"/>
        <item x="3874"/>
        <item x="3875"/>
        <item x="3876"/>
        <item x="3877"/>
        <item x="383"/>
        <item x="384"/>
        <item x="385"/>
        <item x="3878"/>
        <item x="3879"/>
        <item x="3880"/>
        <item x="3881"/>
        <item x="386"/>
        <item x="3882"/>
        <item x="1912"/>
        <item x="3883"/>
        <item x="387"/>
        <item x="3884"/>
        <item x="3885"/>
        <item x="388"/>
        <item x="3886"/>
        <item x="3887"/>
        <item x="389"/>
        <item x="390"/>
        <item x="3888"/>
        <item x="1913"/>
        <item x="7618"/>
        <item x="3889"/>
        <item x="391"/>
        <item x="392"/>
        <item x="1914"/>
        <item x="3890"/>
        <item x="393"/>
        <item x="3891"/>
        <item x="394"/>
        <item x="395"/>
        <item x="3892"/>
        <item x="3893"/>
        <item x="3894"/>
        <item x="396"/>
        <item x="397"/>
        <item x="7619"/>
        <item x="3895"/>
        <item x="3896"/>
        <item x="398"/>
        <item x="3897"/>
        <item x="3898"/>
        <item x="3899"/>
        <item x="3900"/>
        <item x="7620"/>
        <item x="1915"/>
        <item x="399"/>
        <item x="400"/>
        <item x="3901"/>
        <item x="3902"/>
        <item x="3903"/>
        <item x="3904"/>
        <item x="3905"/>
        <item x="1916"/>
        <item x="3906"/>
        <item x="401"/>
        <item x="402"/>
        <item x="3907"/>
        <item x="1917"/>
        <item x="3908"/>
        <item x="3909"/>
        <item x="3910"/>
        <item x="7621"/>
        <item x="1918"/>
        <item x="403"/>
        <item x="3911"/>
        <item x="3912"/>
        <item x="1919"/>
        <item x="3913"/>
        <item x="404"/>
        <item x="3914"/>
        <item x="3915"/>
        <item x="405"/>
        <item x="1920"/>
        <item x="3916"/>
        <item x="3917"/>
        <item x="7772"/>
        <item x="406"/>
        <item x="407"/>
        <item x="408"/>
        <item x="3918"/>
        <item x="3919"/>
        <item x="3920"/>
        <item x="409"/>
        <item x="410"/>
        <item x="3921"/>
        <item x="3922"/>
        <item x="1921"/>
        <item x="3923"/>
        <item x="411"/>
        <item x="3924"/>
        <item x="1922"/>
        <item x="3925"/>
        <item x="1923"/>
        <item x="3926"/>
        <item x="1924"/>
        <item x="3927"/>
        <item x="3928"/>
        <item x="1925"/>
        <item x="1926"/>
        <item x="1927"/>
        <item x="412"/>
        <item x="3929"/>
        <item x="3930"/>
        <item x="3931"/>
        <item x="3932"/>
        <item x="3933"/>
        <item x="1928"/>
        <item x="3934"/>
        <item x="7622"/>
        <item x="3935"/>
        <item x="3936"/>
        <item x="1929"/>
        <item x="413"/>
        <item x="3937"/>
        <item x="7773"/>
        <item x="414"/>
        <item x="3938"/>
        <item x="415"/>
        <item x="1930"/>
        <item x="416"/>
        <item x="1931"/>
        <item x="3939"/>
        <item x="3940"/>
        <item x="417"/>
        <item x="418"/>
        <item x="3941"/>
        <item x="1932"/>
        <item x="3942"/>
        <item x="419"/>
        <item x="3943"/>
        <item x="3944"/>
        <item x="3945"/>
        <item x="420"/>
        <item x="3946"/>
        <item x="1933"/>
        <item x="421"/>
        <item x="422"/>
        <item x="3947"/>
        <item x="423"/>
        <item x="424"/>
        <item x="3948"/>
        <item x="1934"/>
        <item x="3949"/>
        <item x="1935"/>
        <item x="1936"/>
        <item x="3950"/>
        <item x="1937"/>
        <item x="1938"/>
        <item x="3951"/>
        <item x="1939"/>
        <item x="425"/>
        <item x="426"/>
        <item x="427"/>
        <item x="428"/>
        <item x="3952"/>
        <item x="429"/>
        <item x="430"/>
        <item x="1940"/>
        <item x="3953"/>
        <item x="3954"/>
        <item x="431"/>
        <item x="1941"/>
        <item x="3955"/>
        <item x="3956"/>
        <item x="1942"/>
        <item x="7623"/>
        <item x="1943"/>
        <item x="1944"/>
        <item x="1945"/>
        <item x="3957"/>
        <item x="3958"/>
        <item x="3959"/>
        <item x="3960"/>
        <item x="7624"/>
        <item x="432"/>
        <item x="433"/>
        <item x="7625"/>
        <item x="3961"/>
        <item x="434"/>
        <item x="7626"/>
        <item x="3962"/>
        <item x="1946"/>
        <item x="7627"/>
        <item x="3963"/>
        <item x="3964"/>
        <item x="435"/>
        <item x="436"/>
        <item x="3965"/>
        <item x="437"/>
        <item x="438"/>
        <item x="1947"/>
        <item x="1948"/>
        <item x="3966"/>
        <item x="3967"/>
        <item x="3968"/>
        <item x="1949"/>
        <item x="439"/>
        <item x="3969"/>
        <item x="3970"/>
        <item x="3971"/>
        <item x="440"/>
        <item x="3972"/>
        <item x="441"/>
        <item x="3973"/>
        <item x="3974"/>
        <item x="442"/>
        <item x="1950"/>
        <item x="1951"/>
        <item x="3975"/>
        <item x="443"/>
        <item x="3976"/>
        <item x="444"/>
        <item x="3977"/>
        <item x="3978"/>
        <item x="1952"/>
        <item x="3979"/>
        <item x="445"/>
        <item x="3980"/>
        <item x="3981"/>
        <item x="3982"/>
        <item x="446"/>
        <item x="3983"/>
        <item x="447"/>
        <item x="3984"/>
        <item x="1953"/>
        <item x="1954"/>
        <item x="448"/>
        <item x="449"/>
        <item x="3985"/>
        <item x="3986"/>
        <item x="3987"/>
        <item x="3988"/>
        <item x="3989"/>
        <item x="450"/>
        <item x="451"/>
        <item x="3990"/>
        <item x="3991"/>
        <item x="3992"/>
        <item x="3993"/>
        <item x="452"/>
        <item x="3994"/>
        <item x="1955"/>
        <item x="3995"/>
        <item x="3996"/>
        <item x="3997"/>
        <item x="453"/>
        <item x="1956"/>
        <item x="3998"/>
        <item x="3999"/>
        <item x="4000"/>
        <item x="4001"/>
        <item x="454"/>
        <item x="4002"/>
        <item x="1957"/>
        <item x="4003"/>
        <item x="7774"/>
        <item x="455"/>
        <item x="7775"/>
        <item x="1958"/>
        <item x="4004"/>
        <item x="456"/>
        <item x="1959"/>
        <item x="1960"/>
        <item x="457"/>
        <item x="1961"/>
        <item x="1962"/>
        <item x="4005"/>
        <item x="4006"/>
        <item x="458"/>
        <item x="4007"/>
        <item x="459"/>
        <item x="4008"/>
        <item x="4009"/>
        <item x="1963"/>
        <item x="460"/>
        <item x="4010"/>
        <item x="1964"/>
        <item x="461"/>
        <item x="462"/>
        <item x="463"/>
        <item x="4011"/>
        <item x="4012"/>
        <item x="4013"/>
        <item x="4014"/>
        <item x="4015"/>
        <item x="4016"/>
        <item x="4017"/>
        <item x="4018"/>
        <item x="1965"/>
        <item x="4019"/>
        <item x="4020"/>
        <item x="464"/>
        <item x="4021"/>
        <item x="1966"/>
        <item x="4022"/>
        <item x="4023"/>
        <item x="465"/>
        <item x="466"/>
        <item x="1967"/>
        <item x="4024"/>
        <item x="4025"/>
        <item x="4026"/>
        <item x="4027"/>
        <item x="4028"/>
        <item x="467"/>
        <item x="4029"/>
        <item x="4030"/>
        <item x="468"/>
        <item x="469"/>
        <item x="1968"/>
        <item x="4031"/>
        <item x="4032"/>
        <item x="4033"/>
        <item x="4034"/>
        <item x="4035"/>
        <item x="4036"/>
        <item x="4037"/>
        <item x="4038"/>
        <item x="4039"/>
        <item x="470"/>
        <item x="471"/>
        <item x="4040"/>
        <item x="1969"/>
        <item x="4041"/>
        <item x="472"/>
        <item x="1970"/>
        <item x="473"/>
        <item x="1971"/>
        <item x="4042"/>
        <item x="4043"/>
        <item x="474"/>
        <item x="1972"/>
        <item x="1973"/>
        <item x="4044"/>
        <item x="475"/>
        <item x="1974"/>
        <item x="1975"/>
        <item x="1976"/>
        <item x="4045"/>
        <item x="4046"/>
        <item x="1977"/>
        <item x="4047"/>
        <item x="4048"/>
        <item x="1978"/>
        <item x="476"/>
        <item x="4049"/>
        <item x="1979"/>
        <item x="4050"/>
        <item x="1980"/>
        <item x="1981"/>
        <item x="477"/>
        <item x="4051"/>
        <item x="4052"/>
        <item x="4053"/>
        <item x="4054"/>
        <item x="4055"/>
        <item x="1982"/>
        <item x="478"/>
        <item x="479"/>
        <item x="4056"/>
        <item x="4057"/>
        <item x="4058"/>
        <item x="4059"/>
        <item x="4060"/>
        <item x="480"/>
        <item x="4061"/>
        <item x="481"/>
        <item x="4062"/>
        <item x="7776"/>
        <item x="482"/>
        <item x="483"/>
        <item x="484"/>
        <item x="485"/>
        <item x="4063"/>
        <item x="4064"/>
        <item x="486"/>
        <item x="487"/>
        <item x="4065"/>
        <item x="488"/>
        <item x="4066"/>
        <item x="1983"/>
        <item x="1984"/>
        <item x="4067"/>
        <item x="4068"/>
        <item x="4069"/>
        <item x="489"/>
        <item x="4070"/>
        <item x="4071"/>
        <item x="4072"/>
        <item x="4073"/>
        <item x="4074"/>
        <item x="490"/>
        <item x="491"/>
        <item x="492"/>
        <item x="493"/>
        <item x="4075"/>
        <item x="4076"/>
        <item x="7628"/>
        <item x="4077"/>
        <item x="494"/>
        <item x="495"/>
        <item x="4078"/>
        <item x="1985"/>
        <item x="7629"/>
        <item x="1986"/>
        <item x="4079"/>
        <item x="4080"/>
        <item x="4081"/>
        <item x="4082"/>
        <item x="496"/>
        <item x="4083"/>
        <item x="4084"/>
        <item x="497"/>
        <item x="498"/>
        <item x="4085"/>
        <item x="4086"/>
        <item x="7630"/>
        <item x="1987"/>
        <item x="4087"/>
        <item x="4088"/>
        <item x="4089"/>
        <item x="499"/>
        <item x="4090"/>
        <item x="4091"/>
        <item x="500"/>
        <item x="4092"/>
        <item x="1988"/>
        <item x="4093"/>
        <item x="4094"/>
        <item x="1989"/>
        <item x="501"/>
        <item x="4095"/>
        <item x="502"/>
        <item x="4096"/>
        <item x="4097"/>
        <item x="4098"/>
        <item x="1990"/>
        <item x="1991"/>
        <item x="1992"/>
        <item x="4099"/>
        <item x="1993"/>
        <item x="4100"/>
        <item x="4101"/>
        <item x="4102"/>
        <item x="503"/>
        <item x="4103"/>
        <item x="4104"/>
        <item x="4105"/>
        <item x="504"/>
        <item x="4106"/>
        <item x="505"/>
        <item x="4107"/>
        <item x="4108"/>
        <item x="4109"/>
        <item x="4110"/>
        <item x="4111"/>
        <item x="4112"/>
        <item x="4113"/>
        <item x="506"/>
        <item x="4114"/>
        <item x="4115"/>
        <item x="4116"/>
        <item x="4117"/>
        <item x="507"/>
        <item x="1994"/>
        <item x="4118"/>
        <item x="4119"/>
        <item x="1995"/>
        <item x="4120"/>
        <item x="4121"/>
        <item x="508"/>
        <item x="509"/>
        <item x="4122"/>
        <item x="4123"/>
        <item x="4124"/>
        <item x="1996"/>
        <item x="4125"/>
        <item x="4126"/>
        <item x="1997"/>
        <item x="510"/>
        <item x="1998"/>
        <item x="4127"/>
        <item x="4128"/>
        <item x="511"/>
        <item x="512"/>
        <item x="513"/>
        <item x="4129"/>
        <item x="4130"/>
        <item x="4131"/>
        <item x="514"/>
        <item x="515"/>
        <item x="516"/>
        <item x="4132"/>
        <item x="517"/>
        <item x="4133"/>
        <item x="4134"/>
        <item x="4135"/>
        <item x="518"/>
        <item x="4136"/>
        <item x="1999"/>
        <item x="4137"/>
        <item x="2000"/>
        <item x="4138"/>
        <item x="4139"/>
        <item x="4140"/>
        <item x="7631"/>
        <item x="2001"/>
        <item x="4141"/>
        <item x="4142"/>
        <item x="519"/>
        <item x="4143"/>
        <item x="2002"/>
        <item x="520"/>
        <item x="4144"/>
        <item x="4145"/>
        <item x="4146"/>
        <item x="2003"/>
        <item x="4147"/>
        <item x="4148"/>
        <item x="2004"/>
        <item x="4149"/>
        <item x="521"/>
        <item x="4150"/>
        <item x="522"/>
        <item x="4151"/>
        <item x="2005"/>
        <item x="4152"/>
        <item x="7632"/>
        <item x="2006"/>
        <item x="523"/>
        <item x="524"/>
        <item x="525"/>
        <item x="4153"/>
        <item x="526"/>
        <item x="7633"/>
        <item x="4154"/>
        <item x="4155"/>
        <item x="4156"/>
        <item x="527"/>
        <item x="4157"/>
        <item x="2007"/>
        <item x="4158"/>
        <item x="4159"/>
        <item x="4160"/>
        <item x="2008"/>
        <item x="2009"/>
        <item x="2010"/>
        <item x="528"/>
        <item x="4161"/>
        <item x="529"/>
        <item x="2011"/>
        <item x="4162"/>
        <item x="2012"/>
        <item x="4163"/>
        <item x="4164"/>
        <item x="4165"/>
        <item x="530"/>
        <item x="2013"/>
        <item x="531"/>
        <item x="4166"/>
        <item x="532"/>
        <item x="4167"/>
        <item x="2014"/>
        <item x="533"/>
        <item x="4168"/>
        <item x="2015"/>
        <item x="534"/>
        <item x="2016"/>
        <item x="4169"/>
        <item x="4170"/>
        <item x="4171"/>
        <item x="535"/>
        <item x="2017"/>
        <item x="2018"/>
        <item x="4172"/>
        <item x="7634"/>
        <item x="4173"/>
        <item x="536"/>
        <item x="4174"/>
        <item x="4175"/>
        <item x="2019"/>
        <item x="2020"/>
        <item x="537"/>
        <item x="4176"/>
        <item x="4177"/>
        <item x="2021"/>
        <item x="4178"/>
        <item x="4179"/>
        <item x="2022"/>
        <item x="2023"/>
        <item x="2024"/>
        <item x="538"/>
        <item x="2025"/>
        <item x="2026"/>
        <item x="539"/>
        <item x="4180"/>
        <item x="4181"/>
        <item x="4182"/>
        <item x="4183"/>
        <item x="4184"/>
        <item x="4185"/>
        <item x="7635"/>
        <item x="4186"/>
        <item x="4187"/>
        <item x="4188"/>
        <item x="4189"/>
        <item x="4190"/>
        <item x="4191"/>
        <item x="4192"/>
        <item x="4193"/>
        <item x="4194"/>
        <item x="4195"/>
        <item x="7636"/>
        <item x="4196"/>
        <item x="2027"/>
        <item x="4197"/>
        <item x="2028"/>
        <item x="540"/>
        <item x="4198"/>
        <item x="4199"/>
        <item x="4200"/>
        <item x="2029"/>
        <item x="2030"/>
        <item x="4201"/>
        <item x="541"/>
        <item x="7637"/>
        <item x="4202"/>
        <item x="542"/>
        <item x="4203"/>
        <item x="543"/>
        <item x="4204"/>
        <item x="4205"/>
        <item x="4206"/>
        <item x="544"/>
        <item x="4207"/>
        <item x="4208"/>
        <item x="545"/>
        <item x="2031"/>
        <item x="4209"/>
        <item x="2032"/>
        <item x="4210"/>
        <item x="2033"/>
        <item x="546"/>
        <item x="547"/>
        <item x="4211"/>
        <item x="4212"/>
        <item x="4213"/>
        <item x="4214"/>
        <item x="4215"/>
        <item x="2034"/>
        <item x="4216"/>
        <item x="4217"/>
        <item x="548"/>
        <item x="549"/>
        <item x="2035"/>
        <item x="4218"/>
        <item x="550"/>
        <item x="2036"/>
        <item x="551"/>
        <item x="4219"/>
        <item x="4220"/>
        <item x="4221"/>
        <item x="552"/>
        <item x="4222"/>
        <item x="553"/>
        <item x="4223"/>
        <item x="4224"/>
        <item x="4225"/>
        <item x="4226"/>
        <item x="2037"/>
        <item x="7777"/>
        <item x="4227"/>
        <item x="4228"/>
        <item x="2038"/>
        <item x="2039"/>
        <item x="4229"/>
        <item x="2040"/>
        <item x="2041"/>
        <item x="554"/>
        <item x="4230"/>
        <item x="555"/>
        <item x="556"/>
        <item x="4231"/>
        <item x="4232"/>
        <item x="557"/>
        <item x="4233"/>
        <item x="4234"/>
        <item x="558"/>
        <item x="4235"/>
        <item x="4236"/>
        <item x="559"/>
        <item x="4237"/>
        <item x="560"/>
        <item x="2042"/>
        <item x="561"/>
        <item x="4238"/>
        <item x="2043"/>
        <item x="4239"/>
        <item x="2044"/>
        <item x="4240"/>
        <item x="4241"/>
        <item x="562"/>
        <item x="563"/>
        <item x="7638"/>
        <item x="4242"/>
        <item x="4243"/>
        <item x="7639"/>
        <item x="4244"/>
        <item x="2045"/>
        <item x="4245"/>
        <item x="4246"/>
        <item x="564"/>
        <item x="2046"/>
        <item x="2047"/>
        <item x="4247"/>
        <item x="4248"/>
        <item x="4249"/>
        <item x="4250"/>
        <item x="4251"/>
        <item x="7640"/>
        <item x="4252"/>
        <item x="565"/>
        <item x="4253"/>
        <item x="4254"/>
        <item x="4255"/>
        <item x="4256"/>
        <item x="4257"/>
        <item x="4258"/>
        <item x="4259"/>
        <item x="4260"/>
        <item x="2048"/>
        <item x="4261"/>
        <item x="566"/>
        <item x="2049"/>
        <item x="4262"/>
        <item x="4263"/>
        <item x="2050"/>
        <item x="4264"/>
        <item x="4265"/>
        <item x="4266"/>
        <item x="4267"/>
        <item x="4268"/>
        <item x="567"/>
        <item x="7641"/>
        <item x="2051"/>
        <item x="4269"/>
        <item x="4270"/>
        <item x="4271"/>
        <item x="2052"/>
        <item x="4272"/>
        <item x="4273"/>
        <item x="568"/>
        <item x="2053"/>
        <item x="4274"/>
        <item x="2054"/>
        <item x="4275"/>
        <item x="4276"/>
        <item x="4277"/>
        <item x="4278"/>
        <item x="569"/>
        <item x="4279"/>
        <item x="570"/>
        <item x="4280"/>
        <item x="571"/>
        <item x="4281"/>
        <item x="2055"/>
        <item x="572"/>
        <item x="4282"/>
        <item x="4283"/>
        <item x="4284"/>
        <item x="4285"/>
        <item x="4286"/>
        <item x="4287"/>
        <item x="2056"/>
        <item x="4288"/>
        <item x="2057"/>
        <item x="4289"/>
        <item x="2058"/>
        <item x="573"/>
        <item x="574"/>
        <item x="4290"/>
        <item x="2059"/>
        <item x="575"/>
        <item x="4291"/>
        <item x="4292"/>
        <item x="576"/>
        <item x="4293"/>
        <item x="2060"/>
        <item x="577"/>
        <item x="2061"/>
        <item x="578"/>
        <item x="4294"/>
        <item x="2062"/>
        <item x="4295"/>
        <item x="579"/>
        <item x="2063"/>
        <item x="580"/>
        <item x="7778"/>
        <item x="581"/>
        <item x="4296"/>
        <item x="4297"/>
        <item x="4298"/>
        <item x="582"/>
        <item x="2064"/>
        <item x="4299"/>
        <item x="4300"/>
        <item x="4301"/>
        <item x="4302"/>
        <item x="4303"/>
        <item x="4304"/>
        <item x="2065"/>
        <item x="4305"/>
        <item x="4306"/>
        <item x="583"/>
        <item x="4307"/>
        <item x="4308"/>
        <item x="584"/>
        <item x="4309"/>
        <item x="4310"/>
        <item x="585"/>
        <item x="586"/>
        <item x="4311"/>
        <item x="4312"/>
        <item x="4313"/>
        <item x="4314"/>
        <item x="4315"/>
        <item x="4316"/>
        <item x="2066"/>
        <item x="2067"/>
        <item x="4317"/>
        <item x="4318"/>
        <item x="4319"/>
        <item x="587"/>
        <item x="4320"/>
        <item x="2068"/>
        <item x="4321"/>
        <item x="2069"/>
        <item x="2070"/>
        <item x="2071"/>
        <item x="588"/>
        <item x="4322"/>
        <item x="4323"/>
        <item x="4324"/>
        <item x="589"/>
        <item x="590"/>
        <item x="591"/>
        <item x="592"/>
        <item x="2072"/>
        <item x="4325"/>
        <item x="4326"/>
        <item x="593"/>
        <item x="2073"/>
        <item x="594"/>
        <item x="2074"/>
        <item x="595"/>
        <item x="4327"/>
        <item x="4328"/>
        <item x="596"/>
        <item x="2075"/>
        <item x="4329"/>
        <item x="4330"/>
        <item x="2076"/>
        <item x="2077"/>
        <item x="2078"/>
        <item x="4331"/>
        <item x="4332"/>
        <item x="597"/>
        <item x="2079"/>
        <item x="2080"/>
        <item x="2081"/>
        <item x="4333"/>
        <item x="4334"/>
        <item x="4335"/>
        <item x="4336"/>
        <item x="598"/>
        <item x="599"/>
        <item x="4337"/>
        <item x="4338"/>
        <item x="4339"/>
        <item x="600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2082"/>
        <item x="4351"/>
        <item x="601"/>
        <item x="4352"/>
        <item x="602"/>
        <item x="2083"/>
        <item x="4353"/>
        <item x="4354"/>
        <item x="4355"/>
        <item x="603"/>
        <item x="2084"/>
        <item x="4356"/>
        <item x="4357"/>
        <item x="2085"/>
        <item x="4358"/>
        <item x="2086"/>
        <item x="2087"/>
        <item x="4359"/>
        <item x="2088"/>
        <item x="4360"/>
        <item x="2089"/>
        <item x="4361"/>
        <item x="4362"/>
        <item x="4363"/>
        <item x="604"/>
        <item x="7779"/>
        <item x="4364"/>
        <item x="2090"/>
        <item x="4365"/>
        <item x="4366"/>
        <item x="4367"/>
        <item x="4368"/>
        <item x="605"/>
        <item x="2091"/>
        <item x="4369"/>
        <item x="4370"/>
        <item x="2092"/>
        <item x="2093"/>
        <item x="4371"/>
        <item x="4372"/>
        <item x="4373"/>
        <item x="4374"/>
        <item x="2094"/>
        <item x="606"/>
        <item x="2095"/>
        <item x="607"/>
        <item x="4375"/>
        <item x="608"/>
        <item x="2096"/>
        <item x="609"/>
        <item x="2097"/>
        <item x="610"/>
        <item x="4376"/>
        <item x="4377"/>
        <item x="2098"/>
        <item x="611"/>
        <item x="4378"/>
        <item x="4379"/>
        <item x="4380"/>
        <item x="2099"/>
        <item x="2100"/>
        <item x="4381"/>
        <item x="4382"/>
        <item x="4383"/>
        <item x="4384"/>
        <item x="7642"/>
        <item x="4385"/>
        <item x="4386"/>
        <item x="4387"/>
        <item x="612"/>
        <item x="4388"/>
        <item x="613"/>
        <item x="4389"/>
        <item x="4390"/>
        <item x="4391"/>
        <item x="614"/>
        <item x="615"/>
        <item x="4392"/>
        <item x="4393"/>
        <item x="4394"/>
        <item x="4395"/>
        <item x="4396"/>
        <item x="4397"/>
        <item x="4398"/>
        <item x="4399"/>
        <item x="4400"/>
        <item x="616"/>
        <item x="4401"/>
        <item x="2101"/>
        <item x="617"/>
        <item x="4402"/>
        <item x="4403"/>
        <item x="4404"/>
        <item x="4405"/>
        <item x="4406"/>
        <item x="618"/>
        <item x="2102"/>
        <item x="619"/>
        <item x="2103"/>
        <item x="2104"/>
        <item x="620"/>
        <item x="7643"/>
        <item x="2105"/>
        <item x="4407"/>
        <item x="4408"/>
        <item x="4409"/>
        <item x="2106"/>
        <item x="4410"/>
        <item x="4411"/>
        <item x="621"/>
        <item x="4412"/>
        <item x="4413"/>
        <item x="4414"/>
        <item x="622"/>
        <item x="4415"/>
        <item x="623"/>
        <item x="4416"/>
        <item x="4417"/>
        <item x="4418"/>
        <item x="2107"/>
        <item x="4419"/>
        <item x="4420"/>
        <item x="2108"/>
        <item x="2109"/>
        <item x="4421"/>
        <item x="4422"/>
        <item x="4423"/>
        <item x="2110"/>
        <item x="624"/>
        <item x="4424"/>
        <item x="4425"/>
        <item x="625"/>
        <item x="4426"/>
        <item x="2111"/>
        <item x="4427"/>
        <item x="7644"/>
        <item x="4428"/>
        <item x="2112"/>
        <item x="4429"/>
        <item x="4430"/>
        <item x="4431"/>
        <item x="4432"/>
        <item x="626"/>
        <item x="627"/>
        <item x="7645"/>
        <item x="628"/>
        <item x="4433"/>
        <item x="4434"/>
        <item x="629"/>
        <item x="4435"/>
        <item x="7780"/>
        <item x="630"/>
        <item x="4436"/>
        <item x="4437"/>
        <item x="4438"/>
        <item x="4439"/>
        <item x="2113"/>
        <item x="4440"/>
        <item x="4441"/>
        <item x="4442"/>
        <item x="4443"/>
        <item x="4444"/>
        <item x="4445"/>
        <item x="4446"/>
        <item x="631"/>
        <item x="4447"/>
        <item x="4448"/>
        <item x="4449"/>
        <item x="4450"/>
        <item x="4451"/>
        <item x="4452"/>
        <item x="632"/>
        <item x="2114"/>
        <item x="4453"/>
        <item x="633"/>
        <item x="2115"/>
        <item x="634"/>
        <item x="635"/>
        <item x="4454"/>
        <item x="4455"/>
        <item x="636"/>
        <item x="4456"/>
        <item x="637"/>
        <item x="4457"/>
        <item x="4458"/>
        <item x="2116"/>
        <item x="7781"/>
        <item x="638"/>
        <item x="4459"/>
        <item x="2117"/>
        <item x="639"/>
        <item x="4460"/>
        <item x="640"/>
        <item x="2118"/>
        <item x="4461"/>
        <item x="4462"/>
        <item x="2119"/>
        <item x="641"/>
        <item x="2120"/>
        <item x="4463"/>
        <item x="2121"/>
        <item x="2122"/>
        <item x="4464"/>
        <item x="642"/>
        <item x="4465"/>
        <item x="4466"/>
        <item x="4467"/>
        <item x="4468"/>
        <item x="2123"/>
        <item x="4469"/>
        <item x="4470"/>
        <item x="4471"/>
        <item x="643"/>
        <item x="2124"/>
        <item x="4472"/>
        <item x="4473"/>
        <item x="2125"/>
        <item x="4474"/>
        <item x="2126"/>
        <item x="4475"/>
        <item x="4476"/>
        <item x="2127"/>
        <item x="644"/>
        <item x="4477"/>
        <item x="2128"/>
        <item x="4478"/>
        <item x="645"/>
        <item x="2129"/>
        <item x="4479"/>
        <item x="2130"/>
        <item x="2131"/>
        <item x="4480"/>
        <item x="4481"/>
        <item x="4482"/>
        <item x="2132"/>
        <item x="646"/>
        <item x="4483"/>
        <item x="647"/>
        <item x="2133"/>
        <item x="4484"/>
        <item x="4485"/>
        <item x="4486"/>
        <item x="7782"/>
        <item x="4487"/>
        <item x="648"/>
        <item x="4488"/>
        <item x="4489"/>
        <item x="4490"/>
        <item x="4491"/>
        <item x="2134"/>
        <item x="4492"/>
        <item x="4493"/>
        <item x="7646"/>
        <item x="4494"/>
        <item x="2135"/>
        <item x="649"/>
        <item x="2136"/>
        <item x="4495"/>
        <item x="4496"/>
        <item x="4497"/>
        <item x="2137"/>
        <item x="4498"/>
        <item x="4499"/>
        <item x="650"/>
        <item x="7647"/>
        <item x="4500"/>
        <item x="4501"/>
        <item x="4502"/>
        <item x="2138"/>
        <item x="4503"/>
        <item x="651"/>
        <item x="4504"/>
        <item x="4505"/>
        <item x="4506"/>
        <item x="4507"/>
        <item x="4508"/>
        <item x="652"/>
        <item x="4509"/>
        <item x="4510"/>
        <item x="653"/>
        <item x="4511"/>
        <item x="4512"/>
        <item x="4513"/>
        <item x="4514"/>
        <item x="4515"/>
        <item x="4516"/>
        <item x="4517"/>
        <item x="4518"/>
        <item x="2139"/>
        <item x="4519"/>
        <item x="654"/>
        <item x="655"/>
        <item x="4520"/>
        <item x="4521"/>
        <item x="656"/>
        <item x="4522"/>
        <item x="4523"/>
        <item x="2140"/>
        <item x="2141"/>
        <item x="4524"/>
        <item x="657"/>
        <item x="4525"/>
        <item x="2142"/>
        <item x="4526"/>
        <item x="658"/>
        <item x="2143"/>
        <item x="4527"/>
        <item x="4528"/>
        <item x="4529"/>
        <item x="4530"/>
        <item x="4531"/>
        <item x="4532"/>
        <item x="659"/>
        <item x="4533"/>
        <item x="660"/>
        <item x="661"/>
        <item x="4534"/>
        <item x="4535"/>
        <item x="4536"/>
        <item x="662"/>
        <item x="4537"/>
        <item x="4538"/>
        <item x="4539"/>
        <item x="4540"/>
        <item x="663"/>
        <item x="4541"/>
        <item x="4542"/>
        <item x="4543"/>
        <item x="4544"/>
        <item x="4545"/>
        <item x="4546"/>
        <item x="7648"/>
        <item x="4547"/>
        <item x="4548"/>
        <item x="2144"/>
        <item x="2145"/>
        <item x="664"/>
        <item x="4549"/>
        <item x="7783"/>
        <item x="4550"/>
        <item x="4551"/>
        <item x="4552"/>
        <item x="665"/>
        <item x="4553"/>
        <item x="4554"/>
        <item x="4555"/>
        <item x="666"/>
        <item x="4556"/>
        <item x="2146"/>
        <item x="7649"/>
        <item x="2147"/>
        <item x="667"/>
        <item x="2148"/>
        <item x="2149"/>
        <item x="4557"/>
        <item x="4558"/>
        <item x="4559"/>
        <item x="4560"/>
        <item x="4561"/>
        <item x="4562"/>
        <item x="4563"/>
        <item x="2150"/>
        <item x="4564"/>
        <item x="2151"/>
        <item x="4565"/>
        <item x="4566"/>
        <item x="4567"/>
        <item x="4568"/>
        <item x="4569"/>
        <item x="4570"/>
        <item x="668"/>
        <item x="4571"/>
        <item x="4572"/>
        <item x="4573"/>
        <item x="4574"/>
        <item x="669"/>
        <item x="4575"/>
        <item x="4576"/>
        <item x="670"/>
        <item x="671"/>
        <item x="672"/>
        <item x="7784"/>
        <item x="4577"/>
        <item x="2152"/>
        <item x="673"/>
        <item x="674"/>
        <item x="4578"/>
        <item x="2153"/>
        <item x="4579"/>
        <item x="4580"/>
        <item x="675"/>
        <item x="4581"/>
        <item x="4582"/>
        <item x="2154"/>
        <item x="2155"/>
        <item x="4583"/>
        <item x="4584"/>
        <item x="4585"/>
        <item x="4586"/>
        <item x="4587"/>
        <item x="4588"/>
        <item x="2156"/>
        <item x="4589"/>
        <item x="2157"/>
        <item x="4590"/>
        <item x="4591"/>
        <item x="676"/>
        <item x="4592"/>
        <item x="4593"/>
        <item x="4594"/>
        <item x="4595"/>
        <item x="4596"/>
        <item x="677"/>
        <item x="4597"/>
        <item x="4598"/>
        <item x="4599"/>
        <item x="678"/>
        <item x="4600"/>
        <item x="4601"/>
        <item x="4602"/>
        <item x="4603"/>
        <item x="679"/>
        <item x="4604"/>
        <item x="2158"/>
        <item x="4605"/>
        <item x="2159"/>
        <item x="4606"/>
        <item x="2160"/>
        <item x="4607"/>
        <item x="680"/>
        <item x="4608"/>
        <item x="7785"/>
        <item x="2161"/>
        <item x="4609"/>
        <item x="681"/>
        <item x="682"/>
        <item x="4610"/>
        <item x="4611"/>
        <item x="4612"/>
        <item x="4613"/>
        <item x="683"/>
        <item x="4614"/>
        <item x="684"/>
        <item x="685"/>
        <item x="4615"/>
        <item x="2162"/>
        <item x="4616"/>
        <item x="4617"/>
        <item x="2163"/>
        <item x="4618"/>
        <item x="4619"/>
        <item x="4620"/>
        <item x="4621"/>
        <item x="4622"/>
        <item x="686"/>
        <item x="4623"/>
        <item x="4624"/>
        <item x="2164"/>
        <item x="4625"/>
        <item x="4626"/>
        <item x="4627"/>
        <item x="4628"/>
        <item x="4629"/>
        <item x="4630"/>
        <item x="687"/>
        <item x="4631"/>
        <item x="688"/>
        <item x="4632"/>
        <item x="4633"/>
        <item x="4634"/>
        <item x="4635"/>
        <item x="4636"/>
        <item x="4637"/>
        <item x="4638"/>
        <item x="7650"/>
        <item x="4639"/>
        <item x="2165"/>
        <item x="4640"/>
        <item x="2166"/>
        <item x="689"/>
        <item x="4641"/>
        <item x="2167"/>
        <item x="4642"/>
        <item x="690"/>
        <item x="4643"/>
        <item x="2168"/>
        <item x="4644"/>
        <item x="4645"/>
        <item x="2169"/>
        <item x="4646"/>
        <item x="2170"/>
        <item x="4647"/>
        <item x="691"/>
        <item x="4648"/>
        <item x="2171"/>
        <item x="4649"/>
        <item x="4650"/>
        <item x="692"/>
        <item x="4651"/>
        <item x="4652"/>
        <item x="2172"/>
        <item x="4653"/>
        <item x="2173"/>
        <item x="693"/>
        <item x="4654"/>
        <item x="4655"/>
        <item x="4656"/>
        <item x="4657"/>
        <item x="2174"/>
        <item x="4658"/>
        <item x="4659"/>
        <item x="4660"/>
        <item x="2175"/>
        <item x="694"/>
        <item x="2176"/>
        <item x="2177"/>
        <item x="4661"/>
        <item x="7786"/>
        <item x="4662"/>
        <item x="4663"/>
        <item x="695"/>
        <item x="4664"/>
        <item x="696"/>
        <item x="4665"/>
        <item x="4666"/>
        <item x="4667"/>
        <item x="2178"/>
        <item x="2179"/>
        <item x="4668"/>
        <item x="4669"/>
        <item x="697"/>
        <item x="4670"/>
        <item x="4671"/>
        <item x="4672"/>
        <item x="2180"/>
        <item x="4673"/>
        <item x="698"/>
        <item x="4674"/>
        <item x="2181"/>
        <item x="4675"/>
        <item x="4676"/>
        <item x="4677"/>
        <item x="4678"/>
        <item x="4679"/>
        <item x="4680"/>
        <item x="699"/>
        <item x="4681"/>
        <item x="700"/>
        <item x="4682"/>
        <item x="701"/>
        <item x="702"/>
        <item x="2182"/>
        <item x="4683"/>
        <item x="703"/>
        <item x="4684"/>
        <item x="2183"/>
        <item x="2184"/>
        <item x="2185"/>
        <item x="7651"/>
        <item x="704"/>
        <item x="705"/>
        <item x="4685"/>
        <item x="4686"/>
        <item x="706"/>
        <item x="4687"/>
        <item x="4688"/>
        <item x="2186"/>
        <item x="4689"/>
        <item x="4690"/>
        <item x="2187"/>
        <item x="4691"/>
        <item x="2188"/>
        <item x="4692"/>
        <item x="4693"/>
        <item x="4694"/>
        <item x="2189"/>
        <item x="2190"/>
        <item x="2191"/>
        <item x="4695"/>
        <item x="707"/>
        <item x="4696"/>
        <item x="4697"/>
        <item x="4698"/>
        <item x="4699"/>
        <item x="4700"/>
        <item x="708"/>
        <item x="4701"/>
        <item x="4702"/>
        <item x="4703"/>
        <item x="4704"/>
        <item x="4705"/>
        <item x="2192"/>
        <item x="4706"/>
        <item x="4707"/>
        <item x="4708"/>
        <item x="4709"/>
        <item x="4710"/>
        <item x="709"/>
        <item x="4711"/>
        <item x="4712"/>
        <item x="4713"/>
        <item x="4714"/>
        <item x="4715"/>
        <item x="4716"/>
        <item x="4717"/>
        <item x="4718"/>
        <item x="4719"/>
        <item x="4720"/>
        <item x="2193"/>
        <item x="7652"/>
        <item x="4721"/>
        <item x="7653"/>
        <item x="4722"/>
        <item x="4723"/>
        <item x="2194"/>
        <item x="7654"/>
        <item x="4724"/>
        <item x="4725"/>
        <item x="4726"/>
        <item x="4727"/>
        <item x="7655"/>
        <item x="4728"/>
        <item x="4729"/>
        <item x="4730"/>
        <item x="4731"/>
        <item x="4732"/>
        <item x="4733"/>
        <item x="710"/>
        <item x="711"/>
        <item x="2195"/>
        <item x="4734"/>
        <item x="4735"/>
        <item x="2196"/>
        <item x="712"/>
        <item x="2197"/>
        <item x="2198"/>
        <item x="4736"/>
        <item x="4737"/>
        <item x="2199"/>
        <item x="713"/>
        <item x="4738"/>
        <item x="4739"/>
        <item x="4740"/>
        <item x="4741"/>
        <item x="2200"/>
        <item x="7787"/>
        <item x="4742"/>
        <item x="714"/>
        <item x="4743"/>
        <item x="7656"/>
        <item x="715"/>
        <item x="4744"/>
        <item x="4745"/>
        <item x="2201"/>
        <item x="4746"/>
        <item x="4747"/>
        <item x="4748"/>
        <item x="4749"/>
        <item x="716"/>
        <item x="4750"/>
        <item x="4751"/>
        <item x="4752"/>
        <item x="4753"/>
        <item x="4754"/>
        <item x="4755"/>
        <item x="2202"/>
        <item x="4756"/>
        <item x="717"/>
        <item x="4757"/>
        <item x="4758"/>
        <item x="2203"/>
        <item x="4759"/>
        <item x="4760"/>
        <item x="4761"/>
        <item x="4762"/>
        <item x="2204"/>
        <item x="2205"/>
        <item x="4763"/>
        <item x="718"/>
        <item x="2206"/>
        <item x="4764"/>
        <item x="4765"/>
        <item x="4766"/>
        <item x="4767"/>
        <item x="2207"/>
        <item x="4768"/>
        <item x="4769"/>
        <item x="4770"/>
        <item x="4771"/>
        <item x="4772"/>
        <item x="2208"/>
        <item x="4773"/>
        <item x="2209"/>
        <item x="4774"/>
        <item x="4775"/>
        <item x="2210"/>
        <item x="2211"/>
        <item x="4776"/>
        <item x="4777"/>
        <item x="2212"/>
        <item x="7657"/>
        <item x="4778"/>
        <item x="719"/>
        <item x="4779"/>
        <item x="4780"/>
        <item x="720"/>
        <item x="721"/>
        <item x="7658"/>
        <item x="4781"/>
        <item x="4782"/>
        <item x="4783"/>
        <item x="4784"/>
        <item x="4785"/>
        <item x="2213"/>
        <item x="722"/>
        <item x="4786"/>
        <item x="4787"/>
        <item x="4788"/>
        <item x="2214"/>
        <item x="4789"/>
        <item x="4790"/>
        <item x="4791"/>
        <item x="4792"/>
        <item x="4793"/>
        <item x="4794"/>
        <item x="723"/>
        <item x="4795"/>
        <item x="4796"/>
        <item x="724"/>
        <item x="4797"/>
        <item x="725"/>
        <item x="4798"/>
        <item x="4799"/>
        <item x="726"/>
        <item x="2215"/>
        <item x="4800"/>
        <item x="4801"/>
        <item x="4802"/>
        <item x="4803"/>
        <item x="727"/>
        <item x="4804"/>
        <item x="4805"/>
        <item x="4806"/>
        <item x="4807"/>
        <item x="4808"/>
        <item x="728"/>
        <item x="4809"/>
        <item x="4810"/>
        <item x="4811"/>
        <item x="729"/>
        <item x="4812"/>
        <item x="4813"/>
        <item x="4814"/>
        <item x="4815"/>
        <item x="7788"/>
        <item x="730"/>
        <item x="4816"/>
        <item x="4817"/>
        <item x="4818"/>
        <item x="4819"/>
        <item x="4820"/>
        <item x="731"/>
        <item x="732"/>
        <item x="4821"/>
        <item x="733"/>
        <item x="4822"/>
        <item x="2216"/>
        <item x="7659"/>
        <item x="2217"/>
        <item x="4823"/>
        <item x="4824"/>
        <item x="734"/>
        <item x="4825"/>
        <item x="7789"/>
        <item x="4826"/>
        <item x="4827"/>
        <item x="4828"/>
        <item x="2218"/>
        <item x="2219"/>
        <item x="735"/>
        <item x="736"/>
        <item x="737"/>
        <item x="4829"/>
        <item x="738"/>
        <item x="4830"/>
        <item x="739"/>
        <item x="740"/>
        <item x="2220"/>
        <item x="4831"/>
        <item x="4832"/>
        <item x="4833"/>
        <item x="741"/>
        <item x="4834"/>
        <item x="2221"/>
        <item x="4835"/>
        <item x="4836"/>
        <item x="4837"/>
        <item x="742"/>
        <item x="4838"/>
        <item x="4839"/>
        <item x="7660"/>
        <item x="2222"/>
        <item x="4840"/>
        <item x="4841"/>
        <item x="4842"/>
        <item x="4843"/>
        <item x="4844"/>
        <item x="743"/>
        <item x="744"/>
        <item x="7790"/>
        <item x="4845"/>
        <item x="4846"/>
        <item x="4847"/>
        <item x="4848"/>
        <item x="745"/>
        <item x="4849"/>
        <item x="4850"/>
        <item x="4851"/>
        <item x="2223"/>
        <item x="4852"/>
        <item x="4853"/>
        <item x="4854"/>
        <item x="4855"/>
        <item x="4856"/>
        <item x="4857"/>
        <item x="2224"/>
        <item x="746"/>
        <item x="4858"/>
        <item x="747"/>
        <item x="4859"/>
        <item x="2225"/>
        <item x="748"/>
        <item x="4860"/>
        <item x="4861"/>
        <item x="4862"/>
        <item x="7791"/>
        <item x="4863"/>
        <item x="4864"/>
        <item x="4865"/>
        <item x="749"/>
        <item x="7792"/>
        <item x="750"/>
        <item x="751"/>
        <item x="4866"/>
        <item x="2226"/>
        <item x="752"/>
        <item x="4867"/>
        <item x="7661"/>
        <item x="4868"/>
        <item x="4869"/>
        <item x="4870"/>
        <item x="753"/>
        <item x="4871"/>
        <item x="4872"/>
        <item x="4873"/>
        <item x="4874"/>
        <item x="754"/>
        <item x="4875"/>
        <item x="2227"/>
        <item x="4876"/>
        <item x="2228"/>
        <item x="2229"/>
        <item x="755"/>
        <item x="4877"/>
        <item x="4878"/>
        <item x="2230"/>
        <item x="4879"/>
        <item x="4880"/>
        <item x="756"/>
        <item x="4881"/>
        <item x="4882"/>
        <item x="757"/>
        <item x="2231"/>
        <item x="4883"/>
        <item x="758"/>
        <item x="4884"/>
        <item x="4885"/>
        <item x="4886"/>
        <item x="759"/>
        <item x="4887"/>
        <item x="4888"/>
        <item x="4889"/>
        <item x="2232"/>
        <item x="7662"/>
        <item x="4890"/>
        <item x="4891"/>
        <item x="4892"/>
        <item x="4893"/>
        <item x="4894"/>
        <item x="4895"/>
        <item x="4896"/>
        <item x="4897"/>
        <item x="4898"/>
        <item x="760"/>
        <item x="2233"/>
        <item x="761"/>
        <item x="4899"/>
        <item x="4900"/>
        <item x="4901"/>
        <item x="762"/>
        <item x="763"/>
        <item x="764"/>
        <item x="4902"/>
        <item x="4903"/>
        <item x="4904"/>
        <item x="4905"/>
        <item x="4906"/>
        <item x="765"/>
        <item x="4907"/>
        <item x="2234"/>
        <item x="4908"/>
        <item x="4909"/>
        <item x="2235"/>
        <item x="2236"/>
        <item x="766"/>
        <item x="767"/>
        <item x="4910"/>
        <item x="768"/>
        <item x="769"/>
        <item x="2237"/>
        <item x="2238"/>
        <item x="4911"/>
        <item x="4912"/>
        <item x="4913"/>
        <item x="4914"/>
        <item x="4915"/>
        <item x="770"/>
        <item x="4916"/>
        <item x="7663"/>
        <item x="4917"/>
        <item x="4918"/>
        <item x="7664"/>
        <item x="771"/>
        <item x="4919"/>
        <item x="4920"/>
        <item x="4921"/>
        <item x="772"/>
        <item x="2239"/>
        <item x="2240"/>
        <item x="4922"/>
        <item x="4923"/>
        <item x="4924"/>
        <item x="2241"/>
        <item x="4925"/>
        <item x="773"/>
        <item x="4926"/>
        <item x="2242"/>
        <item x="2243"/>
        <item x="4927"/>
        <item x="4928"/>
        <item x="774"/>
        <item x="4929"/>
        <item x="4930"/>
        <item x="775"/>
        <item x="2244"/>
        <item x="776"/>
        <item x="4931"/>
        <item x="2245"/>
        <item x="777"/>
        <item x="4932"/>
        <item x="778"/>
        <item x="4933"/>
        <item x="779"/>
        <item x="7793"/>
        <item x="4934"/>
        <item x="4935"/>
        <item x="4936"/>
        <item x="4937"/>
        <item x="4938"/>
        <item x="4939"/>
        <item x="4940"/>
        <item x="4941"/>
        <item x="4942"/>
        <item x="2246"/>
        <item x="2247"/>
        <item x="780"/>
        <item x="4943"/>
        <item x="781"/>
        <item x="782"/>
        <item x="783"/>
        <item x="4944"/>
        <item x="4945"/>
        <item x="784"/>
        <item x="4946"/>
        <item x="785"/>
        <item x="7794"/>
        <item x="2248"/>
        <item x="7795"/>
        <item x="2249"/>
        <item x="4947"/>
        <item x="4948"/>
        <item x="2250"/>
        <item x="786"/>
        <item x="4949"/>
        <item x="4950"/>
        <item x="7796"/>
        <item x="4951"/>
        <item x="7665"/>
        <item x="4952"/>
        <item x="4953"/>
        <item x="787"/>
        <item x="4954"/>
        <item x="4955"/>
        <item x="4956"/>
        <item x="4957"/>
        <item x="788"/>
        <item x="789"/>
        <item x="4958"/>
        <item x="4959"/>
        <item x="4960"/>
        <item x="4961"/>
        <item x="4962"/>
        <item x="4963"/>
        <item x="2251"/>
        <item x="4964"/>
        <item x="4965"/>
        <item x="4966"/>
        <item x="2252"/>
        <item x="2253"/>
        <item x="790"/>
        <item x="4967"/>
        <item x="2254"/>
        <item x="4968"/>
        <item x="4969"/>
        <item x="4970"/>
        <item x="2255"/>
        <item x="4971"/>
        <item x="7797"/>
        <item x="791"/>
        <item x="4972"/>
        <item x="2256"/>
        <item x="4973"/>
        <item x="4974"/>
        <item x="2257"/>
        <item x="792"/>
        <item x="4975"/>
        <item x="4976"/>
        <item x="4977"/>
        <item x="4978"/>
        <item x="4979"/>
        <item x="7666"/>
        <item x="2258"/>
        <item x="2259"/>
        <item x="4980"/>
        <item x="793"/>
        <item x="2260"/>
        <item x="794"/>
        <item x="4981"/>
        <item x="2261"/>
        <item x="4982"/>
        <item x="795"/>
        <item x="4983"/>
        <item x="796"/>
        <item x="797"/>
        <item x="4984"/>
        <item x="2262"/>
        <item x="4985"/>
        <item x="2263"/>
        <item x="2264"/>
        <item x="4986"/>
        <item x="4987"/>
        <item x="4988"/>
        <item x="4989"/>
        <item x="4990"/>
        <item x="4991"/>
        <item x="2265"/>
        <item x="7798"/>
        <item x="7799"/>
        <item x="798"/>
        <item x="4992"/>
        <item x="799"/>
        <item x="2266"/>
        <item x="4993"/>
        <item x="2267"/>
        <item x="800"/>
        <item x="801"/>
        <item x="802"/>
        <item x="4994"/>
        <item x="4995"/>
        <item x="2268"/>
        <item x="4996"/>
        <item x="4997"/>
        <item x="4998"/>
        <item x="4999"/>
        <item x="803"/>
        <item x="5000"/>
        <item x="5001"/>
        <item x="5002"/>
        <item x="2269"/>
        <item x="2270"/>
        <item x="7667"/>
        <item x="5003"/>
        <item x="804"/>
        <item x="5004"/>
        <item x="805"/>
        <item x="5005"/>
        <item x="2271"/>
        <item x="5006"/>
        <item x="5007"/>
        <item x="5008"/>
        <item x="2272"/>
        <item x="5009"/>
        <item x="5010"/>
        <item x="5011"/>
        <item x="2273"/>
        <item x="5012"/>
        <item x="5013"/>
        <item x="5014"/>
        <item x="5015"/>
        <item x="7668"/>
        <item x="5016"/>
        <item x="5017"/>
        <item x="5018"/>
        <item x="2274"/>
        <item x="5019"/>
        <item x="5020"/>
        <item x="5021"/>
        <item x="7669"/>
        <item x="7670"/>
        <item x="5022"/>
        <item x="5023"/>
        <item x="5024"/>
        <item x="5025"/>
        <item x="5026"/>
        <item x="806"/>
        <item x="5027"/>
        <item x="807"/>
        <item x="5028"/>
        <item x="5029"/>
        <item x="5030"/>
        <item x="5031"/>
        <item x="5032"/>
        <item x="2275"/>
        <item x="5033"/>
        <item x="5034"/>
        <item x="5035"/>
        <item x="7800"/>
        <item x="5036"/>
        <item x="5037"/>
        <item x="808"/>
        <item x="5038"/>
        <item x="2276"/>
        <item x="809"/>
        <item x="810"/>
        <item x="5039"/>
        <item x="5040"/>
        <item x="811"/>
        <item x="5041"/>
        <item x="5042"/>
        <item x="2277"/>
        <item x="5043"/>
        <item x="812"/>
        <item x="5044"/>
        <item x="5045"/>
        <item x="813"/>
        <item x="5046"/>
        <item x="5047"/>
        <item x="5048"/>
        <item x="2278"/>
        <item x="5049"/>
        <item x="2279"/>
        <item x="2280"/>
        <item x="5050"/>
        <item x="5051"/>
        <item x="814"/>
        <item x="2281"/>
        <item x="815"/>
        <item x="5052"/>
        <item x="5053"/>
        <item x="816"/>
        <item x="5054"/>
        <item x="2282"/>
        <item x="2283"/>
        <item x="5055"/>
        <item x="2284"/>
        <item x="817"/>
        <item x="5056"/>
        <item x="2285"/>
        <item x="818"/>
        <item x="5057"/>
        <item x="2286"/>
        <item x="2287"/>
        <item x="819"/>
        <item x="5058"/>
        <item x="5059"/>
        <item x="820"/>
        <item x="5060"/>
        <item x="5061"/>
        <item x="5062"/>
        <item x="2288"/>
        <item x="2289"/>
        <item x="821"/>
        <item x="2290"/>
        <item x="822"/>
        <item x="823"/>
        <item x="2291"/>
        <item x="5063"/>
        <item x="2292"/>
        <item x="5064"/>
        <item x="824"/>
        <item x="7801"/>
        <item x="5065"/>
        <item x="5066"/>
        <item x="825"/>
        <item x="5067"/>
        <item x="5068"/>
        <item x="5069"/>
        <item x="5070"/>
        <item x="5071"/>
        <item x="5072"/>
        <item x="5073"/>
        <item x="5074"/>
        <item x="5075"/>
        <item x="5076"/>
        <item x="2293"/>
        <item x="826"/>
        <item x="5077"/>
        <item x="2294"/>
        <item x="5078"/>
        <item x="5079"/>
        <item x="2295"/>
        <item x="5080"/>
        <item x="5081"/>
        <item x="827"/>
        <item x="828"/>
        <item x="5082"/>
        <item x="5083"/>
        <item x="2296"/>
        <item x="5084"/>
        <item x="5085"/>
        <item x="5086"/>
        <item x="5087"/>
        <item x="5088"/>
        <item x="5089"/>
        <item x="5090"/>
        <item x="829"/>
        <item x="5091"/>
        <item x="5092"/>
        <item x="5093"/>
        <item x="5094"/>
        <item x="5095"/>
        <item x="2297"/>
        <item x="5096"/>
        <item x="830"/>
        <item x="2298"/>
        <item x="2299"/>
        <item x="5097"/>
        <item x="5098"/>
        <item x="5099"/>
        <item x="5100"/>
        <item x="831"/>
        <item x="5101"/>
        <item x="2300"/>
        <item x="5102"/>
        <item x="2301"/>
        <item x="5103"/>
        <item x="2302"/>
        <item x="5104"/>
        <item x="5105"/>
        <item x="7671"/>
        <item x="832"/>
        <item x="5106"/>
        <item x="2303"/>
        <item x="5107"/>
        <item x="2304"/>
        <item x="5108"/>
        <item x="5109"/>
        <item x="5110"/>
        <item x="2305"/>
        <item x="2306"/>
        <item x="2307"/>
        <item x="5111"/>
        <item x="833"/>
        <item x="834"/>
        <item x="5112"/>
        <item x="5113"/>
        <item x="5114"/>
        <item x="5115"/>
        <item x="835"/>
        <item x="5116"/>
        <item x="836"/>
        <item x="5117"/>
        <item x="2308"/>
        <item x="5118"/>
        <item x="2309"/>
        <item x="5119"/>
        <item x="2310"/>
        <item x="5120"/>
        <item x="5121"/>
        <item x="5122"/>
        <item x="5123"/>
        <item x="5124"/>
        <item x="5125"/>
        <item x="5126"/>
        <item x="837"/>
        <item x="5127"/>
        <item x="838"/>
        <item x="2311"/>
        <item x="839"/>
        <item x="5128"/>
        <item x="5129"/>
        <item x="5130"/>
        <item x="5131"/>
        <item x="2312"/>
        <item x="5132"/>
        <item x="2313"/>
        <item x="2314"/>
        <item x="840"/>
        <item x="7672"/>
        <item x="841"/>
        <item x="2315"/>
        <item x="5133"/>
        <item x="842"/>
        <item x="5134"/>
        <item x="5135"/>
        <item x="5136"/>
        <item x="843"/>
        <item x="5137"/>
        <item x="844"/>
        <item x="5138"/>
        <item x="2316"/>
        <item x="845"/>
        <item x="5139"/>
        <item x="5140"/>
        <item x="5141"/>
        <item x="5142"/>
        <item x="5143"/>
        <item x="5144"/>
        <item x="5145"/>
        <item x="2317"/>
        <item x="846"/>
        <item x="5146"/>
        <item x="2318"/>
        <item x="5147"/>
        <item x="5148"/>
        <item x="2319"/>
        <item x="2320"/>
        <item x="5149"/>
        <item x="5150"/>
        <item x="2321"/>
        <item x="2322"/>
        <item x="2323"/>
        <item x="5151"/>
        <item x="5152"/>
        <item x="5153"/>
        <item x="847"/>
        <item x="5154"/>
        <item x="2324"/>
        <item x="5155"/>
        <item x="5156"/>
        <item x="5157"/>
        <item x="5158"/>
        <item x="2325"/>
        <item x="848"/>
        <item x="2326"/>
        <item x="5159"/>
        <item x="849"/>
        <item x="850"/>
        <item x="2327"/>
        <item x="851"/>
        <item x="2328"/>
        <item x="5160"/>
        <item x="5161"/>
        <item x="2329"/>
        <item x="852"/>
        <item x="5162"/>
        <item x="5163"/>
        <item x="5164"/>
        <item x="5165"/>
        <item x="5166"/>
        <item x="2330"/>
        <item x="5167"/>
        <item x="7673"/>
        <item x="5168"/>
        <item x="853"/>
        <item x="854"/>
        <item x="5169"/>
        <item x="2331"/>
        <item x="2332"/>
        <item x="2333"/>
        <item x="5170"/>
        <item x="5171"/>
        <item x="5172"/>
        <item x="2334"/>
        <item x="5173"/>
        <item x="5174"/>
        <item x="2335"/>
        <item x="5175"/>
        <item x="855"/>
        <item x="5176"/>
        <item x="5177"/>
        <item x="5178"/>
        <item x="2336"/>
        <item x="5179"/>
        <item x="5180"/>
        <item x="856"/>
        <item x="5181"/>
        <item x="5182"/>
        <item x="5183"/>
        <item x="5184"/>
        <item x="5185"/>
        <item x="5186"/>
        <item x="2337"/>
        <item x="5187"/>
        <item x="5188"/>
        <item x="5189"/>
        <item x="5190"/>
        <item x="5191"/>
        <item x="5192"/>
        <item x="5193"/>
        <item x="5194"/>
        <item x="857"/>
        <item x="2338"/>
        <item x="2339"/>
        <item x="5195"/>
        <item x="858"/>
        <item x="859"/>
        <item x="860"/>
        <item x="861"/>
        <item x="5196"/>
        <item x="862"/>
        <item x="5197"/>
        <item x="5198"/>
        <item x="863"/>
        <item x="2340"/>
        <item x="5199"/>
        <item x="864"/>
        <item x="5200"/>
        <item x="5201"/>
        <item x="5202"/>
        <item x="2341"/>
        <item x="5203"/>
        <item x="5204"/>
        <item x="865"/>
        <item x="7802"/>
        <item x="5205"/>
        <item x="2342"/>
        <item x="5206"/>
        <item x="2343"/>
        <item x="5207"/>
        <item x="7674"/>
        <item x="5208"/>
        <item x="5209"/>
        <item x="2344"/>
        <item x="2345"/>
        <item x="866"/>
        <item x="5210"/>
        <item x="5211"/>
        <item x="5212"/>
        <item x="5213"/>
        <item x="5214"/>
        <item x="2346"/>
        <item x="5215"/>
        <item x="2347"/>
        <item x="2348"/>
        <item x="5216"/>
        <item x="5217"/>
        <item x="5218"/>
        <item x="867"/>
        <item x="5219"/>
        <item x="868"/>
        <item x="5220"/>
        <item x="2349"/>
        <item x="7675"/>
        <item x="5221"/>
        <item x="5222"/>
        <item x="5223"/>
        <item x="869"/>
        <item x="5224"/>
        <item x="870"/>
        <item x="871"/>
        <item x="5225"/>
        <item x="2350"/>
        <item x="872"/>
        <item x="5226"/>
        <item x="5227"/>
        <item x="5228"/>
        <item x="5229"/>
        <item x="5230"/>
        <item x="2351"/>
        <item x="873"/>
        <item x="5231"/>
        <item x="5232"/>
        <item x="5233"/>
        <item x="5234"/>
        <item x="5235"/>
        <item x="5236"/>
        <item x="5237"/>
        <item x="5238"/>
        <item x="5239"/>
        <item x="2352"/>
        <item x="5240"/>
        <item x="5241"/>
        <item x="874"/>
        <item x="5242"/>
        <item x="2353"/>
        <item x="875"/>
        <item x="2354"/>
        <item x="5243"/>
        <item x="5244"/>
        <item x="7676"/>
        <item x="5245"/>
        <item x="5246"/>
        <item x="876"/>
        <item x="5247"/>
        <item x="7677"/>
        <item x="5248"/>
        <item x="5249"/>
        <item x="5250"/>
        <item x="5251"/>
        <item x="2355"/>
        <item x="5252"/>
        <item x="7678"/>
        <item x="5253"/>
        <item x="5254"/>
        <item x="5255"/>
        <item x="5256"/>
        <item x="5257"/>
        <item x="877"/>
        <item x="5258"/>
        <item x="5259"/>
        <item x="5260"/>
        <item x="878"/>
        <item x="5261"/>
        <item x="5262"/>
        <item x="5263"/>
        <item x="5264"/>
        <item x="5265"/>
        <item x="5266"/>
        <item x="5267"/>
        <item x="5268"/>
        <item x="879"/>
        <item x="5269"/>
        <item x="2356"/>
        <item x="5270"/>
        <item x="5271"/>
        <item x="5272"/>
        <item x="880"/>
        <item x="2357"/>
        <item x="5273"/>
        <item x="5274"/>
        <item x="5275"/>
        <item x="5276"/>
        <item x="5277"/>
        <item x="5278"/>
        <item x="2358"/>
        <item x="881"/>
        <item x="2359"/>
        <item x="5279"/>
        <item x="5280"/>
        <item x="882"/>
        <item x="883"/>
        <item x="5281"/>
        <item x="5282"/>
        <item x="884"/>
        <item x="5283"/>
        <item x="5284"/>
        <item x="5285"/>
        <item x="5286"/>
        <item x="885"/>
        <item x="5287"/>
        <item x="5288"/>
        <item x="5289"/>
        <item x="2360"/>
        <item x="886"/>
        <item x="5290"/>
        <item x="2361"/>
        <item x="5291"/>
        <item x="2362"/>
        <item x="5292"/>
        <item x="5293"/>
        <item x="2363"/>
        <item x="5294"/>
        <item x="5295"/>
        <item x="2364"/>
        <item x="5296"/>
        <item x="5297"/>
        <item x="5298"/>
        <item x="5299"/>
        <item x="887"/>
        <item x="5300"/>
        <item x="5301"/>
        <item x="5302"/>
        <item x="888"/>
        <item x="2365"/>
        <item x="889"/>
        <item x="5303"/>
        <item x="2366"/>
        <item x="2367"/>
        <item x="890"/>
        <item x="5304"/>
        <item x="5305"/>
        <item x="891"/>
        <item x="5306"/>
        <item x="892"/>
        <item x="5307"/>
        <item x="5308"/>
        <item x="5309"/>
        <item x="5310"/>
        <item x="5311"/>
        <item x="893"/>
        <item x="5312"/>
        <item x="5313"/>
        <item x="5314"/>
        <item x="5315"/>
        <item x="5316"/>
        <item x="2368"/>
        <item x="5317"/>
        <item x="5318"/>
        <item x="5319"/>
        <item x="2369"/>
        <item x="2370"/>
        <item x="5320"/>
        <item x="2371"/>
        <item x="5321"/>
        <item x="5322"/>
        <item x="5323"/>
        <item x="5324"/>
        <item x="5325"/>
        <item x="894"/>
        <item x="2372"/>
        <item x="2373"/>
        <item x="5326"/>
        <item x="895"/>
        <item x="2374"/>
        <item x="5327"/>
        <item x="5328"/>
        <item x="5329"/>
        <item x="5330"/>
        <item x="5331"/>
        <item x="896"/>
        <item x="897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898"/>
        <item x="5350"/>
        <item x="5351"/>
        <item x="5352"/>
        <item x="899"/>
        <item x="5353"/>
        <item x="5354"/>
        <item x="5355"/>
        <item x="5356"/>
        <item x="5357"/>
        <item x="5358"/>
        <item x="2375"/>
        <item x="900"/>
        <item x="901"/>
        <item x="7803"/>
        <item x="5359"/>
        <item x="902"/>
        <item x="5360"/>
        <item x="903"/>
        <item x="904"/>
        <item x="5361"/>
        <item x="5362"/>
        <item x="5363"/>
        <item x="5364"/>
        <item x="905"/>
        <item x="5365"/>
        <item x="5366"/>
        <item x="5367"/>
        <item x="906"/>
        <item x="2376"/>
        <item x="5368"/>
        <item x="7679"/>
        <item x="5369"/>
        <item x="5370"/>
        <item x="5371"/>
        <item x="5372"/>
        <item x="5373"/>
        <item x="5374"/>
        <item x="907"/>
        <item x="5375"/>
        <item x="908"/>
        <item x="5376"/>
        <item x="5377"/>
        <item x="5378"/>
        <item x="5379"/>
        <item x="909"/>
        <item x="2377"/>
        <item x="2378"/>
        <item x="5380"/>
        <item x="2379"/>
        <item x="910"/>
        <item x="5381"/>
        <item x="911"/>
        <item x="5382"/>
        <item x="5383"/>
        <item x="5384"/>
        <item x="5385"/>
        <item x="5386"/>
        <item x="5387"/>
        <item x="5388"/>
        <item x="2380"/>
        <item x="5389"/>
        <item x="912"/>
        <item x="5390"/>
        <item x="913"/>
        <item x="914"/>
        <item x="915"/>
        <item x="5391"/>
        <item x="5392"/>
        <item x="5393"/>
        <item x="916"/>
        <item x="5394"/>
        <item x="2381"/>
        <item x="5395"/>
        <item x="5396"/>
        <item x="7804"/>
        <item x="5397"/>
        <item x="5398"/>
        <item x="5399"/>
        <item x="5400"/>
        <item x="2382"/>
        <item x="2383"/>
        <item x="917"/>
        <item x="5401"/>
        <item x="2384"/>
        <item x="5402"/>
        <item x="5403"/>
        <item x="2385"/>
        <item x="2386"/>
        <item x="5404"/>
        <item x="5405"/>
        <item x="5406"/>
        <item x="5407"/>
        <item x="5408"/>
        <item x="2387"/>
        <item x="5409"/>
        <item x="5410"/>
        <item x="5411"/>
        <item x="5412"/>
        <item x="5413"/>
        <item x="2388"/>
        <item x="5414"/>
        <item x="5415"/>
        <item x="5416"/>
        <item x="5417"/>
        <item x="5418"/>
        <item x="5419"/>
        <item x="7680"/>
        <item x="918"/>
        <item x="5420"/>
        <item x="5421"/>
        <item x="5422"/>
        <item x="5423"/>
        <item x="919"/>
        <item x="920"/>
        <item x="921"/>
        <item x="5424"/>
        <item x="5425"/>
        <item x="5426"/>
        <item x="2389"/>
        <item x="7805"/>
        <item x="2390"/>
        <item x="922"/>
        <item x="923"/>
        <item x="924"/>
        <item x="5427"/>
        <item x="5428"/>
        <item x="2391"/>
        <item x="925"/>
        <item x="2392"/>
        <item x="5429"/>
        <item x="5430"/>
        <item x="5431"/>
        <item x="5432"/>
        <item x="2393"/>
        <item x="5433"/>
        <item x="5434"/>
        <item x="5435"/>
        <item x="926"/>
        <item x="2394"/>
        <item x="5436"/>
        <item x="7681"/>
        <item x="927"/>
        <item x="5437"/>
        <item x="5438"/>
        <item x="2395"/>
        <item x="2396"/>
        <item x="2397"/>
        <item x="5439"/>
        <item x="5440"/>
        <item x="7806"/>
        <item x="5441"/>
        <item x="5442"/>
        <item x="5443"/>
        <item x="5444"/>
        <item x="5445"/>
        <item x="5446"/>
        <item x="928"/>
        <item x="5447"/>
        <item x="929"/>
        <item x="2398"/>
        <item x="5448"/>
        <item x="930"/>
        <item x="5449"/>
        <item x="5450"/>
        <item x="5451"/>
        <item x="5452"/>
        <item x="5453"/>
        <item x="5454"/>
        <item x="7807"/>
        <item x="5455"/>
        <item x="5456"/>
        <item x="5457"/>
        <item x="5458"/>
        <item x="5459"/>
        <item x="931"/>
        <item x="7808"/>
        <item x="5460"/>
        <item x="932"/>
        <item x="5461"/>
        <item x="2399"/>
        <item x="933"/>
        <item x="5462"/>
        <item x="934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935"/>
        <item x="5475"/>
        <item x="5476"/>
        <item x="5477"/>
        <item x="936"/>
        <item x="5478"/>
        <item x="937"/>
        <item x="5479"/>
        <item x="5480"/>
        <item x="2400"/>
        <item x="5481"/>
        <item x="5482"/>
        <item x="5483"/>
        <item x="5484"/>
        <item x="5485"/>
        <item x="938"/>
        <item x="939"/>
        <item x="5486"/>
        <item x="7809"/>
        <item x="5487"/>
        <item x="7682"/>
        <item x="5488"/>
        <item x="5489"/>
        <item x="5490"/>
        <item x="5491"/>
        <item x="940"/>
        <item x="941"/>
        <item x="5492"/>
        <item x="942"/>
        <item x="5493"/>
        <item x="5494"/>
        <item x="7810"/>
        <item x="7811"/>
        <item x="5495"/>
        <item x="5496"/>
        <item x="5497"/>
        <item x="5498"/>
        <item x="2401"/>
        <item x="5499"/>
        <item x="5500"/>
        <item x="5501"/>
        <item x="5502"/>
        <item x="5503"/>
        <item x="5504"/>
        <item x="2402"/>
        <item x="5505"/>
        <item x="5506"/>
        <item x="943"/>
        <item x="944"/>
        <item x="5507"/>
        <item x="5508"/>
        <item x="5509"/>
        <item x="5510"/>
        <item x="2403"/>
        <item x="5511"/>
        <item x="945"/>
        <item x="5512"/>
        <item x="2404"/>
        <item x="5513"/>
        <item x="2405"/>
        <item x="7683"/>
        <item x="5514"/>
        <item x="5515"/>
        <item x="2406"/>
        <item x="5516"/>
        <item x="5517"/>
        <item x="946"/>
        <item x="5518"/>
        <item x="2407"/>
        <item x="5519"/>
        <item x="7812"/>
        <item x="5520"/>
        <item x="947"/>
        <item x="5521"/>
        <item x="948"/>
        <item x="5522"/>
        <item x="5523"/>
        <item x="2408"/>
        <item x="5524"/>
        <item x="5525"/>
        <item x="5526"/>
        <item x="5527"/>
        <item x="949"/>
        <item x="5528"/>
        <item x="5529"/>
        <item x="5530"/>
        <item x="5531"/>
        <item x="7684"/>
        <item x="5532"/>
        <item x="5533"/>
        <item x="5534"/>
        <item x="5535"/>
        <item x="950"/>
        <item x="5536"/>
        <item x="5537"/>
        <item x="5538"/>
        <item x="5539"/>
        <item x="5540"/>
        <item x="5541"/>
        <item x="5542"/>
        <item x="2409"/>
        <item x="5543"/>
        <item x="951"/>
        <item x="5544"/>
        <item x="5545"/>
        <item x="5546"/>
        <item x="5547"/>
        <item x="5548"/>
        <item x="5549"/>
        <item x="5550"/>
        <item x="7685"/>
        <item x="5551"/>
        <item x="952"/>
        <item x="2410"/>
        <item x="5552"/>
        <item x="953"/>
        <item x="954"/>
        <item x="955"/>
        <item x="2411"/>
        <item x="956"/>
        <item x="2412"/>
        <item x="5553"/>
        <item x="5554"/>
        <item x="5555"/>
        <item x="5556"/>
        <item x="5557"/>
        <item x="5558"/>
        <item x="5559"/>
        <item x="2413"/>
        <item x="5560"/>
        <item x="5561"/>
        <item x="5562"/>
        <item x="5563"/>
        <item x="5564"/>
        <item x="2414"/>
        <item x="5565"/>
        <item x="5566"/>
        <item x="957"/>
        <item x="5567"/>
        <item x="958"/>
        <item x="5568"/>
        <item x="5569"/>
        <item x="2415"/>
        <item x="5570"/>
        <item x="959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960"/>
        <item x="5582"/>
        <item x="5583"/>
        <item x="5584"/>
        <item x="5585"/>
        <item x="5586"/>
        <item x="2416"/>
        <item x="2417"/>
        <item x="961"/>
        <item x="962"/>
        <item x="7813"/>
        <item x="5587"/>
        <item x="5588"/>
        <item x="963"/>
        <item x="5589"/>
        <item x="2418"/>
        <item x="2419"/>
        <item x="5590"/>
        <item x="2420"/>
        <item x="964"/>
        <item x="5591"/>
        <item x="5592"/>
        <item x="5593"/>
        <item x="965"/>
        <item x="5594"/>
        <item x="2421"/>
        <item x="966"/>
        <item x="5595"/>
        <item x="5596"/>
        <item x="5597"/>
        <item x="5598"/>
        <item x="2422"/>
        <item x="5599"/>
        <item x="5600"/>
        <item x="967"/>
        <item x="5601"/>
        <item x="5602"/>
        <item x="5603"/>
        <item x="5604"/>
        <item x="5605"/>
        <item x="2423"/>
        <item x="5606"/>
        <item x="2424"/>
        <item x="2425"/>
        <item x="5607"/>
        <item x="7686"/>
        <item x="5608"/>
        <item x="2426"/>
        <item x="5609"/>
        <item x="2427"/>
        <item x="7687"/>
        <item x="968"/>
        <item x="5610"/>
        <item x="5611"/>
        <item x="5612"/>
        <item x="5613"/>
        <item x="5614"/>
        <item x="5615"/>
        <item x="5616"/>
        <item x="5617"/>
        <item x="5618"/>
        <item x="2428"/>
        <item x="969"/>
        <item x="970"/>
        <item x="5619"/>
        <item x="5620"/>
        <item x="5621"/>
        <item x="5622"/>
        <item x="5623"/>
        <item x="5624"/>
        <item x="971"/>
        <item x="5625"/>
        <item x="5626"/>
        <item x="5627"/>
        <item x="5628"/>
        <item x="5629"/>
        <item x="5630"/>
        <item x="5631"/>
        <item x="5632"/>
        <item x="2429"/>
        <item x="972"/>
        <item x="973"/>
        <item x="5633"/>
        <item x="974"/>
        <item x="975"/>
        <item x="5634"/>
        <item x="5635"/>
        <item x="5636"/>
        <item x="5637"/>
        <item x="2430"/>
        <item x="2431"/>
        <item x="5638"/>
        <item x="5639"/>
        <item x="2432"/>
        <item x="5640"/>
        <item x="5641"/>
        <item x="5642"/>
        <item x="5643"/>
        <item x="976"/>
        <item x="2433"/>
        <item x="5644"/>
        <item x="5645"/>
        <item x="5646"/>
        <item x="977"/>
        <item x="5647"/>
        <item x="2434"/>
        <item x="5648"/>
        <item x="2435"/>
        <item x="2436"/>
        <item x="2437"/>
        <item x="5649"/>
        <item x="5650"/>
        <item x="5651"/>
        <item x="5652"/>
        <item x="7688"/>
        <item x="5653"/>
        <item x="5654"/>
        <item x="5655"/>
        <item x="5656"/>
        <item x="2438"/>
        <item x="5657"/>
        <item x="2439"/>
        <item x="5658"/>
        <item x="5659"/>
        <item x="2440"/>
        <item x="5660"/>
        <item x="2441"/>
        <item x="978"/>
        <item x="5661"/>
        <item x="5662"/>
        <item x="5663"/>
        <item x="5664"/>
        <item x="2442"/>
        <item x="2443"/>
        <item x="5665"/>
        <item x="5666"/>
        <item x="5667"/>
        <item x="5668"/>
        <item x="5669"/>
        <item x="5670"/>
        <item x="5671"/>
        <item x="2444"/>
        <item x="5672"/>
        <item x="7814"/>
        <item x="5673"/>
        <item x="5674"/>
        <item x="2445"/>
        <item x="2446"/>
        <item x="2447"/>
        <item x="5675"/>
        <item x="5676"/>
        <item x="5677"/>
        <item x="5678"/>
        <item x="979"/>
        <item x="980"/>
        <item x="5679"/>
        <item x="5680"/>
        <item x="5681"/>
        <item x="5682"/>
        <item x="5683"/>
        <item x="5684"/>
        <item x="5685"/>
        <item x="5686"/>
        <item x="5687"/>
        <item x="981"/>
        <item x="982"/>
        <item x="7689"/>
        <item x="2448"/>
        <item x="5688"/>
        <item x="5689"/>
        <item x="5690"/>
        <item x="983"/>
        <item x="5691"/>
        <item x="5692"/>
        <item x="5693"/>
        <item x="5694"/>
        <item x="5695"/>
        <item x="5696"/>
        <item x="984"/>
        <item x="985"/>
        <item x="5697"/>
        <item x="5698"/>
        <item x="5699"/>
        <item x="986"/>
        <item x="987"/>
        <item x="988"/>
        <item x="5700"/>
        <item x="5701"/>
        <item x="5702"/>
        <item x="5703"/>
        <item x="2449"/>
        <item x="5704"/>
        <item x="989"/>
        <item x="990"/>
        <item x="7690"/>
        <item x="2450"/>
        <item x="5705"/>
        <item x="2451"/>
        <item x="5706"/>
        <item x="5707"/>
        <item x="5708"/>
        <item x="991"/>
        <item x="5709"/>
        <item x="5710"/>
        <item x="2452"/>
        <item x="5711"/>
        <item x="992"/>
        <item x="5712"/>
        <item x="5713"/>
        <item x="7815"/>
        <item x="993"/>
        <item x="994"/>
        <item x="5714"/>
        <item x="5715"/>
        <item x="2453"/>
        <item x="5716"/>
        <item x="995"/>
        <item x="5717"/>
        <item x="5718"/>
        <item x="5719"/>
        <item x="996"/>
        <item x="5720"/>
        <item x="5721"/>
        <item x="5722"/>
        <item x="997"/>
        <item x="5723"/>
        <item x="2454"/>
        <item x="5724"/>
        <item x="7816"/>
        <item x="5725"/>
        <item x="5726"/>
        <item x="2455"/>
        <item x="2456"/>
        <item x="5727"/>
        <item x="5728"/>
        <item x="998"/>
        <item x="2457"/>
        <item x="5729"/>
        <item x="5730"/>
        <item x="999"/>
        <item x="5731"/>
        <item x="2458"/>
        <item x="2459"/>
        <item x="1000"/>
        <item x="5732"/>
        <item x="1001"/>
        <item x="1002"/>
        <item x="5733"/>
        <item x="5734"/>
        <item x="1003"/>
        <item x="5735"/>
        <item x="5736"/>
        <item x="5737"/>
        <item x="5738"/>
        <item x="5739"/>
        <item x="2460"/>
        <item x="5740"/>
        <item x="5741"/>
        <item x="5742"/>
        <item x="5743"/>
        <item x="5744"/>
        <item x="5745"/>
        <item x="1004"/>
        <item x="2461"/>
        <item x="1005"/>
        <item x="2462"/>
        <item x="5746"/>
        <item x="5747"/>
        <item x="2463"/>
        <item x="5748"/>
        <item x="2464"/>
        <item x="5749"/>
        <item x="5750"/>
        <item x="2465"/>
        <item x="1006"/>
        <item x="5751"/>
        <item x="5752"/>
        <item x="7817"/>
        <item x="7691"/>
        <item x="5753"/>
        <item x="5754"/>
        <item x="5755"/>
        <item x="1007"/>
        <item x="5756"/>
        <item x="5757"/>
        <item x="7692"/>
        <item x="5758"/>
        <item x="1008"/>
        <item x="1009"/>
        <item x="2466"/>
        <item x="1010"/>
        <item x="5759"/>
        <item x="5760"/>
        <item x="5761"/>
        <item x="5762"/>
        <item x="1011"/>
        <item x="7693"/>
        <item x="5763"/>
        <item x="5764"/>
        <item x="2467"/>
        <item x="5765"/>
        <item x="5766"/>
        <item x="7694"/>
        <item x="1012"/>
        <item x="2468"/>
        <item x="5767"/>
        <item x="5768"/>
        <item x="5769"/>
        <item x="5770"/>
        <item x="2469"/>
        <item x="1013"/>
        <item x="2470"/>
        <item x="7818"/>
        <item x="2471"/>
        <item x="5771"/>
        <item x="5772"/>
        <item x="2472"/>
        <item x="5773"/>
        <item x="5774"/>
        <item x="1014"/>
        <item x="1015"/>
        <item x="1016"/>
        <item x="2473"/>
        <item x="1017"/>
        <item x="5775"/>
        <item x="5776"/>
        <item x="5777"/>
        <item x="5778"/>
        <item x="5779"/>
        <item x="2474"/>
        <item x="5780"/>
        <item x="5781"/>
        <item x="5782"/>
        <item x="5783"/>
        <item x="5784"/>
        <item x="5785"/>
        <item x="1018"/>
        <item x="1019"/>
        <item x="5786"/>
        <item x="5787"/>
        <item x="5788"/>
        <item x="5789"/>
        <item x="5790"/>
        <item x="7695"/>
        <item x="5791"/>
        <item x="5792"/>
        <item x="5793"/>
        <item x="5794"/>
        <item x="5795"/>
        <item x="5796"/>
        <item x="1020"/>
        <item x="1021"/>
        <item x="5797"/>
        <item x="5798"/>
        <item x="5799"/>
        <item x="5800"/>
        <item x="5801"/>
        <item x="1022"/>
        <item x="5802"/>
        <item x="1023"/>
        <item x="5803"/>
        <item x="5804"/>
        <item x="5805"/>
        <item x="5806"/>
        <item x="1024"/>
        <item x="5807"/>
        <item x="5808"/>
        <item x="2475"/>
        <item x="5809"/>
        <item x="1025"/>
        <item x="2476"/>
        <item x="5810"/>
        <item x="5811"/>
        <item x="5812"/>
        <item x="2477"/>
        <item x="5813"/>
        <item x="5814"/>
        <item x="5815"/>
        <item x="5816"/>
        <item x="2478"/>
        <item x="2479"/>
        <item x="5817"/>
        <item x="5818"/>
        <item x="5819"/>
        <item x="5820"/>
        <item x="2480"/>
        <item x="5821"/>
        <item x="5822"/>
        <item x="5823"/>
        <item x="5824"/>
        <item x="7696"/>
        <item x="2481"/>
        <item x="5825"/>
        <item x="5826"/>
        <item x="1026"/>
        <item x="5827"/>
        <item x="5828"/>
        <item x="5829"/>
        <item x="5830"/>
        <item x="5831"/>
        <item x="5832"/>
        <item x="1027"/>
        <item x="5833"/>
        <item x="5834"/>
        <item x="5835"/>
        <item x="5836"/>
        <item x="5837"/>
        <item x="5838"/>
        <item x="5839"/>
        <item x="2482"/>
        <item x="1028"/>
        <item x="5840"/>
        <item x="1029"/>
        <item x="2483"/>
        <item x="5841"/>
        <item x="5842"/>
        <item x="5843"/>
        <item x="5844"/>
        <item x="2484"/>
        <item x="5845"/>
        <item x="5846"/>
        <item x="2485"/>
        <item x="5847"/>
        <item x="5848"/>
        <item x="5849"/>
        <item x="5850"/>
        <item x="5851"/>
        <item x="5852"/>
        <item x="1030"/>
        <item x="2486"/>
        <item x="7697"/>
        <item x="5853"/>
        <item x="5854"/>
        <item x="1031"/>
        <item x="5855"/>
        <item x="1032"/>
        <item x="5856"/>
        <item x="5857"/>
        <item x="2487"/>
        <item x="1033"/>
        <item x="5858"/>
        <item x="5859"/>
        <item x="5860"/>
        <item x="2488"/>
        <item x="5861"/>
        <item x="1034"/>
        <item x="5862"/>
        <item x="1035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1036"/>
        <item x="5875"/>
        <item x="5876"/>
        <item x="5877"/>
        <item x="5878"/>
        <item x="5879"/>
        <item x="1037"/>
        <item x="2489"/>
        <item x="5880"/>
        <item x="5881"/>
        <item x="7819"/>
        <item x="2490"/>
        <item x="5882"/>
        <item x="5883"/>
        <item x="1038"/>
        <item x="5884"/>
        <item x="2491"/>
        <item x="5885"/>
        <item x="5886"/>
        <item x="5887"/>
        <item x="1039"/>
        <item x="5888"/>
        <item x="5889"/>
        <item x="5890"/>
        <item x="5891"/>
        <item x="5892"/>
        <item x="1040"/>
        <item x="2492"/>
        <item x="5893"/>
        <item x="5894"/>
        <item x="2493"/>
        <item x="1041"/>
        <item x="5895"/>
        <item x="5896"/>
        <item x="5897"/>
        <item x="1042"/>
        <item x="5898"/>
        <item x="5899"/>
        <item x="5900"/>
        <item x="2494"/>
        <item x="5901"/>
        <item x="5902"/>
        <item x="5903"/>
        <item x="1043"/>
        <item x="1044"/>
        <item x="2495"/>
        <item x="5904"/>
        <item x="5905"/>
        <item x="5906"/>
        <item x="2496"/>
        <item x="5907"/>
        <item x="5908"/>
        <item x="5909"/>
        <item x="5910"/>
        <item x="1045"/>
        <item x="2497"/>
        <item x="7820"/>
        <item x="1046"/>
        <item x="5911"/>
        <item x="5912"/>
        <item x="5913"/>
        <item x="5914"/>
        <item x="1047"/>
        <item x="7821"/>
        <item x="1048"/>
        <item x="5915"/>
        <item x="1049"/>
        <item x="5916"/>
        <item x="5917"/>
        <item x="2498"/>
        <item x="2499"/>
        <item x="5918"/>
        <item x="5919"/>
        <item x="7698"/>
        <item x="1050"/>
        <item x="5920"/>
        <item x="5921"/>
        <item x="1051"/>
        <item x="5922"/>
        <item x="5923"/>
        <item x="5924"/>
        <item x="5925"/>
        <item x="1052"/>
        <item x="5926"/>
        <item x="5927"/>
        <item x="2500"/>
        <item x="2501"/>
        <item x="5928"/>
        <item x="2502"/>
        <item x="5929"/>
        <item x="2503"/>
        <item x="5930"/>
        <item x="5931"/>
        <item x="2504"/>
        <item x="1053"/>
        <item x="5932"/>
        <item x="5933"/>
        <item x="1054"/>
        <item x="5934"/>
        <item x="1055"/>
        <item x="5935"/>
        <item x="5936"/>
        <item x="5937"/>
        <item x="5938"/>
        <item x="5939"/>
        <item x="5940"/>
        <item x="5941"/>
        <item x="1056"/>
        <item x="5942"/>
        <item x="5943"/>
        <item x="2505"/>
        <item x="1057"/>
        <item x="1058"/>
        <item x="1059"/>
        <item x="5944"/>
        <item x="5945"/>
        <item x="5946"/>
        <item x="2506"/>
        <item x="5947"/>
        <item x="5948"/>
        <item x="5949"/>
        <item x="5950"/>
        <item x="1060"/>
        <item x="1061"/>
        <item x="5951"/>
        <item x="5952"/>
        <item x="5953"/>
        <item x="5954"/>
        <item x="5955"/>
        <item x="5956"/>
        <item x="1062"/>
        <item x="5957"/>
        <item x="5958"/>
        <item x="2507"/>
        <item x="5959"/>
        <item x="5960"/>
        <item x="2508"/>
        <item x="5961"/>
        <item x="2509"/>
        <item x="5962"/>
        <item x="5963"/>
        <item x="5964"/>
        <item x="5965"/>
        <item x="1063"/>
        <item x="2510"/>
        <item x="5966"/>
        <item x="5967"/>
        <item x="5968"/>
        <item x="2511"/>
        <item x="2512"/>
        <item x="5969"/>
        <item x="2513"/>
        <item x="1064"/>
        <item x="1065"/>
        <item x="1066"/>
        <item x="1067"/>
        <item x="5970"/>
        <item x="5971"/>
        <item x="5972"/>
        <item x="5973"/>
        <item x="5974"/>
        <item x="1068"/>
        <item x="5975"/>
        <item x="5976"/>
        <item x="5977"/>
        <item x="2514"/>
        <item x="5978"/>
        <item x="2515"/>
        <item x="5979"/>
        <item x="5980"/>
        <item x="5981"/>
        <item x="5982"/>
        <item x="5983"/>
        <item x="2516"/>
        <item x="1069"/>
        <item x="5984"/>
        <item x="2517"/>
        <item x="5985"/>
        <item x="7822"/>
        <item x="5986"/>
        <item x="5987"/>
        <item x="5988"/>
        <item x="1070"/>
        <item x="5989"/>
        <item x="7699"/>
        <item x="2518"/>
        <item x="5990"/>
        <item x="2519"/>
        <item x="2520"/>
        <item x="5991"/>
        <item x="2521"/>
        <item x="1071"/>
        <item x="5992"/>
        <item x="5993"/>
        <item x="5994"/>
        <item x="5995"/>
        <item x="5996"/>
        <item x="5997"/>
        <item x="5998"/>
        <item x="1072"/>
        <item x="7700"/>
        <item x="2522"/>
        <item x="5999"/>
        <item x="1073"/>
        <item x="6000"/>
        <item x="6001"/>
        <item x="1074"/>
        <item x="6002"/>
        <item x="6003"/>
        <item x="1075"/>
        <item x="6004"/>
        <item x="6005"/>
        <item x="6006"/>
        <item x="2523"/>
        <item x="1076"/>
        <item x="1077"/>
        <item x="6007"/>
        <item x="6008"/>
        <item x="7701"/>
        <item x="6009"/>
        <item x="1078"/>
        <item x="2524"/>
        <item x="6010"/>
        <item x="6011"/>
        <item x="1079"/>
        <item x="1080"/>
        <item x="6012"/>
        <item x="6013"/>
        <item x="6014"/>
        <item x="2525"/>
        <item x="1081"/>
        <item x="6015"/>
        <item x="6016"/>
        <item x="1082"/>
        <item x="7702"/>
        <item x="6017"/>
        <item x="6018"/>
        <item x="6019"/>
        <item x="6020"/>
        <item x="6021"/>
        <item x="6022"/>
        <item x="2526"/>
        <item x="6023"/>
        <item x="6024"/>
        <item x="6025"/>
        <item x="6026"/>
        <item x="2527"/>
        <item x="6027"/>
        <item x="6028"/>
        <item x="6029"/>
        <item x="1083"/>
        <item x="2528"/>
        <item x="1084"/>
        <item x="1085"/>
        <item x="6030"/>
        <item x="2529"/>
        <item x="6031"/>
        <item x="2530"/>
        <item x="6032"/>
        <item x="7823"/>
        <item x="1086"/>
        <item x="6033"/>
        <item x="6034"/>
        <item x="6035"/>
        <item x="2531"/>
        <item x="2532"/>
        <item x="6036"/>
        <item x="6037"/>
        <item x="6038"/>
        <item x="6039"/>
        <item x="2533"/>
        <item x="1087"/>
        <item x="6040"/>
        <item x="6041"/>
        <item x="1088"/>
        <item x="1089"/>
        <item x="1090"/>
        <item x="2534"/>
        <item x="7703"/>
        <item x="1091"/>
        <item x="6042"/>
        <item x="6043"/>
        <item x="1092"/>
        <item x="2535"/>
        <item x="2536"/>
        <item x="2537"/>
        <item x="1093"/>
        <item x="6044"/>
        <item x="6045"/>
        <item x="6046"/>
        <item x="6047"/>
        <item x="2538"/>
        <item x="1094"/>
        <item x="6048"/>
        <item x="6049"/>
        <item x="6050"/>
        <item x="6051"/>
        <item x="1095"/>
        <item x="1096"/>
        <item x="6052"/>
        <item x="6053"/>
        <item x="6054"/>
        <item x="6055"/>
        <item x="6056"/>
        <item x="6057"/>
        <item x="2539"/>
        <item x="2540"/>
        <item x="1097"/>
        <item x="2541"/>
        <item x="2542"/>
        <item x="1098"/>
        <item x="2543"/>
        <item x="6058"/>
        <item x="6059"/>
        <item x="6060"/>
        <item x="2544"/>
        <item x="1099"/>
        <item x="2545"/>
        <item x="1100"/>
        <item x="6061"/>
        <item x="6062"/>
        <item x="1101"/>
        <item x="6063"/>
        <item x="1102"/>
        <item x="6064"/>
        <item x="6065"/>
        <item x="6066"/>
        <item x="2546"/>
        <item x="1103"/>
        <item x="6067"/>
        <item x="2547"/>
        <item x="6068"/>
        <item x="6069"/>
        <item x="6070"/>
        <item x="2548"/>
        <item x="6071"/>
        <item x="6072"/>
        <item x="2549"/>
        <item x="6073"/>
        <item x="6074"/>
        <item x="2550"/>
        <item x="6075"/>
        <item x="6076"/>
        <item x="1104"/>
        <item x="6077"/>
        <item x="6078"/>
        <item x="6079"/>
        <item x="2551"/>
        <item x="6080"/>
        <item x="2552"/>
        <item x="6081"/>
        <item x="1105"/>
        <item x="6082"/>
        <item x="6083"/>
        <item x="6084"/>
        <item x="6085"/>
        <item x="2553"/>
        <item x="6086"/>
        <item x="1106"/>
        <item x="1107"/>
        <item x="6087"/>
        <item x="6088"/>
        <item x="6089"/>
        <item x="6090"/>
        <item x="6091"/>
        <item x="6092"/>
        <item x="1108"/>
        <item x="1109"/>
        <item x="6093"/>
        <item x="6094"/>
        <item x="6095"/>
        <item x="6096"/>
        <item x="6097"/>
        <item x="6098"/>
        <item x="7704"/>
        <item x="6099"/>
        <item x="2554"/>
        <item x="6100"/>
        <item x="1110"/>
        <item x="6101"/>
        <item x="6102"/>
        <item x="6103"/>
        <item x="6104"/>
        <item x="2555"/>
        <item x="6105"/>
        <item x="6106"/>
        <item x="6107"/>
        <item x="1111"/>
        <item x="2556"/>
        <item x="6108"/>
        <item x="7705"/>
        <item x="1112"/>
        <item x="7706"/>
        <item x="6109"/>
        <item x="6110"/>
        <item x="1113"/>
        <item x="6111"/>
        <item x="6112"/>
        <item x="1114"/>
        <item x="6113"/>
        <item x="6114"/>
        <item x="6115"/>
        <item x="6116"/>
        <item x="2557"/>
        <item x="2558"/>
        <item x="6117"/>
        <item x="6118"/>
        <item x="6119"/>
        <item x="6120"/>
        <item x="6121"/>
        <item x="2559"/>
        <item x="6122"/>
        <item x="1115"/>
        <item x="6123"/>
        <item x="6124"/>
        <item x="6125"/>
        <item x="6126"/>
        <item x="2560"/>
        <item x="1116"/>
        <item x="6127"/>
        <item x="6128"/>
        <item x="2561"/>
        <item x="6129"/>
        <item x="1117"/>
        <item x="6130"/>
        <item x="2562"/>
        <item x="6131"/>
        <item x="6132"/>
        <item x="6133"/>
        <item x="6134"/>
        <item x="2563"/>
        <item x="6135"/>
        <item x="7707"/>
        <item x="6136"/>
        <item x="6137"/>
        <item x="6138"/>
        <item x="6139"/>
        <item x="1118"/>
        <item x="1119"/>
        <item x="6140"/>
        <item x="1120"/>
        <item x="6141"/>
        <item x="2564"/>
        <item x="6142"/>
        <item x="6143"/>
        <item x="1121"/>
        <item x="2565"/>
        <item x="6144"/>
        <item x="1122"/>
        <item x="1123"/>
        <item x="6145"/>
        <item x="7708"/>
        <item x="2566"/>
        <item x="6146"/>
        <item x="1124"/>
        <item x="2567"/>
        <item x="6147"/>
        <item x="2568"/>
        <item x="6148"/>
        <item x="1125"/>
        <item x="2569"/>
        <item x="1126"/>
        <item x="7709"/>
        <item x="1127"/>
        <item x="2570"/>
        <item x="6149"/>
        <item x="6150"/>
        <item x="6151"/>
        <item x="6152"/>
        <item x="1128"/>
        <item x="6153"/>
        <item x="6154"/>
        <item x="1129"/>
        <item x="6155"/>
        <item x="1130"/>
        <item x="6156"/>
        <item x="1131"/>
        <item x="1132"/>
        <item x="6157"/>
        <item x="6158"/>
        <item x="1133"/>
        <item x="6159"/>
        <item x="6160"/>
        <item x="7710"/>
        <item x="1134"/>
        <item x="2571"/>
        <item x="6161"/>
        <item x="6162"/>
        <item x="2572"/>
        <item x="1135"/>
        <item x="6163"/>
        <item x="2573"/>
        <item x="1136"/>
        <item x="6164"/>
        <item x="6165"/>
        <item x="6166"/>
        <item x="6167"/>
        <item x="6168"/>
        <item x="6169"/>
        <item x="6170"/>
        <item x="6171"/>
        <item x="2574"/>
        <item x="6172"/>
        <item x="6173"/>
        <item x="6174"/>
        <item x="2575"/>
        <item x="6175"/>
        <item x="1137"/>
        <item x="2576"/>
        <item x="6176"/>
        <item x="1138"/>
        <item x="7711"/>
        <item x="1139"/>
        <item x="1140"/>
        <item x="6177"/>
        <item x="6178"/>
        <item x="6179"/>
        <item x="6180"/>
        <item x="6181"/>
        <item x="1141"/>
        <item x="6182"/>
        <item x="6183"/>
        <item x="6184"/>
        <item x="1142"/>
        <item x="1143"/>
        <item x="6185"/>
        <item x="6186"/>
        <item x="6187"/>
        <item x="6188"/>
        <item x="6189"/>
        <item x="6190"/>
        <item x="6191"/>
        <item x="7824"/>
        <item x="6192"/>
        <item x="1144"/>
        <item x="6193"/>
        <item x="6194"/>
        <item x="6195"/>
        <item x="2577"/>
        <item x="6196"/>
        <item x="6197"/>
        <item x="6198"/>
        <item x="6199"/>
        <item x="6200"/>
        <item x="6201"/>
        <item x="6202"/>
        <item x="6203"/>
        <item x="6204"/>
        <item x="6205"/>
        <item x="2578"/>
        <item x="2579"/>
        <item x="1145"/>
        <item x="6206"/>
        <item x="6207"/>
        <item x="6208"/>
        <item x="6209"/>
        <item x="2580"/>
        <item x="6210"/>
        <item x="6211"/>
        <item x="6212"/>
        <item x="6213"/>
        <item x="2581"/>
        <item x="1146"/>
        <item x="6214"/>
        <item x="6215"/>
        <item x="1147"/>
        <item x="6216"/>
        <item x="6217"/>
        <item x="6218"/>
        <item x="6219"/>
        <item x="6220"/>
        <item x="6221"/>
        <item x="6222"/>
        <item x="6223"/>
        <item x="6224"/>
        <item x="2582"/>
        <item x="6225"/>
        <item x="6226"/>
        <item x="6227"/>
        <item x="6228"/>
        <item x="6229"/>
        <item x="6230"/>
        <item x="6231"/>
        <item x="2583"/>
        <item x="6232"/>
        <item x="6233"/>
        <item x="7825"/>
        <item x="6234"/>
        <item x="2584"/>
        <item x="2585"/>
        <item x="6235"/>
        <item x="1148"/>
        <item x="6236"/>
        <item x="6237"/>
        <item x="6238"/>
        <item x="6239"/>
        <item x="6240"/>
        <item x="6241"/>
        <item x="6242"/>
        <item x="6243"/>
        <item x="6244"/>
        <item x="1149"/>
        <item x="1150"/>
        <item x="6245"/>
        <item x="6246"/>
        <item x="6247"/>
        <item x="6248"/>
        <item x="1151"/>
        <item x="6249"/>
        <item x="6250"/>
        <item x="6251"/>
        <item x="6252"/>
        <item x="6253"/>
        <item x="2586"/>
        <item x="6254"/>
        <item x="6255"/>
        <item x="6256"/>
        <item x="2587"/>
        <item x="6257"/>
        <item x="6258"/>
        <item x="6259"/>
        <item x="6260"/>
        <item x="2588"/>
        <item x="6261"/>
        <item x="6262"/>
        <item x="6263"/>
        <item x="2589"/>
        <item x="6264"/>
        <item x="1152"/>
        <item x="6265"/>
        <item x="2590"/>
        <item x="7712"/>
        <item x="6266"/>
        <item x="2591"/>
        <item x="2592"/>
        <item x="2593"/>
        <item x="2594"/>
        <item x="1153"/>
        <item x="1154"/>
        <item x="6267"/>
        <item x="6268"/>
        <item x="2595"/>
        <item x="1155"/>
        <item x="2596"/>
        <item x="2597"/>
        <item x="6269"/>
        <item x="6270"/>
        <item x="6271"/>
        <item x="2598"/>
        <item x="2599"/>
        <item x="2600"/>
        <item x="6272"/>
        <item x="6273"/>
        <item x="6274"/>
        <item x="6275"/>
        <item x="6276"/>
        <item x="2601"/>
        <item x="1156"/>
        <item x="1157"/>
        <item x="6277"/>
        <item x="7713"/>
        <item x="6278"/>
        <item x="1158"/>
        <item x="6279"/>
        <item x="6280"/>
        <item x="6281"/>
        <item x="6282"/>
        <item x="1159"/>
        <item x="1160"/>
        <item x="2602"/>
        <item x="6283"/>
        <item x="6284"/>
        <item x="1161"/>
        <item x="6285"/>
        <item x="7714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2603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1162"/>
        <item x="6311"/>
        <item x="6312"/>
        <item x="6313"/>
        <item x="6314"/>
        <item x="6315"/>
        <item x="2604"/>
        <item x="1163"/>
        <item x="6316"/>
        <item x="6317"/>
        <item x="1164"/>
        <item x="6318"/>
        <item x="1165"/>
        <item x="1166"/>
        <item x="1167"/>
        <item x="7715"/>
        <item x="2605"/>
        <item x="6319"/>
        <item x="6320"/>
        <item x="6321"/>
        <item x="2606"/>
        <item x="1168"/>
        <item x="6322"/>
        <item x="2607"/>
        <item x="6323"/>
        <item x="7826"/>
        <item x="6324"/>
        <item x="1169"/>
        <item x="6325"/>
        <item x="6326"/>
        <item x="6327"/>
        <item x="6328"/>
        <item x="6329"/>
        <item x="6330"/>
        <item x="6331"/>
        <item x="6332"/>
        <item x="1170"/>
        <item x="6333"/>
        <item x="6334"/>
        <item x="1171"/>
        <item x="6335"/>
        <item x="7716"/>
        <item x="6336"/>
        <item x="6337"/>
        <item x="2608"/>
        <item x="6338"/>
        <item x="6339"/>
        <item x="2609"/>
        <item x="1172"/>
        <item x="1173"/>
        <item x="6340"/>
        <item x="6341"/>
        <item x="6342"/>
        <item x="6343"/>
        <item x="2610"/>
        <item x="6344"/>
        <item x="1174"/>
        <item x="6345"/>
        <item x="6346"/>
        <item x="6347"/>
        <item x="6348"/>
        <item x="1175"/>
        <item x="6349"/>
        <item x="6350"/>
        <item x="6351"/>
        <item x="2611"/>
        <item x="6352"/>
        <item x="1176"/>
        <item x="6353"/>
        <item x="1177"/>
        <item x="6354"/>
        <item x="2612"/>
        <item x="2613"/>
        <item x="1178"/>
        <item x="1179"/>
        <item x="2614"/>
        <item x="6355"/>
        <item x="6356"/>
        <item x="7827"/>
        <item x="6357"/>
        <item x="6358"/>
        <item x="1180"/>
        <item x="6359"/>
        <item x="6360"/>
        <item x="6361"/>
        <item x="6362"/>
        <item x="7717"/>
        <item x="6363"/>
        <item x="6364"/>
        <item x="6365"/>
        <item x="1181"/>
        <item x="6366"/>
        <item x="1182"/>
        <item x="7828"/>
        <item x="6367"/>
        <item x="1183"/>
        <item x="1184"/>
        <item x="1185"/>
        <item x="6368"/>
        <item x="6369"/>
        <item x="6370"/>
        <item x="6371"/>
        <item x="2615"/>
        <item x="6372"/>
        <item x="1186"/>
        <item x="7718"/>
        <item x="6373"/>
        <item x="1187"/>
        <item x="6374"/>
        <item x="6375"/>
        <item x="2616"/>
        <item x="1188"/>
        <item x="7829"/>
        <item x="1189"/>
        <item x="1190"/>
        <item x="6376"/>
        <item x="1191"/>
        <item x="6377"/>
        <item x="2617"/>
        <item x="6378"/>
        <item x="1192"/>
        <item x="6379"/>
        <item x="6380"/>
        <item x="2618"/>
        <item x="6381"/>
        <item x="6382"/>
        <item x="6383"/>
        <item x="2619"/>
        <item x="6384"/>
        <item x="6385"/>
        <item x="6386"/>
        <item x="6387"/>
        <item x="6388"/>
        <item x="6389"/>
        <item x="1193"/>
        <item x="6390"/>
        <item x="1194"/>
        <item x="2620"/>
        <item x="6391"/>
        <item x="6392"/>
        <item x="1195"/>
        <item x="1196"/>
        <item x="6393"/>
        <item x="7830"/>
        <item x="6394"/>
        <item x="2621"/>
        <item x="1197"/>
        <item x="6395"/>
        <item x="2622"/>
        <item x="6396"/>
        <item x="2623"/>
        <item x="6397"/>
        <item x="2624"/>
        <item x="6398"/>
        <item x="2625"/>
        <item x="6399"/>
        <item x="6400"/>
        <item x="6401"/>
        <item x="1198"/>
        <item x="6402"/>
        <item x="6403"/>
        <item x="6404"/>
        <item x="1199"/>
        <item x="6405"/>
        <item x="1200"/>
        <item x="6406"/>
        <item x="1201"/>
        <item x="6407"/>
        <item x="6408"/>
        <item x="6409"/>
        <item x="2626"/>
        <item x="6410"/>
        <item x="6411"/>
        <item x="6412"/>
        <item x="6413"/>
        <item x="6414"/>
        <item x="1202"/>
        <item x="2627"/>
        <item x="6415"/>
        <item x="2628"/>
        <item x="6416"/>
        <item x="6417"/>
        <item x="6418"/>
        <item x="2629"/>
        <item x="6419"/>
        <item x="1203"/>
        <item x="6420"/>
        <item x="1204"/>
        <item x="1205"/>
        <item x="6421"/>
        <item x="6422"/>
        <item x="2630"/>
        <item x="2631"/>
        <item x="1206"/>
        <item x="7719"/>
        <item x="1207"/>
        <item x="1208"/>
        <item x="6423"/>
        <item x="6424"/>
        <item x="2632"/>
        <item x="6425"/>
        <item x="1209"/>
        <item x="6426"/>
        <item x="6427"/>
        <item x="6428"/>
        <item x="6429"/>
        <item x="1210"/>
        <item x="6430"/>
        <item x="6431"/>
        <item x="6432"/>
        <item x="6433"/>
        <item x="6434"/>
        <item x="6435"/>
        <item x="6436"/>
        <item x="6437"/>
        <item x="7831"/>
        <item x="6438"/>
        <item x="6439"/>
        <item x="6440"/>
        <item x="2633"/>
        <item x="6441"/>
        <item x="6442"/>
        <item x="6443"/>
        <item x="6444"/>
        <item x="6445"/>
        <item x="1211"/>
        <item x="1212"/>
        <item x="7720"/>
        <item x="1213"/>
        <item x="2634"/>
        <item x="6446"/>
        <item x="6447"/>
        <item x="2635"/>
        <item x="6448"/>
        <item x="1214"/>
        <item x="6449"/>
        <item x="6450"/>
        <item x="2636"/>
        <item x="1215"/>
        <item x="6451"/>
        <item x="2637"/>
        <item x="6452"/>
        <item x="6453"/>
        <item x="6454"/>
        <item x="6455"/>
        <item x="6456"/>
        <item x="6457"/>
        <item x="6458"/>
        <item x="2638"/>
        <item x="6459"/>
        <item x="6460"/>
        <item x="1216"/>
        <item x="1217"/>
        <item x="6461"/>
        <item x="6462"/>
        <item x="1218"/>
        <item x="1219"/>
        <item x="6463"/>
        <item x="6464"/>
        <item x="2639"/>
        <item x="6465"/>
        <item x="6466"/>
        <item x="1220"/>
        <item x="6467"/>
        <item x="6468"/>
        <item x="2640"/>
        <item x="6469"/>
        <item x="6470"/>
        <item x="6471"/>
        <item x="6472"/>
        <item x="2641"/>
        <item x="1221"/>
        <item x="1222"/>
        <item x="2642"/>
        <item x="6473"/>
        <item x="7832"/>
        <item x="6474"/>
        <item x="6475"/>
        <item x="7833"/>
        <item x="6476"/>
        <item x="6477"/>
        <item x="1223"/>
        <item x="2643"/>
        <item x="6478"/>
        <item x="6479"/>
        <item x="2644"/>
        <item x="6480"/>
        <item x="6481"/>
        <item x="6482"/>
        <item x="6483"/>
        <item x="1224"/>
        <item x="6484"/>
        <item x="6485"/>
        <item x="6486"/>
        <item x="6487"/>
        <item x="6488"/>
        <item x="6489"/>
        <item x="1225"/>
        <item x="6490"/>
        <item x="6491"/>
        <item x="2645"/>
        <item x="6492"/>
        <item x="2646"/>
        <item x="1226"/>
        <item x="6493"/>
        <item x="6494"/>
        <item x="1227"/>
        <item x="6495"/>
        <item x="1228"/>
        <item x="1229"/>
        <item x="1230"/>
        <item x="2647"/>
        <item x="6496"/>
        <item x="6497"/>
        <item x="1231"/>
        <item x="6498"/>
        <item x="2648"/>
        <item x="6499"/>
        <item x="2649"/>
        <item x="6500"/>
        <item x="6501"/>
        <item x="2650"/>
        <item x="6502"/>
        <item x="6503"/>
        <item x="6504"/>
        <item x="6505"/>
        <item x="1232"/>
        <item x="1233"/>
        <item x="2651"/>
        <item x="6506"/>
        <item x="1234"/>
        <item x="6507"/>
        <item x="1235"/>
        <item x="6508"/>
        <item x="2652"/>
        <item x="6509"/>
        <item x="6510"/>
        <item x="6511"/>
        <item x="7721"/>
        <item x="6512"/>
        <item x="1236"/>
        <item x="1237"/>
        <item x="1238"/>
        <item x="6513"/>
        <item x="6514"/>
        <item x="6515"/>
        <item x="6516"/>
        <item x="6517"/>
        <item x="1239"/>
        <item x="1240"/>
        <item x="6518"/>
        <item x="6519"/>
        <item x="6520"/>
        <item x="6521"/>
        <item x="6522"/>
        <item x="6523"/>
        <item x="1241"/>
        <item x="2653"/>
        <item x="7834"/>
        <item x="2654"/>
        <item x="2655"/>
        <item x="6524"/>
        <item x="1242"/>
        <item x="6525"/>
        <item x="6526"/>
        <item x="6527"/>
        <item x="1243"/>
        <item x="1244"/>
        <item x="2656"/>
        <item x="6528"/>
        <item x="2657"/>
        <item x="2658"/>
        <item x="6529"/>
        <item x="6530"/>
        <item x="1245"/>
        <item x="6531"/>
        <item x="6532"/>
        <item x="6533"/>
        <item x="6534"/>
        <item x="7722"/>
        <item x="7723"/>
        <item x="6535"/>
        <item x="6536"/>
        <item x="6537"/>
        <item x="1246"/>
        <item x="1247"/>
        <item x="6538"/>
        <item x="6539"/>
        <item x="2659"/>
        <item x="2660"/>
        <item x="1248"/>
        <item x="6540"/>
        <item x="2661"/>
        <item x="6541"/>
        <item x="1249"/>
        <item x="7835"/>
        <item x="1250"/>
        <item x="6542"/>
        <item x="6543"/>
        <item x="6544"/>
        <item x="1251"/>
        <item x="2662"/>
        <item x="1252"/>
        <item x="6545"/>
        <item x="7724"/>
        <item x="6546"/>
        <item x="6547"/>
        <item x="6548"/>
        <item x="6549"/>
        <item x="1253"/>
        <item x="2663"/>
        <item x="1254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1255"/>
        <item x="6565"/>
        <item x="1256"/>
        <item x="6566"/>
        <item x="1257"/>
        <item x="6567"/>
        <item x="1258"/>
        <item x="6568"/>
        <item x="1259"/>
        <item x="6569"/>
        <item x="1260"/>
        <item x="6570"/>
        <item x="6571"/>
        <item x="2664"/>
        <item x="1261"/>
        <item x="6572"/>
        <item x="6573"/>
        <item x="6574"/>
        <item x="2665"/>
        <item x="6575"/>
        <item x="1262"/>
        <item x="6576"/>
        <item x="6577"/>
        <item x="6578"/>
        <item x="6579"/>
        <item x="1263"/>
        <item x="6580"/>
        <item x="7725"/>
        <item x="7726"/>
        <item x="6581"/>
        <item x="6582"/>
        <item x="6583"/>
        <item x="6584"/>
        <item x="6585"/>
        <item x="6586"/>
        <item x="1264"/>
        <item x="2666"/>
        <item x="6587"/>
        <item x="1265"/>
        <item x="6588"/>
        <item x="6589"/>
        <item x="6590"/>
        <item x="6591"/>
        <item x="6592"/>
        <item x="1266"/>
        <item x="6593"/>
        <item x="1267"/>
        <item x="1268"/>
        <item x="1269"/>
        <item x="2667"/>
        <item x="6594"/>
        <item x="2668"/>
        <item x="2669"/>
        <item x="1270"/>
        <item x="2670"/>
        <item x="6595"/>
        <item x="6596"/>
        <item x="2671"/>
        <item x="6597"/>
        <item x="6598"/>
        <item x="6599"/>
        <item x="6600"/>
        <item x="1271"/>
        <item x="6601"/>
        <item x="1272"/>
        <item x="6602"/>
        <item x="6603"/>
        <item x="6604"/>
        <item x="6605"/>
        <item x="2672"/>
        <item x="6606"/>
        <item x="2673"/>
        <item x="6607"/>
        <item x="6608"/>
        <item x="6609"/>
        <item x="6610"/>
        <item x="6611"/>
        <item x="6612"/>
        <item x="2674"/>
        <item x="6613"/>
        <item x="6614"/>
        <item x="6615"/>
        <item x="1273"/>
        <item x="1274"/>
        <item x="6616"/>
        <item x="1275"/>
        <item x="7727"/>
        <item x="2675"/>
        <item x="6617"/>
        <item x="6618"/>
        <item x="6619"/>
        <item x="6620"/>
        <item x="2676"/>
        <item x="6621"/>
        <item x="6622"/>
        <item x="7728"/>
        <item x="6623"/>
        <item x="6624"/>
        <item x="2677"/>
        <item x="6625"/>
        <item x="1276"/>
        <item x="6626"/>
        <item x="6627"/>
        <item x="6628"/>
        <item x="6629"/>
        <item x="6630"/>
        <item x="6631"/>
        <item x="7729"/>
        <item x="2678"/>
        <item x="6632"/>
        <item x="6633"/>
        <item x="6634"/>
        <item x="6635"/>
        <item x="2679"/>
        <item x="1277"/>
        <item x="6636"/>
        <item x="6637"/>
        <item x="6638"/>
        <item x="6639"/>
        <item x="6640"/>
        <item x="1278"/>
        <item x="6641"/>
        <item x="6642"/>
        <item x="2680"/>
        <item x="6643"/>
        <item x="6644"/>
        <item x="6645"/>
        <item x="1279"/>
        <item x="6646"/>
        <item x="1280"/>
        <item x="6647"/>
        <item x="6648"/>
        <item x="6649"/>
        <item x="2681"/>
        <item x="1281"/>
        <item x="1282"/>
        <item x="1283"/>
        <item x="6650"/>
        <item x="6651"/>
        <item x="6652"/>
        <item x="6653"/>
        <item x="6654"/>
        <item x="1284"/>
        <item x="6655"/>
        <item x="2682"/>
        <item x="6656"/>
        <item x="6657"/>
        <item x="6658"/>
        <item x="1285"/>
        <item x="7836"/>
        <item x="1286"/>
        <item x="2683"/>
        <item x="2684"/>
        <item x="1287"/>
        <item x="6659"/>
        <item x="6660"/>
        <item x="6661"/>
        <item x="6662"/>
        <item x="6663"/>
        <item x="6664"/>
        <item x="6665"/>
        <item x="6666"/>
        <item x="1288"/>
        <item x="6667"/>
        <item x="2685"/>
        <item x="7730"/>
        <item x="6668"/>
        <item x="2686"/>
        <item x="6669"/>
        <item x="6670"/>
        <item x="6671"/>
        <item x="6672"/>
        <item x="1289"/>
        <item x="6673"/>
        <item x="7837"/>
        <item x="7838"/>
        <item x="6674"/>
        <item x="6675"/>
        <item x="6676"/>
        <item x="2687"/>
        <item x="1290"/>
        <item x="6677"/>
        <item x="6678"/>
        <item x="6679"/>
        <item x="2688"/>
        <item x="6680"/>
        <item x="6681"/>
        <item x="6682"/>
        <item x="2689"/>
        <item x="6683"/>
        <item x="1291"/>
        <item x="6684"/>
        <item x="6685"/>
        <item x="6686"/>
        <item x="6687"/>
        <item x="6688"/>
        <item x="6689"/>
        <item x="6690"/>
        <item x="6691"/>
        <item x="6692"/>
        <item x="6693"/>
        <item x="2690"/>
        <item x="6694"/>
        <item x="6695"/>
        <item x="2691"/>
        <item x="6696"/>
        <item x="2692"/>
        <item x="6697"/>
        <item x="6698"/>
        <item x="6699"/>
        <item x="6700"/>
        <item x="6701"/>
        <item x="6702"/>
        <item x="6703"/>
        <item x="1292"/>
        <item x="6704"/>
        <item x="1293"/>
        <item x="6705"/>
        <item x="1294"/>
        <item x="1295"/>
        <item x="2693"/>
        <item x="2694"/>
        <item x="1296"/>
        <item x="2695"/>
        <item x="6706"/>
        <item x="6707"/>
        <item x="2696"/>
        <item x="2697"/>
        <item x="1297"/>
        <item x="6708"/>
        <item x="1298"/>
        <item x="1299"/>
        <item x="6709"/>
        <item x="6710"/>
        <item x="6711"/>
        <item x="6712"/>
        <item x="6713"/>
        <item x="6714"/>
        <item x="2698"/>
        <item x="6715"/>
        <item x="6716"/>
        <item x="1300"/>
        <item x="6717"/>
        <item x="7731"/>
        <item x="6718"/>
        <item x="2699"/>
        <item x="6719"/>
        <item x="2700"/>
        <item x="6720"/>
        <item x="6721"/>
        <item x="2701"/>
        <item x="6722"/>
        <item x="6723"/>
        <item x="1301"/>
        <item x="6724"/>
        <item x="6725"/>
        <item x="6726"/>
        <item x="6727"/>
        <item x="6728"/>
        <item x="6729"/>
        <item x="1302"/>
        <item x="6730"/>
        <item x="6731"/>
        <item x="1303"/>
        <item x="6732"/>
        <item x="1304"/>
        <item x="1305"/>
        <item x="6733"/>
        <item x="6734"/>
        <item x="6735"/>
        <item x="6736"/>
        <item x="6737"/>
        <item x="6738"/>
        <item x="6739"/>
        <item x="6740"/>
        <item x="6741"/>
        <item x="2702"/>
        <item x="6742"/>
        <item x="6743"/>
        <item x="6744"/>
        <item x="6745"/>
        <item x="6746"/>
        <item x="1306"/>
        <item x="6747"/>
        <item x="6748"/>
        <item x="1307"/>
        <item x="6749"/>
        <item x="2703"/>
        <item x="2704"/>
        <item x="2705"/>
        <item x="6750"/>
        <item x="1308"/>
        <item x="1309"/>
        <item x="2706"/>
        <item x="6751"/>
        <item x="1310"/>
        <item x="2707"/>
        <item x="6752"/>
        <item x="1311"/>
        <item x="6753"/>
        <item x="1312"/>
        <item x="6754"/>
        <item x="2708"/>
        <item x="6755"/>
        <item x="6756"/>
        <item x="2709"/>
        <item x="6757"/>
        <item x="6758"/>
        <item x="6759"/>
        <item x="1313"/>
        <item x="6760"/>
        <item x="6761"/>
        <item x="6762"/>
        <item x="6763"/>
        <item x="2710"/>
        <item x="6764"/>
        <item x="6765"/>
        <item x="6766"/>
        <item x="1314"/>
        <item x="6767"/>
        <item x="1315"/>
        <item x="6768"/>
        <item x="2711"/>
        <item x="6769"/>
        <item x="6770"/>
        <item x="2712"/>
        <item x="6771"/>
        <item x="2713"/>
        <item x="2714"/>
        <item x="1316"/>
        <item x="6772"/>
        <item x="2715"/>
        <item x="6773"/>
        <item x="6774"/>
        <item x="1317"/>
        <item x="1318"/>
        <item x="6775"/>
        <item x="2716"/>
        <item x="6776"/>
        <item x="6777"/>
        <item x="1319"/>
        <item x="2717"/>
        <item x="1320"/>
        <item x="1321"/>
        <item x="2718"/>
        <item x="6778"/>
        <item x="6779"/>
        <item x="2719"/>
        <item x="1322"/>
        <item x="6780"/>
        <item x="7732"/>
        <item x="6781"/>
        <item x="6782"/>
        <item x="6783"/>
        <item x="1323"/>
        <item x="2720"/>
        <item x="2721"/>
        <item x="6784"/>
        <item x="6785"/>
        <item x="6786"/>
        <item x="6787"/>
        <item x="1324"/>
        <item x="6788"/>
        <item x="2722"/>
        <item x="6789"/>
        <item x="6790"/>
        <item x="6791"/>
        <item x="7733"/>
        <item x="6792"/>
        <item x="6793"/>
        <item x="1325"/>
        <item x="6794"/>
        <item x="6795"/>
        <item x="6796"/>
        <item x="6797"/>
        <item x="1326"/>
        <item x="6798"/>
        <item x="6799"/>
        <item x="2723"/>
        <item x="6800"/>
        <item x="6801"/>
        <item x="6802"/>
        <item x="6803"/>
        <item x="2724"/>
        <item x="1327"/>
        <item x="6804"/>
        <item x="6805"/>
        <item x="6806"/>
        <item x="6807"/>
        <item x="6808"/>
        <item x="6809"/>
        <item x="6810"/>
        <item x="6811"/>
        <item x="2725"/>
        <item x="2726"/>
        <item x="6812"/>
        <item x="6813"/>
        <item x="6814"/>
        <item x="6815"/>
        <item x="2727"/>
        <item x="6816"/>
        <item x="2728"/>
        <item x="6817"/>
        <item x="6818"/>
        <item x="2729"/>
        <item x="6819"/>
        <item x="2730"/>
        <item x="2731"/>
        <item x="6820"/>
        <item x="6821"/>
        <item x="2732"/>
        <item x="1328"/>
        <item x="6822"/>
        <item x="2733"/>
        <item x="6823"/>
        <item x="6824"/>
        <item x="2734"/>
        <item x="1329"/>
        <item x="6825"/>
        <item x="2735"/>
        <item x="1330"/>
        <item x="2736"/>
        <item x="6826"/>
        <item x="6827"/>
        <item x="6828"/>
        <item x="6829"/>
        <item x="6830"/>
        <item x="6831"/>
        <item x="2737"/>
        <item x="6832"/>
        <item x="6833"/>
        <item x="2738"/>
        <item x="6834"/>
        <item x="6835"/>
        <item x="2739"/>
        <item x="6836"/>
        <item x="6837"/>
        <item x="6838"/>
        <item x="2740"/>
        <item x="2741"/>
        <item x="1331"/>
        <item x="6839"/>
        <item x="6840"/>
        <item x="2742"/>
        <item x="2743"/>
        <item x="6841"/>
        <item x="6842"/>
        <item x="6843"/>
        <item x="2744"/>
        <item x="6844"/>
        <item x="2745"/>
        <item x="6845"/>
        <item x="2746"/>
        <item x="7734"/>
        <item x="6846"/>
        <item x="6847"/>
        <item x="6848"/>
        <item x="6849"/>
        <item x="6850"/>
        <item x="6851"/>
        <item x="6852"/>
        <item x="2747"/>
        <item x="6853"/>
        <item x="6854"/>
        <item x="6855"/>
        <item x="6856"/>
        <item x="6857"/>
        <item x="2748"/>
        <item x="6858"/>
        <item x="2749"/>
        <item x="2750"/>
        <item x="2751"/>
        <item x="6859"/>
        <item x="7735"/>
        <item x="6860"/>
        <item x="6861"/>
        <item x="1332"/>
        <item x="1333"/>
        <item x="6862"/>
        <item x="6863"/>
        <item x="1334"/>
        <item x="6864"/>
        <item x="2752"/>
        <item x="6865"/>
        <item x="6866"/>
        <item x="2753"/>
        <item x="6867"/>
        <item x="1335"/>
        <item x="6868"/>
        <item x="6869"/>
        <item x="6870"/>
        <item x="6871"/>
        <item x="6872"/>
        <item x="6873"/>
        <item x="2754"/>
        <item x="6874"/>
        <item x="1336"/>
        <item x="6875"/>
        <item x="6876"/>
        <item x="6877"/>
        <item x="6878"/>
        <item x="1337"/>
        <item x="6879"/>
        <item x="2755"/>
        <item x="6880"/>
        <item x="6881"/>
        <item x="2756"/>
        <item x="2757"/>
        <item x="6882"/>
        <item x="2758"/>
        <item x="2759"/>
        <item x="2760"/>
        <item x="6883"/>
        <item x="6884"/>
        <item x="2761"/>
        <item x="2762"/>
        <item x="1338"/>
        <item x="2763"/>
        <item x="6885"/>
        <item x="1339"/>
        <item x="2764"/>
        <item x="2765"/>
        <item x="2766"/>
        <item x="1340"/>
        <item x="6886"/>
        <item x="1341"/>
        <item x="2767"/>
        <item x="2768"/>
        <item x="6887"/>
        <item x="1342"/>
        <item x="2769"/>
        <item x="6888"/>
        <item x="2770"/>
        <item x="6889"/>
        <item x="2771"/>
        <item x="6890"/>
        <item x="7736"/>
        <item x="6891"/>
        <item x="2772"/>
        <item x="1343"/>
        <item x="1344"/>
        <item x="2773"/>
        <item x="6892"/>
        <item x="2774"/>
        <item x="6893"/>
        <item x="6894"/>
        <item x="6895"/>
        <item x="2775"/>
        <item x="2776"/>
        <item x="1345"/>
        <item x="6896"/>
        <item x="6897"/>
        <item x="6898"/>
        <item x="2777"/>
        <item x="2778"/>
        <item x="1346"/>
        <item x="6899"/>
        <item x="2779"/>
        <item x="6900"/>
        <item x="6901"/>
        <item x="1347"/>
        <item x="6902"/>
        <item x="2780"/>
        <item x="6903"/>
        <item x="2781"/>
        <item x="6904"/>
        <item x="6905"/>
        <item x="2782"/>
        <item x="6906"/>
        <item x="6907"/>
        <item x="6908"/>
        <item x="2783"/>
        <item x="6909"/>
        <item x="6910"/>
        <item x="6911"/>
        <item x="2784"/>
        <item x="6912"/>
        <item x="6913"/>
        <item x="1348"/>
        <item x="6914"/>
        <item x="1349"/>
        <item x="7737"/>
        <item x="1350"/>
        <item x="2785"/>
        <item x="6915"/>
        <item x="2786"/>
        <item x="6916"/>
        <item x="6917"/>
        <item x="6918"/>
        <item x="6919"/>
        <item x="2787"/>
        <item x="1351"/>
        <item x="1352"/>
        <item x="2788"/>
        <item x="2789"/>
        <item x="6920"/>
        <item x="2790"/>
        <item x="6921"/>
        <item x="6922"/>
        <item x="6923"/>
        <item x="2791"/>
        <item x="2792"/>
        <item x="1353"/>
        <item x="6924"/>
        <item x="2793"/>
        <item x="7839"/>
        <item x="6925"/>
        <item x="2794"/>
        <item x="2795"/>
        <item x="2796"/>
        <item x="1354"/>
        <item x="7738"/>
        <item x="6926"/>
        <item x="6927"/>
        <item x="6928"/>
        <item x="6929"/>
        <item x="2797"/>
        <item x="1355"/>
        <item x="2798"/>
        <item x="6930"/>
        <item x="6931"/>
        <item x="1356"/>
        <item x="6932"/>
        <item x="2799"/>
        <item x="6933"/>
        <item x="6934"/>
        <item x="7739"/>
        <item x="6935"/>
        <item x="2800"/>
        <item x="6936"/>
        <item x="1357"/>
        <item x="1358"/>
        <item x="2801"/>
        <item x="6937"/>
        <item x="6938"/>
        <item x="6939"/>
        <item x="6940"/>
        <item x="6941"/>
        <item x="2802"/>
        <item x="1359"/>
        <item x="6942"/>
        <item x="1360"/>
        <item x="1361"/>
        <item x="2803"/>
        <item x="6943"/>
        <item x="6944"/>
        <item x="2804"/>
        <item x="1362"/>
        <item x="6945"/>
        <item x="6946"/>
        <item x="2805"/>
        <item x="6947"/>
        <item x="6948"/>
        <item x="2806"/>
        <item x="6949"/>
        <item x="6950"/>
        <item x="2807"/>
        <item x="6951"/>
        <item x="6952"/>
        <item x="6953"/>
        <item x="6954"/>
        <item x="6955"/>
        <item x="6956"/>
        <item x="1363"/>
        <item x="1364"/>
        <item x="2808"/>
        <item x="6957"/>
        <item x="6958"/>
        <item x="6959"/>
        <item x="1365"/>
        <item x="2809"/>
        <item x="2810"/>
        <item x="2811"/>
        <item x="6960"/>
        <item x="6961"/>
        <item x="6962"/>
        <item x="1366"/>
        <item x="2812"/>
        <item x="6963"/>
        <item x="2813"/>
        <item x="1367"/>
        <item x="6964"/>
        <item x="6965"/>
        <item x="6966"/>
        <item x="6967"/>
        <item x="6968"/>
        <item x="6969"/>
        <item x="6970"/>
        <item x="1368"/>
        <item x="7840"/>
        <item x="2814"/>
        <item x="6971"/>
        <item x="6972"/>
        <item x="2815"/>
        <item x="2816"/>
        <item x="1369"/>
        <item x="6973"/>
        <item x="2817"/>
        <item x="6974"/>
        <item x="2818"/>
        <item x="6975"/>
        <item x="1370"/>
        <item x="6976"/>
        <item x="6977"/>
        <item x="2819"/>
        <item x="7740"/>
        <item x="6978"/>
        <item x="6979"/>
        <item x="2820"/>
        <item x="7841"/>
        <item x="6980"/>
        <item x="6981"/>
        <item x="2821"/>
        <item x="6982"/>
        <item x="6983"/>
        <item x="2822"/>
        <item x="6984"/>
        <item x="6985"/>
        <item x="6986"/>
        <item x="6987"/>
        <item x="6988"/>
        <item x="2823"/>
        <item x="2824"/>
        <item x="1371"/>
        <item x="6989"/>
        <item x="6990"/>
        <item x="6991"/>
        <item x="2825"/>
        <item x="6992"/>
        <item x="6993"/>
        <item x="6994"/>
        <item x="6995"/>
        <item x="7741"/>
        <item x="6996"/>
        <item x="6997"/>
        <item x="6998"/>
        <item x="2826"/>
        <item x="2827"/>
        <item x="6999"/>
        <item x="7000"/>
        <item x="7001"/>
        <item x="7002"/>
        <item x="7003"/>
        <item x="7004"/>
        <item x="7005"/>
        <item x="7742"/>
        <item x="7006"/>
        <item x="2828"/>
        <item x="2829"/>
        <item x="1372"/>
        <item x="2830"/>
        <item x="2831"/>
        <item x="7007"/>
        <item x="7008"/>
        <item x="2832"/>
        <item x="7009"/>
        <item x="2833"/>
        <item x="7010"/>
        <item x="7011"/>
        <item x="2834"/>
        <item x="1373"/>
        <item x="7012"/>
        <item x="7013"/>
        <item x="2835"/>
        <item x="7014"/>
        <item x="7015"/>
        <item x="1374"/>
        <item x="7016"/>
        <item x="7017"/>
        <item x="7018"/>
        <item x="2836"/>
        <item x="1375"/>
        <item x="2837"/>
        <item x="2838"/>
        <item x="7019"/>
        <item x="7020"/>
        <item x="2839"/>
        <item x="7021"/>
        <item x="2840"/>
        <item x="7022"/>
        <item x="1376"/>
        <item x="1377"/>
        <item x="2841"/>
        <item x="7023"/>
        <item x="7743"/>
        <item x="7024"/>
        <item x="7025"/>
        <item x="2842"/>
        <item x="7026"/>
        <item x="7027"/>
        <item x="7028"/>
        <item x="1378"/>
        <item x="1379"/>
        <item x="7029"/>
        <item x="2843"/>
        <item x="7030"/>
        <item x="1380"/>
        <item x="7031"/>
        <item x="2844"/>
        <item x="1381"/>
        <item x="2845"/>
        <item x="7032"/>
        <item x="2846"/>
        <item x="7033"/>
        <item x="7034"/>
        <item x="7035"/>
        <item x="7036"/>
        <item x="7037"/>
        <item x="7038"/>
        <item x="7039"/>
        <item x="7040"/>
        <item x="1382"/>
        <item x="2847"/>
        <item x="7041"/>
        <item x="1383"/>
        <item x="7042"/>
        <item x="1384"/>
        <item x="2848"/>
        <item x="7043"/>
        <item x="2849"/>
        <item x="2850"/>
        <item x="7044"/>
        <item x="7045"/>
        <item x="7046"/>
        <item x="7842"/>
        <item x="7047"/>
        <item x="2851"/>
        <item x="1385"/>
        <item x="1386"/>
        <item x="7048"/>
        <item x="2852"/>
        <item x="7049"/>
        <item x="7050"/>
        <item x="7051"/>
        <item x="7052"/>
        <item x="2853"/>
        <item x="7053"/>
        <item x="7054"/>
        <item x="7055"/>
        <item x="1387"/>
        <item x="1388"/>
        <item x="1389"/>
        <item x="1390"/>
        <item x="1391"/>
        <item x="7056"/>
        <item x="7057"/>
        <item x="7058"/>
        <item x="2854"/>
        <item x="1392"/>
        <item x="2855"/>
        <item x="7059"/>
        <item x="7060"/>
        <item x="1393"/>
        <item x="2856"/>
        <item x="1394"/>
        <item x="2857"/>
        <item x="7061"/>
        <item x="1395"/>
        <item x="7062"/>
        <item x="1396"/>
        <item x="7063"/>
        <item x="7064"/>
        <item x="2858"/>
        <item x="7065"/>
        <item x="2859"/>
        <item x="1397"/>
        <item x="2860"/>
        <item x="2861"/>
        <item x="7066"/>
        <item x="7067"/>
        <item x="7068"/>
        <item x="1398"/>
        <item x="7069"/>
        <item x="7070"/>
        <item x="2862"/>
        <item x="7843"/>
        <item x="1399"/>
        <item x="1400"/>
        <item x="2863"/>
        <item x="2864"/>
        <item x="7071"/>
        <item x="1401"/>
        <item x="7072"/>
        <item x="7073"/>
        <item x="2865"/>
        <item x="2866"/>
        <item x="7074"/>
        <item x="7744"/>
        <item x="7075"/>
        <item x="1402"/>
        <item x="7745"/>
        <item x="1403"/>
        <item x="1404"/>
        <item x="7076"/>
        <item x="2867"/>
        <item x="1405"/>
        <item x="7077"/>
        <item x="2868"/>
        <item x="1406"/>
        <item x="7078"/>
        <item x="2869"/>
        <item x="2870"/>
        <item x="2871"/>
        <item x="7079"/>
        <item x="2872"/>
        <item x="7080"/>
        <item x="2873"/>
        <item x="7081"/>
        <item x="2874"/>
        <item x="7082"/>
        <item x="7083"/>
        <item x="7084"/>
        <item x="7085"/>
        <item x="2875"/>
        <item x="7086"/>
        <item x="1407"/>
        <item x="7087"/>
        <item x="2876"/>
        <item x="7088"/>
        <item x="2877"/>
        <item x="1408"/>
        <item x="7089"/>
        <item x="7090"/>
        <item x="2878"/>
        <item x="7091"/>
        <item x="7092"/>
        <item x="2879"/>
        <item x="2880"/>
        <item x="7093"/>
        <item x="2881"/>
        <item x="7094"/>
        <item x="1409"/>
        <item x="7095"/>
        <item x="2882"/>
        <item x="1410"/>
        <item x="1411"/>
        <item x="7096"/>
        <item x="7097"/>
        <item x="7098"/>
        <item x="2883"/>
        <item x="7099"/>
        <item x="1412"/>
        <item x="7100"/>
        <item x="1413"/>
        <item x="7746"/>
        <item x="2884"/>
        <item x="2885"/>
        <item x="7101"/>
        <item x="2886"/>
        <item x="2887"/>
        <item x="1414"/>
        <item x="7102"/>
        <item x="7747"/>
        <item x="7103"/>
        <item x="2888"/>
        <item x="1415"/>
        <item x="7104"/>
        <item x="7105"/>
        <item x="7106"/>
        <item x="1416"/>
        <item x="7107"/>
        <item x="7108"/>
        <item x="2889"/>
        <item x="7109"/>
        <item x="2890"/>
        <item x="7748"/>
        <item x="7110"/>
        <item x="2891"/>
        <item x="2892"/>
        <item x="7111"/>
        <item x="7112"/>
        <item x="7113"/>
        <item x="1417"/>
        <item x="7114"/>
        <item x="2893"/>
        <item x="7115"/>
        <item x="7116"/>
        <item x="7117"/>
        <item x="7118"/>
        <item x="2894"/>
        <item x="7119"/>
        <item x="1418"/>
        <item x="7120"/>
        <item x="7121"/>
        <item x="2895"/>
        <item x="2896"/>
        <item x="7122"/>
        <item x="7123"/>
        <item x="7124"/>
        <item x="2897"/>
        <item x="7125"/>
        <item x="7126"/>
        <item x="2898"/>
        <item x="7127"/>
        <item x="1419"/>
        <item x="7128"/>
        <item x="7129"/>
        <item x="7130"/>
        <item x="7131"/>
        <item x="7844"/>
        <item x="7132"/>
        <item x="7133"/>
        <item x="2899"/>
        <item x="7134"/>
        <item x="7135"/>
        <item x="2900"/>
        <item x="7136"/>
        <item x="7137"/>
        <item x="7138"/>
        <item x="7139"/>
        <item x="2901"/>
        <item x="7140"/>
        <item x="7141"/>
        <item x="7142"/>
        <item x="2902"/>
        <item x="2903"/>
        <item x="7143"/>
        <item x="7144"/>
        <item x="1420"/>
        <item x="2904"/>
        <item x="1421"/>
        <item x="7145"/>
        <item x="2905"/>
        <item x="1422"/>
        <item x="2906"/>
        <item x="7146"/>
        <item x="7147"/>
        <item x="1423"/>
        <item x="1424"/>
        <item x="7148"/>
        <item x="1425"/>
        <item x="7149"/>
        <item x="7150"/>
        <item x="7151"/>
        <item x="1426"/>
        <item x="2907"/>
        <item x="7152"/>
        <item x="2908"/>
        <item x="2909"/>
        <item x="7153"/>
        <item x="2910"/>
        <item x="7154"/>
        <item x="2911"/>
        <item x="7155"/>
        <item x="1427"/>
        <item x="7156"/>
        <item x="7157"/>
        <item x="1428"/>
        <item x="7158"/>
        <item x="2912"/>
        <item x="2913"/>
        <item x="7159"/>
        <item x="7160"/>
        <item x="7161"/>
        <item x="2914"/>
        <item x="2915"/>
        <item x="7162"/>
        <item x="1429"/>
        <item x="2916"/>
        <item x="2917"/>
        <item x="7163"/>
        <item x="7164"/>
        <item x="1430"/>
        <item x="7165"/>
        <item x="1431"/>
        <item x="7166"/>
        <item x="7167"/>
        <item x="2918"/>
        <item x="7168"/>
        <item x="7169"/>
        <item x="7170"/>
        <item x="1432"/>
        <item x="2919"/>
        <item x="2920"/>
        <item x="2921"/>
        <item x="7171"/>
        <item x="2922"/>
        <item x="2923"/>
        <item x="7172"/>
        <item x="2924"/>
        <item x="7173"/>
        <item x="7749"/>
        <item x="7174"/>
        <item x="1433"/>
        <item x="7175"/>
        <item x="2925"/>
        <item x="1434"/>
        <item x="2926"/>
        <item x="7176"/>
        <item x="7177"/>
        <item x="7178"/>
        <item x="7179"/>
        <item x="7180"/>
        <item x="2927"/>
        <item x="2928"/>
        <item x="7181"/>
        <item x="7182"/>
        <item x="2929"/>
        <item x="1435"/>
        <item x="7183"/>
        <item x="7184"/>
        <item x="7185"/>
        <item x="2930"/>
        <item x="2931"/>
        <item x="7750"/>
        <item x="2932"/>
        <item x="1436"/>
        <item x="7186"/>
        <item x="2933"/>
        <item x="7187"/>
        <item x="2934"/>
        <item x="7188"/>
        <item x="2935"/>
        <item x="1437"/>
        <item x="7189"/>
        <item x="7190"/>
        <item x="7191"/>
        <item x="2936"/>
        <item x="7192"/>
        <item x="1438"/>
        <item x="2937"/>
        <item x="7193"/>
        <item x="7194"/>
        <item x="7195"/>
        <item x="7196"/>
        <item x="2938"/>
        <item x="1439"/>
        <item x="7197"/>
        <item x="2939"/>
        <item x="7198"/>
        <item x="7199"/>
        <item x="7200"/>
        <item x="7201"/>
        <item x="2940"/>
        <item x="7202"/>
        <item x="2941"/>
        <item x="2942"/>
        <item x="7203"/>
        <item x="2943"/>
        <item x="7204"/>
        <item x="2944"/>
        <item x="2945"/>
        <item x="7205"/>
        <item x="7206"/>
        <item x="2946"/>
        <item x="2947"/>
        <item x="1440"/>
        <item x="1441"/>
        <item x="7207"/>
        <item x="1442"/>
        <item x="7208"/>
        <item x="7209"/>
        <item x="7210"/>
        <item x="7211"/>
        <item x="2948"/>
        <item x="2949"/>
        <item x="7212"/>
        <item x="1443"/>
        <item x="1444"/>
        <item x="2950"/>
        <item x="7213"/>
        <item x="2951"/>
        <item x="7214"/>
        <item x="2952"/>
        <item x="7215"/>
        <item x="7216"/>
        <item x="7217"/>
        <item x="2953"/>
        <item x="7218"/>
        <item x="2954"/>
        <item x="7219"/>
        <item x="1445"/>
        <item x="7220"/>
        <item x="1446"/>
        <item x="7221"/>
        <item x="7222"/>
        <item x="7223"/>
        <item x="1447"/>
        <item x="7224"/>
        <item x="7225"/>
        <item x="7226"/>
        <item x="1448"/>
        <item x="7227"/>
        <item x="2955"/>
        <item x="7228"/>
        <item x="2956"/>
        <item x="7229"/>
        <item x="2957"/>
        <item x="7751"/>
        <item x="7230"/>
        <item x="1449"/>
        <item x="2958"/>
        <item x="7231"/>
        <item x="7232"/>
        <item x="7233"/>
        <item x="2959"/>
        <item x="1450"/>
        <item x="7234"/>
        <item x="2960"/>
        <item x="2961"/>
        <item x="1451"/>
        <item x="7235"/>
        <item x="2962"/>
        <item x="7236"/>
        <item x="7237"/>
        <item x="7238"/>
        <item x="1452"/>
        <item x="2963"/>
        <item x="1453"/>
        <item x="7239"/>
        <item x="7240"/>
        <item x="7241"/>
        <item x="7242"/>
        <item x="2964"/>
        <item x="2965"/>
        <item x="1454"/>
        <item x="2966"/>
        <item x="1455"/>
        <item x="7243"/>
        <item x="7244"/>
        <item x="1456"/>
        <item x="2967"/>
        <item x="7245"/>
        <item x="7246"/>
        <item x="1457"/>
        <item x="7247"/>
        <item x="7248"/>
        <item x="7249"/>
        <item x="2968"/>
        <item x="2969"/>
        <item x="1458"/>
        <item x="7250"/>
        <item x="7251"/>
        <item x="2970"/>
        <item x="7252"/>
        <item x="7253"/>
        <item x="7254"/>
        <item x="1459"/>
        <item x="7255"/>
        <item x="2971"/>
        <item x="2972"/>
        <item x="1460"/>
        <item x="2973"/>
        <item x="7256"/>
        <item x="7257"/>
        <item x="7845"/>
        <item x="7258"/>
        <item x="7259"/>
        <item x="2974"/>
        <item x="7260"/>
        <item x="1461"/>
        <item x="1462"/>
        <item x="2975"/>
        <item x="7261"/>
        <item x="7262"/>
        <item x="7263"/>
        <item x="7264"/>
        <item x="7265"/>
        <item x="1463"/>
        <item x="7266"/>
        <item x="1464"/>
        <item x="7267"/>
        <item x="7268"/>
        <item x="7269"/>
        <item x="7270"/>
        <item x="2976"/>
        <item x="7271"/>
        <item x="7272"/>
        <item x="7273"/>
        <item x="7274"/>
        <item x="7275"/>
        <item x="7276"/>
        <item x="7277"/>
        <item x="7278"/>
        <item x="1465"/>
        <item x="7752"/>
        <item x="7279"/>
        <item x="1466"/>
        <item x="7280"/>
        <item x="7281"/>
        <item x="2977"/>
        <item x="1467"/>
        <item x="7282"/>
        <item x="7283"/>
        <item x="7284"/>
        <item x="7285"/>
        <item x="1468"/>
        <item x="7286"/>
        <item x="7287"/>
        <item x="7288"/>
        <item x="7289"/>
        <item x="2978"/>
        <item x="7290"/>
        <item x="7291"/>
        <item x="7292"/>
        <item x="1469"/>
        <item x="7293"/>
        <item x="1470"/>
        <item x="7294"/>
        <item x="7295"/>
        <item x="7296"/>
        <item x="7297"/>
        <item x="7298"/>
        <item x="7299"/>
        <item x="7300"/>
        <item x="2979"/>
        <item x="7301"/>
        <item x="7302"/>
        <item x="7303"/>
        <item x="2980"/>
        <item x="7304"/>
        <item x="7305"/>
        <item x="7306"/>
        <item x="2981"/>
        <item x="7307"/>
        <item x="7308"/>
        <item x="2982"/>
        <item x="1471"/>
        <item x="7309"/>
        <item x="2983"/>
        <item x="1472"/>
        <item x="7310"/>
        <item x="1473"/>
        <item x="7311"/>
        <item x="7312"/>
        <item x="1474"/>
        <item x="7313"/>
        <item x="2984"/>
        <item x="2985"/>
        <item x="7314"/>
        <item x="2986"/>
        <item x="7315"/>
        <item x="7316"/>
        <item x="7317"/>
        <item x="7318"/>
        <item x="2987"/>
        <item x="7319"/>
        <item x="7320"/>
        <item x="1475"/>
        <item x="2988"/>
        <item x="7321"/>
        <item x="7322"/>
        <item x="2989"/>
        <item x="7323"/>
        <item x="2990"/>
        <item x="2991"/>
        <item x="1476"/>
        <item x="7324"/>
        <item x="2992"/>
        <item x="7325"/>
        <item x="2993"/>
        <item x="7753"/>
        <item x="2994"/>
        <item x="1477"/>
        <item x="1478"/>
        <item x="7326"/>
        <item x="2995"/>
        <item x="7846"/>
        <item x="7327"/>
        <item x="2996"/>
        <item x="7328"/>
        <item x="2997"/>
        <item x="1479"/>
        <item x="1480"/>
        <item x="7329"/>
        <item x="7330"/>
        <item x="2998"/>
        <item x="7331"/>
        <item x="1481"/>
        <item x="7332"/>
        <item x="2999"/>
        <item x="3000"/>
        <item x="7333"/>
        <item x="7334"/>
        <item x="7335"/>
        <item x="1482"/>
        <item x="7336"/>
        <item x="7337"/>
        <item x="3001"/>
        <item x="1483"/>
        <item x="1484"/>
        <item x="3002"/>
        <item x="7338"/>
        <item x="3003"/>
        <item x="3004"/>
        <item x="3005"/>
        <item x="3006"/>
        <item x="7339"/>
        <item x="7340"/>
        <item x="3007"/>
        <item x="7341"/>
        <item x="3008"/>
        <item x="7342"/>
        <item x="7343"/>
        <item x="7344"/>
        <item x="3009"/>
        <item x="7345"/>
        <item x="7346"/>
        <item x="7347"/>
        <item x="3010"/>
        <item x="3011"/>
        <item x="7348"/>
        <item x="7349"/>
        <item x="7350"/>
        <item x="3012"/>
        <item x="7351"/>
        <item x="7352"/>
        <item x="7353"/>
        <item x="3013"/>
        <item x="7354"/>
        <item x="3014"/>
        <item x="3015"/>
        <item x="3016"/>
        <item x="7355"/>
        <item x="3017"/>
        <item x="3018"/>
        <item x="7356"/>
        <item x="1485"/>
        <item x="1486"/>
        <item x="1487"/>
        <item x="7357"/>
        <item x="7358"/>
        <item x="3019"/>
        <item x="7359"/>
        <item x="7360"/>
        <item x="1488"/>
        <item x="7361"/>
        <item x="7754"/>
        <item x="3020"/>
        <item x="1489"/>
        <item x="3021"/>
        <item x="7362"/>
        <item x="7363"/>
        <item x="1490"/>
        <item x="7364"/>
        <item x="3022"/>
        <item x="3023"/>
        <item x="7365"/>
        <item x="7366"/>
        <item x="7367"/>
        <item x="1491"/>
        <item x="3024"/>
        <item x="1492"/>
        <item x="1493"/>
        <item x="7368"/>
        <item x="3025"/>
        <item x="3026"/>
        <item x="7369"/>
        <item x="3027"/>
        <item x="3028"/>
        <item x="3029"/>
        <item x="7755"/>
        <item x="7370"/>
        <item x="7371"/>
        <item x="3030"/>
        <item x="7372"/>
        <item x="7373"/>
        <item x="7374"/>
        <item x="3031"/>
        <item x="7375"/>
        <item x="7376"/>
        <item x="7377"/>
        <item x="3032"/>
        <item x="7378"/>
        <item x="1494"/>
        <item x="3033"/>
        <item x="3034"/>
        <item x="3035"/>
        <item x="7379"/>
        <item x="3036"/>
        <item x="7380"/>
        <item x="7381"/>
        <item x="3037"/>
        <item x="3038"/>
        <item x="3039"/>
        <item x="3040"/>
        <item x="1495"/>
        <item x="3041"/>
        <item x="3042"/>
        <item x="1496"/>
        <item x="7382"/>
        <item x="3043"/>
        <item x="3044"/>
        <item x="7383"/>
        <item x="3045"/>
        <item x="7384"/>
        <item x="3046"/>
        <item x="7385"/>
        <item x="3047"/>
        <item x="3048"/>
        <item x="3049"/>
        <item x="1497"/>
        <item x="7386"/>
        <item x="3050"/>
        <item x="3051"/>
        <item x="3052"/>
        <item x="1498"/>
        <item x="7387"/>
        <item x="7756"/>
        <item x="3053"/>
        <item x="3054"/>
        <item x="7388"/>
        <item x="3055"/>
        <item x="7389"/>
        <item x="3056"/>
        <item x="7390"/>
        <item x="7391"/>
        <item x="3057"/>
        <item x="3058"/>
        <item x="1499"/>
        <item x="1500"/>
        <item x="7392"/>
        <item x="7393"/>
        <item x="3059"/>
        <item x="7394"/>
        <item x="3060"/>
        <item x="1501"/>
        <item x="7395"/>
        <item x="3061"/>
        <item x="7396"/>
        <item x="7397"/>
        <item x="1502"/>
        <item x="7398"/>
        <item x="1503"/>
        <item x="3062"/>
        <item x="3063"/>
        <item x="1504"/>
        <item x="3064"/>
        <item x="7399"/>
        <item x="7400"/>
        <item x="3065"/>
        <item x="7401"/>
        <item x="7402"/>
        <item x="3066"/>
        <item x="3067"/>
        <item x="1505"/>
        <item x="3068"/>
        <item x="7403"/>
        <item x="3069"/>
        <item x="7404"/>
        <item x="1506"/>
        <item x="3070"/>
        <item x="1507"/>
        <item x="1508"/>
        <item x="7405"/>
        <item x="3071"/>
        <item x="3072"/>
        <item x="1509"/>
        <item x="3073"/>
        <item x="7847"/>
        <item x="3074"/>
        <item x="7406"/>
        <item x="7407"/>
        <item x="3075"/>
        <item x="7408"/>
        <item x="7409"/>
        <item x="3076"/>
        <item x="7410"/>
        <item x="3077"/>
        <item x="3078"/>
        <item x="3079"/>
        <item x="3080"/>
        <item x="7411"/>
        <item x="7412"/>
        <item x="1510"/>
        <item x="3081"/>
        <item x="1511"/>
        <item x="3082"/>
        <item x="1512"/>
        <item x="3083"/>
        <item x="7413"/>
        <item x="7414"/>
        <item x="3084"/>
        <item x="3085"/>
        <item x="7848"/>
        <item x="7415"/>
        <item x="3086"/>
        <item x="7849"/>
        <item x="7416"/>
        <item x="3087"/>
        <item x="1513"/>
        <item x="7417"/>
        <item x="3088"/>
        <item x="3089"/>
        <item x="1514"/>
        <item x="7418"/>
        <item x="3090"/>
        <item x="1515"/>
        <item x="3091"/>
        <item x="7419"/>
        <item x="3092"/>
        <item x="7420"/>
        <item x="7421"/>
        <item x="3093"/>
        <item x="1516"/>
        <item x="3094"/>
        <item x="7422"/>
        <item x="7757"/>
        <item x="7423"/>
        <item x="7424"/>
        <item x="3095"/>
        <item x="1517"/>
        <item x="3096"/>
        <item x="3097"/>
        <item x="1518"/>
        <item x="7425"/>
        <item x="3098"/>
        <item x="1519"/>
        <item x="3099"/>
        <item x="3100"/>
        <item x="3101"/>
        <item x="1520"/>
        <item x="3102"/>
        <item x="3103"/>
        <item x="7850"/>
        <item x="3104"/>
        <item x="7426"/>
        <item x="7427"/>
        <item x="3105"/>
        <item x="3106"/>
        <item x="7428"/>
        <item x="3107"/>
        <item x="7429"/>
        <item x="3108"/>
        <item x="7430"/>
        <item x="7431"/>
        <item x="3109"/>
        <item x="7432"/>
        <item x="1521"/>
        <item x="3110"/>
        <item x="7433"/>
        <item x="3111"/>
        <item x="7851"/>
        <item x="3112"/>
        <item x="3113"/>
        <item x="7434"/>
        <item x="7435"/>
        <item x="1522"/>
        <item x="7436"/>
        <item x="7437"/>
        <item x="1523"/>
        <item x="1524"/>
        <item x="1525"/>
        <item x="3114"/>
        <item x="7438"/>
        <item x="1526"/>
        <item x="3115"/>
        <item x="7439"/>
        <item x="7440"/>
        <item x="7441"/>
        <item x="3116"/>
        <item x="7442"/>
        <item x="7443"/>
        <item x="3117"/>
        <item x="3118"/>
        <item x="7444"/>
        <item x="7445"/>
        <item x="3119"/>
        <item x="3120"/>
        <item x="3121"/>
        <item x="7446"/>
        <item x="3122"/>
        <item x="3123"/>
        <item x="1527"/>
        <item x="7447"/>
        <item x="3124"/>
        <item x="7448"/>
        <item x="3125"/>
        <item x="7449"/>
        <item x="3126"/>
        <item x="7450"/>
        <item x="3127"/>
        <item x="7852"/>
        <item x="7451"/>
        <item x="3128"/>
        <item x="7452"/>
        <item x="3129"/>
        <item x="7453"/>
        <item x="3130"/>
        <item x="3131"/>
        <item x="1528"/>
        <item x="3132"/>
        <item x="7454"/>
        <item x="7455"/>
        <item x="3133"/>
        <item x="7456"/>
        <item x="3134"/>
        <item x="7457"/>
        <item x="3135"/>
        <item x="1529"/>
        <item x="1530"/>
        <item x="3136"/>
        <item x="7458"/>
        <item x="7459"/>
        <item x="3137"/>
        <item x="3138"/>
        <item x="7460"/>
        <item x="1531"/>
        <item x="7461"/>
        <item x="3139"/>
        <item x="7462"/>
        <item x="3140"/>
        <item x="3141"/>
        <item x="7463"/>
        <item x="7464"/>
        <item x="1532"/>
        <item x="7465"/>
        <item x="7466"/>
        <item x="7467"/>
        <item x="1533"/>
        <item x="7468"/>
        <item x="7469"/>
        <item x="7470"/>
        <item x="1534"/>
        <item x="1535"/>
        <item x="1536"/>
        <item x="1537"/>
        <item x="7471"/>
        <item x="7472"/>
        <item x="3142"/>
        <item x="7473"/>
        <item x="7853"/>
        <item x="7474"/>
        <item x="7475"/>
        <item x="7476"/>
        <item x="1538"/>
        <item x="1539"/>
        <item x="3143"/>
        <item x="7477"/>
        <item x="7478"/>
        <item x="3144"/>
        <item x="7479"/>
        <item x="7758"/>
        <item x="7759"/>
        <item x="1540"/>
        <item x="1541"/>
        <item x="7854"/>
        <item x="7480"/>
        <item x="7481"/>
        <item x="7482"/>
        <item x="7483"/>
        <item x="7484"/>
        <item x="7485"/>
        <item x="7486"/>
        <item x="7487"/>
        <item x="1542"/>
        <item x="7488"/>
        <item x="7489"/>
        <item x="1543"/>
        <item x="7490"/>
        <item x="7491"/>
        <item x="7492"/>
        <item x="7493"/>
        <item x="1544"/>
        <item x="7494"/>
        <item x="7495"/>
        <item x="7496"/>
        <item x="1545"/>
        <item x="7497"/>
        <item x="7498"/>
        <item x="1546"/>
        <item x="3145"/>
        <item x="7499"/>
        <item x="3146"/>
        <item x="7760"/>
        <item x="7500"/>
        <item x="3147"/>
        <item x="1547"/>
        <item x="1548"/>
        <item x="7501"/>
        <item x="7502"/>
        <item x="7503"/>
        <item x="7504"/>
        <item x="7505"/>
        <item x="1549"/>
        <item x="7506"/>
        <item x="3148"/>
        <item x="3149"/>
        <item x="3150"/>
        <item x="7507"/>
        <item x="7508"/>
        <item x="7509"/>
        <item x="7510"/>
        <item x="1550"/>
        <item x="7511"/>
        <item x="7512"/>
        <item x="7513"/>
        <item x="3151"/>
        <item x="1551"/>
        <item x="7514"/>
        <item x="7515"/>
        <item x="1552"/>
        <item x="3152"/>
        <item x="7516"/>
        <item x="7517"/>
        <item x="3153"/>
        <item x="7518"/>
        <item x="7519"/>
        <item x="7520"/>
        <item x="3154"/>
        <item x="7761"/>
        <item x="7521"/>
        <item x="7522"/>
        <item x="3155"/>
        <item x="3156"/>
        <item x="7523"/>
        <item x="3157"/>
        <item x="7524"/>
        <item x="3158"/>
        <item x="1553"/>
        <item x="3159"/>
        <item x="3160"/>
        <item x="1554"/>
        <item x="1555"/>
        <item x="7525"/>
        <item x="7526"/>
        <item x="1556"/>
        <item x="7527"/>
        <item x="7528"/>
        <item x="1557"/>
        <item x="7529"/>
        <item x="3161"/>
        <item x="1558"/>
        <item x="7530"/>
        <item x="7531"/>
        <item x="7532"/>
        <item x="1559"/>
        <item x="1560"/>
        <item x="7533"/>
        <item x="1561"/>
        <item x="7534"/>
        <item x="7535"/>
        <item x="7536"/>
        <item x="3162"/>
        <item x="1562"/>
        <item x="7537"/>
        <item x="7538"/>
        <item x="7539"/>
        <item x="7540"/>
        <item x="1563"/>
        <item x="3163"/>
        <item x="7541"/>
        <item x="7762"/>
        <item x="3164"/>
        <item x="7542"/>
        <item x="7543"/>
        <item x="7544"/>
        <item x="7855"/>
        <item x="7545"/>
        <item x="7546"/>
        <item x="7547"/>
        <item x="1564"/>
        <item x="7548"/>
        <item x="7763"/>
        <item x="3165"/>
        <item x="7549"/>
        <item x="7550"/>
        <item x="3166"/>
        <item x="7551"/>
        <item x="7552"/>
        <item x="3167"/>
        <item x="1565"/>
        <item x="7553"/>
        <item x="7554"/>
        <item x="3168"/>
        <item x="1566"/>
        <item x="7555"/>
        <item x="7556"/>
        <item x="7764"/>
        <item x="1567"/>
        <item x="7557"/>
        <item x="1568"/>
        <item x="1569"/>
        <item x="7558"/>
        <item x="7559"/>
        <item x="7560"/>
        <item x="7561"/>
        <item x="7562"/>
        <item x="3169"/>
        <item x="7563"/>
        <item x="3170"/>
        <item x="7564"/>
        <item x="7565"/>
        <item x="3171"/>
        <item x="7566"/>
        <item x="1570"/>
        <item x="7567"/>
        <item x="7568"/>
        <item x="7569"/>
        <item x="7570"/>
        <item x="7571"/>
        <item x="7572"/>
        <item x="7573"/>
        <item x="1571"/>
        <item x="7574"/>
        <item x="7575"/>
        <item x="7576"/>
        <item x="7577"/>
        <item x="3172"/>
        <item x="7578"/>
        <item x="7579"/>
        <item x="7580"/>
        <item x="1572"/>
        <item x="3173"/>
        <item x="7581"/>
        <item x="7582"/>
        <item x="7583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ncounter_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26227-6812-474C-B305-0F79AA3C2725}" name="Table1" displayName="Table1" ref="A3:D113" totalsRowShown="0">
  <autoFilter ref="A3:D113" xr:uid="{0BE26227-6812-474C-B305-0F79AA3C2725}">
    <filterColumn colId="3">
      <filters>
        <filter val="1"/>
        <filter val="10"/>
        <filter val="119"/>
        <filter val="134"/>
        <filter val="16"/>
        <filter val="2"/>
        <filter val="207"/>
        <filter val="221"/>
        <filter val="233"/>
        <filter val="3"/>
        <filter val="30"/>
        <filter val="46"/>
        <filter val="5"/>
        <filter val="53"/>
        <filter val="9"/>
      </filters>
    </filterColumn>
  </autoFilter>
  <tableColumns count="4">
    <tableColumn id="1" xr3:uid="{410DD133-3832-49EE-A6D0-1ACA6B9D055C}" name="Facility_Name"/>
    <tableColumn id="2" xr3:uid="{E794C639-57BA-4348-AE31-649CF0B47E00}" name="Encounter_Year"/>
    <tableColumn id="3" xr3:uid="{A5EEF047-A996-4E79-A210-BF445AC544EB}" name="Payment_Typology_Group"/>
    <tableColumn id="4" xr3:uid="{7C59EDF4-094C-442D-8AD7-89E976B27883}" name="Negative_Margin_Encounter_Cou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CE340C-5FBC-440B-BC1F-11914B84E820}" name="Table2" displayName="Table2" ref="A117:D134" totalsRowShown="0">
  <autoFilter ref="A117:D134" xr:uid="{4BCE340C-5FBC-440B-BC1F-11914B84E820}"/>
  <tableColumns count="4">
    <tableColumn id="1" xr3:uid="{A02B8D13-93A2-48B3-B329-012CE449B14F}" name="Facility_Name"/>
    <tableColumn id="2" xr3:uid="{93B4901A-7AAA-42B1-95D2-68A7A6B6E8DF}" name="Encounter_Year"/>
    <tableColumn id="3" xr3:uid="{B6C855AC-DC27-4084-B16B-D9E8E0ED3916}" name="Payment_Typology_Group"/>
    <tableColumn id="4" xr3:uid="{C4D643A7-F5FD-4AFE-993C-6061D11218AE}" name="Negative_Margin_Encounter_Cou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36E8C3-1E48-405B-941B-2EB8A7E1C46C}" name="Table3" displayName="Table3" ref="A3:D27" totalsRowCount="1">
  <autoFilter ref="A3:D26" xr:uid="{8736E8C3-1E48-405B-941B-2EB8A7E1C46C}"/>
  <tableColumns count="4">
    <tableColumn id="1" xr3:uid="{2FF13216-2DAC-4A6E-B66F-BC3C19F57BF2}" name="Facility_Name"/>
    <tableColumn id="4" xr3:uid="{1A1A2B12-1EA6-4ED7-ACC1-FF336FC65A1F}" name="Count" totalsRowFunction="sum"/>
    <tableColumn id="2" xr3:uid="{04C4E34A-475F-4A6E-91E0-1979AD0B4A16}" name="Encounter_Year"/>
    <tableColumn id="3" xr3:uid="{03C0A05C-6057-4A2E-86F0-9D0475D80083}" name="Fact_Encounter_Count" totalsRowFunction="sum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479708-A73D-4F1C-8849-EC231D20A945}" name="Table4" displayName="Table4" ref="A30:D54" totalsRowCount="1">
  <autoFilter ref="A30:D53" xr:uid="{6A479708-A73D-4F1C-8849-EC231D20A945}"/>
  <tableColumns count="4">
    <tableColumn id="1" xr3:uid="{D1BC1198-C80C-4992-A2AF-9608C8EDD195}" name="…."/>
    <tableColumn id="4" xr3:uid="{BC2C4D5A-9008-482B-B82A-850FDFB732D3}" name="Count" totalsRowFunction="sum"/>
    <tableColumn id="2" xr3:uid="{27D73A56-8F35-4248-95C5-0A189FE9F1D4}" name="Encounter_Year"/>
    <tableColumn id="3" xr3:uid="{76E5C37C-DC18-416F-8450-5F3DA15FF46E}" name="View_Encounter_Count" totalsRowFunction="su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A68CE5-D470-43FB-9339-B00D75A34961}" name="Table6" displayName="Table6" ref="D3:E9" totalsRowShown="0">
  <autoFilter ref="D3:E9" xr:uid="{D9A68CE5-D470-43FB-9339-B00D75A34961}"/>
  <tableColumns count="2">
    <tableColumn id="1" xr3:uid="{F652859D-4E00-4BFB-8D12-45210424EE3B}" name="Payment_Typology_Group"/>
    <tableColumn id="2" xr3:uid="{63C519E9-136F-4C8C-AC40-404C44764333}" name="Encounter_Cou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E7AC3A-43CC-4A33-8546-8F96048B7549}" name="Table5" displayName="Table5" ref="A4:J7860" totalsRowShown="0">
  <autoFilter ref="A4:J7860" xr:uid="{B6E7AC3A-43CC-4A33-8546-8F96048B7549}"/>
  <tableColumns count="10">
    <tableColumn id="1" xr3:uid="{AEFD2E72-8974-4F2B-9ACD-C69A423112DB}" name="Encounter_ID"/>
    <tableColumn id="2" xr3:uid="{3BAFDC1A-AE1F-4178-97A4-1935F21D030A}" name="Facility_Name"/>
    <tableColumn id="3" xr3:uid="{E33F2349-4C40-40B7-A856-17E7D0C5E643}" name="Encounter_Year"/>
    <tableColumn id="4" xr3:uid="{F459DFA3-9303-4357-A5CF-4833F8B59E8A}" name="Payer_Key"/>
    <tableColumn id="5" xr3:uid="{C3026615-BD23-4791-A8EF-C25C62CB1BE6}" name="Payment_Typology_1"/>
    <tableColumn id="6" xr3:uid="{EFD85587-1923-419D-90FE-DAEEF3D80AF7}" name="Payment_Typology_Group"/>
    <tableColumn id="7" xr3:uid="{B810AA59-A71B-486C-9A95-F1ACDF2D9A8D}" name="Payment_Typology_Group_Std"/>
    <tableColumn id="8" xr3:uid="{72C15B57-3A49-4536-A2CC-4D7746A12EE5}" name="Total_Charges"/>
    <tableColumn id="9" xr3:uid="{238AF83E-7850-4708-8820-F897C2FF4A0B}" name="Total_Costs"/>
    <tableColumn id="10" xr3:uid="{176E182E-092B-46FC-A28D-ACEE734A3D9F}" name="Negative_Margin_Flag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681F-7FE9-4E79-8F35-980D085A12F7}">
  <dimension ref="A1:P134"/>
  <sheetViews>
    <sheetView tabSelected="1" workbookViewId="0">
      <selection activeCell="M65" sqref="M65"/>
    </sheetView>
  </sheetViews>
  <sheetFormatPr defaultRowHeight="21" x14ac:dyDescent="0.35"/>
  <cols>
    <col min="1" max="1" width="31" customWidth="1"/>
    <col min="2" max="2" width="14" customWidth="1"/>
    <col min="3" max="3" width="21.81640625" customWidth="1"/>
    <col min="4" max="4" width="28.81640625" customWidth="1"/>
  </cols>
  <sheetData>
    <row r="1" spans="1:6" ht="9" customHeight="1" x14ac:dyDescent="0.35"/>
    <row r="2" spans="1:6" ht="49.5" customHeight="1" x14ac:dyDescent="0.35">
      <c r="A2" s="2" t="s">
        <v>35</v>
      </c>
      <c r="B2" s="2"/>
      <c r="C2" s="2"/>
      <c r="D2" s="2"/>
    </row>
    <row r="3" spans="1:6" x14ac:dyDescent="0.35">
      <c r="A3" t="s">
        <v>0</v>
      </c>
      <c r="B3" t="s">
        <v>1</v>
      </c>
      <c r="C3" t="s">
        <v>2</v>
      </c>
      <c r="D3" t="s">
        <v>3</v>
      </c>
      <c r="F3" t="s">
        <v>33</v>
      </c>
    </row>
    <row r="4" spans="1:6" hidden="1" x14ac:dyDescent="0.35">
      <c r="A4" t="s">
        <v>4</v>
      </c>
      <c r="B4">
        <v>2015</v>
      </c>
      <c r="C4" t="s">
        <v>5</v>
      </c>
      <c r="D4">
        <v>0</v>
      </c>
    </row>
    <row r="5" spans="1:6" hidden="1" x14ac:dyDescent="0.35">
      <c r="A5" t="s">
        <v>4</v>
      </c>
      <c r="B5">
        <v>2015</v>
      </c>
      <c r="C5" t="s">
        <v>6</v>
      </c>
      <c r="D5">
        <v>0</v>
      </c>
    </row>
    <row r="6" spans="1:6" hidden="1" x14ac:dyDescent="0.35">
      <c r="A6" t="s">
        <v>4</v>
      </c>
      <c r="B6">
        <v>2015</v>
      </c>
      <c r="C6" t="s">
        <v>7</v>
      </c>
      <c r="D6">
        <v>0</v>
      </c>
    </row>
    <row r="7" spans="1:6" hidden="1" x14ac:dyDescent="0.35">
      <c r="A7" t="s">
        <v>4</v>
      </c>
      <c r="B7">
        <v>2015</v>
      </c>
      <c r="C7" t="s">
        <v>8</v>
      </c>
      <c r="D7">
        <v>0</v>
      </c>
    </row>
    <row r="8" spans="1:6" hidden="1" x14ac:dyDescent="0.35">
      <c r="A8" t="s">
        <v>9</v>
      </c>
      <c r="B8">
        <v>2015</v>
      </c>
      <c r="C8" t="s">
        <v>5</v>
      </c>
      <c r="D8">
        <v>0</v>
      </c>
    </row>
    <row r="9" spans="1:6" hidden="1" x14ac:dyDescent="0.35">
      <c r="A9" t="s">
        <v>9</v>
      </c>
      <c r="B9">
        <v>2015</v>
      </c>
      <c r="C9" t="s">
        <v>6</v>
      </c>
      <c r="D9">
        <v>0</v>
      </c>
    </row>
    <row r="10" spans="1:6" hidden="1" x14ac:dyDescent="0.35">
      <c r="A10" t="s">
        <v>9</v>
      </c>
      <c r="B10">
        <v>2015</v>
      </c>
      <c r="C10" t="s">
        <v>7</v>
      </c>
      <c r="D10">
        <v>0</v>
      </c>
    </row>
    <row r="11" spans="1:6" hidden="1" x14ac:dyDescent="0.35">
      <c r="A11" t="s">
        <v>9</v>
      </c>
      <c r="B11">
        <v>2015</v>
      </c>
      <c r="C11" t="s">
        <v>10</v>
      </c>
      <c r="D11">
        <v>0</v>
      </c>
    </row>
    <row r="12" spans="1:6" hidden="1" x14ac:dyDescent="0.35">
      <c r="A12" t="s">
        <v>9</v>
      </c>
      <c r="B12">
        <v>2015</v>
      </c>
      <c r="C12" t="s">
        <v>8</v>
      </c>
      <c r="D12">
        <v>0</v>
      </c>
    </row>
    <row r="13" spans="1:6" hidden="1" x14ac:dyDescent="0.35">
      <c r="A13" t="s">
        <v>11</v>
      </c>
      <c r="B13">
        <v>2015</v>
      </c>
      <c r="C13" t="s">
        <v>5</v>
      </c>
      <c r="D13">
        <v>0</v>
      </c>
    </row>
    <row r="14" spans="1:6" hidden="1" x14ac:dyDescent="0.35">
      <c r="A14" t="s">
        <v>11</v>
      </c>
      <c r="B14">
        <v>2015</v>
      </c>
      <c r="C14" t="s">
        <v>6</v>
      </c>
      <c r="D14">
        <v>0</v>
      </c>
    </row>
    <row r="15" spans="1:6" hidden="1" x14ac:dyDescent="0.35">
      <c r="A15" t="s">
        <v>11</v>
      </c>
      <c r="B15">
        <v>2015</v>
      </c>
      <c r="C15" t="s">
        <v>7</v>
      </c>
      <c r="D15">
        <v>0</v>
      </c>
    </row>
    <row r="16" spans="1:6" hidden="1" x14ac:dyDescent="0.35">
      <c r="A16" t="s">
        <v>11</v>
      </c>
      <c r="B16">
        <v>2015</v>
      </c>
      <c r="C16" t="s">
        <v>10</v>
      </c>
      <c r="D16">
        <v>0</v>
      </c>
    </row>
    <row r="17" spans="1:4" hidden="1" x14ac:dyDescent="0.35">
      <c r="A17" t="s">
        <v>11</v>
      </c>
      <c r="B17">
        <v>2015</v>
      </c>
      <c r="C17" t="s">
        <v>8</v>
      </c>
      <c r="D17">
        <v>0</v>
      </c>
    </row>
    <row r="18" spans="1:4" hidden="1" x14ac:dyDescent="0.35">
      <c r="A18" t="s">
        <v>12</v>
      </c>
      <c r="B18">
        <v>2015</v>
      </c>
      <c r="C18" t="s">
        <v>5</v>
      </c>
      <c r="D18">
        <v>0</v>
      </c>
    </row>
    <row r="19" spans="1:4" hidden="1" x14ac:dyDescent="0.35">
      <c r="A19" t="s">
        <v>12</v>
      </c>
      <c r="B19">
        <v>2015</v>
      </c>
      <c r="C19" t="s">
        <v>6</v>
      </c>
      <c r="D19">
        <v>0</v>
      </c>
    </row>
    <row r="20" spans="1:4" hidden="1" x14ac:dyDescent="0.35">
      <c r="A20" t="s">
        <v>12</v>
      </c>
      <c r="B20">
        <v>2015</v>
      </c>
      <c r="C20" t="s">
        <v>7</v>
      </c>
      <c r="D20">
        <v>0</v>
      </c>
    </row>
    <row r="21" spans="1:4" hidden="1" x14ac:dyDescent="0.35">
      <c r="A21" t="s">
        <v>12</v>
      </c>
      <c r="B21">
        <v>2015</v>
      </c>
      <c r="C21" t="s">
        <v>8</v>
      </c>
      <c r="D21">
        <v>0</v>
      </c>
    </row>
    <row r="22" spans="1:4" hidden="1" x14ac:dyDescent="0.35">
      <c r="A22" t="s">
        <v>13</v>
      </c>
      <c r="B22">
        <v>2015</v>
      </c>
      <c r="C22" t="s">
        <v>5</v>
      </c>
      <c r="D22">
        <v>0</v>
      </c>
    </row>
    <row r="23" spans="1:4" hidden="1" x14ac:dyDescent="0.35">
      <c r="A23" t="s">
        <v>13</v>
      </c>
      <c r="B23">
        <v>2015</v>
      </c>
      <c r="C23" t="s">
        <v>6</v>
      </c>
      <c r="D23">
        <v>0</v>
      </c>
    </row>
    <row r="24" spans="1:4" hidden="1" x14ac:dyDescent="0.35">
      <c r="A24" t="s">
        <v>13</v>
      </c>
      <c r="B24">
        <v>2015</v>
      </c>
      <c r="C24" t="s">
        <v>7</v>
      </c>
      <c r="D24">
        <v>0</v>
      </c>
    </row>
    <row r="25" spans="1:4" hidden="1" x14ac:dyDescent="0.35">
      <c r="A25" t="s">
        <v>13</v>
      </c>
      <c r="B25">
        <v>2015</v>
      </c>
      <c r="C25" t="s">
        <v>10</v>
      </c>
      <c r="D25">
        <v>0</v>
      </c>
    </row>
    <row r="26" spans="1:4" hidden="1" x14ac:dyDescent="0.35">
      <c r="A26" t="s">
        <v>13</v>
      </c>
      <c r="B26">
        <v>2015</v>
      </c>
      <c r="C26" t="s">
        <v>8</v>
      </c>
      <c r="D26">
        <v>0</v>
      </c>
    </row>
    <row r="27" spans="1:4" hidden="1" x14ac:dyDescent="0.35">
      <c r="A27" t="s">
        <v>14</v>
      </c>
      <c r="B27">
        <v>2015</v>
      </c>
      <c r="C27" t="s">
        <v>5</v>
      </c>
      <c r="D27">
        <v>0</v>
      </c>
    </row>
    <row r="28" spans="1:4" hidden="1" x14ac:dyDescent="0.35">
      <c r="A28" t="s">
        <v>14</v>
      </c>
      <c r="B28">
        <v>2015</v>
      </c>
      <c r="C28" t="s">
        <v>6</v>
      </c>
      <c r="D28">
        <v>0</v>
      </c>
    </row>
    <row r="29" spans="1:4" hidden="1" x14ac:dyDescent="0.35">
      <c r="A29" t="s">
        <v>14</v>
      </c>
      <c r="B29">
        <v>2015</v>
      </c>
      <c r="C29" t="s">
        <v>7</v>
      </c>
      <c r="D29">
        <v>0</v>
      </c>
    </row>
    <row r="30" spans="1:4" hidden="1" x14ac:dyDescent="0.35">
      <c r="A30" t="s">
        <v>14</v>
      </c>
      <c r="B30">
        <v>2015</v>
      </c>
      <c r="C30" t="s">
        <v>10</v>
      </c>
      <c r="D30">
        <v>0</v>
      </c>
    </row>
    <row r="31" spans="1:4" hidden="1" x14ac:dyDescent="0.35">
      <c r="A31" t="s">
        <v>14</v>
      </c>
      <c r="B31">
        <v>2015</v>
      </c>
      <c r="C31" t="s">
        <v>8</v>
      </c>
      <c r="D31">
        <v>0</v>
      </c>
    </row>
    <row r="32" spans="1:4" hidden="1" x14ac:dyDescent="0.35">
      <c r="A32" t="s">
        <v>15</v>
      </c>
      <c r="B32">
        <v>2015</v>
      </c>
      <c r="C32" t="s">
        <v>5</v>
      </c>
      <c r="D32">
        <v>0</v>
      </c>
    </row>
    <row r="33" spans="1:6" hidden="1" x14ac:dyDescent="0.35">
      <c r="A33" t="s">
        <v>15</v>
      </c>
      <c r="B33">
        <v>2015</v>
      </c>
      <c r="C33" t="s">
        <v>6</v>
      </c>
      <c r="D33">
        <v>0</v>
      </c>
    </row>
    <row r="34" spans="1:6" hidden="1" x14ac:dyDescent="0.35">
      <c r="A34" t="s">
        <v>15</v>
      </c>
      <c r="B34">
        <v>2015</v>
      </c>
      <c r="C34" t="s">
        <v>7</v>
      </c>
      <c r="D34">
        <v>0</v>
      </c>
    </row>
    <row r="35" spans="1:6" hidden="1" x14ac:dyDescent="0.35">
      <c r="A35" t="s">
        <v>15</v>
      </c>
      <c r="B35">
        <v>2015</v>
      </c>
      <c r="C35" t="s">
        <v>10</v>
      </c>
      <c r="D35">
        <v>0</v>
      </c>
    </row>
    <row r="36" spans="1:6" hidden="1" x14ac:dyDescent="0.35">
      <c r="A36" t="s">
        <v>15</v>
      </c>
      <c r="B36">
        <v>2015</v>
      </c>
      <c r="C36" t="s">
        <v>8</v>
      </c>
      <c r="D36">
        <v>0</v>
      </c>
    </row>
    <row r="37" spans="1:6" hidden="1" x14ac:dyDescent="0.35">
      <c r="A37" t="s">
        <v>16</v>
      </c>
      <c r="B37">
        <v>2015</v>
      </c>
      <c r="C37" t="s">
        <v>5</v>
      </c>
      <c r="D37">
        <v>0</v>
      </c>
    </row>
    <row r="38" spans="1:6" hidden="1" x14ac:dyDescent="0.35">
      <c r="A38" t="s">
        <v>16</v>
      </c>
      <c r="B38">
        <v>2015</v>
      </c>
      <c r="C38" t="s">
        <v>6</v>
      </c>
      <c r="D38">
        <v>0</v>
      </c>
    </row>
    <row r="39" spans="1:6" hidden="1" x14ac:dyDescent="0.35">
      <c r="A39" t="s">
        <v>16</v>
      </c>
      <c r="B39">
        <v>2015</v>
      </c>
      <c r="C39" t="s">
        <v>7</v>
      </c>
      <c r="D39">
        <v>0</v>
      </c>
    </row>
    <row r="40" spans="1:6" hidden="1" x14ac:dyDescent="0.35">
      <c r="A40" t="s">
        <v>16</v>
      </c>
      <c r="B40">
        <v>2015</v>
      </c>
      <c r="C40" t="s">
        <v>10</v>
      </c>
      <c r="D40">
        <v>0</v>
      </c>
    </row>
    <row r="41" spans="1:6" hidden="1" x14ac:dyDescent="0.35">
      <c r="A41" t="s">
        <v>16</v>
      </c>
      <c r="B41">
        <v>2015</v>
      </c>
      <c r="C41" t="s">
        <v>8</v>
      </c>
      <c r="D41">
        <v>0</v>
      </c>
    </row>
    <row r="42" spans="1:6" hidden="1" x14ac:dyDescent="0.35">
      <c r="A42" t="s">
        <v>17</v>
      </c>
      <c r="B42">
        <v>2015</v>
      </c>
      <c r="C42" t="s">
        <v>5</v>
      </c>
      <c r="D42">
        <v>0</v>
      </c>
    </row>
    <row r="43" spans="1:6" hidden="1" x14ac:dyDescent="0.35">
      <c r="A43" t="s">
        <v>17</v>
      </c>
      <c r="B43">
        <v>2015</v>
      </c>
      <c r="C43" t="s">
        <v>6</v>
      </c>
      <c r="D43">
        <v>0</v>
      </c>
    </row>
    <row r="44" spans="1:6" hidden="1" x14ac:dyDescent="0.35">
      <c r="A44" t="s">
        <v>17</v>
      </c>
      <c r="B44">
        <v>2015</v>
      </c>
      <c r="C44" t="s">
        <v>7</v>
      </c>
      <c r="D44">
        <v>0</v>
      </c>
    </row>
    <row r="45" spans="1:6" hidden="1" x14ac:dyDescent="0.35">
      <c r="A45" t="s">
        <v>17</v>
      </c>
      <c r="B45">
        <v>2015</v>
      </c>
      <c r="C45" t="s">
        <v>10</v>
      </c>
      <c r="D45">
        <v>0</v>
      </c>
    </row>
    <row r="46" spans="1:6" hidden="1" x14ac:dyDescent="0.35">
      <c r="A46" t="s">
        <v>17</v>
      </c>
      <c r="B46">
        <v>2015</v>
      </c>
      <c r="C46" t="s">
        <v>8</v>
      </c>
      <c r="D46">
        <v>0</v>
      </c>
    </row>
    <row r="47" spans="1:6" x14ac:dyDescent="0.35">
      <c r="A47" t="s">
        <v>18</v>
      </c>
      <c r="B47">
        <v>2015</v>
      </c>
      <c r="C47" t="s">
        <v>5</v>
      </c>
      <c r="D47">
        <v>134</v>
      </c>
      <c r="F47">
        <f>Table1[[#This Row],[Negative_Margin_Encounter_Count]]-D118</f>
        <v>0</v>
      </c>
    </row>
    <row r="48" spans="1:6" x14ac:dyDescent="0.35">
      <c r="A48" t="s">
        <v>18</v>
      </c>
      <c r="B48">
        <v>2015</v>
      </c>
      <c r="C48" t="s">
        <v>6</v>
      </c>
      <c r="D48">
        <v>221</v>
      </c>
      <c r="F48">
        <f>Table1[[#This Row],[Negative_Margin_Encounter_Count]]-D119</f>
        <v>0</v>
      </c>
    </row>
    <row r="49" spans="1:8" x14ac:dyDescent="0.35">
      <c r="A49" t="s">
        <v>18</v>
      </c>
      <c r="B49">
        <v>2015</v>
      </c>
      <c r="C49" t="s">
        <v>7</v>
      </c>
      <c r="D49">
        <v>207</v>
      </c>
      <c r="F49">
        <f>Table1[[#This Row],[Negative_Margin_Encounter_Count]]-D120</f>
        <v>0</v>
      </c>
    </row>
    <row r="50" spans="1:8" x14ac:dyDescent="0.35">
      <c r="A50" t="s">
        <v>18</v>
      </c>
      <c r="B50">
        <v>2015</v>
      </c>
      <c r="C50" t="s">
        <v>10</v>
      </c>
      <c r="D50">
        <v>9</v>
      </c>
      <c r="F50">
        <f>Table1[[#This Row],[Negative_Margin_Encounter_Count]]-D121</f>
        <v>0</v>
      </c>
    </row>
    <row r="51" spans="1:8" x14ac:dyDescent="0.35">
      <c r="A51" t="s">
        <v>18</v>
      </c>
      <c r="B51">
        <v>2015</v>
      </c>
      <c r="C51" t="s">
        <v>8</v>
      </c>
      <c r="D51">
        <v>30</v>
      </c>
      <c r="F51">
        <f>Table1[[#This Row],[Negative_Margin_Encounter_Count]]-D122</f>
        <v>0</v>
      </c>
    </row>
    <row r="52" spans="1:8" hidden="1" x14ac:dyDescent="0.35">
      <c r="A52" t="s">
        <v>19</v>
      </c>
      <c r="B52">
        <v>2015</v>
      </c>
      <c r="C52" t="s">
        <v>5</v>
      </c>
      <c r="D52">
        <v>0</v>
      </c>
      <c r="F52">
        <f>Table1[[#This Row],[Negative_Margin_Encounter_Count]]-D123</f>
        <v>-30</v>
      </c>
    </row>
    <row r="53" spans="1:8" hidden="1" x14ac:dyDescent="0.35">
      <c r="A53" t="s">
        <v>19</v>
      </c>
      <c r="B53">
        <v>2015</v>
      </c>
      <c r="C53" t="s">
        <v>6</v>
      </c>
      <c r="D53">
        <v>0</v>
      </c>
      <c r="F53">
        <f>Table1[[#This Row],[Negative_Margin_Encounter_Count]]-D124</f>
        <v>-233</v>
      </c>
    </row>
    <row r="54" spans="1:8" hidden="1" x14ac:dyDescent="0.35">
      <c r="A54" t="s">
        <v>19</v>
      </c>
      <c r="B54">
        <v>2015</v>
      </c>
      <c r="C54" t="s">
        <v>7</v>
      </c>
      <c r="D54">
        <v>0</v>
      </c>
      <c r="F54">
        <f>Table1[[#This Row],[Negative_Margin_Encounter_Count]]-D125</f>
        <v>-1</v>
      </c>
    </row>
    <row r="55" spans="1:8" hidden="1" x14ac:dyDescent="0.35">
      <c r="A55" t="s">
        <v>19</v>
      </c>
      <c r="B55">
        <v>2015</v>
      </c>
      <c r="C55" t="s">
        <v>8</v>
      </c>
      <c r="D55">
        <v>0</v>
      </c>
      <c r="F55">
        <f>Table1[[#This Row],[Negative_Margin_Encounter_Count]]-D126</f>
        <v>-2</v>
      </c>
    </row>
    <row r="56" spans="1:8" x14ac:dyDescent="0.35">
      <c r="A56" t="s">
        <v>20</v>
      </c>
      <c r="B56">
        <v>2015</v>
      </c>
      <c r="C56" t="s">
        <v>5</v>
      </c>
      <c r="D56">
        <v>30</v>
      </c>
      <c r="F56">
        <f>Table1[[#This Row],[Negative_Margin_Encounter_Count]]-D123</f>
        <v>0</v>
      </c>
    </row>
    <row r="57" spans="1:8" x14ac:dyDescent="0.35">
      <c r="A57" t="s">
        <v>20</v>
      </c>
      <c r="B57">
        <v>2015</v>
      </c>
      <c r="C57" t="s">
        <v>6</v>
      </c>
      <c r="D57">
        <v>233</v>
      </c>
      <c r="F57">
        <f>Table1[[#This Row],[Negative_Margin_Encounter_Count]]-D124</f>
        <v>0</v>
      </c>
    </row>
    <row r="58" spans="1:8" hidden="1" x14ac:dyDescent="0.35">
      <c r="A58" t="s">
        <v>20</v>
      </c>
      <c r="B58">
        <v>2015</v>
      </c>
      <c r="C58" t="s">
        <v>7</v>
      </c>
      <c r="D58">
        <v>0</v>
      </c>
      <c r="F58">
        <f>Table1[[#This Row],[Negative_Margin_Encounter_Count]]-D125</f>
        <v>-1</v>
      </c>
    </row>
    <row r="59" spans="1:8" x14ac:dyDescent="0.35">
      <c r="A59" t="s">
        <v>20</v>
      </c>
      <c r="B59">
        <v>2015</v>
      </c>
      <c r="C59" t="s">
        <v>10</v>
      </c>
      <c r="D59">
        <v>1</v>
      </c>
      <c r="F59">
        <f>Table1[[#This Row],[Negative_Margin_Encounter_Count]]-D125</f>
        <v>0</v>
      </c>
    </row>
    <row r="60" spans="1:8" x14ac:dyDescent="0.35">
      <c r="A60" t="s">
        <v>20</v>
      </c>
      <c r="B60">
        <v>2015</v>
      </c>
      <c r="C60" t="s">
        <v>8</v>
      </c>
      <c r="D60">
        <v>2</v>
      </c>
      <c r="F60">
        <f>Table1[[#This Row],[Negative_Margin_Encounter_Count]]-D126</f>
        <v>0</v>
      </c>
      <c r="H60" s="1"/>
    </row>
    <row r="61" spans="1:8" hidden="1" x14ac:dyDescent="0.35">
      <c r="A61" t="s">
        <v>21</v>
      </c>
      <c r="B61">
        <v>2015</v>
      </c>
      <c r="C61" t="s">
        <v>5</v>
      </c>
      <c r="D61">
        <v>0</v>
      </c>
      <c r="F61">
        <f>Table1[[#This Row],[Negative_Margin_Encounter_Count]]-D128</f>
        <v>-119</v>
      </c>
    </row>
    <row r="62" spans="1:8" hidden="1" x14ac:dyDescent="0.35">
      <c r="A62" t="s">
        <v>21</v>
      </c>
      <c r="B62">
        <v>2015</v>
      </c>
      <c r="C62" t="s">
        <v>6</v>
      </c>
      <c r="D62">
        <v>0</v>
      </c>
      <c r="F62">
        <f>Table1[[#This Row],[Negative_Margin_Encounter_Count]]-D129</f>
        <v>-3</v>
      </c>
    </row>
    <row r="63" spans="1:8" hidden="1" x14ac:dyDescent="0.35">
      <c r="A63" t="s">
        <v>21</v>
      </c>
      <c r="B63">
        <v>2015</v>
      </c>
      <c r="C63" t="s">
        <v>7</v>
      </c>
      <c r="D63">
        <v>0</v>
      </c>
      <c r="F63">
        <f>Table1[[#This Row],[Negative_Margin_Encounter_Count]]-D130</f>
        <v>-10</v>
      </c>
    </row>
    <row r="64" spans="1:8" hidden="1" x14ac:dyDescent="0.35">
      <c r="A64" t="s">
        <v>21</v>
      </c>
      <c r="B64">
        <v>2015</v>
      </c>
      <c r="C64" t="s">
        <v>8</v>
      </c>
      <c r="D64">
        <v>0</v>
      </c>
      <c r="F64">
        <f>Table1[[#This Row],[Negative_Margin_Encounter_Count]]-D131</f>
        <v>-1</v>
      </c>
    </row>
    <row r="65" spans="1:6" x14ac:dyDescent="0.35">
      <c r="A65" t="s">
        <v>22</v>
      </c>
      <c r="B65">
        <v>2015</v>
      </c>
      <c r="C65" t="s">
        <v>5</v>
      </c>
      <c r="D65">
        <v>53</v>
      </c>
      <c r="F65">
        <f>Table1[[#This Row],[Negative_Margin_Encounter_Count]]-D127</f>
        <v>0</v>
      </c>
    </row>
    <row r="66" spans="1:6" x14ac:dyDescent="0.35">
      <c r="A66" t="s">
        <v>22</v>
      </c>
      <c r="B66">
        <v>2015</v>
      </c>
      <c r="C66" t="s">
        <v>6</v>
      </c>
      <c r="D66">
        <v>119</v>
      </c>
      <c r="F66">
        <f>Table1[[#This Row],[Negative_Margin_Encounter_Count]]-D128</f>
        <v>0</v>
      </c>
    </row>
    <row r="67" spans="1:6" hidden="1" x14ac:dyDescent="0.35">
      <c r="A67" t="s">
        <v>22</v>
      </c>
      <c r="B67">
        <v>2015</v>
      </c>
      <c r="C67" t="s">
        <v>7</v>
      </c>
      <c r="D67">
        <v>0</v>
      </c>
      <c r="F67">
        <f>Table1[[#This Row],[Negative_Margin_Encounter_Count]]-D134</f>
        <v>-46</v>
      </c>
    </row>
    <row r="68" spans="1:6" x14ac:dyDescent="0.35">
      <c r="A68" t="s">
        <v>22</v>
      </c>
      <c r="B68">
        <v>2015</v>
      </c>
      <c r="C68" t="s">
        <v>10</v>
      </c>
      <c r="D68">
        <v>3</v>
      </c>
      <c r="F68">
        <f>Table1[[#This Row],[Negative_Margin_Encounter_Count]]-D129</f>
        <v>0</v>
      </c>
    </row>
    <row r="69" spans="1:6" hidden="1" x14ac:dyDescent="0.35">
      <c r="A69" t="s">
        <v>22</v>
      </c>
      <c r="B69">
        <v>2015</v>
      </c>
      <c r="C69" t="s">
        <v>8</v>
      </c>
      <c r="D69">
        <v>0</v>
      </c>
      <c r="F69">
        <f>Table1[[#This Row],[Negative_Margin_Encounter_Count]]-D136</f>
        <v>0</v>
      </c>
    </row>
    <row r="70" spans="1:6" x14ac:dyDescent="0.35">
      <c r="A70" t="s">
        <v>23</v>
      </c>
      <c r="B70">
        <v>2015</v>
      </c>
      <c r="C70" t="s">
        <v>5</v>
      </c>
      <c r="D70">
        <v>10</v>
      </c>
      <c r="F70">
        <f>Table1[[#This Row],[Negative_Margin_Encounter_Count]]-D130</f>
        <v>0</v>
      </c>
    </row>
    <row r="71" spans="1:6" hidden="1" x14ac:dyDescent="0.35">
      <c r="A71" t="s">
        <v>23</v>
      </c>
      <c r="B71">
        <v>2015</v>
      </c>
      <c r="C71" t="s">
        <v>6</v>
      </c>
      <c r="D71">
        <v>0</v>
      </c>
      <c r="F71">
        <f>Table1[[#This Row],[Negative_Margin_Encounter_Count]]-D138</f>
        <v>0</v>
      </c>
    </row>
    <row r="72" spans="1:6" x14ac:dyDescent="0.35">
      <c r="A72" t="s">
        <v>23</v>
      </c>
      <c r="B72">
        <v>2015</v>
      </c>
      <c r="C72" t="s">
        <v>7</v>
      </c>
      <c r="D72">
        <v>1</v>
      </c>
      <c r="F72">
        <f>Table1[[#This Row],[Negative_Margin_Encounter_Count]]-D131</f>
        <v>0</v>
      </c>
    </row>
    <row r="73" spans="1:6" hidden="1" x14ac:dyDescent="0.35">
      <c r="A73" t="s">
        <v>23</v>
      </c>
      <c r="B73">
        <v>2015</v>
      </c>
      <c r="C73" t="s">
        <v>10</v>
      </c>
      <c r="D73">
        <v>0</v>
      </c>
      <c r="F73">
        <f>Table1[[#This Row],[Negative_Margin_Encounter_Count]]-D140</f>
        <v>0</v>
      </c>
    </row>
    <row r="74" spans="1:6" hidden="1" x14ac:dyDescent="0.35">
      <c r="A74" t="s">
        <v>23</v>
      </c>
      <c r="B74">
        <v>2015</v>
      </c>
      <c r="C74" t="s">
        <v>8</v>
      </c>
      <c r="D74">
        <v>0</v>
      </c>
      <c r="F74">
        <f>Table1[[#This Row],[Negative_Margin_Encounter_Count]]-D141</f>
        <v>0</v>
      </c>
    </row>
    <row r="75" spans="1:6" hidden="1" x14ac:dyDescent="0.35">
      <c r="A75" t="s">
        <v>24</v>
      </c>
      <c r="B75">
        <v>2015</v>
      </c>
      <c r="C75" t="s">
        <v>5</v>
      </c>
      <c r="D75">
        <v>0</v>
      </c>
      <c r="F75">
        <f>Table1[[#This Row],[Negative_Margin_Encounter_Count]]-D142</f>
        <v>0</v>
      </c>
    </row>
    <row r="76" spans="1:6" hidden="1" x14ac:dyDescent="0.35">
      <c r="A76" t="s">
        <v>24</v>
      </c>
      <c r="B76">
        <v>2015</v>
      </c>
      <c r="C76" t="s">
        <v>6</v>
      </c>
      <c r="D76">
        <v>0</v>
      </c>
      <c r="F76">
        <f>Table1[[#This Row],[Negative_Margin_Encounter_Count]]-D143</f>
        <v>0</v>
      </c>
    </row>
    <row r="77" spans="1:6" hidden="1" x14ac:dyDescent="0.35">
      <c r="A77" t="s">
        <v>24</v>
      </c>
      <c r="B77">
        <v>2015</v>
      </c>
      <c r="C77" t="s">
        <v>7</v>
      </c>
      <c r="D77">
        <v>0</v>
      </c>
      <c r="F77">
        <f>Table1[[#This Row],[Negative_Margin_Encounter_Count]]-D144</f>
        <v>0</v>
      </c>
    </row>
    <row r="78" spans="1:6" hidden="1" x14ac:dyDescent="0.35">
      <c r="A78" t="s">
        <v>24</v>
      </c>
      <c r="B78">
        <v>2015</v>
      </c>
      <c r="C78" t="s">
        <v>10</v>
      </c>
      <c r="D78">
        <v>0</v>
      </c>
      <c r="F78">
        <f>Table1[[#This Row],[Negative_Margin_Encounter_Count]]-D145</f>
        <v>0</v>
      </c>
    </row>
    <row r="79" spans="1:6" hidden="1" x14ac:dyDescent="0.35">
      <c r="A79" t="s">
        <v>24</v>
      </c>
      <c r="B79">
        <v>2015</v>
      </c>
      <c r="C79" t="s">
        <v>8</v>
      </c>
      <c r="D79">
        <v>0</v>
      </c>
      <c r="F79">
        <f>Table1[[#This Row],[Negative_Margin_Encounter_Count]]-D146</f>
        <v>0</v>
      </c>
    </row>
    <row r="80" spans="1:6" hidden="1" x14ac:dyDescent="0.35">
      <c r="A80" t="s">
        <v>25</v>
      </c>
      <c r="B80">
        <v>2015</v>
      </c>
      <c r="C80" t="s">
        <v>5</v>
      </c>
      <c r="D80">
        <v>0</v>
      </c>
      <c r="F80">
        <f>Table1[[#This Row],[Negative_Margin_Encounter_Count]]-D147</f>
        <v>0</v>
      </c>
    </row>
    <row r="81" spans="1:6" hidden="1" x14ac:dyDescent="0.35">
      <c r="A81" t="s">
        <v>25</v>
      </c>
      <c r="B81">
        <v>2015</v>
      </c>
      <c r="C81" t="s">
        <v>6</v>
      </c>
      <c r="D81">
        <v>0</v>
      </c>
      <c r="F81">
        <f>Table1[[#This Row],[Negative_Margin_Encounter_Count]]-D148</f>
        <v>0</v>
      </c>
    </row>
    <row r="82" spans="1:6" hidden="1" x14ac:dyDescent="0.35">
      <c r="A82" t="s">
        <v>25</v>
      </c>
      <c r="B82">
        <v>2015</v>
      </c>
      <c r="C82" t="s">
        <v>7</v>
      </c>
      <c r="D82">
        <v>0</v>
      </c>
      <c r="F82">
        <f>Table1[[#This Row],[Negative_Margin_Encounter_Count]]-D149</f>
        <v>0</v>
      </c>
    </row>
    <row r="83" spans="1:6" hidden="1" x14ac:dyDescent="0.35">
      <c r="A83" t="s">
        <v>25</v>
      </c>
      <c r="B83">
        <v>2015</v>
      </c>
      <c r="C83" t="s">
        <v>10</v>
      </c>
      <c r="D83">
        <v>0</v>
      </c>
      <c r="F83">
        <f>Table1[[#This Row],[Negative_Margin_Encounter_Count]]-D150</f>
        <v>0</v>
      </c>
    </row>
    <row r="84" spans="1:6" hidden="1" x14ac:dyDescent="0.35">
      <c r="A84" t="s">
        <v>25</v>
      </c>
      <c r="B84">
        <v>2015</v>
      </c>
      <c r="C84" t="s">
        <v>8</v>
      </c>
      <c r="D84">
        <v>0</v>
      </c>
      <c r="F84">
        <f>Table1[[#This Row],[Negative_Margin_Encounter_Count]]-D151</f>
        <v>0</v>
      </c>
    </row>
    <row r="85" spans="1:6" hidden="1" x14ac:dyDescent="0.35">
      <c r="A85" t="s">
        <v>26</v>
      </c>
      <c r="B85">
        <v>2015</v>
      </c>
      <c r="C85" t="s">
        <v>5</v>
      </c>
      <c r="D85">
        <v>0</v>
      </c>
      <c r="F85">
        <f>Table1[[#This Row],[Negative_Margin_Encounter_Count]]-D152</f>
        <v>0</v>
      </c>
    </row>
    <row r="86" spans="1:6" hidden="1" x14ac:dyDescent="0.35">
      <c r="A86" t="s">
        <v>26</v>
      </c>
      <c r="B86">
        <v>2015</v>
      </c>
      <c r="C86" t="s">
        <v>6</v>
      </c>
      <c r="D86">
        <v>0</v>
      </c>
      <c r="F86">
        <f>Table1[[#This Row],[Negative_Margin_Encounter_Count]]-D153</f>
        <v>0</v>
      </c>
    </row>
    <row r="87" spans="1:6" hidden="1" x14ac:dyDescent="0.35">
      <c r="A87" t="s">
        <v>26</v>
      </c>
      <c r="B87">
        <v>2015</v>
      </c>
      <c r="C87" t="s">
        <v>7</v>
      </c>
      <c r="D87">
        <v>0</v>
      </c>
      <c r="F87">
        <f>Table1[[#This Row],[Negative_Margin_Encounter_Count]]-D154</f>
        <v>0</v>
      </c>
    </row>
    <row r="88" spans="1:6" hidden="1" x14ac:dyDescent="0.35">
      <c r="A88" t="s">
        <v>26</v>
      </c>
      <c r="B88">
        <v>2015</v>
      </c>
      <c r="C88" t="s">
        <v>10</v>
      </c>
      <c r="D88">
        <v>0</v>
      </c>
      <c r="F88">
        <f>Table1[[#This Row],[Negative_Margin_Encounter_Count]]-D155</f>
        <v>0</v>
      </c>
    </row>
    <row r="89" spans="1:6" hidden="1" x14ac:dyDescent="0.35">
      <c r="A89" t="s">
        <v>26</v>
      </c>
      <c r="B89">
        <v>2015</v>
      </c>
      <c r="C89" t="s">
        <v>8</v>
      </c>
      <c r="D89">
        <v>0</v>
      </c>
      <c r="F89">
        <f>Table1[[#This Row],[Negative_Margin_Encounter_Count]]-D156</f>
        <v>0</v>
      </c>
    </row>
    <row r="90" spans="1:6" hidden="1" x14ac:dyDescent="0.35">
      <c r="A90" t="s">
        <v>27</v>
      </c>
      <c r="B90">
        <v>2015</v>
      </c>
      <c r="C90" t="s">
        <v>5</v>
      </c>
      <c r="D90">
        <v>0</v>
      </c>
      <c r="F90">
        <f>Table1[[#This Row],[Negative_Margin_Encounter_Count]]-D157</f>
        <v>0</v>
      </c>
    </row>
    <row r="91" spans="1:6" hidden="1" x14ac:dyDescent="0.35">
      <c r="A91" t="s">
        <v>27</v>
      </c>
      <c r="B91">
        <v>2015</v>
      </c>
      <c r="C91" t="s">
        <v>6</v>
      </c>
      <c r="D91">
        <v>0</v>
      </c>
      <c r="F91">
        <f>Table1[[#This Row],[Negative_Margin_Encounter_Count]]-D158</f>
        <v>0</v>
      </c>
    </row>
    <row r="92" spans="1:6" hidden="1" x14ac:dyDescent="0.35">
      <c r="A92" t="s">
        <v>27</v>
      </c>
      <c r="B92">
        <v>2015</v>
      </c>
      <c r="C92" t="s">
        <v>7</v>
      </c>
      <c r="D92">
        <v>0</v>
      </c>
      <c r="F92">
        <f>Table1[[#This Row],[Negative_Margin_Encounter_Count]]-D159</f>
        <v>0</v>
      </c>
    </row>
    <row r="93" spans="1:6" hidden="1" x14ac:dyDescent="0.35">
      <c r="A93" t="s">
        <v>27</v>
      </c>
      <c r="B93">
        <v>2015</v>
      </c>
      <c r="C93" t="s">
        <v>10</v>
      </c>
      <c r="D93">
        <v>0</v>
      </c>
      <c r="F93">
        <f>Table1[[#This Row],[Negative_Margin_Encounter_Count]]-D160</f>
        <v>0</v>
      </c>
    </row>
    <row r="94" spans="1:6" hidden="1" x14ac:dyDescent="0.35">
      <c r="A94" t="s">
        <v>27</v>
      </c>
      <c r="B94">
        <v>2015</v>
      </c>
      <c r="C94" t="s">
        <v>8</v>
      </c>
      <c r="D94">
        <v>0</v>
      </c>
      <c r="F94">
        <f>Table1[[#This Row],[Negative_Margin_Encounter_Count]]-D161</f>
        <v>0</v>
      </c>
    </row>
    <row r="95" spans="1:6" hidden="1" x14ac:dyDescent="0.35">
      <c r="A95" t="s">
        <v>28</v>
      </c>
      <c r="B95">
        <v>2015</v>
      </c>
      <c r="C95" t="s">
        <v>5</v>
      </c>
      <c r="D95">
        <v>0</v>
      </c>
      <c r="F95">
        <f>Table1[[#This Row],[Negative_Margin_Encounter_Count]]-D162</f>
        <v>0</v>
      </c>
    </row>
    <row r="96" spans="1:6" hidden="1" x14ac:dyDescent="0.35">
      <c r="A96" t="s">
        <v>28</v>
      </c>
      <c r="B96">
        <v>2015</v>
      </c>
      <c r="C96" t="s">
        <v>6</v>
      </c>
      <c r="D96">
        <v>0</v>
      </c>
      <c r="F96">
        <f>Table1[[#This Row],[Negative_Margin_Encounter_Count]]-D163</f>
        <v>0</v>
      </c>
    </row>
    <row r="97" spans="1:6" hidden="1" x14ac:dyDescent="0.35">
      <c r="A97" t="s">
        <v>28</v>
      </c>
      <c r="B97">
        <v>2015</v>
      </c>
      <c r="C97" t="s">
        <v>7</v>
      </c>
      <c r="D97">
        <v>0</v>
      </c>
      <c r="F97">
        <f>Table1[[#This Row],[Negative_Margin_Encounter_Count]]-D164</f>
        <v>0</v>
      </c>
    </row>
    <row r="98" spans="1:6" hidden="1" x14ac:dyDescent="0.35">
      <c r="A98" t="s">
        <v>28</v>
      </c>
      <c r="B98">
        <v>2015</v>
      </c>
      <c r="C98" t="s">
        <v>10</v>
      </c>
      <c r="D98">
        <v>0</v>
      </c>
      <c r="F98">
        <f>Table1[[#This Row],[Negative_Margin_Encounter_Count]]-D165</f>
        <v>0</v>
      </c>
    </row>
    <row r="99" spans="1:6" hidden="1" x14ac:dyDescent="0.35">
      <c r="A99" t="s">
        <v>28</v>
      </c>
      <c r="B99">
        <v>2015</v>
      </c>
      <c r="C99" t="s">
        <v>8</v>
      </c>
      <c r="D99">
        <v>0</v>
      </c>
      <c r="F99">
        <f>Table1[[#This Row],[Negative_Margin_Encounter_Count]]-D166</f>
        <v>0</v>
      </c>
    </row>
    <row r="100" spans="1:6" hidden="1" x14ac:dyDescent="0.35">
      <c r="A100" t="s">
        <v>29</v>
      </c>
      <c r="B100">
        <v>2015</v>
      </c>
      <c r="C100" t="s">
        <v>5</v>
      </c>
      <c r="D100">
        <v>0</v>
      </c>
      <c r="F100">
        <f>Table1[[#This Row],[Negative_Margin_Encounter_Count]]-D167</f>
        <v>0</v>
      </c>
    </row>
    <row r="101" spans="1:6" hidden="1" x14ac:dyDescent="0.35">
      <c r="A101" t="s">
        <v>29</v>
      </c>
      <c r="B101">
        <v>2015</v>
      </c>
      <c r="C101" t="s">
        <v>6</v>
      </c>
      <c r="D101">
        <v>0</v>
      </c>
      <c r="F101">
        <f>Table1[[#This Row],[Negative_Margin_Encounter_Count]]-D168</f>
        <v>0</v>
      </c>
    </row>
    <row r="102" spans="1:6" hidden="1" x14ac:dyDescent="0.35">
      <c r="A102" t="s">
        <v>29</v>
      </c>
      <c r="B102">
        <v>2015</v>
      </c>
      <c r="C102" t="s">
        <v>7</v>
      </c>
      <c r="D102">
        <v>0</v>
      </c>
      <c r="F102">
        <f>Table1[[#This Row],[Negative_Margin_Encounter_Count]]-D169</f>
        <v>0</v>
      </c>
    </row>
    <row r="103" spans="1:6" hidden="1" x14ac:dyDescent="0.35">
      <c r="A103" t="s">
        <v>29</v>
      </c>
      <c r="B103">
        <v>2015</v>
      </c>
      <c r="C103" t="s">
        <v>8</v>
      </c>
      <c r="D103">
        <v>0</v>
      </c>
      <c r="F103">
        <f>Table1[[#This Row],[Negative_Margin_Encounter_Count]]-D170</f>
        <v>0</v>
      </c>
    </row>
    <row r="104" spans="1:6" x14ac:dyDescent="0.35">
      <c r="A104" t="s">
        <v>30</v>
      </c>
      <c r="B104">
        <v>2015</v>
      </c>
      <c r="C104" t="s">
        <v>5</v>
      </c>
      <c r="D104">
        <v>16</v>
      </c>
      <c r="F104">
        <f>Table1[[#This Row],[Negative_Margin_Encounter_Count]]-D132</f>
        <v>0</v>
      </c>
    </row>
    <row r="105" spans="1:6" x14ac:dyDescent="0.35">
      <c r="A105" t="s">
        <v>30</v>
      </c>
      <c r="B105">
        <v>2015</v>
      </c>
      <c r="C105" t="s">
        <v>6</v>
      </c>
      <c r="D105">
        <v>5</v>
      </c>
      <c r="F105">
        <f>Table1[[#This Row],[Negative_Margin_Encounter_Count]]-D133</f>
        <v>0</v>
      </c>
    </row>
    <row r="106" spans="1:6" x14ac:dyDescent="0.35">
      <c r="A106" t="s">
        <v>30</v>
      </c>
      <c r="B106">
        <v>2015</v>
      </c>
      <c r="C106" t="s">
        <v>7</v>
      </c>
      <c r="D106">
        <v>46</v>
      </c>
      <c r="F106">
        <f>Table1[[#This Row],[Negative_Margin_Encounter_Count]]-D134</f>
        <v>0</v>
      </c>
    </row>
    <row r="107" spans="1:6" hidden="1" x14ac:dyDescent="0.35">
      <c r="A107" t="s">
        <v>30</v>
      </c>
      <c r="B107">
        <v>2015</v>
      </c>
      <c r="C107" t="s">
        <v>10</v>
      </c>
      <c r="D107">
        <v>0</v>
      </c>
    </row>
    <row r="108" spans="1:6" hidden="1" x14ac:dyDescent="0.35">
      <c r="A108" t="s">
        <v>30</v>
      </c>
      <c r="B108">
        <v>2015</v>
      </c>
      <c r="C108" t="s">
        <v>8</v>
      </c>
      <c r="D108">
        <v>0</v>
      </c>
    </row>
    <row r="109" spans="1:6" hidden="1" x14ac:dyDescent="0.35">
      <c r="A109" t="s">
        <v>31</v>
      </c>
      <c r="B109">
        <v>2015</v>
      </c>
      <c r="C109" t="s">
        <v>5</v>
      </c>
      <c r="D109">
        <v>0</v>
      </c>
    </row>
    <row r="110" spans="1:6" hidden="1" x14ac:dyDescent="0.35">
      <c r="A110" t="s">
        <v>31</v>
      </c>
      <c r="B110">
        <v>2015</v>
      </c>
      <c r="C110" t="s">
        <v>6</v>
      </c>
      <c r="D110">
        <v>0</v>
      </c>
    </row>
    <row r="111" spans="1:6" hidden="1" x14ac:dyDescent="0.35">
      <c r="A111" t="s">
        <v>31</v>
      </c>
      <c r="B111">
        <v>2015</v>
      </c>
      <c r="C111" t="s">
        <v>7</v>
      </c>
      <c r="D111">
        <v>0</v>
      </c>
    </row>
    <row r="112" spans="1:6" hidden="1" x14ac:dyDescent="0.35">
      <c r="A112" t="s">
        <v>31</v>
      </c>
      <c r="B112">
        <v>2015</v>
      </c>
      <c r="C112" t="s">
        <v>10</v>
      </c>
      <c r="D112">
        <v>0</v>
      </c>
    </row>
    <row r="113" spans="1:16" hidden="1" x14ac:dyDescent="0.35">
      <c r="A113" t="s">
        <v>31</v>
      </c>
      <c r="B113">
        <v>2015</v>
      </c>
      <c r="C113" t="s">
        <v>8</v>
      </c>
      <c r="D113">
        <v>0</v>
      </c>
    </row>
    <row r="116" spans="1:16" ht="39" customHeight="1" x14ac:dyDescent="0.45">
      <c r="A116" s="3" t="s">
        <v>32</v>
      </c>
      <c r="B116" s="3"/>
      <c r="C116" s="3"/>
      <c r="D116" s="3"/>
      <c r="F116" s="4" t="s">
        <v>34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35">
      <c r="A117" t="s">
        <v>0</v>
      </c>
      <c r="B117" t="s">
        <v>1</v>
      </c>
      <c r="C117" t="s">
        <v>2</v>
      </c>
      <c r="D117" t="s">
        <v>3</v>
      </c>
    </row>
    <row r="118" spans="1:16" x14ac:dyDescent="0.35">
      <c r="A118" t="s">
        <v>18</v>
      </c>
      <c r="B118">
        <v>2015</v>
      </c>
      <c r="C118" t="s">
        <v>5</v>
      </c>
      <c r="D118">
        <v>134</v>
      </c>
    </row>
    <row r="119" spans="1:16" x14ac:dyDescent="0.35">
      <c r="A119" t="s">
        <v>18</v>
      </c>
      <c r="B119">
        <v>2015</v>
      </c>
      <c r="C119" t="s">
        <v>6</v>
      </c>
      <c r="D119">
        <v>221</v>
      </c>
    </row>
    <row r="120" spans="1:16" x14ac:dyDescent="0.35">
      <c r="A120" t="s">
        <v>18</v>
      </c>
      <c r="B120">
        <v>2015</v>
      </c>
      <c r="C120" t="s">
        <v>7</v>
      </c>
      <c r="D120">
        <v>207</v>
      </c>
    </row>
    <row r="121" spans="1:16" x14ac:dyDescent="0.35">
      <c r="A121" t="s">
        <v>18</v>
      </c>
      <c r="B121">
        <v>2015</v>
      </c>
      <c r="C121" t="s">
        <v>10</v>
      </c>
      <c r="D121">
        <v>9</v>
      </c>
    </row>
    <row r="122" spans="1:16" x14ac:dyDescent="0.35">
      <c r="A122" t="s">
        <v>18</v>
      </c>
      <c r="B122">
        <v>2015</v>
      </c>
      <c r="C122" t="s">
        <v>8</v>
      </c>
      <c r="D122">
        <v>30</v>
      </c>
    </row>
    <row r="123" spans="1:16" x14ac:dyDescent="0.35">
      <c r="A123" t="s">
        <v>20</v>
      </c>
      <c r="B123">
        <v>2015</v>
      </c>
      <c r="C123" t="s">
        <v>5</v>
      </c>
      <c r="D123">
        <v>30</v>
      </c>
    </row>
    <row r="124" spans="1:16" x14ac:dyDescent="0.35">
      <c r="A124" t="s">
        <v>20</v>
      </c>
      <c r="B124">
        <v>2015</v>
      </c>
      <c r="C124" t="s">
        <v>6</v>
      </c>
      <c r="D124">
        <v>233</v>
      </c>
    </row>
    <row r="125" spans="1:16" x14ac:dyDescent="0.35">
      <c r="A125" t="s">
        <v>20</v>
      </c>
      <c r="B125">
        <v>2015</v>
      </c>
      <c r="C125" t="s">
        <v>10</v>
      </c>
      <c r="D125">
        <v>1</v>
      </c>
    </row>
    <row r="126" spans="1:16" x14ac:dyDescent="0.35">
      <c r="A126" t="s">
        <v>20</v>
      </c>
      <c r="B126">
        <v>2015</v>
      </c>
      <c r="C126" t="s">
        <v>8</v>
      </c>
      <c r="D126">
        <v>2</v>
      </c>
    </row>
    <row r="127" spans="1:16" x14ac:dyDescent="0.35">
      <c r="A127" t="s">
        <v>22</v>
      </c>
      <c r="B127">
        <v>2015</v>
      </c>
      <c r="C127" t="s">
        <v>5</v>
      </c>
      <c r="D127">
        <v>53</v>
      </c>
    </row>
    <row r="128" spans="1:16" x14ac:dyDescent="0.35">
      <c r="A128" t="s">
        <v>22</v>
      </c>
      <c r="B128">
        <v>2015</v>
      </c>
      <c r="C128" t="s">
        <v>6</v>
      </c>
      <c r="D128">
        <v>119</v>
      </c>
    </row>
    <row r="129" spans="1:4" x14ac:dyDescent="0.35">
      <c r="A129" t="s">
        <v>22</v>
      </c>
      <c r="B129">
        <v>2015</v>
      </c>
      <c r="C129" t="s">
        <v>10</v>
      </c>
      <c r="D129">
        <v>3</v>
      </c>
    </row>
    <row r="130" spans="1:4" x14ac:dyDescent="0.35">
      <c r="A130" t="s">
        <v>23</v>
      </c>
      <c r="B130">
        <v>2015</v>
      </c>
      <c r="C130" t="s">
        <v>5</v>
      </c>
      <c r="D130">
        <v>10</v>
      </c>
    </row>
    <row r="131" spans="1:4" x14ac:dyDescent="0.35">
      <c r="A131" t="s">
        <v>23</v>
      </c>
      <c r="B131">
        <v>2015</v>
      </c>
      <c r="C131" t="s">
        <v>7</v>
      </c>
      <c r="D131">
        <v>1</v>
      </c>
    </row>
    <row r="132" spans="1:4" x14ac:dyDescent="0.35">
      <c r="A132" t="s">
        <v>30</v>
      </c>
      <c r="B132">
        <v>2015</v>
      </c>
      <c r="C132" t="s">
        <v>5</v>
      </c>
      <c r="D132">
        <v>16</v>
      </c>
    </row>
    <row r="133" spans="1:4" x14ac:dyDescent="0.35">
      <c r="A133" t="s">
        <v>30</v>
      </c>
      <c r="B133">
        <v>2015</v>
      </c>
      <c r="C133" t="s">
        <v>6</v>
      </c>
      <c r="D133">
        <v>5</v>
      </c>
    </row>
    <row r="134" spans="1:4" x14ac:dyDescent="0.35">
      <c r="A134" t="s">
        <v>30</v>
      </c>
      <c r="B134">
        <v>2015</v>
      </c>
      <c r="C134" t="s">
        <v>7</v>
      </c>
      <c r="D134">
        <v>46</v>
      </c>
    </row>
  </sheetData>
  <mergeCells count="3">
    <mergeCell ref="A2:D2"/>
    <mergeCell ref="A116:D116"/>
    <mergeCell ref="F116:P116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A860-DD0D-45B0-BA70-A324E972C7F8}">
  <dimension ref="A2:O54"/>
  <sheetViews>
    <sheetView topLeftCell="A2" workbookViewId="0">
      <selection activeCell="J7" sqref="J7"/>
    </sheetView>
  </sheetViews>
  <sheetFormatPr defaultRowHeight="21" x14ac:dyDescent="0.35"/>
  <cols>
    <col min="1" max="1" width="49" bestFit="1" customWidth="1"/>
    <col min="2" max="2" width="14" customWidth="1"/>
    <col min="3" max="3" width="19.90625" customWidth="1"/>
  </cols>
  <sheetData>
    <row r="2" spans="1:15" ht="45.75" customHeight="1" x14ac:dyDescent="0.35">
      <c r="A2" s="2" t="s">
        <v>37</v>
      </c>
      <c r="B2" s="2"/>
      <c r="C2" s="2"/>
    </row>
    <row r="3" spans="1:15" x14ac:dyDescent="0.35">
      <c r="A3" t="s">
        <v>0</v>
      </c>
      <c r="B3" t="s">
        <v>40</v>
      </c>
      <c r="C3" t="s">
        <v>1</v>
      </c>
      <c r="D3" t="s">
        <v>36</v>
      </c>
    </row>
    <row r="4" spans="1:15" x14ac:dyDescent="0.35">
      <c r="A4" t="s">
        <v>4</v>
      </c>
      <c r="B4">
        <v>1</v>
      </c>
      <c r="C4">
        <v>2015</v>
      </c>
      <c r="D4">
        <v>12200</v>
      </c>
    </row>
    <row r="5" spans="1:15" x14ac:dyDescent="0.35">
      <c r="A5" t="s">
        <v>9</v>
      </c>
      <c r="B5">
        <v>1</v>
      </c>
      <c r="C5">
        <v>2015</v>
      </c>
      <c r="D5">
        <v>2576</v>
      </c>
    </row>
    <row r="6" spans="1:15" x14ac:dyDescent="0.35">
      <c r="A6" t="s">
        <v>11</v>
      </c>
      <c r="B6">
        <v>1</v>
      </c>
      <c r="C6">
        <v>2015</v>
      </c>
      <c r="D6">
        <v>6167</v>
      </c>
    </row>
    <row r="7" spans="1:15" x14ac:dyDescent="0.35">
      <c r="A7" t="s">
        <v>12</v>
      </c>
      <c r="B7">
        <v>1</v>
      </c>
      <c r="C7">
        <v>2015</v>
      </c>
      <c r="D7">
        <v>4011</v>
      </c>
    </row>
    <row r="8" spans="1:15" x14ac:dyDescent="0.35">
      <c r="A8" t="s">
        <v>13</v>
      </c>
      <c r="B8">
        <v>1</v>
      </c>
      <c r="C8">
        <v>2015</v>
      </c>
      <c r="D8">
        <v>26288</v>
      </c>
    </row>
    <row r="9" spans="1:15" x14ac:dyDescent="0.35">
      <c r="A9" t="s">
        <v>14</v>
      </c>
      <c r="B9">
        <v>1</v>
      </c>
      <c r="C9">
        <v>2015</v>
      </c>
      <c r="D9">
        <v>16299</v>
      </c>
    </row>
    <row r="10" spans="1:15" x14ac:dyDescent="0.35">
      <c r="A10" t="s">
        <v>15</v>
      </c>
      <c r="B10">
        <v>1</v>
      </c>
      <c r="C10">
        <v>2015</v>
      </c>
      <c r="D10">
        <v>10975</v>
      </c>
    </row>
    <row r="11" spans="1:15" x14ac:dyDescent="0.35">
      <c r="A11" t="s">
        <v>16</v>
      </c>
      <c r="B11">
        <v>1</v>
      </c>
      <c r="C11">
        <v>2015</v>
      </c>
      <c r="D11">
        <v>2657</v>
      </c>
    </row>
    <row r="12" spans="1:15" ht="28.5" x14ac:dyDescent="0.45">
      <c r="A12" t="s">
        <v>17</v>
      </c>
      <c r="B12">
        <v>1</v>
      </c>
      <c r="C12">
        <v>2015</v>
      </c>
      <c r="D12">
        <v>11128</v>
      </c>
      <c r="F12" s="4" t="s">
        <v>41</v>
      </c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5">
      <c r="A13" t="s">
        <v>18</v>
      </c>
      <c r="B13">
        <v>1</v>
      </c>
      <c r="C13">
        <v>2015</v>
      </c>
      <c r="D13">
        <v>19208</v>
      </c>
    </row>
    <row r="14" spans="1:15" x14ac:dyDescent="0.35">
      <c r="A14" t="s">
        <v>19</v>
      </c>
      <c r="B14">
        <v>1</v>
      </c>
      <c r="C14">
        <v>2015</v>
      </c>
      <c r="D14">
        <v>47664</v>
      </c>
    </row>
    <row r="15" spans="1:15" x14ac:dyDescent="0.35">
      <c r="A15" t="s">
        <v>20</v>
      </c>
      <c r="B15">
        <v>1</v>
      </c>
      <c r="C15">
        <v>2015</v>
      </c>
      <c r="D15">
        <v>7856</v>
      </c>
    </row>
    <row r="16" spans="1:15" x14ac:dyDescent="0.35">
      <c r="A16" t="s">
        <v>21</v>
      </c>
      <c r="B16">
        <v>1</v>
      </c>
      <c r="C16">
        <v>2015</v>
      </c>
      <c r="D16">
        <v>8369</v>
      </c>
    </row>
    <row r="17" spans="1:4" x14ac:dyDescent="0.35">
      <c r="A17" t="s">
        <v>22</v>
      </c>
      <c r="B17">
        <v>1</v>
      </c>
      <c r="C17">
        <v>2015</v>
      </c>
      <c r="D17">
        <v>21435</v>
      </c>
    </row>
    <row r="18" spans="1:4" x14ac:dyDescent="0.35">
      <c r="A18" t="s">
        <v>23</v>
      </c>
      <c r="B18">
        <v>1</v>
      </c>
      <c r="C18">
        <v>2015</v>
      </c>
      <c r="D18">
        <v>5434</v>
      </c>
    </row>
    <row r="19" spans="1:4" x14ac:dyDescent="0.35">
      <c r="A19" t="s">
        <v>24</v>
      </c>
      <c r="B19">
        <v>1</v>
      </c>
      <c r="C19">
        <v>2015</v>
      </c>
      <c r="D19">
        <v>18921</v>
      </c>
    </row>
    <row r="20" spans="1:4" x14ac:dyDescent="0.35">
      <c r="A20" t="s">
        <v>25</v>
      </c>
      <c r="B20">
        <v>1</v>
      </c>
      <c r="C20">
        <v>2015</v>
      </c>
      <c r="D20">
        <v>11126</v>
      </c>
    </row>
    <row r="21" spans="1:4" x14ac:dyDescent="0.35">
      <c r="A21" t="s">
        <v>26</v>
      </c>
      <c r="B21">
        <v>1</v>
      </c>
      <c r="C21">
        <v>2015</v>
      </c>
      <c r="D21">
        <v>11120</v>
      </c>
    </row>
    <row r="22" spans="1:4" x14ac:dyDescent="0.35">
      <c r="A22" t="s">
        <v>27</v>
      </c>
      <c r="B22">
        <v>1</v>
      </c>
      <c r="C22">
        <v>2015</v>
      </c>
      <c r="D22">
        <v>15626</v>
      </c>
    </row>
    <row r="23" spans="1:4" x14ac:dyDescent="0.35">
      <c r="A23" t="s">
        <v>28</v>
      </c>
      <c r="B23">
        <v>1</v>
      </c>
      <c r="C23">
        <v>2015</v>
      </c>
      <c r="D23">
        <v>6081</v>
      </c>
    </row>
    <row r="24" spans="1:4" x14ac:dyDescent="0.35">
      <c r="A24" t="s">
        <v>29</v>
      </c>
      <c r="B24">
        <v>1</v>
      </c>
      <c r="C24">
        <v>2015</v>
      </c>
      <c r="D24">
        <v>3748</v>
      </c>
    </row>
    <row r="25" spans="1:4" x14ac:dyDescent="0.35">
      <c r="A25" t="s">
        <v>30</v>
      </c>
      <c r="B25">
        <v>1</v>
      </c>
      <c r="C25">
        <v>2015</v>
      </c>
      <c r="D25">
        <v>35229</v>
      </c>
    </row>
    <row r="26" spans="1:4" x14ac:dyDescent="0.35">
      <c r="A26" t="s">
        <v>31</v>
      </c>
      <c r="B26">
        <v>1</v>
      </c>
      <c r="C26">
        <v>2015</v>
      </c>
      <c r="D26">
        <v>34921</v>
      </c>
    </row>
    <row r="27" spans="1:4" x14ac:dyDescent="0.35">
      <c r="B27">
        <f>SUBTOTAL(109,Table3[Count])</f>
        <v>23</v>
      </c>
      <c r="D27">
        <f>SUBTOTAL(109,Table3[Fact_Encounter_Count])</f>
        <v>339039</v>
      </c>
    </row>
    <row r="30" spans="1:4" x14ac:dyDescent="0.35">
      <c r="A30" t="s">
        <v>39</v>
      </c>
      <c r="B30" t="s">
        <v>40</v>
      </c>
      <c r="C30" t="s">
        <v>1</v>
      </c>
      <c r="D30" t="s">
        <v>38</v>
      </c>
    </row>
    <row r="31" spans="1:4" x14ac:dyDescent="0.35">
      <c r="A31" t="s">
        <v>4</v>
      </c>
      <c r="B31">
        <v>1</v>
      </c>
      <c r="C31">
        <v>2015</v>
      </c>
      <c r="D31">
        <v>12200</v>
      </c>
    </row>
    <row r="32" spans="1:4" x14ac:dyDescent="0.35">
      <c r="A32" t="s">
        <v>9</v>
      </c>
      <c r="B32">
        <v>1</v>
      </c>
      <c r="C32">
        <v>2015</v>
      </c>
      <c r="D32">
        <v>2576</v>
      </c>
    </row>
    <row r="33" spans="1:4" x14ac:dyDescent="0.35">
      <c r="A33" t="s">
        <v>11</v>
      </c>
      <c r="B33">
        <v>1</v>
      </c>
      <c r="C33">
        <v>2015</v>
      </c>
      <c r="D33">
        <v>6167</v>
      </c>
    </row>
    <row r="34" spans="1:4" x14ac:dyDescent="0.35">
      <c r="A34" t="s">
        <v>12</v>
      </c>
      <c r="B34">
        <v>1</v>
      </c>
      <c r="C34">
        <v>2015</v>
      </c>
      <c r="D34">
        <v>4011</v>
      </c>
    </row>
    <row r="35" spans="1:4" x14ac:dyDescent="0.35">
      <c r="A35" t="s">
        <v>13</v>
      </c>
      <c r="B35">
        <v>1</v>
      </c>
      <c r="C35">
        <v>2015</v>
      </c>
      <c r="D35">
        <v>26288</v>
      </c>
    </row>
    <row r="36" spans="1:4" x14ac:dyDescent="0.35">
      <c r="A36" t="s">
        <v>14</v>
      </c>
      <c r="B36">
        <v>1</v>
      </c>
      <c r="C36">
        <v>2015</v>
      </c>
      <c r="D36">
        <v>16299</v>
      </c>
    </row>
    <row r="37" spans="1:4" x14ac:dyDescent="0.35">
      <c r="A37" t="s">
        <v>15</v>
      </c>
      <c r="B37">
        <v>1</v>
      </c>
      <c r="C37">
        <v>2015</v>
      </c>
      <c r="D37">
        <v>10975</v>
      </c>
    </row>
    <row r="38" spans="1:4" x14ac:dyDescent="0.35">
      <c r="A38" t="s">
        <v>16</v>
      </c>
      <c r="B38">
        <v>1</v>
      </c>
      <c r="C38">
        <v>2015</v>
      </c>
      <c r="D38">
        <v>2657</v>
      </c>
    </row>
    <row r="39" spans="1:4" x14ac:dyDescent="0.35">
      <c r="A39" t="s">
        <v>17</v>
      </c>
      <c r="B39">
        <v>1</v>
      </c>
      <c r="C39">
        <v>2015</v>
      </c>
      <c r="D39">
        <v>11128</v>
      </c>
    </row>
    <row r="40" spans="1:4" x14ac:dyDescent="0.35">
      <c r="A40" t="s">
        <v>18</v>
      </c>
      <c r="B40">
        <v>1</v>
      </c>
      <c r="C40">
        <v>2015</v>
      </c>
      <c r="D40">
        <v>19208</v>
      </c>
    </row>
    <row r="41" spans="1:4" x14ac:dyDescent="0.35">
      <c r="A41" t="s">
        <v>19</v>
      </c>
      <c r="B41">
        <v>1</v>
      </c>
      <c r="C41">
        <v>2015</v>
      </c>
      <c r="D41">
        <v>47664</v>
      </c>
    </row>
    <row r="42" spans="1:4" x14ac:dyDescent="0.35">
      <c r="A42" t="s">
        <v>20</v>
      </c>
      <c r="B42">
        <v>1</v>
      </c>
      <c r="C42">
        <v>2015</v>
      </c>
      <c r="D42">
        <v>7856</v>
      </c>
    </row>
    <row r="43" spans="1:4" x14ac:dyDescent="0.35">
      <c r="A43" t="s">
        <v>21</v>
      </c>
      <c r="B43">
        <v>1</v>
      </c>
      <c r="C43">
        <v>2015</v>
      </c>
      <c r="D43">
        <v>8369</v>
      </c>
    </row>
    <row r="44" spans="1:4" x14ac:dyDescent="0.35">
      <c r="A44" t="s">
        <v>22</v>
      </c>
      <c r="B44">
        <v>1</v>
      </c>
      <c r="C44">
        <v>2015</v>
      </c>
      <c r="D44">
        <v>21435</v>
      </c>
    </row>
    <row r="45" spans="1:4" x14ac:dyDescent="0.35">
      <c r="A45" t="s">
        <v>23</v>
      </c>
      <c r="B45">
        <v>1</v>
      </c>
      <c r="C45">
        <v>2015</v>
      </c>
      <c r="D45">
        <v>5434</v>
      </c>
    </row>
    <row r="46" spans="1:4" x14ac:dyDescent="0.35">
      <c r="A46" t="s">
        <v>24</v>
      </c>
      <c r="B46">
        <v>1</v>
      </c>
      <c r="C46">
        <v>2015</v>
      </c>
      <c r="D46">
        <v>18921</v>
      </c>
    </row>
    <row r="47" spans="1:4" x14ac:dyDescent="0.35">
      <c r="A47" t="s">
        <v>25</v>
      </c>
      <c r="B47">
        <v>1</v>
      </c>
      <c r="C47">
        <v>2015</v>
      </c>
      <c r="D47">
        <v>11126</v>
      </c>
    </row>
    <row r="48" spans="1:4" x14ac:dyDescent="0.35">
      <c r="A48" t="s">
        <v>26</v>
      </c>
      <c r="B48">
        <v>1</v>
      </c>
      <c r="C48">
        <v>2015</v>
      </c>
      <c r="D48">
        <v>11120</v>
      </c>
    </row>
    <row r="49" spans="1:4" x14ac:dyDescent="0.35">
      <c r="A49" t="s">
        <v>27</v>
      </c>
      <c r="B49">
        <v>1</v>
      </c>
      <c r="C49">
        <v>2015</v>
      </c>
      <c r="D49">
        <v>15626</v>
      </c>
    </row>
    <row r="50" spans="1:4" x14ac:dyDescent="0.35">
      <c r="A50" t="s">
        <v>28</v>
      </c>
      <c r="B50">
        <v>1</v>
      </c>
      <c r="C50">
        <v>2015</v>
      </c>
      <c r="D50">
        <v>6081</v>
      </c>
    </row>
    <row r="51" spans="1:4" x14ac:dyDescent="0.35">
      <c r="A51" t="s">
        <v>29</v>
      </c>
      <c r="B51">
        <v>1</v>
      </c>
      <c r="C51">
        <v>2015</v>
      </c>
      <c r="D51">
        <v>3748</v>
      </c>
    </row>
    <row r="52" spans="1:4" x14ac:dyDescent="0.35">
      <c r="A52" t="s">
        <v>30</v>
      </c>
      <c r="B52">
        <v>1</v>
      </c>
      <c r="C52">
        <v>2015</v>
      </c>
      <c r="D52">
        <v>35229</v>
      </c>
    </row>
    <row r="53" spans="1:4" x14ac:dyDescent="0.35">
      <c r="A53" t="s">
        <v>31</v>
      </c>
      <c r="B53">
        <v>1</v>
      </c>
      <c r="C53">
        <v>2015</v>
      </c>
      <c r="D53">
        <v>34921</v>
      </c>
    </row>
    <row r="54" spans="1:4" x14ac:dyDescent="0.35">
      <c r="B54">
        <f>SUBTOTAL(109,Table4[Count])</f>
        <v>23</v>
      </c>
      <c r="D54">
        <f>SUBTOTAL(109,Table4[View_Encounter_Count])</f>
        <v>339039</v>
      </c>
    </row>
  </sheetData>
  <mergeCells count="2">
    <mergeCell ref="A2:C2"/>
    <mergeCell ref="F12:O1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14DD-4530-4765-AD1A-258E4175C88E}">
  <dimension ref="A2:H9"/>
  <sheetViews>
    <sheetView workbookViewId="0">
      <selection activeCell="E12" sqref="E12"/>
    </sheetView>
  </sheetViews>
  <sheetFormatPr defaultRowHeight="21" x14ac:dyDescent="0.35"/>
  <cols>
    <col min="1" max="1" width="11.26953125" bestFit="1" customWidth="1"/>
    <col min="2" max="2" width="18.81640625" bestFit="1" customWidth="1"/>
    <col min="3" max="3" width="14.1796875" bestFit="1" customWidth="1"/>
    <col min="4" max="4" width="21.81640625" customWidth="1"/>
    <col min="5" max="5" width="15.453125" customWidth="1"/>
    <col min="6" max="6" width="9.81640625" bestFit="1" customWidth="1"/>
    <col min="7" max="1573" width="14.1796875" bestFit="1" customWidth="1"/>
    <col min="1574" max="1574" width="14.90625" bestFit="1" customWidth="1"/>
    <col min="1575" max="3175" width="9.6328125" bestFit="1" customWidth="1"/>
    <col min="3176" max="3176" width="12.1796875" bestFit="1" customWidth="1"/>
    <col min="3177" max="7586" width="9.81640625" bestFit="1" customWidth="1"/>
    <col min="7587" max="7587" width="12.36328125" bestFit="1" customWidth="1"/>
    <col min="7588" max="7768" width="7.08984375" bestFit="1" customWidth="1"/>
    <col min="7769" max="7769" width="9.6328125" bestFit="1" customWidth="1"/>
    <col min="7770" max="7860" width="8.90625" bestFit="1" customWidth="1"/>
    <col min="7861" max="7861" width="11.453125" bestFit="1" customWidth="1"/>
    <col min="7862" max="7862" width="9.81640625" bestFit="1" customWidth="1"/>
  </cols>
  <sheetData>
    <row r="2" spans="1:8" ht="44.25" customHeight="1" x14ac:dyDescent="0.35">
      <c r="A2" s="8" t="s">
        <v>57</v>
      </c>
      <c r="B2" s="8"/>
      <c r="D2" s="8" t="s">
        <v>58</v>
      </c>
      <c r="E2" s="8"/>
      <c r="G2" s="8" t="s">
        <v>59</v>
      </c>
      <c r="H2" s="8"/>
    </row>
    <row r="3" spans="1:8" x14ac:dyDescent="0.35">
      <c r="A3" s="5" t="s">
        <v>54</v>
      </c>
      <c r="B3" t="s">
        <v>55</v>
      </c>
      <c r="D3" t="s">
        <v>2</v>
      </c>
      <c r="E3" t="s">
        <v>56</v>
      </c>
    </row>
    <row r="4" spans="1:8" x14ac:dyDescent="0.35">
      <c r="A4" s="6" t="s">
        <v>5</v>
      </c>
      <c r="B4" s="7">
        <v>1573</v>
      </c>
      <c r="D4" t="s">
        <v>7</v>
      </c>
      <c r="E4">
        <v>4410</v>
      </c>
      <c r="G4">
        <f>E4-GETPIVOTDATA("Encounter_ID",$A$3,"Payment_Typology_Group","Medicare")</f>
        <v>0</v>
      </c>
    </row>
    <row r="5" spans="1:8" x14ac:dyDescent="0.35">
      <c r="A5" s="6" t="s">
        <v>6</v>
      </c>
      <c r="B5" s="7">
        <v>1601</v>
      </c>
      <c r="D5" t="s">
        <v>6</v>
      </c>
      <c r="E5">
        <v>1601</v>
      </c>
      <c r="G5">
        <f>E5-GETPIVOTDATA("Encounter_ID",$A$3,"Payment_Typology_Group","Medicaid")</f>
        <v>0</v>
      </c>
    </row>
    <row r="6" spans="1:8" x14ac:dyDescent="0.35">
      <c r="A6" s="6" t="s">
        <v>7</v>
      </c>
      <c r="B6" s="7">
        <v>4410</v>
      </c>
      <c r="D6" t="s">
        <v>5</v>
      </c>
      <c r="E6">
        <v>1573</v>
      </c>
      <c r="G6">
        <f>E6-GETPIVOTDATA("Encounter_ID",$A$3,"Payment_Typology_Group","Commercial")</f>
        <v>0</v>
      </c>
    </row>
    <row r="7" spans="1:8" x14ac:dyDescent="0.35">
      <c r="A7" s="6" t="s">
        <v>10</v>
      </c>
      <c r="B7" s="7">
        <v>181</v>
      </c>
      <c r="D7" t="s">
        <v>10</v>
      </c>
      <c r="E7">
        <v>181</v>
      </c>
      <c r="G7">
        <f>E7-GETPIVOTDATA("Encounter_ID",$A$3,"Payment_Typology_Group","Other")</f>
        <v>0</v>
      </c>
    </row>
    <row r="8" spans="1:8" x14ac:dyDescent="0.35">
      <c r="A8" s="6" t="s">
        <v>8</v>
      </c>
      <c r="B8" s="7">
        <v>91</v>
      </c>
      <c r="D8" t="s">
        <v>8</v>
      </c>
      <c r="E8">
        <v>91</v>
      </c>
      <c r="G8">
        <f>E8-GETPIVOTDATA("Encounter_ID",$A$3,"Payment_Typology_Group","Self-Pay")</f>
        <v>0</v>
      </c>
    </row>
    <row r="9" spans="1:8" x14ac:dyDescent="0.35">
      <c r="A9" s="6" t="s">
        <v>53</v>
      </c>
      <c r="B9" s="7">
        <v>7856</v>
      </c>
      <c r="E9">
        <f>SUM(E4:E8)</f>
        <v>7856</v>
      </c>
      <c r="G9">
        <f>E9-GETPIVOTDATA("Encounter_ID",$A$3)</f>
        <v>0</v>
      </c>
    </row>
  </sheetData>
  <mergeCells count="3">
    <mergeCell ref="A2:B2"/>
    <mergeCell ref="D2:E2"/>
    <mergeCell ref="G2:H2"/>
  </mergeCell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9E8C-CEC9-436A-883E-298B5952B5E7}">
  <dimension ref="A4:J7860"/>
  <sheetViews>
    <sheetView topLeftCell="A5" workbookViewId="0">
      <selection activeCell="A4" sqref="A4:J7860"/>
    </sheetView>
  </sheetViews>
  <sheetFormatPr defaultRowHeight="21" x14ac:dyDescent="0.35"/>
  <cols>
    <col min="1" max="1" width="12.36328125" customWidth="1"/>
    <col min="2" max="2" width="22.26953125" bestFit="1" customWidth="1"/>
    <col min="3" max="3" width="14" customWidth="1"/>
    <col min="4" max="4" width="9.7265625" customWidth="1"/>
    <col min="5" max="5" width="19.54296875" bestFit="1" customWidth="1"/>
    <col min="6" max="6" width="21.81640625" customWidth="1"/>
    <col min="7" max="7" width="25.1796875" customWidth="1"/>
    <col min="8" max="8" width="12.7265625" customWidth="1"/>
    <col min="9" max="9" width="10.90625" customWidth="1"/>
    <col min="10" max="10" width="18.453125" customWidth="1"/>
  </cols>
  <sheetData>
    <row r="4" spans="1:10" x14ac:dyDescent="0.35">
      <c r="A4" t="s">
        <v>46</v>
      </c>
      <c r="B4" t="s">
        <v>0</v>
      </c>
      <c r="C4" t="s">
        <v>1</v>
      </c>
      <c r="D4" t="s">
        <v>47</v>
      </c>
      <c r="E4" t="s">
        <v>48</v>
      </c>
      <c r="F4" t="s">
        <v>2</v>
      </c>
      <c r="G4" t="s">
        <v>49</v>
      </c>
      <c r="H4" t="s">
        <v>50</v>
      </c>
      <c r="I4" t="s">
        <v>51</v>
      </c>
      <c r="J4" t="s">
        <v>52</v>
      </c>
    </row>
    <row r="5" spans="1:10" x14ac:dyDescent="0.35">
      <c r="A5">
        <v>317708</v>
      </c>
      <c r="B5" t="s">
        <v>20</v>
      </c>
      <c r="C5">
        <v>2015</v>
      </c>
      <c r="D5">
        <v>9</v>
      </c>
      <c r="E5" t="s">
        <v>42</v>
      </c>
      <c r="F5" t="s">
        <v>5</v>
      </c>
      <c r="G5" t="s">
        <v>5</v>
      </c>
      <c r="H5">
        <v>59213.08</v>
      </c>
      <c r="I5">
        <v>41783.58</v>
      </c>
      <c r="J5">
        <v>0</v>
      </c>
    </row>
    <row r="6" spans="1:10" x14ac:dyDescent="0.35">
      <c r="A6">
        <v>317722</v>
      </c>
      <c r="B6" t="s">
        <v>20</v>
      </c>
      <c r="C6">
        <v>2015</v>
      </c>
      <c r="D6">
        <v>9</v>
      </c>
      <c r="E6" t="s">
        <v>42</v>
      </c>
      <c r="F6" t="s">
        <v>5</v>
      </c>
      <c r="G6" t="s">
        <v>5</v>
      </c>
      <c r="H6">
        <v>72440.5</v>
      </c>
      <c r="I6">
        <v>55117.99</v>
      </c>
      <c r="J6">
        <v>0</v>
      </c>
    </row>
    <row r="7" spans="1:10" x14ac:dyDescent="0.35">
      <c r="A7">
        <v>317749</v>
      </c>
      <c r="B7" t="s">
        <v>20</v>
      </c>
      <c r="C7">
        <v>2015</v>
      </c>
      <c r="D7">
        <v>6</v>
      </c>
      <c r="E7" t="s">
        <v>43</v>
      </c>
      <c r="F7" t="s">
        <v>5</v>
      </c>
      <c r="G7" t="s">
        <v>5</v>
      </c>
      <c r="H7">
        <v>57201.39</v>
      </c>
      <c r="I7">
        <v>37236.629999999997</v>
      </c>
      <c r="J7">
        <v>0</v>
      </c>
    </row>
    <row r="8" spans="1:10" x14ac:dyDescent="0.35">
      <c r="A8">
        <v>317779</v>
      </c>
      <c r="B8" t="s">
        <v>20</v>
      </c>
      <c r="C8">
        <v>2015</v>
      </c>
      <c r="D8">
        <v>9</v>
      </c>
      <c r="E8" t="s">
        <v>42</v>
      </c>
      <c r="F8" t="s">
        <v>5</v>
      </c>
      <c r="G8" t="s">
        <v>5</v>
      </c>
      <c r="H8">
        <v>74794.3</v>
      </c>
      <c r="I8">
        <v>57374.47</v>
      </c>
      <c r="J8">
        <v>0</v>
      </c>
    </row>
    <row r="9" spans="1:10" x14ac:dyDescent="0.35">
      <c r="A9">
        <v>317787</v>
      </c>
      <c r="B9" t="s">
        <v>20</v>
      </c>
      <c r="C9">
        <v>2015</v>
      </c>
      <c r="D9">
        <v>9</v>
      </c>
      <c r="E9" t="s">
        <v>42</v>
      </c>
      <c r="F9" t="s">
        <v>5</v>
      </c>
      <c r="G9" t="s">
        <v>5</v>
      </c>
      <c r="H9">
        <v>72353.320000000007</v>
      </c>
      <c r="I9">
        <v>55146.28</v>
      </c>
      <c r="J9">
        <v>0</v>
      </c>
    </row>
    <row r="10" spans="1:10" x14ac:dyDescent="0.35">
      <c r="A10">
        <v>317793</v>
      </c>
      <c r="B10" t="s">
        <v>20</v>
      </c>
      <c r="C10">
        <v>2015</v>
      </c>
      <c r="D10">
        <v>9</v>
      </c>
      <c r="E10" t="s">
        <v>42</v>
      </c>
      <c r="F10" t="s">
        <v>5</v>
      </c>
      <c r="G10" t="s">
        <v>5</v>
      </c>
      <c r="H10">
        <v>66013.7</v>
      </c>
      <c r="I10">
        <v>53193.24</v>
      </c>
      <c r="J10">
        <v>0</v>
      </c>
    </row>
    <row r="11" spans="1:10" x14ac:dyDescent="0.35">
      <c r="A11">
        <v>317805</v>
      </c>
      <c r="B11" t="s">
        <v>20</v>
      </c>
      <c r="C11">
        <v>2015</v>
      </c>
      <c r="D11">
        <v>9</v>
      </c>
      <c r="E11" t="s">
        <v>42</v>
      </c>
      <c r="F11" t="s">
        <v>5</v>
      </c>
      <c r="G11" t="s">
        <v>5</v>
      </c>
      <c r="H11">
        <v>95423.57</v>
      </c>
      <c r="I11">
        <v>78402.490000000005</v>
      </c>
      <c r="J11">
        <v>0</v>
      </c>
    </row>
    <row r="12" spans="1:10" x14ac:dyDescent="0.35">
      <c r="A12">
        <v>317815</v>
      </c>
      <c r="B12" t="s">
        <v>20</v>
      </c>
      <c r="C12">
        <v>2015</v>
      </c>
      <c r="D12">
        <v>6</v>
      </c>
      <c r="E12" t="s">
        <v>43</v>
      </c>
      <c r="F12" t="s">
        <v>5</v>
      </c>
      <c r="G12" t="s">
        <v>5</v>
      </c>
      <c r="H12">
        <v>97216.98</v>
      </c>
      <c r="I12">
        <v>79732.75</v>
      </c>
      <c r="J12">
        <v>0</v>
      </c>
    </row>
    <row r="13" spans="1:10" x14ac:dyDescent="0.35">
      <c r="A13">
        <v>317828</v>
      </c>
      <c r="B13" t="s">
        <v>20</v>
      </c>
      <c r="C13">
        <v>2015</v>
      </c>
      <c r="D13">
        <v>9</v>
      </c>
      <c r="E13" t="s">
        <v>42</v>
      </c>
      <c r="F13" t="s">
        <v>5</v>
      </c>
      <c r="G13" t="s">
        <v>5</v>
      </c>
      <c r="H13">
        <v>65454</v>
      </c>
      <c r="I13">
        <v>48405.68</v>
      </c>
      <c r="J13">
        <v>0</v>
      </c>
    </row>
    <row r="14" spans="1:10" x14ac:dyDescent="0.35">
      <c r="A14">
        <v>317837</v>
      </c>
      <c r="B14" t="s">
        <v>20</v>
      </c>
      <c r="C14">
        <v>2015</v>
      </c>
      <c r="D14">
        <v>9</v>
      </c>
      <c r="E14" t="s">
        <v>42</v>
      </c>
      <c r="F14" t="s">
        <v>5</v>
      </c>
      <c r="G14" t="s">
        <v>5</v>
      </c>
      <c r="H14">
        <v>87116.9</v>
      </c>
      <c r="I14">
        <v>60030.91</v>
      </c>
      <c r="J14">
        <v>0</v>
      </c>
    </row>
    <row r="15" spans="1:10" x14ac:dyDescent="0.35">
      <c r="A15">
        <v>317841</v>
      </c>
      <c r="B15" t="s">
        <v>20</v>
      </c>
      <c r="C15">
        <v>2015</v>
      </c>
      <c r="D15">
        <v>6</v>
      </c>
      <c r="E15" t="s">
        <v>43</v>
      </c>
      <c r="F15" t="s">
        <v>5</v>
      </c>
      <c r="G15" t="s">
        <v>5</v>
      </c>
      <c r="H15">
        <v>74685.119999999995</v>
      </c>
      <c r="I15">
        <v>57371.39</v>
      </c>
      <c r="J15">
        <v>0</v>
      </c>
    </row>
    <row r="16" spans="1:10" x14ac:dyDescent="0.35">
      <c r="A16">
        <v>317844</v>
      </c>
      <c r="B16" t="s">
        <v>20</v>
      </c>
      <c r="C16">
        <v>2015</v>
      </c>
      <c r="D16">
        <v>6</v>
      </c>
      <c r="E16" t="s">
        <v>43</v>
      </c>
      <c r="F16" t="s">
        <v>5</v>
      </c>
      <c r="G16" t="s">
        <v>5</v>
      </c>
      <c r="H16">
        <v>49320.84</v>
      </c>
      <c r="I16">
        <v>31159.59</v>
      </c>
      <c r="J16">
        <v>0</v>
      </c>
    </row>
    <row r="17" spans="1:10" x14ac:dyDescent="0.35">
      <c r="A17">
        <v>317849</v>
      </c>
      <c r="B17" t="s">
        <v>20</v>
      </c>
      <c r="C17">
        <v>2015</v>
      </c>
      <c r="D17">
        <v>6</v>
      </c>
      <c r="E17" t="s">
        <v>43</v>
      </c>
      <c r="F17" t="s">
        <v>5</v>
      </c>
      <c r="G17" t="s">
        <v>5</v>
      </c>
      <c r="H17">
        <v>20373.96</v>
      </c>
      <c r="I17">
        <v>6641.45</v>
      </c>
      <c r="J17">
        <v>0</v>
      </c>
    </row>
    <row r="18" spans="1:10" x14ac:dyDescent="0.35">
      <c r="A18">
        <v>317863</v>
      </c>
      <c r="B18" t="s">
        <v>20</v>
      </c>
      <c r="C18">
        <v>2015</v>
      </c>
      <c r="D18">
        <v>6</v>
      </c>
      <c r="E18" t="s">
        <v>43</v>
      </c>
      <c r="F18" t="s">
        <v>5</v>
      </c>
      <c r="G18" t="s">
        <v>5</v>
      </c>
      <c r="H18">
        <v>23806.09</v>
      </c>
      <c r="I18">
        <v>8286.68</v>
      </c>
      <c r="J18">
        <v>0</v>
      </c>
    </row>
    <row r="19" spans="1:10" x14ac:dyDescent="0.35">
      <c r="A19">
        <v>317894</v>
      </c>
      <c r="B19" t="s">
        <v>20</v>
      </c>
      <c r="C19">
        <v>2015</v>
      </c>
      <c r="D19">
        <v>6</v>
      </c>
      <c r="E19" t="s">
        <v>43</v>
      </c>
      <c r="F19" t="s">
        <v>5</v>
      </c>
      <c r="G19" t="s">
        <v>5</v>
      </c>
      <c r="H19">
        <v>62387.54</v>
      </c>
      <c r="I19">
        <v>45277.98</v>
      </c>
      <c r="J19">
        <v>0</v>
      </c>
    </row>
    <row r="20" spans="1:10" x14ac:dyDescent="0.35">
      <c r="A20">
        <v>317904</v>
      </c>
      <c r="B20" t="s">
        <v>20</v>
      </c>
      <c r="C20">
        <v>2015</v>
      </c>
      <c r="D20">
        <v>6</v>
      </c>
      <c r="E20" t="s">
        <v>43</v>
      </c>
      <c r="F20" t="s">
        <v>5</v>
      </c>
      <c r="G20" t="s">
        <v>5</v>
      </c>
      <c r="H20">
        <v>222517.12</v>
      </c>
      <c r="I20">
        <v>205458.83</v>
      </c>
      <c r="J20">
        <v>0</v>
      </c>
    </row>
    <row r="21" spans="1:10" x14ac:dyDescent="0.35">
      <c r="A21">
        <v>317913</v>
      </c>
      <c r="B21" t="s">
        <v>20</v>
      </c>
      <c r="C21">
        <v>2015</v>
      </c>
      <c r="D21">
        <v>6</v>
      </c>
      <c r="E21" t="s">
        <v>43</v>
      </c>
      <c r="F21" t="s">
        <v>5</v>
      </c>
      <c r="G21" t="s">
        <v>5</v>
      </c>
      <c r="H21">
        <v>5143.75</v>
      </c>
      <c r="I21">
        <v>6274.6</v>
      </c>
      <c r="J21">
        <v>1</v>
      </c>
    </row>
    <row r="22" spans="1:10" x14ac:dyDescent="0.35">
      <c r="A22">
        <v>317979</v>
      </c>
      <c r="B22" t="s">
        <v>20</v>
      </c>
      <c r="C22">
        <v>2015</v>
      </c>
      <c r="D22">
        <v>9</v>
      </c>
      <c r="E22" t="s">
        <v>42</v>
      </c>
      <c r="F22" t="s">
        <v>5</v>
      </c>
      <c r="G22" t="s">
        <v>5</v>
      </c>
      <c r="H22">
        <v>73559.44</v>
      </c>
      <c r="I22">
        <v>56970.46</v>
      </c>
      <c r="J22">
        <v>0</v>
      </c>
    </row>
    <row r="23" spans="1:10" x14ac:dyDescent="0.35">
      <c r="A23">
        <v>318028</v>
      </c>
      <c r="B23" t="s">
        <v>20</v>
      </c>
      <c r="C23">
        <v>2015</v>
      </c>
      <c r="D23">
        <v>9</v>
      </c>
      <c r="E23" t="s">
        <v>42</v>
      </c>
      <c r="F23" t="s">
        <v>5</v>
      </c>
      <c r="G23" t="s">
        <v>5</v>
      </c>
      <c r="H23">
        <v>60110.28</v>
      </c>
      <c r="I23">
        <v>42268.74</v>
      </c>
      <c r="J23">
        <v>0</v>
      </c>
    </row>
    <row r="24" spans="1:10" x14ac:dyDescent="0.35">
      <c r="A24">
        <v>318031</v>
      </c>
      <c r="B24" t="s">
        <v>20</v>
      </c>
      <c r="C24">
        <v>2015</v>
      </c>
      <c r="D24">
        <v>6</v>
      </c>
      <c r="E24" t="s">
        <v>43</v>
      </c>
      <c r="F24" t="s">
        <v>5</v>
      </c>
      <c r="G24" t="s">
        <v>5</v>
      </c>
      <c r="H24">
        <v>68740.14</v>
      </c>
      <c r="I24">
        <v>56344.94</v>
      </c>
      <c r="J24">
        <v>0</v>
      </c>
    </row>
    <row r="25" spans="1:10" x14ac:dyDescent="0.35">
      <c r="A25">
        <v>318036</v>
      </c>
      <c r="B25" t="s">
        <v>20</v>
      </c>
      <c r="C25">
        <v>2015</v>
      </c>
      <c r="D25">
        <v>6</v>
      </c>
      <c r="E25" t="s">
        <v>43</v>
      </c>
      <c r="F25" t="s">
        <v>5</v>
      </c>
      <c r="G25" t="s">
        <v>5</v>
      </c>
      <c r="H25">
        <v>78644</v>
      </c>
      <c r="I25">
        <v>59394.66</v>
      </c>
      <c r="J25">
        <v>0</v>
      </c>
    </row>
    <row r="26" spans="1:10" x14ac:dyDescent="0.35">
      <c r="A26">
        <v>318037</v>
      </c>
      <c r="B26" t="s">
        <v>20</v>
      </c>
      <c r="C26">
        <v>2015</v>
      </c>
      <c r="D26">
        <v>6</v>
      </c>
      <c r="E26" t="s">
        <v>43</v>
      </c>
      <c r="F26" t="s">
        <v>5</v>
      </c>
      <c r="G26" t="s">
        <v>5</v>
      </c>
      <c r="H26">
        <v>9002.82</v>
      </c>
      <c r="I26">
        <v>8557.5300000000007</v>
      </c>
      <c r="J26">
        <v>0</v>
      </c>
    </row>
    <row r="27" spans="1:10" x14ac:dyDescent="0.35">
      <c r="A27">
        <v>318040</v>
      </c>
      <c r="B27" t="s">
        <v>20</v>
      </c>
      <c r="C27">
        <v>2015</v>
      </c>
      <c r="D27">
        <v>9</v>
      </c>
      <c r="E27" t="s">
        <v>42</v>
      </c>
      <c r="F27" t="s">
        <v>5</v>
      </c>
      <c r="G27" t="s">
        <v>5</v>
      </c>
      <c r="H27">
        <v>66777.039999999994</v>
      </c>
      <c r="I27">
        <v>48723.45</v>
      </c>
      <c r="J27">
        <v>0</v>
      </c>
    </row>
    <row r="28" spans="1:10" x14ac:dyDescent="0.35">
      <c r="A28">
        <v>318042</v>
      </c>
      <c r="B28" t="s">
        <v>20</v>
      </c>
      <c r="C28">
        <v>2015</v>
      </c>
      <c r="D28">
        <v>9</v>
      </c>
      <c r="E28" t="s">
        <v>42</v>
      </c>
      <c r="F28" t="s">
        <v>5</v>
      </c>
      <c r="G28" t="s">
        <v>5</v>
      </c>
      <c r="H28">
        <v>75015.899999999994</v>
      </c>
      <c r="I28">
        <v>56081.73</v>
      </c>
      <c r="J28">
        <v>0</v>
      </c>
    </row>
    <row r="29" spans="1:10" x14ac:dyDescent="0.35">
      <c r="A29">
        <v>318043</v>
      </c>
      <c r="B29" t="s">
        <v>20</v>
      </c>
      <c r="C29">
        <v>2015</v>
      </c>
      <c r="D29">
        <v>6</v>
      </c>
      <c r="E29" t="s">
        <v>43</v>
      </c>
      <c r="F29" t="s">
        <v>5</v>
      </c>
      <c r="G29" t="s">
        <v>5</v>
      </c>
      <c r="H29">
        <v>35865.089999999997</v>
      </c>
      <c r="I29">
        <v>24458.31</v>
      </c>
      <c r="J29">
        <v>0</v>
      </c>
    </row>
    <row r="30" spans="1:10" x14ac:dyDescent="0.35">
      <c r="A30">
        <v>318045</v>
      </c>
      <c r="B30" t="s">
        <v>20</v>
      </c>
      <c r="C30">
        <v>2015</v>
      </c>
      <c r="D30">
        <v>6</v>
      </c>
      <c r="E30" t="s">
        <v>43</v>
      </c>
      <c r="F30" t="s">
        <v>5</v>
      </c>
      <c r="G30" t="s">
        <v>5</v>
      </c>
      <c r="H30">
        <v>34062.61</v>
      </c>
      <c r="I30">
        <v>24364.93</v>
      </c>
      <c r="J30">
        <v>0</v>
      </c>
    </row>
    <row r="31" spans="1:10" x14ac:dyDescent="0.35">
      <c r="A31">
        <v>318048</v>
      </c>
      <c r="B31" t="s">
        <v>20</v>
      </c>
      <c r="C31">
        <v>2015</v>
      </c>
      <c r="D31">
        <v>6</v>
      </c>
      <c r="E31" t="s">
        <v>43</v>
      </c>
      <c r="F31" t="s">
        <v>5</v>
      </c>
      <c r="G31" t="s">
        <v>5</v>
      </c>
      <c r="H31">
        <v>29657.38</v>
      </c>
      <c r="I31">
        <v>9051.49</v>
      </c>
      <c r="J31">
        <v>0</v>
      </c>
    </row>
    <row r="32" spans="1:10" x14ac:dyDescent="0.35">
      <c r="A32">
        <v>318053</v>
      </c>
      <c r="B32" t="s">
        <v>20</v>
      </c>
      <c r="C32">
        <v>2015</v>
      </c>
      <c r="D32">
        <v>9</v>
      </c>
      <c r="E32" t="s">
        <v>42</v>
      </c>
      <c r="F32" t="s">
        <v>5</v>
      </c>
      <c r="G32" t="s">
        <v>5</v>
      </c>
      <c r="H32">
        <v>5236.55</v>
      </c>
      <c r="I32">
        <v>6297.58</v>
      </c>
      <c r="J32">
        <v>1</v>
      </c>
    </row>
    <row r="33" spans="1:10" x14ac:dyDescent="0.35">
      <c r="A33">
        <v>318055</v>
      </c>
      <c r="B33" t="s">
        <v>20</v>
      </c>
      <c r="C33">
        <v>2015</v>
      </c>
      <c r="D33">
        <v>9</v>
      </c>
      <c r="E33" t="s">
        <v>42</v>
      </c>
      <c r="F33" t="s">
        <v>5</v>
      </c>
      <c r="G33" t="s">
        <v>5</v>
      </c>
      <c r="H33">
        <v>36398.46</v>
      </c>
      <c r="I33">
        <v>23746.53</v>
      </c>
      <c r="J33">
        <v>0</v>
      </c>
    </row>
    <row r="34" spans="1:10" x14ac:dyDescent="0.35">
      <c r="A34">
        <v>318092</v>
      </c>
      <c r="B34" t="s">
        <v>20</v>
      </c>
      <c r="C34">
        <v>2015</v>
      </c>
      <c r="D34">
        <v>9</v>
      </c>
      <c r="E34" t="s">
        <v>42</v>
      </c>
      <c r="F34" t="s">
        <v>5</v>
      </c>
      <c r="G34" t="s">
        <v>5</v>
      </c>
      <c r="H34">
        <v>72885.78</v>
      </c>
      <c r="I34">
        <v>50943.199999999997</v>
      </c>
      <c r="J34">
        <v>0</v>
      </c>
    </row>
    <row r="35" spans="1:10" x14ac:dyDescent="0.35">
      <c r="A35">
        <v>318104</v>
      </c>
      <c r="B35" t="s">
        <v>20</v>
      </c>
      <c r="C35">
        <v>2015</v>
      </c>
      <c r="D35">
        <v>6</v>
      </c>
      <c r="E35" t="s">
        <v>43</v>
      </c>
      <c r="F35" t="s">
        <v>5</v>
      </c>
      <c r="G35" t="s">
        <v>5</v>
      </c>
      <c r="H35">
        <v>7281.05</v>
      </c>
      <c r="I35">
        <v>6876.92</v>
      </c>
      <c r="J35">
        <v>0</v>
      </c>
    </row>
    <row r="36" spans="1:10" x14ac:dyDescent="0.35">
      <c r="A36">
        <v>318144</v>
      </c>
      <c r="B36" t="s">
        <v>20</v>
      </c>
      <c r="C36">
        <v>2015</v>
      </c>
      <c r="D36">
        <v>6</v>
      </c>
      <c r="E36" t="s">
        <v>43</v>
      </c>
      <c r="F36" t="s">
        <v>5</v>
      </c>
      <c r="G36" t="s">
        <v>5</v>
      </c>
      <c r="H36">
        <v>39279.15</v>
      </c>
      <c r="I36">
        <v>24543.77</v>
      </c>
      <c r="J36">
        <v>0</v>
      </c>
    </row>
    <row r="37" spans="1:10" x14ac:dyDescent="0.35">
      <c r="A37">
        <v>318173</v>
      </c>
      <c r="B37" t="s">
        <v>20</v>
      </c>
      <c r="C37">
        <v>2015</v>
      </c>
      <c r="D37">
        <v>9</v>
      </c>
      <c r="E37" t="s">
        <v>42</v>
      </c>
      <c r="F37" t="s">
        <v>5</v>
      </c>
      <c r="G37" t="s">
        <v>5</v>
      </c>
      <c r="H37">
        <v>3266.92</v>
      </c>
      <c r="I37">
        <v>3310.84</v>
      </c>
      <c r="J37">
        <v>1</v>
      </c>
    </row>
    <row r="38" spans="1:10" x14ac:dyDescent="0.35">
      <c r="A38">
        <v>318177</v>
      </c>
      <c r="B38" t="s">
        <v>20</v>
      </c>
      <c r="C38">
        <v>2015</v>
      </c>
      <c r="D38">
        <v>9</v>
      </c>
      <c r="E38" t="s">
        <v>42</v>
      </c>
      <c r="F38" t="s">
        <v>5</v>
      </c>
      <c r="G38" t="s">
        <v>5</v>
      </c>
      <c r="H38">
        <v>74578.44</v>
      </c>
      <c r="I38">
        <v>58247.65</v>
      </c>
      <c r="J38">
        <v>0</v>
      </c>
    </row>
    <row r="39" spans="1:10" x14ac:dyDescent="0.35">
      <c r="A39">
        <v>318181</v>
      </c>
      <c r="B39" t="s">
        <v>20</v>
      </c>
      <c r="C39">
        <v>2015</v>
      </c>
      <c r="D39">
        <v>6</v>
      </c>
      <c r="E39" t="s">
        <v>43</v>
      </c>
      <c r="F39" t="s">
        <v>5</v>
      </c>
      <c r="G39" t="s">
        <v>5</v>
      </c>
      <c r="H39">
        <v>69636.72</v>
      </c>
      <c r="I39">
        <v>55563.66</v>
      </c>
      <c r="J39">
        <v>0</v>
      </c>
    </row>
    <row r="40" spans="1:10" x14ac:dyDescent="0.35">
      <c r="A40">
        <v>318187</v>
      </c>
      <c r="B40" t="s">
        <v>20</v>
      </c>
      <c r="C40">
        <v>2015</v>
      </c>
      <c r="D40">
        <v>6</v>
      </c>
      <c r="E40" t="s">
        <v>43</v>
      </c>
      <c r="F40" t="s">
        <v>5</v>
      </c>
      <c r="G40" t="s">
        <v>5</v>
      </c>
      <c r="H40">
        <v>5151.51</v>
      </c>
      <c r="I40">
        <v>6276.46</v>
      </c>
      <c r="J40">
        <v>1</v>
      </c>
    </row>
    <row r="41" spans="1:10" x14ac:dyDescent="0.35">
      <c r="A41">
        <v>318201</v>
      </c>
      <c r="B41" t="s">
        <v>20</v>
      </c>
      <c r="C41">
        <v>2015</v>
      </c>
      <c r="D41">
        <v>9</v>
      </c>
      <c r="E41" t="s">
        <v>42</v>
      </c>
      <c r="F41" t="s">
        <v>5</v>
      </c>
      <c r="G41" t="s">
        <v>5</v>
      </c>
      <c r="H41">
        <v>59286.92</v>
      </c>
      <c r="I41">
        <v>42164.3</v>
      </c>
      <c r="J41">
        <v>0</v>
      </c>
    </row>
    <row r="42" spans="1:10" x14ac:dyDescent="0.35">
      <c r="A42">
        <v>318216</v>
      </c>
      <c r="B42" t="s">
        <v>20</v>
      </c>
      <c r="C42">
        <v>2015</v>
      </c>
      <c r="D42">
        <v>6</v>
      </c>
      <c r="E42" t="s">
        <v>43</v>
      </c>
      <c r="F42" t="s">
        <v>5</v>
      </c>
      <c r="G42" t="s">
        <v>5</v>
      </c>
      <c r="H42">
        <v>35551.39</v>
      </c>
      <c r="I42">
        <v>23597.19</v>
      </c>
      <c r="J42">
        <v>0</v>
      </c>
    </row>
    <row r="43" spans="1:10" x14ac:dyDescent="0.35">
      <c r="A43">
        <v>318266</v>
      </c>
      <c r="B43" t="s">
        <v>20</v>
      </c>
      <c r="C43">
        <v>2015</v>
      </c>
      <c r="D43">
        <v>9</v>
      </c>
      <c r="E43" t="s">
        <v>42</v>
      </c>
      <c r="F43" t="s">
        <v>5</v>
      </c>
      <c r="G43" t="s">
        <v>5</v>
      </c>
      <c r="H43">
        <v>50558.1</v>
      </c>
      <c r="I43">
        <v>33375.480000000003</v>
      </c>
      <c r="J43">
        <v>0</v>
      </c>
    </row>
    <row r="44" spans="1:10" x14ac:dyDescent="0.35">
      <c r="A44">
        <v>318283</v>
      </c>
      <c r="B44" t="s">
        <v>20</v>
      </c>
      <c r="C44">
        <v>2015</v>
      </c>
      <c r="D44">
        <v>6</v>
      </c>
      <c r="E44" t="s">
        <v>43</v>
      </c>
      <c r="F44" t="s">
        <v>5</v>
      </c>
      <c r="G44" t="s">
        <v>5</v>
      </c>
      <c r="H44">
        <v>24056.54</v>
      </c>
      <c r="I44">
        <v>10908.7</v>
      </c>
      <c r="J44">
        <v>0</v>
      </c>
    </row>
    <row r="45" spans="1:10" x14ac:dyDescent="0.35">
      <c r="A45">
        <v>318294</v>
      </c>
      <c r="B45" t="s">
        <v>20</v>
      </c>
      <c r="C45">
        <v>2015</v>
      </c>
      <c r="D45">
        <v>9</v>
      </c>
      <c r="E45" t="s">
        <v>42</v>
      </c>
      <c r="F45" t="s">
        <v>5</v>
      </c>
      <c r="G45" t="s">
        <v>5</v>
      </c>
      <c r="H45">
        <v>69493.64</v>
      </c>
      <c r="I45">
        <v>55628.61</v>
      </c>
      <c r="J45">
        <v>0</v>
      </c>
    </row>
    <row r="46" spans="1:10" x14ac:dyDescent="0.35">
      <c r="A46">
        <v>318313</v>
      </c>
      <c r="B46" t="s">
        <v>20</v>
      </c>
      <c r="C46">
        <v>2015</v>
      </c>
      <c r="D46">
        <v>9</v>
      </c>
      <c r="E46" t="s">
        <v>42</v>
      </c>
      <c r="F46" t="s">
        <v>5</v>
      </c>
      <c r="G46" t="s">
        <v>5</v>
      </c>
      <c r="H46">
        <v>62488</v>
      </c>
      <c r="I46">
        <v>47483.15</v>
      </c>
      <c r="J46">
        <v>0</v>
      </c>
    </row>
    <row r="47" spans="1:10" x14ac:dyDescent="0.35">
      <c r="A47">
        <v>318320</v>
      </c>
      <c r="B47" t="s">
        <v>20</v>
      </c>
      <c r="C47">
        <v>2015</v>
      </c>
      <c r="D47">
        <v>6</v>
      </c>
      <c r="E47" t="s">
        <v>43</v>
      </c>
      <c r="F47" t="s">
        <v>5</v>
      </c>
      <c r="G47" t="s">
        <v>5</v>
      </c>
      <c r="H47">
        <v>65103.92</v>
      </c>
      <c r="I47">
        <v>46289.2</v>
      </c>
      <c r="J47">
        <v>0</v>
      </c>
    </row>
    <row r="48" spans="1:10" x14ac:dyDescent="0.35">
      <c r="A48">
        <v>318326</v>
      </c>
      <c r="B48" t="s">
        <v>20</v>
      </c>
      <c r="C48">
        <v>2015</v>
      </c>
      <c r="D48">
        <v>6</v>
      </c>
      <c r="E48" t="s">
        <v>43</v>
      </c>
      <c r="F48" t="s">
        <v>5</v>
      </c>
      <c r="G48" t="s">
        <v>5</v>
      </c>
      <c r="H48">
        <v>182913.77</v>
      </c>
      <c r="I48">
        <v>159494.37</v>
      </c>
      <c r="J48">
        <v>0</v>
      </c>
    </row>
    <row r="49" spans="1:10" x14ac:dyDescent="0.35">
      <c r="A49">
        <v>318355</v>
      </c>
      <c r="B49" t="s">
        <v>20</v>
      </c>
      <c r="C49">
        <v>2015</v>
      </c>
      <c r="D49">
        <v>6</v>
      </c>
      <c r="E49" t="s">
        <v>43</v>
      </c>
      <c r="F49" t="s">
        <v>5</v>
      </c>
      <c r="G49" t="s">
        <v>5</v>
      </c>
      <c r="H49">
        <v>66864.740000000005</v>
      </c>
      <c r="I49">
        <v>48962.86</v>
      </c>
      <c r="J49">
        <v>0</v>
      </c>
    </row>
    <row r="50" spans="1:10" x14ac:dyDescent="0.35">
      <c r="A50">
        <v>318361</v>
      </c>
      <c r="B50" t="s">
        <v>20</v>
      </c>
      <c r="C50">
        <v>2015</v>
      </c>
      <c r="D50">
        <v>9</v>
      </c>
      <c r="E50" t="s">
        <v>42</v>
      </c>
      <c r="F50" t="s">
        <v>5</v>
      </c>
      <c r="G50" t="s">
        <v>5</v>
      </c>
      <c r="H50">
        <v>68067</v>
      </c>
      <c r="I50">
        <v>49222.37</v>
      </c>
      <c r="J50">
        <v>0</v>
      </c>
    </row>
    <row r="51" spans="1:10" x14ac:dyDescent="0.35">
      <c r="A51">
        <v>318397</v>
      </c>
      <c r="B51" t="s">
        <v>20</v>
      </c>
      <c r="C51">
        <v>2015</v>
      </c>
      <c r="D51">
        <v>6</v>
      </c>
      <c r="E51" t="s">
        <v>43</v>
      </c>
      <c r="F51" t="s">
        <v>5</v>
      </c>
      <c r="G51" t="s">
        <v>5</v>
      </c>
      <c r="H51">
        <v>70770.48</v>
      </c>
      <c r="I51">
        <v>52985.42</v>
      </c>
      <c r="J51">
        <v>0</v>
      </c>
    </row>
    <row r="52" spans="1:10" x14ac:dyDescent="0.35">
      <c r="A52">
        <v>318399</v>
      </c>
      <c r="B52" t="s">
        <v>20</v>
      </c>
      <c r="C52">
        <v>2015</v>
      </c>
      <c r="D52">
        <v>6</v>
      </c>
      <c r="E52" t="s">
        <v>43</v>
      </c>
      <c r="F52" t="s">
        <v>5</v>
      </c>
      <c r="G52" t="s">
        <v>5</v>
      </c>
      <c r="H52">
        <v>35810.46</v>
      </c>
      <c r="I52">
        <v>21590.58</v>
      </c>
      <c r="J52">
        <v>0</v>
      </c>
    </row>
    <row r="53" spans="1:10" x14ac:dyDescent="0.35">
      <c r="A53">
        <v>318403</v>
      </c>
      <c r="B53" t="s">
        <v>20</v>
      </c>
      <c r="C53">
        <v>2015</v>
      </c>
      <c r="D53">
        <v>6</v>
      </c>
      <c r="E53" t="s">
        <v>43</v>
      </c>
      <c r="F53" t="s">
        <v>5</v>
      </c>
      <c r="G53" t="s">
        <v>5</v>
      </c>
      <c r="H53">
        <v>57106.68</v>
      </c>
      <c r="I53">
        <v>43892.959999999999</v>
      </c>
      <c r="J53">
        <v>0</v>
      </c>
    </row>
    <row r="54" spans="1:10" x14ac:dyDescent="0.35">
      <c r="A54">
        <v>318406</v>
      </c>
      <c r="B54" t="s">
        <v>20</v>
      </c>
      <c r="C54">
        <v>2015</v>
      </c>
      <c r="D54">
        <v>9</v>
      </c>
      <c r="E54" t="s">
        <v>42</v>
      </c>
      <c r="F54" t="s">
        <v>5</v>
      </c>
      <c r="G54" t="s">
        <v>5</v>
      </c>
      <c r="H54">
        <v>62015.360000000001</v>
      </c>
      <c r="I54">
        <v>42503.63</v>
      </c>
      <c r="J54">
        <v>0</v>
      </c>
    </row>
    <row r="55" spans="1:10" x14ac:dyDescent="0.35">
      <c r="A55">
        <v>318411</v>
      </c>
      <c r="B55" t="s">
        <v>20</v>
      </c>
      <c r="C55">
        <v>2015</v>
      </c>
      <c r="D55">
        <v>9</v>
      </c>
      <c r="E55" t="s">
        <v>42</v>
      </c>
      <c r="F55" t="s">
        <v>5</v>
      </c>
      <c r="G55" t="s">
        <v>5</v>
      </c>
      <c r="H55">
        <v>66085.61</v>
      </c>
      <c r="I55">
        <v>48465.95</v>
      </c>
      <c r="J55">
        <v>0</v>
      </c>
    </row>
    <row r="56" spans="1:10" x14ac:dyDescent="0.35">
      <c r="A56">
        <v>318423</v>
      </c>
      <c r="B56" t="s">
        <v>20</v>
      </c>
      <c r="C56">
        <v>2015</v>
      </c>
      <c r="D56">
        <v>6</v>
      </c>
      <c r="E56" t="s">
        <v>43</v>
      </c>
      <c r="F56" t="s">
        <v>5</v>
      </c>
      <c r="G56" t="s">
        <v>5</v>
      </c>
      <c r="H56">
        <v>70957.64</v>
      </c>
      <c r="I56">
        <v>50502.01</v>
      </c>
      <c r="J56">
        <v>0</v>
      </c>
    </row>
    <row r="57" spans="1:10" x14ac:dyDescent="0.35">
      <c r="A57">
        <v>318454</v>
      </c>
      <c r="B57" t="s">
        <v>20</v>
      </c>
      <c r="C57">
        <v>2015</v>
      </c>
      <c r="D57">
        <v>6</v>
      </c>
      <c r="E57" t="s">
        <v>43</v>
      </c>
      <c r="F57" t="s">
        <v>5</v>
      </c>
      <c r="G57" t="s">
        <v>5</v>
      </c>
      <c r="H57">
        <v>31436.74</v>
      </c>
      <c r="I57">
        <v>13283.36</v>
      </c>
      <c r="J57">
        <v>0</v>
      </c>
    </row>
    <row r="58" spans="1:10" x14ac:dyDescent="0.35">
      <c r="A58">
        <v>318460</v>
      </c>
      <c r="B58" t="s">
        <v>20</v>
      </c>
      <c r="C58">
        <v>2015</v>
      </c>
      <c r="D58">
        <v>6</v>
      </c>
      <c r="E58" t="s">
        <v>43</v>
      </c>
      <c r="F58" t="s">
        <v>5</v>
      </c>
      <c r="G58" t="s">
        <v>5</v>
      </c>
      <c r="H58">
        <v>5143.75</v>
      </c>
      <c r="I58">
        <v>6274.6</v>
      </c>
      <c r="J58">
        <v>1</v>
      </c>
    </row>
    <row r="59" spans="1:10" x14ac:dyDescent="0.35">
      <c r="A59">
        <v>318471</v>
      </c>
      <c r="B59" t="s">
        <v>20</v>
      </c>
      <c r="C59">
        <v>2015</v>
      </c>
      <c r="D59">
        <v>6</v>
      </c>
      <c r="E59" t="s">
        <v>43</v>
      </c>
      <c r="F59" t="s">
        <v>5</v>
      </c>
      <c r="G59" t="s">
        <v>5</v>
      </c>
      <c r="H59">
        <v>37731.230000000003</v>
      </c>
      <c r="I59">
        <v>25025.59</v>
      </c>
      <c r="J59">
        <v>0</v>
      </c>
    </row>
    <row r="60" spans="1:10" x14ac:dyDescent="0.35">
      <c r="A60">
        <v>318477</v>
      </c>
      <c r="B60" t="s">
        <v>20</v>
      </c>
      <c r="C60">
        <v>2015</v>
      </c>
      <c r="D60">
        <v>9</v>
      </c>
      <c r="E60" t="s">
        <v>42</v>
      </c>
      <c r="F60" t="s">
        <v>5</v>
      </c>
      <c r="G60" t="s">
        <v>5</v>
      </c>
      <c r="H60">
        <v>74662.100000000006</v>
      </c>
      <c r="I60">
        <v>55878.23</v>
      </c>
      <c r="J60">
        <v>0</v>
      </c>
    </row>
    <row r="61" spans="1:10" x14ac:dyDescent="0.35">
      <c r="A61">
        <v>318494</v>
      </c>
      <c r="B61" t="s">
        <v>20</v>
      </c>
      <c r="C61">
        <v>2015</v>
      </c>
      <c r="D61">
        <v>9</v>
      </c>
      <c r="E61" t="s">
        <v>42</v>
      </c>
      <c r="F61" t="s">
        <v>5</v>
      </c>
      <c r="G61" t="s">
        <v>5</v>
      </c>
      <c r="H61">
        <v>67640.259999999995</v>
      </c>
      <c r="I61">
        <v>53569.75</v>
      </c>
      <c r="J61">
        <v>0</v>
      </c>
    </row>
    <row r="62" spans="1:10" x14ac:dyDescent="0.35">
      <c r="A62">
        <v>318499</v>
      </c>
      <c r="B62" t="s">
        <v>20</v>
      </c>
      <c r="C62">
        <v>2015</v>
      </c>
      <c r="D62">
        <v>6</v>
      </c>
      <c r="E62" t="s">
        <v>43</v>
      </c>
      <c r="F62" t="s">
        <v>5</v>
      </c>
      <c r="G62" t="s">
        <v>5</v>
      </c>
      <c r="H62">
        <v>71449.36</v>
      </c>
      <c r="I62">
        <v>50656.19</v>
      </c>
      <c r="J62">
        <v>0</v>
      </c>
    </row>
    <row r="63" spans="1:10" x14ac:dyDescent="0.35">
      <c r="A63">
        <v>318507</v>
      </c>
      <c r="B63" t="s">
        <v>20</v>
      </c>
      <c r="C63">
        <v>2015</v>
      </c>
      <c r="D63">
        <v>9</v>
      </c>
      <c r="E63" t="s">
        <v>42</v>
      </c>
      <c r="F63" t="s">
        <v>5</v>
      </c>
      <c r="G63" t="s">
        <v>5</v>
      </c>
      <c r="H63">
        <v>64955.839999999997</v>
      </c>
      <c r="I63">
        <v>46184.24</v>
      </c>
      <c r="J63">
        <v>0</v>
      </c>
    </row>
    <row r="64" spans="1:10" x14ac:dyDescent="0.35">
      <c r="A64">
        <v>318519</v>
      </c>
      <c r="B64" t="s">
        <v>20</v>
      </c>
      <c r="C64">
        <v>2015</v>
      </c>
      <c r="D64">
        <v>9</v>
      </c>
      <c r="E64" t="s">
        <v>42</v>
      </c>
      <c r="F64" t="s">
        <v>5</v>
      </c>
      <c r="G64" t="s">
        <v>5</v>
      </c>
      <c r="H64">
        <v>41633.11</v>
      </c>
      <c r="I64">
        <v>30223.3</v>
      </c>
      <c r="J64">
        <v>0</v>
      </c>
    </row>
    <row r="65" spans="1:10" x14ac:dyDescent="0.35">
      <c r="A65">
        <v>318526</v>
      </c>
      <c r="B65" t="s">
        <v>20</v>
      </c>
      <c r="C65">
        <v>2015</v>
      </c>
      <c r="D65">
        <v>9</v>
      </c>
      <c r="E65" t="s">
        <v>42</v>
      </c>
      <c r="F65" t="s">
        <v>5</v>
      </c>
      <c r="G65" t="s">
        <v>5</v>
      </c>
      <c r="H65">
        <v>38898.559999999998</v>
      </c>
      <c r="I65">
        <v>27830.22</v>
      </c>
      <c r="J65">
        <v>0</v>
      </c>
    </row>
    <row r="66" spans="1:10" x14ac:dyDescent="0.35">
      <c r="A66">
        <v>318531</v>
      </c>
      <c r="B66" t="s">
        <v>20</v>
      </c>
      <c r="C66">
        <v>2015</v>
      </c>
      <c r="D66">
        <v>9</v>
      </c>
      <c r="E66" t="s">
        <v>42</v>
      </c>
      <c r="F66" t="s">
        <v>5</v>
      </c>
      <c r="G66" t="s">
        <v>5</v>
      </c>
      <c r="H66">
        <v>73401.48</v>
      </c>
      <c r="I66">
        <v>55521.14</v>
      </c>
      <c r="J66">
        <v>0</v>
      </c>
    </row>
    <row r="67" spans="1:10" x14ac:dyDescent="0.35">
      <c r="A67">
        <v>318535</v>
      </c>
      <c r="B67" t="s">
        <v>20</v>
      </c>
      <c r="C67">
        <v>2015</v>
      </c>
      <c r="D67">
        <v>6</v>
      </c>
      <c r="E67" t="s">
        <v>43</v>
      </c>
      <c r="F67" t="s">
        <v>5</v>
      </c>
      <c r="G67" t="s">
        <v>5</v>
      </c>
      <c r="H67">
        <v>66984.7</v>
      </c>
      <c r="I67">
        <v>49044.81</v>
      </c>
      <c r="J67">
        <v>0</v>
      </c>
    </row>
    <row r="68" spans="1:10" x14ac:dyDescent="0.35">
      <c r="A68">
        <v>318545</v>
      </c>
      <c r="B68" t="s">
        <v>20</v>
      </c>
      <c r="C68">
        <v>2015</v>
      </c>
      <c r="D68">
        <v>9</v>
      </c>
      <c r="E68" t="s">
        <v>42</v>
      </c>
      <c r="F68" t="s">
        <v>5</v>
      </c>
      <c r="G68" t="s">
        <v>5</v>
      </c>
      <c r="H68">
        <v>23529.38</v>
      </c>
      <c r="I68">
        <v>8257.56</v>
      </c>
      <c r="J68">
        <v>0</v>
      </c>
    </row>
    <row r="69" spans="1:10" x14ac:dyDescent="0.35">
      <c r="A69">
        <v>318552</v>
      </c>
      <c r="B69" t="s">
        <v>20</v>
      </c>
      <c r="C69">
        <v>2015</v>
      </c>
      <c r="D69">
        <v>9</v>
      </c>
      <c r="E69" t="s">
        <v>42</v>
      </c>
      <c r="F69" t="s">
        <v>5</v>
      </c>
      <c r="G69" t="s">
        <v>5</v>
      </c>
      <c r="H69">
        <v>140989.38</v>
      </c>
      <c r="I69">
        <v>111312.17</v>
      </c>
      <c r="J69">
        <v>0</v>
      </c>
    </row>
    <row r="70" spans="1:10" x14ac:dyDescent="0.35">
      <c r="A70">
        <v>318561</v>
      </c>
      <c r="B70" t="s">
        <v>20</v>
      </c>
      <c r="C70">
        <v>2015</v>
      </c>
      <c r="D70">
        <v>9</v>
      </c>
      <c r="E70" t="s">
        <v>42</v>
      </c>
      <c r="F70" t="s">
        <v>5</v>
      </c>
      <c r="G70" t="s">
        <v>5</v>
      </c>
      <c r="H70">
        <v>37950.78</v>
      </c>
      <c r="I70">
        <v>25024.77</v>
      </c>
      <c r="J70">
        <v>0</v>
      </c>
    </row>
    <row r="71" spans="1:10" x14ac:dyDescent="0.35">
      <c r="A71">
        <v>318567</v>
      </c>
      <c r="B71" t="s">
        <v>20</v>
      </c>
      <c r="C71">
        <v>2015</v>
      </c>
      <c r="D71">
        <v>6</v>
      </c>
      <c r="E71" t="s">
        <v>43</v>
      </c>
      <c r="F71" t="s">
        <v>5</v>
      </c>
      <c r="G71" t="s">
        <v>5</v>
      </c>
      <c r="H71">
        <v>25113.98</v>
      </c>
      <c r="I71">
        <v>8394.08</v>
      </c>
      <c r="J71">
        <v>0</v>
      </c>
    </row>
    <row r="72" spans="1:10" x14ac:dyDescent="0.35">
      <c r="A72">
        <v>318577</v>
      </c>
      <c r="B72" t="s">
        <v>20</v>
      </c>
      <c r="C72">
        <v>2015</v>
      </c>
      <c r="D72">
        <v>9</v>
      </c>
      <c r="E72" t="s">
        <v>42</v>
      </c>
      <c r="F72" t="s">
        <v>5</v>
      </c>
      <c r="G72" t="s">
        <v>5</v>
      </c>
      <c r="H72">
        <v>68072.12</v>
      </c>
      <c r="I72">
        <v>46518.89</v>
      </c>
      <c r="J72">
        <v>0</v>
      </c>
    </row>
    <row r="73" spans="1:10" x14ac:dyDescent="0.35">
      <c r="A73">
        <v>318582</v>
      </c>
      <c r="B73" t="s">
        <v>20</v>
      </c>
      <c r="C73">
        <v>2015</v>
      </c>
      <c r="D73">
        <v>9</v>
      </c>
      <c r="E73" t="s">
        <v>42</v>
      </c>
      <c r="F73" t="s">
        <v>5</v>
      </c>
      <c r="G73" t="s">
        <v>5</v>
      </c>
      <c r="H73">
        <v>75263.100000000006</v>
      </c>
      <c r="I73">
        <v>56410.559999999998</v>
      </c>
      <c r="J73">
        <v>0</v>
      </c>
    </row>
    <row r="74" spans="1:10" x14ac:dyDescent="0.35">
      <c r="A74">
        <v>318600</v>
      </c>
      <c r="B74" t="s">
        <v>20</v>
      </c>
      <c r="C74">
        <v>2015</v>
      </c>
      <c r="D74">
        <v>9</v>
      </c>
      <c r="E74" t="s">
        <v>42</v>
      </c>
      <c r="F74" t="s">
        <v>5</v>
      </c>
      <c r="G74" t="s">
        <v>5</v>
      </c>
      <c r="H74">
        <v>57586.239999999998</v>
      </c>
      <c r="I74">
        <v>40261.769999999997</v>
      </c>
      <c r="J74">
        <v>0</v>
      </c>
    </row>
    <row r="75" spans="1:10" x14ac:dyDescent="0.35">
      <c r="A75">
        <v>318604</v>
      </c>
      <c r="B75" t="s">
        <v>20</v>
      </c>
      <c r="C75">
        <v>2015</v>
      </c>
      <c r="D75">
        <v>9</v>
      </c>
      <c r="E75" t="s">
        <v>42</v>
      </c>
      <c r="F75" t="s">
        <v>5</v>
      </c>
      <c r="G75" t="s">
        <v>5</v>
      </c>
      <c r="H75">
        <v>23267.360000000001</v>
      </c>
      <c r="I75">
        <v>8152.6</v>
      </c>
      <c r="J75">
        <v>0</v>
      </c>
    </row>
    <row r="76" spans="1:10" x14ac:dyDescent="0.35">
      <c r="A76">
        <v>318624</v>
      </c>
      <c r="B76" t="s">
        <v>20</v>
      </c>
      <c r="C76">
        <v>2015</v>
      </c>
      <c r="D76">
        <v>9</v>
      </c>
      <c r="E76" t="s">
        <v>42</v>
      </c>
      <c r="F76" t="s">
        <v>5</v>
      </c>
      <c r="G76" t="s">
        <v>5</v>
      </c>
      <c r="H76">
        <v>5125.1499999999996</v>
      </c>
      <c r="I76">
        <v>6270.13</v>
      </c>
      <c r="J76">
        <v>1</v>
      </c>
    </row>
    <row r="77" spans="1:10" x14ac:dyDescent="0.35">
      <c r="A77">
        <v>318627</v>
      </c>
      <c r="B77" t="s">
        <v>20</v>
      </c>
      <c r="C77">
        <v>2015</v>
      </c>
      <c r="D77">
        <v>6</v>
      </c>
      <c r="E77" t="s">
        <v>43</v>
      </c>
      <c r="F77" t="s">
        <v>5</v>
      </c>
      <c r="G77" t="s">
        <v>5</v>
      </c>
      <c r="H77">
        <v>29702.799999999999</v>
      </c>
      <c r="I77">
        <v>13700.33</v>
      </c>
      <c r="J77">
        <v>0</v>
      </c>
    </row>
    <row r="78" spans="1:10" x14ac:dyDescent="0.35">
      <c r="A78">
        <v>318642</v>
      </c>
      <c r="B78" t="s">
        <v>20</v>
      </c>
      <c r="C78">
        <v>2015</v>
      </c>
      <c r="D78">
        <v>9</v>
      </c>
      <c r="E78" t="s">
        <v>42</v>
      </c>
      <c r="F78" t="s">
        <v>5</v>
      </c>
      <c r="G78" t="s">
        <v>5</v>
      </c>
      <c r="H78">
        <v>59288.44</v>
      </c>
      <c r="I78">
        <v>44938.87</v>
      </c>
      <c r="J78">
        <v>0</v>
      </c>
    </row>
    <row r="79" spans="1:10" x14ac:dyDescent="0.35">
      <c r="A79">
        <v>318645</v>
      </c>
      <c r="B79" t="s">
        <v>20</v>
      </c>
      <c r="C79">
        <v>2015</v>
      </c>
      <c r="D79">
        <v>9</v>
      </c>
      <c r="E79" t="s">
        <v>42</v>
      </c>
      <c r="F79" t="s">
        <v>5</v>
      </c>
      <c r="G79" t="s">
        <v>5</v>
      </c>
      <c r="H79">
        <v>5125.1499999999996</v>
      </c>
      <c r="I79">
        <v>6270.13</v>
      </c>
      <c r="J79">
        <v>1</v>
      </c>
    </row>
    <row r="80" spans="1:10" x14ac:dyDescent="0.35">
      <c r="A80">
        <v>318664</v>
      </c>
      <c r="B80" t="s">
        <v>20</v>
      </c>
      <c r="C80">
        <v>2015</v>
      </c>
      <c r="D80">
        <v>9</v>
      </c>
      <c r="E80" t="s">
        <v>42</v>
      </c>
      <c r="F80" t="s">
        <v>5</v>
      </c>
      <c r="G80" t="s">
        <v>5</v>
      </c>
      <c r="H80">
        <v>67400.66</v>
      </c>
      <c r="I80">
        <v>53575.68</v>
      </c>
      <c r="J80">
        <v>0</v>
      </c>
    </row>
    <row r="81" spans="1:10" x14ac:dyDescent="0.35">
      <c r="A81">
        <v>318684</v>
      </c>
      <c r="B81" t="s">
        <v>20</v>
      </c>
      <c r="C81">
        <v>2015</v>
      </c>
      <c r="D81">
        <v>6</v>
      </c>
      <c r="E81" t="s">
        <v>43</v>
      </c>
      <c r="F81" t="s">
        <v>5</v>
      </c>
      <c r="G81" t="s">
        <v>5</v>
      </c>
      <c r="H81">
        <v>54226.52</v>
      </c>
      <c r="I81">
        <v>41065.53</v>
      </c>
      <c r="J81">
        <v>0</v>
      </c>
    </row>
    <row r="82" spans="1:10" x14ac:dyDescent="0.35">
      <c r="A82">
        <v>318687</v>
      </c>
      <c r="B82" t="s">
        <v>20</v>
      </c>
      <c r="C82">
        <v>2015</v>
      </c>
      <c r="D82">
        <v>6</v>
      </c>
      <c r="E82" t="s">
        <v>43</v>
      </c>
      <c r="F82" t="s">
        <v>5</v>
      </c>
      <c r="G82" t="s">
        <v>5</v>
      </c>
      <c r="H82">
        <v>205526.91</v>
      </c>
      <c r="I82">
        <v>186006.99</v>
      </c>
      <c r="J82">
        <v>0</v>
      </c>
    </row>
    <row r="83" spans="1:10" x14ac:dyDescent="0.35">
      <c r="A83">
        <v>318692</v>
      </c>
      <c r="B83" t="s">
        <v>20</v>
      </c>
      <c r="C83">
        <v>2015</v>
      </c>
      <c r="D83">
        <v>9</v>
      </c>
      <c r="E83" t="s">
        <v>42</v>
      </c>
      <c r="F83" t="s">
        <v>5</v>
      </c>
      <c r="G83" t="s">
        <v>5</v>
      </c>
      <c r="H83">
        <v>65954.86</v>
      </c>
      <c r="I83">
        <v>48796.13</v>
      </c>
      <c r="J83">
        <v>0</v>
      </c>
    </row>
    <row r="84" spans="1:10" x14ac:dyDescent="0.35">
      <c r="A84">
        <v>318715</v>
      </c>
      <c r="B84" t="s">
        <v>20</v>
      </c>
      <c r="C84">
        <v>2015</v>
      </c>
      <c r="D84">
        <v>6</v>
      </c>
      <c r="E84" t="s">
        <v>43</v>
      </c>
      <c r="F84" t="s">
        <v>5</v>
      </c>
      <c r="G84" t="s">
        <v>5</v>
      </c>
      <c r="H84">
        <v>72098.94</v>
      </c>
      <c r="I84">
        <v>54878.14</v>
      </c>
      <c r="J84">
        <v>0</v>
      </c>
    </row>
    <row r="85" spans="1:10" x14ac:dyDescent="0.35">
      <c r="A85">
        <v>318728</v>
      </c>
      <c r="B85" t="s">
        <v>20</v>
      </c>
      <c r="C85">
        <v>2015</v>
      </c>
      <c r="D85">
        <v>9</v>
      </c>
      <c r="E85" t="s">
        <v>42</v>
      </c>
      <c r="F85" t="s">
        <v>5</v>
      </c>
      <c r="G85" t="s">
        <v>5</v>
      </c>
      <c r="H85">
        <v>37550.31</v>
      </c>
      <c r="I85">
        <v>25116.87</v>
      </c>
      <c r="J85">
        <v>0</v>
      </c>
    </row>
    <row r="86" spans="1:10" x14ac:dyDescent="0.35">
      <c r="A86">
        <v>318736</v>
      </c>
      <c r="B86" t="s">
        <v>20</v>
      </c>
      <c r="C86">
        <v>2015</v>
      </c>
      <c r="D86">
        <v>6</v>
      </c>
      <c r="E86" t="s">
        <v>43</v>
      </c>
      <c r="F86" t="s">
        <v>5</v>
      </c>
      <c r="G86" t="s">
        <v>5</v>
      </c>
      <c r="H86">
        <v>63686.96</v>
      </c>
      <c r="I86">
        <v>45923.35</v>
      </c>
      <c r="J86">
        <v>0</v>
      </c>
    </row>
    <row r="87" spans="1:10" x14ac:dyDescent="0.35">
      <c r="A87">
        <v>318741</v>
      </c>
      <c r="B87" t="s">
        <v>20</v>
      </c>
      <c r="C87">
        <v>2015</v>
      </c>
      <c r="D87">
        <v>9</v>
      </c>
      <c r="E87" t="s">
        <v>42</v>
      </c>
      <c r="F87" t="s">
        <v>5</v>
      </c>
      <c r="G87" t="s">
        <v>5</v>
      </c>
      <c r="H87">
        <v>65386.52</v>
      </c>
      <c r="I87">
        <v>46679.31</v>
      </c>
      <c r="J87">
        <v>0</v>
      </c>
    </row>
    <row r="88" spans="1:10" x14ac:dyDescent="0.35">
      <c r="A88">
        <v>318758</v>
      </c>
      <c r="B88" t="s">
        <v>20</v>
      </c>
      <c r="C88">
        <v>2015</v>
      </c>
      <c r="D88">
        <v>6</v>
      </c>
      <c r="E88" t="s">
        <v>43</v>
      </c>
      <c r="F88" t="s">
        <v>5</v>
      </c>
      <c r="G88" t="s">
        <v>5</v>
      </c>
      <c r="H88">
        <v>102943.56</v>
      </c>
      <c r="I88">
        <v>84219.58</v>
      </c>
      <c r="J88">
        <v>0</v>
      </c>
    </row>
    <row r="89" spans="1:10" x14ac:dyDescent="0.35">
      <c r="A89">
        <v>318766</v>
      </c>
      <c r="B89" t="s">
        <v>20</v>
      </c>
      <c r="C89">
        <v>2015</v>
      </c>
      <c r="D89">
        <v>6</v>
      </c>
      <c r="E89" t="s">
        <v>43</v>
      </c>
      <c r="F89" t="s">
        <v>5</v>
      </c>
      <c r="G89" t="s">
        <v>5</v>
      </c>
      <c r="H89">
        <v>36683.050000000003</v>
      </c>
      <c r="I89">
        <v>24773.5</v>
      </c>
      <c r="J89">
        <v>0</v>
      </c>
    </row>
    <row r="90" spans="1:10" x14ac:dyDescent="0.35">
      <c r="A90">
        <v>318773</v>
      </c>
      <c r="B90" t="s">
        <v>20</v>
      </c>
      <c r="C90">
        <v>2015</v>
      </c>
      <c r="D90">
        <v>9</v>
      </c>
      <c r="E90" t="s">
        <v>42</v>
      </c>
      <c r="F90" t="s">
        <v>5</v>
      </c>
      <c r="G90" t="s">
        <v>5</v>
      </c>
      <c r="H90">
        <v>68428.62</v>
      </c>
      <c r="I90">
        <v>53822.57</v>
      </c>
      <c r="J90">
        <v>0</v>
      </c>
    </row>
    <row r="91" spans="1:10" x14ac:dyDescent="0.35">
      <c r="A91">
        <v>318792</v>
      </c>
      <c r="B91" t="s">
        <v>20</v>
      </c>
      <c r="C91">
        <v>2015</v>
      </c>
      <c r="D91">
        <v>6</v>
      </c>
      <c r="E91" t="s">
        <v>43</v>
      </c>
      <c r="F91" t="s">
        <v>5</v>
      </c>
      <c r="G91" t="s">
        <v>5</v>
      </c>
      <c r="H91">
        <v>2838.4</v>
      </c>
      <c r="I91">
        <v>3205.61</v>
      </c>
      <c r="J91">
        <v>1</v>
      </c>
    </row>
    <row r="92" spans="1:10" x14ac:dyDescent="0.35">
      <c r="A92">
        <v>318825</v>
      </c>
      <c r="B92" t="s">
        <v>20</v>
      </c>
      <c r="C92">
        <v>2015</v>
      </c>
      <c r="D92">
        <v>6</v>
      </c>
      <c r="E92" t="s">
        <v>43</v>
      </c>
      <c r="F92" t="s">
        <v>5</v>
      </c>
      <c r="G92" t="s">
        <v>5</v>
      </c>
      <c r="H92">
        <v>78887.399999999994</v>
      </c>
      <c r="I92">
        <v>57345.03</v>
      </c>
      <c r="J92">
        <v>0</v>
      </c>
    </row>
    <row r="93" spans="1:10" x14ac:dyDescent="0.35">
      <c r="A93">
        <v>318826</v>
      </c>
      <c r="B93" t="s">
        <v>20</v>
      </c>
      <c r="C93">
        <v>2015</v>
      </c>
      <c r="D93">
        <v>6</v>
      </c>
      <c r="E93" t="s">
        <v>43</v>
      </c>
      <c r="F93" t="s">
        <v>5</v>
      </c>
      <c r="G93" t="s">
        <v>5</v>
      </c>
      <c r="H93">
        <v>56136.08</v>
      </c>
      <c r="I93">
        <v>42465.56</v>
      </c>
      <c r="J93">
        <v>0</v>
      </c>
    </row>
    <row r="94" spans="1:10" x14ac:dyDescent="0.35">
      <c r="A94">
        <v>318831</v>
      </c>
      <c r="B94" t="s">
        <v>20</v>
      </c>
      <c r="C94">
        <v>2015</v>
      </c>
      <c r="D94">
        <v>9</v>
      </c>
      <c r="E94" t="s">
        <v>42</v>
      </c>
      <c r="F94" t="s">
        <v>5</v>
      </c>
      <c r="G94" t="s">
        <v>5</v>
      </c>
      <c r="H94">
        <v>73574.100000000006</v>
      </c>
      <c r="I94">
        <v>50517.29</v>
      </c>
      <c r="J94">
        <v>0</v>
      </c>
    </row>
    <row r="95" spans="1:10" x14ac:dyDescent="0.35">
      <c r="A95">
        <v>318837</v>
      </c>
      <c r="B95" t="s">
        <v>20</v>
      </c>
      <c r="C95">
        <v>2015</v>
      </c>
      <c r="D95">
        <v>9</v>
      </c>
      <c r="E95" t="s">
        <v>42</v>
      </c>
      <c r="F95" t="s">
        <v>5</v>
      </c>
      <c r="G95" t="s">
        <v>5</v>
      </c>
      <c r="H95">
        <v>74283.88</v>
      </c>
      <c r="I95">
        <v>55708.71</v>
      </c>
      <c r="J95">
        <v>0</v>
      </c>
    </row>
    <row r="96" spans="1:10" x14ac:dyDescent="0.35">
      <c r="A96">
        <v>318847</v>
      </c>
      <c r="B96" t="s">
        <v>20</v>
      </c>
      <c r="C96">
        <v>2015</v>
      </c>
      <c r="D96">
        <v>9</v>
      </c>
      <c r="E96" t="s">
        <v>42</v>
      </c>
      <c r="F96" t="s">
        <v>5</v>
      </c>
      <c r="G96" t="s">
        <v>5</v>
      </c>
      <c r="H96">
        <v>57602.080000000002</v>
      </c>
      <c r="I96">
        <v>43977</v>
      </c>
      <c r="J96">
        <v>0</v>
      </c>
    </row>
    <row r="97" spans="1:10" x14ac:dyDescent="0.35">
      <c r="A97">
        <v>318851</v>
      </c>
      <c r="B97" t="s">
        <v>20</v>
      </c>
      <c r="C97">
        <v>2015</v>
      </c>
      <c r="D97">
        <v>9</v>
      </c>
      <c r="E97" t="s">
        <v>42</v>
      </c>
      <c r="F97" t="s">
        <v>5</v>
      </c>
      <c r="G97" t="s">
        <v>5</v>
      </c>
      <c r="H97">
        <v>58494.44</v>
      </c>
      <c r="I97">
        <v>44582.36</v>
      </c>
      <c r="J97">
        <v>0</v>
      </c>
    </row>
    <row r="98" spans="1:10" x14ac:dyDescent="0.35">
      <c r="A98">
        <v>318852</v>
      </c>
      <c r="B98" t="s">
        <v>20</v>
      </c>
      <c r="C98">
        <v>2015</v>
      </c>
      <c r="D98">
        <v>6</v>
      </c>
      <c r="E98" t="s">
        <v>43</v>
      </c>
      <c r="F98" t="s">
        <v>5</v>
      </c>
      <c r="G98" t="s">
        <v>5</v>
      </c>
      <c r="H98">
        <v>67351.16</v>
      </c>
      <c r="I98">
        <v>53667.26</v>
      </c>
      <c r="J98">
        <v>0</v>
      </c>
    </row>
    <row r="99" spans="1:10" x14ac:dyDescent="0.35">
      <c r="A99">
        <v>318858</v>
      </c>
      <c r="B99" t="s">
        <v>20</v>
      </c>
      <c r="C99">
        <v>2015</v>
      </c>
      <c r="D99">
        <v>6</v>
      </c>
      <c r="E99" t="s">
        <v>43</v>
      </c>
      <c r="F99" t="s">
        <v>5</v>
      </c>
      <c r="G99" t="s">
        <v>5</v>
      </c>
      <c r="H99">
        <v>71664.62</v>
      </c>
      <c r="I99">
        <v>54191.16</v>
      </c>
      <c r="J99">
        <v>0</v>
      </c>
    </row>
    <row r="100" spans="1:10" x14ac:dyDescent="0.35">
      <c r="A100">
        <v>318872</v>
      </c>
      <c r="B100" t="s">
        <v>20</v>
      </c>
      <c r="C100">
        <v>2015</v>
      </c>
      <c r="D100">
        <v>9</v>
      </c>
      <c r="E100" t="s">
        <v>42</v>
      </c>
      <c r="F100" t="s">
        <v>5</v>
      </c>
      <c r="G100" t="s">
        <v>5</v>
      </c>
      <c r="H100">
        <v>37195.39</v>
      </c>
      <c r="I100">
        <v>27385.45</v>
      </c>
      <c r="J100">
        <v>0</v>
      </c>
    </row>
    <row r="101" spans="1:10" x14ac:dyDescent="0.35">
      <c r="A101">
        <v>318883</v>
      </c>
      <c r="B101" t="s">
        <v>20</v>
      </c>
      <c r="C101">
        <v>2015</v>
      </c>
      <c r="D101">
        <v>6</v>
      </c>
      <c r="E101" t="s">
        <v>43</v>
      </c>
      <c r="F101" t="s">
        <v>5</v>
      </c>
      <c r="G101" t="s">
        <v>5</v>
      </c>
      <c r="H101">
        <v>37509.050000000003</v>
      </c>
      <c r="I101">
        <v>27579.19</v>
      </c>
      <c r="J101">
        <v>0</v>
      </c>
    </row>
    <row r="102" spans="1:10" x14ac:dyDescent="0.35">
      <c r="A102">
        <v>318891</v>
      </c>
      <c r="B102" t="s">
        <v>20</v>
      </c>
      <c r="C102">
        <v>2015</v>
      </c>
      <c r="D102">
        <v>9</v>
      </c>
      <c r="E102" t="s">
        <v>42</v>
      </c>
      <c r="F102" t="s">
        <v>5</v>
      </c>
      <c r="G102" t="s">
        <v>5</v>
      </c>
      <c r="H102">
        <v>37438.49</v>
      </c>
      <c r="I102">
        <v>24152.1</v>
      </c>
      <c r="J102">
        <v>0</v>
      </c>
    </row>
    <row r="103" spans="1:10" x14ac:dyDescent="0.35">
      <c r="A103">
        <v>318896</v>
      </c>
      <c r="B103" t="s">
        <v>20</v>
      </c>
      <c r="C103">
        <v>2015</v>
      </c>
      <c r="D103">
        <v>6</v>
      </c>
      <c r="E103" t="s">
        <v>43</v>
      </c>
      <c r="F103" t="s">
        <v>5</v>
      </c>
      <c r="G103" t="s">
        <v>5</v>
      </c>
      <c r="H103">
        <v>43646.13</v>
      </c>
      <c r="I103">
        <v>27890.23</v>
      </c>
      <c r="J103">
        <v>0</v>
      </c>
    </row>
    <row r="104" spans="1:10" x14ac:dyDescent="0.35">
      <c r="A104">
        <v>318897</v>
      </c>
      <c r="B104" t="s">
        <v>20</v>
      </c>
      <c r="C104">
        <v>2015</v>
      </c>
      <c r="D104">
        <v>9</v>
      </c>
      <c r="E104" t="s">
        <v>42</v>
      </c>
      <c r="F104" t="s">
        <v>5</v>
      </c>
      <c r="G104" t="s">
        <v>5</v>
      </c>
      <c r="H104">
        <v>36982.79</v>
      </c>
      <c r="I104">
        <v>24194.91</v>
      </c>
      <c r="J104">
        <v>0</v>
      </c>
    </row>
    <row r="105" spans="1:10" x14ac:dyDescent="0.35">
      <c r="A105">
        <v>318915</v>
      </c>
      <c r="B105" t="s">
        <v>20</v>
      </c>
      <c r="C105">
        <v>2015</v>
      </c>
      <c r="D105">
        <v>9</v>
      </c>
      <c r="E105" t="s">
        <v>42</v>
      </c>
      <c r="F105" t="s">
        <v>5</v>
      </c>
      <c r="G105" t="s">
        <v>5</v>
      </c>
      <c r="H105">
        <v>76602.600000000006</v>
      </c>
      <c r="I105">
        <v>58974.9</v>
      </c>
      <c r="J105">
        <v>0</v>
      </c>
    </row>
    <row r="106" spans="1:10" x14ac:dyDescent="0.35">
      <c r="A106">
        <v>318917</v>
      </c>
      <c r="B106" t="s">
        <v>20</v>
      </c>
      <c r="C106">
        <v>2015</v>
      </c>
      <c r="D106">
        <v>6</v>
      </c>
      <c r="E106" t="s">
        <v>43</v>
      </c>
      <c r="F106" t="s">
        <v>5</v>
      </c>
      <c r="G106" t="s">
        <v>5</v>
      </c>
      <c r="H106">
        <v>75937.14</v>
      </c>
      <c r="I106">
        <v>56496.66</v>
      </c>
      <c r="J106">
        <v>0</v>
      </c>
    </row>
    <row r="107" spans="1:10" x14ac:dyDescent="0.35">
      <c r="A107">
        <v>318931</v>
      </c>
      <c r="B107" t="s">
        <v>20</v>
      </c>
      <c r="C107">
        <v>2015</v>
      </c>
      <c r="D107">
        <v>6</v>
      </c>
      <c r="E107" t="s">
        <v>43</v>
      </c>
      <c r="F107" t="s">
        <v>5</v>
      </c>
      <c r="G107" t="s">
        <v>5</v>
      </c>
      <c r="H107">
        <v>127198.75</v>
      </c>
      <c r="I107">
        <v>121334.96</v>
      </c>
      <c r="J107">
        <v>0</v>
      </c>
    </row>
    <row r="108" spans="1:10" x14ac:dyDescent="0.35">
      <c r="A108">
        <v>318940</v>
      </c>
      <c r="B108" t="s">
        <v>20</v>
      </c>
      <c r="C108">
        <v>2015</v>
      </c>
      <c r="D108">
        <v>6</v>
      </c>
      <c r="E108" t="s">
        <v>43</v>
      </c>
      <c r="F108" t="s">
        <v>5</v>
      </c>
      <c r="G108" t="s">
        <v>5</v>
      </c>
      <c r="H108">
        <v>69253.8</v>
      </c>
      <c r="I108">
        <v>55930.559999999998</v>
      </c>
      <c r="J108">
        <v>0</v>
      </c>
    </row>
    <row r="109" spans="1:10" x14ac:dyDescent="0.35">
      <c r="A109">
        <v>318960</v>
      </c>
      <c r="B109" t="s">
        <v>20</v>
      </c>
      <c r="C109">
        <v>2015</v>
      </c>
      <c r="D109">
        <v>6</v>
      </c>
      <c r="E109" t="s">
        <v>43</v>
      </c>
      <c r="F109" t="s">
        <v>5</v>
      </c>
      <c r="G109" t="s">
        <v>5</v>
      </c>
      <c r="H109">
        <v>32974.47</v>
      </c>
      <c r="I109">
        <v>21373.360000000001</v>
      </c>
      <c r="J109">
        <v>0</v>
      </c>
    </row>
    <row r="110" spans="1:10" x14ac:dyDescent="0.35">
      <c r="A110">
        <v>319009</v>
      </c>
      <c r="B110" t="s">
        <v>20</v>
      </c>
      <c r="C110">
        <v>2015</v>
      </c>
      <c r="D110">
        <v>9</v>
      </c>
      <c r="E110" t="s">
        <v>42</v>
      </c>
      <c r="F110" t="s">
        <v>5</v>
      </c>
      <c r="G110" t="s">
        <v>5</v>
      </c>
      <c r="H110">
        <v>68849.98</v>
      </c>
      <c r="I110">
        <v>55505.9</v>
      </c>
      <c r="J110">
        <v>0</v>
      </c>
    </row>
    <row r="111" spans="1:10" x14ac:dyDescent="0.35">
      <c r="A111">
        <v>319019</v>
      </c>
      <c r="B111" t="s">
        <v>20</v>
      </c>
      <c r="C111">
        <v>2015</v>
      </c>
      <c r="D111">
        <v>6</v>
      </c>
      <c r="E111" t="s">
        <v>43</v>
      </c>
      <c r="F111" t="s">
        <v>5</v>
      </c>
      <c r="G111" t="s">
        <v>5</v>
      </c>
      <c r="H111">
        <v>68998.52</v>
      </c>
      <c r="I111">
        <v>52104.06</v>
      </c>
      <c r="J111">
        <v>0</v>
      </c>
    </row>
    <row r="112" spans="1:10" x14ac:dyDescent="0.35">
      <c r="A112">
        <v>319038</v>
      </c>
      <c r="B112" t="s">
        <v>20</v>
      </c>
      <c r="C112">
        <v>2015</v>
      </c>
      <c r="D112">
        <v>6</v>
      </c>
      <c r="E112" t="s">
        <v>43</v>
      </c>
      <c r="F112" t="s">
        <v>5</v>
      </c>
      <c r="G112" t="s">
        <v>5</v>
      </c>
      <c r="H112">
        <v>66573.320000000007</v>
      </c>
      <c r="I112">
        <v>48910.13</v>
      </c>
      <c r="J112">
        <v>0</v>
      </c>
    </row>
    <row r="113" spans="1:10" x14ac:dyDescent="0.35">
      <c r="A113">
        <v>319054</v>
      </c>
      <c r="B113" t="s">
        <v>20</v>
      </c>
      <c r="C113">
        <v>2015</v>
      </c>
      <c r="D113">
        <v>9</v>
      </c>
      <c r="E113" t="s">
        <v>42</v>
      </c>
      <c r="F113" t="s">
        <v>5</v>
      </c>
      <c r="G113" t="s">
        <v>5</v>
      </c>
      <c r="H113">
        <v>61845.3</v>
      </c>
      <c r="I113">
        <v>51736.61</v>
      </c>
      <c r="J113">
        <v>0</v>
      </c>
    </row>
    <row r="114" spans="1:10" x14ac:dyDescent="0.35">
      <c r="A114">
        <v>319070</v>
      </c>
      <c r="B114" t="s">
        <v>20</v>
      </c>
      <c r="C114">
        <v>2015</v>
      </c>
      <c r="D114">
        <v>9</v>
      </c>
      <c r="E114" t="s">
        <v>42</v>
      </c>
      <c r="F114" t="s">
        <v>5</v>
      </c>
      <c r="G114" t="s">
        <v>5</v>
      </c>
      <c r="H114">
        <v>69772.600000000006</v>
      </c>
      <c r="I114">
        <v>49693.89</v>
      </c>
      <c r="J114">
        <v>0</v>
      </c>
    </row>
    <row r="115" spans="1:10" x14ac:dyDescent="0.35">
      <c r="A115">
        <v>319078</v>
      </c>
      <c r="B115" t="s">
        <v>20</v>
      </c>
      <c r="C115">
        <v>2015</v>
      </c>
      <c r="D115">
        <v>6</v>
      </c>
      <c r="E115" t="s">
        <v>43</v>
      </c>
      <c r="F115" t="s">
        <v>5</v>
      </c>
      <c r="G115" t="s">
        <v>5</v>
      </c>
      <c r="H115">
        <v>117795.16</v>
      </c>
      <c r="I115">
        <v>109522.05</v>
      </c>
      <c r="J115">
        <v>0</v>
      </c>
    </row>
    <row r="116" spans="1:10" x14ac:dyDescent="0.35">
      <c r="A116">
        <v>319092</v>
      </c>
      <c r="B116" t="s">
        <v>20</v>
      </c>
      <c r="C116">
        <v>2015</v>
      </c>
      <c r="D116">
        <v>6</v>
      </c>
      <c r="E116" t="s">
        <v>43</v>
      </c>
      <c r="F116" t="s">
        <v>5</v>
      </c>
      <c r="G116" t="s">
        <v>5</v>
      </c>
      <c r="H116">
        <v>73260.320000000007</v>
      </c>
      <c r="I116">
        <v>55907.96</v>
      </c>
      <c r="J116">
        <v>0</v>
      </c>
    </row>
    <row r="117" spans="1:10" x14ac:dyDescent="0.35">
      <c r="A117">
        <v>319113</v>
      </c>
      <c r="B117" t="s">
        <v>20</v>
      </c>
      <c r="C117">
        <v>2015</v>
      </c>
      <c r="D117">
        <v>6</v>
      </c>
      <c r="E117" t="s">
        <v>43</v>
      </c>
      <c r="F117" t="s">
        <v>5</v>
      </c>
      <c r="G117" t="s">
        <v>5</v>
      </c>
      <c r="H117">
        <v>5445.62</v>
      </c>
      <c r="I117">
        <v>6349.58</v>
      </c>
      <c r="J117">
        <v>1</v>
      </c>
    </row>
    <row r="118" spans="1:10" x14ac:dyDescent="0.35">
      <c r="A118">
        <v>319116</v>
      </c>
      <c r="B118" t="s">
        <v>20</v>
      </c>
      <c r="C118">
        <v>2015</v>
      </c>
      <c r="D118">
        <v>9</v>
      </c>
      <c r="E118" t="s">
        <v>42</v>
      </c>
      <c r="F118" t="s">
        <v>5</v>
      </c>
      <c r="G118" t="s">
        <v>5</v>
      </c>
      <c r="H118">
        <v>57477.440000000002</v>
      </c>
      <c r="I118">
        <v>46365.15</v>
      </c>
      <c r="J118">
        <v>0</v>
      </c>
    </row>
    <row r="119" spans="1:10" x14ac:dyDescent="0.35">
      <c r="A119">
        <v>319125</v>
      </c>
      <c r="B119" t="s">
        <v>20</v>
      </c>
      <c r="C119">
        <v>2015</v>
      </c>
      <c r="D119">
        <v>6</v>
      </c>
      <c r="E119" t="s">
        <v>43</v>
      </c>
      <c r="F119" t="s">
        <v>5</v>
      </c>
      <c r="G119" t="s">
        <v>5</v>
      </c>
      <c r="H119">
        <v>71794.58</v>
      </c>
      <c r="I119">
        <v>55667.88</v>
      </c>
      <c r="J119">
        <v>0</v>
      </c>
    </row>
    <row r="120" spans="1:10" x14ac:dyDescent="0.35">
      <c r="A120">
        <v>319151</v>
      </c>
      <c r="B120" t="s">
        <v>20</v>
      </c>
      <c r="C120">
        <v>2015</v>
      </c>
      <c r="D120">
        <v>6</v>
      </c>
      <c r="E120" t="s">
        <v>43</v>
      </c>
      <c r="F120" t="s">
        <v>5</v>
      </c>
      <c r="G120" t="s">
        <v>5</v>
      </c>
      <c r="H120">
        <v>73312.42</v>
      </c>
      <c r="I120">
        <v>55500.34</v>
      </c>
      <c r="J120">
        <v>0</v>
      </c>
    </row>
    <row r="121" spans="1:10" x14ac:dyDescent="0.35">
      <c r="A121">
        <v>319157</v>
      </c>
      <c r="B121" t="s">
        <v>20</v>
      </c>
      <c r="C121">
        <v>2015</v>
      </c>
      <c r="D121">
        <v>6</v>
      </c>
      <c r="E121" t="s">
        <v>43</v>
      </c>
      <c r="F121" t="s">
        <v>5</v>
      </c>
      <c r="G121" t="s">
        <v>5</v>
      </c>
      <c r="H121">
        <v>127361.52</v>
      </c>
      <c r="I121">
        <v>48690.3</v>
      </c>
      <c r="J121">
        <v>0</v>
      </c>
    </row>
    <row r="122" spans="1:10" x14ac:dyDescent="0.35">
      <c r="A122">
        <v>319168</v>
      </c>
      <c r="B122" t="s">
        <v>20</v>
      </c>
      <c r="C122">
        <v>2015</v>
      </c>
      <c r="D122">
        <v>6</v>
      </c>
      <c r="E122" t="s">
        <v>43</v>
      </c>
      <c r="F122" t="s">
        <v>5</v>
      </c>
      <c r="G122" t="s">
        <v>5</v>
      </c>
      <c r="H122">
        <v>72419.679999999993</v>
      </c>
      <c r="I122">
        <v>53247.1</v>
      </c>
      <c r="J122">
        <v>0</v>
      </c>
    </row>
    <row r="123" spans="1:10" x14ac:dyDescent="0.35">
      <c r="A123">
        <v>319172</v>
      </c>
      <c r="B123" t="s">
        <v>20</v>
      </c>
      <c r="C123">
        <v>2015</v>
      </c>
      <c r="D123">
        <v>9</v>
      </c>
      <c r="E123" t="s">
        <v>42</v>
      </c>
      <c r="F123" t="s">
        <v>5</v>
      </c>
      <c r="G123" t="s">
        <v>5</v>
      </c>
      <c r="H123">
        <v>68031.72</v>
      </c>
      <c r="I123">
        <v>47328.32</v>
      </c>
      <c r="J123">
        <v>0</v>
      </c>
    </row>
    <row r="124" spans="1:10" x14ac:dyDescent="0.35">
      <c r="A124">
        <v>319216</v>
      </c>
      <c r="B124" t="s">
        <v>20</v>
      </c>
      <c r="C124">
        <v>2015</v>
      </c>
      <c r="D124">
        <v>6</v>
      </c>
      <c r="E124" t="s">
        <v>43</v>
      </c>
      <c r="F124" t="s">
        <v>5</v>
      </c>
      <c r="G124" t="s">
        <v>5</v>
      </c>
      <c r="H124">
        <v>8177.42</v>
      </c>
      <c r="I124">
        <v>9525.33</v>
      </c>
      <c r="J124">
        <v>1</v>
      </c>
    </row>
    <row r="125" spans="1:10" x14ac:dyDescent="0.35">
      <c r="A125">
        <v>319227</v>
      </c>
      <c r="B125" t="s">
        <v>20</v>
      </c>
      <c r="C125">
        <v>2015</v>
      </c>
      <c r="D125">
        <v>6</v>
      </c>
      <c r="E125" t="s">
        <v>43</v>
      </c>
      <c r="F125" t="s">
        <v>5</v>
      </c>
      <c r="G125" t="s">
        <v>5</v>
      </c>
      <c r="H125">
        <v>8552.2199999999993</v>
      </c>
      <c r="I125">
        <v>8445.91</v>
      </c>
      <c r="J125">
        <v>0</v>
      </c>
    </row>
    <row r="126" spans="1:10" x14ac:dyDescent="0.35">
      <c r="A126">
        <v>319233</v>
      </c>
      <c r="B126" t="s">
        <v>20</v>
      </c>
      <c r="C126">
        <v>2015</v>
      </c>
      <c r="D126">
        <v>6</v>
      </c>
      <c r="E126" t="s">
        <v>43</v>
      </c>
      <c r="F126" t="s">
        <v>5</v>
      </c>
      <c r="G126" t="s">
        <v>5</v>
      </c>
      <c r="H126">
        <v>51895.65</v>
      </c>
      <c r="I126">
        <v>36598.870000000003</v>
      </c>
      <c r="J126">
        <v>0</v>
      </c>
    </row>
    <row r="127" spans="1:10" x14ac:dyDescent="0.35">
      <c r="A127">
        <v>319252</v>
      </c>
      <c r="B127" t="s">
        <v>20</v>
      </c>
      <c r="C127">
        <v>2015</v>
      </c>
      <c r="D127">
        <v>9</v>
      </c>
      <c r="E127" t="s">
        <v>42</v>
      </c>
      <c r="F127" t="s">
        <v>5</v>
      </c>
      <c r="G127" t="s">
        <v>5</v>
      </c>
      <c r="H127">
        <v>4744.38</v>
      </c>
      <c r="I127">
        <v>4926.29</v>
      </c>
      <c r="J127">
        <v>1</v>
      </c>
    </row>
    <row r="128" spans="1:10" x14ac:dyDescent="0.35">
      <c r="A128">
        <v>319263</v>
      </c>
      <c r="B128" t="s">
        <v>20</v>
      </c>
      <c r="C128">
        <v>2015</v>
      </c>
      <c r="D128">
        <v>9</v>
      </c>
      <c r="E128" t="s">
        <v>42</v>
      </c>
      <c r="F128" t="s">
        <v>5</v>
      </c>
      <c r="G128" t="s">
        <v>5</v>
      </c>
      <c r="H128">
        <v>37947.65</v>
      </c>
      <c r="I128">
        <v>23273.439999999999</v>
      </c>
      <c r="J128">
        <v>0</v>
      </c>
    </row>
    <row r="129" spans="1:10" x14ac:dyDescent="0.35">
      <c r="A129">
        <v>319274</v>
      </c>
      <c r="B129" t="s">
        <v>20</v>
      </c>
      <c r="C129">
        <v>2015</v>
      </c>
      <c r="D129">
        <v>9</v>
      </c>
      <c r="E129" t="s">
        <v>42</v>
      </c>
      <c r="F129" t="s">
        <v>5</v>
      </c>
      <c r="G129" t="s">
        <v>5</v>
      </c>
      <c r="H129">
        <v>67398.64</v>
      </c>
      <c r="I129">
        <v>53652.65</v>
      </c>
      <c r="J129">
        <v>0</v>
      </c>
    </row>
    <row r="130" spans="1:10" x14ac:dyDescent="0.35">
      <c r="A130">
        <v>319280</v>
      </c>
      <c r="B130" t="s">
        <v>20</v>
      </c>
      <c r="C130">
        <v>2015</v>
      </c>
      <c r="D130">
        <v>6</v>
      </c>
      <c r="E130" t="s">
        <v>43</v>
      </c>
      <c r="F130" t="s">
        <v>5</v>
      </c>
      <c r="G130" t="s">
        <v>5</v>
      </c>
      <c r="H130">
        <v>35146.85</v>
      </c>
      <c r="I130">
        <v>19907.37</v>
      </c>
      <c r="J130">
        <v>0</v>
      </c>
    </row>
    <row r="131" spans="1:10" x14ac:dyDescent="0.35">
      <c r="A131">
        <v>319285</v>
      </c>
      <c r="B131" t="s">
        <v>20</v>
      </c>
      <c r="C131">
        <v>2015</v>
      </c>
      <c r="D131">
        <v>6</v>
      </c>
      <c r="E131" t="s">
        <v>43</v>
      </c>
      <c r="F131" t="s">
        <v>5</v>
      </c>
      <c r="G131" t="s">
        <v>5</v>
      </c>
      <c r="H131">
        <v>71908.66</v>
      </c>
      <c r="I131">
        <v>55196.99</v>
      </c>
      <c r="J131">
        <v>0</v>
      </c>
    </row>
    <row r="132" spans="1:10" x14ac:dyDescent="0.35">
      <c r="A132">
        <v>319291</v>
      </c>
      <c r="B132" t="s">
        <v>20</v>
      </c>
      <c r="C132">
        <v>2015</v>
      </c>
      <c r="D132">
        <v>9</v>
      </c>
      <c r="E132" t="s">
        <v>42</v>
      </c>
      <c r="F132" t="s">
        <v>5</v>
      </c>
      <c r="G132" t="s">
        <v>5</v>
      </c>
      <c r="H132">
        <v>36242.89</v>
      </c>
      <c r="I132">
        <v>20836.13</v>
      </c>
      <c r="J132">
        <v>0</v>
      </c>
    </row>
    <row r="133" spans="1:10" x14ac:dyDescent="0.35">
      <c r="A133">
        <v>319317</v>
      </c>
      <c r="B133" t="s">
        <v>20</v>
      </c>
      <c r="C133">
        <v>2015</v>
      </c>
      <c r="D133">
        <v>6</v>
      </c>
      <c r="E133" t="s">
        <v>43</v>
      </c>
      <c r="F133" t="s">
        <v>5</v>
      </c>
      <c r="G133" t="s">
        <v>5</v>
      </c>
      <c r="H133">
        <v>63638.26</v>
      </c>
      <c r="I133">
        <v>46729.96</v>
      </c>
      <c r="J133">
        <v>0</v>
      </c>
    </row>
    <row r="134" spans="1:10" x14ac:dyDescent="0.35">
      <c r="A134">
        <v>319343</v>
      </c>
      <c r="B134" t="s">
        <v>20</v>
      </c>
      <c r="C134">
        <v>2015</v>
      </c>
      <c r="D134">
        <v>6</v>
      </c>
      <c r="E134" t="s">
        <v>43</v>
      </c>
      <c r="F134" t="s">
        <v>5</v>
      </c>
      <c r="G134" t="s">
        <v>5</v>
      </c>
      <c r="H134">
        <v>58222.33</v>
      </c>
      <c r="I134">
        <v>28233.7</v>
      </c>
      <c r="J134">
        <v>0</v>
      </c>
    </row>
    <row r="135" spans="1:10" x14ac:dyDescent="0.35">
      <c r="A135">
        <v>319347</v>
      </c>
      <c r="B135" t="s">
        <v>20</v>
      </c>
      <c r="C135">
        <v>2015</v>
      </c>
      <c r="D135">
        <v>9</v>
      </c>
      <c r="E135" t="s">
        <v>42</v>
      </c>
      <c r="F135" t="s">
        <v>5</v>
      </c>
      <c r="G135" t="s">
        <v>5</v>
      </c>
      <c r="H135">
        <v>30449.5</v>
      </c>
      <c r="I135">
        <v>10608.5</v>
      </c>
      <c r="J135">
        <v>0</v>
      </c>
    </row>
    <row r="136" spans="1:10" x14ac:dyDescent="0.35">
      <c r="A136">
        <v>319356</v>
      </c>
      <c r="B136" t="s">
        <v>20</v>
      </c>
      <c r="C136">
        <v>2015</v>
      </c>
      <c r="D136">
        <v>9</v>
      </c>
      <c r="E136" t="s">
        <v>42</v>
      </c>
      <c r="F136" t="s">
        <v>5</v>
      </c>
      <c r="G136" t="s">
        <v>5</v>
      </c>
      <c r="H136">
        <v>67986.880000000005</v>
      </c>
      <c r="I136">
        <v>49252.82</v>
      </c>
      <c r="J136">
        <v>0</v>
      </c>
    </row>
    <row r="137" spans="1:10" x14ac:dyDescent="0.35">
      <c r="A137">
        <v>319362</v>
      </c>
      <c r="B137" t="s">
        <v>20</v>
      </c>
      <c r="C137">
        <v>2015</v>
      </c>
      <c r="D137">
        <v>6</v>
      </c>
      <c r="E137" t="s">
        <v>43</v>
      </c>
      <c r="F137" t="s">
        <v>5</v>
      </c>
      <c r="G137" t="s">
        <v>5</v>
      </c>
      <c r="H137">
        <v>72982.759999999995</v>
      </c>
      <c r="I137">
        <v>58423.71</v>
      </c>
      <c r="J137">
        <v>0</v>
      </c>
    </row>
    <row r="138" spans="1:10" x14ac:dyDescent="0.35">
      <c r="A138">
        <v>319381</v>
      </c>
      <c r="B138" t="s">
        <v>20</v>
      </c>
      <c r="C138">
        <v>2015</v>
      </c>
      <c r="D138">
        <v>6</v>
      </c>
      <c r="E138" t="s">
        <v>43</v>
      </c>
      <c r="F138" t="s">
        <v>5</v>
      </c>
      <c r="G138" t="s">
        <v>5</v>
      </c>
      <c r="H138">
        <v>8045.86</v>
      </c>
      <c r="I138">
        <v>8244.31</v>
      </c>
      <c r="J138">
        <v>1</v>
      </c>
    </row>
    <row r="139" spans="1:10" x14ac:dyDescent="0.35">
      <c r="A139">
        <v>319383</v>
      </c>
      <c r="B139" t="s">
        <v>20</v>
      </c>
      <c r="C139">
        <v>2015</v>
      </c>
      <c r="D139">
        <v>9</v>
      </c>
      <c r="E139" t="s">
        <v>42</v>
      </c>
      <c r="F139" t="s">
        <v>5</v>
      </c>
      <c r="G139" t="s">
        <v>5</v>
      </c>
      <c r="H139">
        <v>78148.100000000006</v>
      </c>
      <c r="I139">
        <v>59169.93</v>
      </c>
      <c r="J139">
        <v>0</v>
      </c>
    </row>
    <row r="140" spans="1:10" x14ac:dyDescent="0.35">
      <c r="A140">
        <v>319386</v>
      </c>
      <c r="B140" t="s">
        <v>20</v>
      </c>
      <c r="C140">
        <v>2015</v>
      </c>
      <c r="D140">
        <v>9</v>
      </c>
      <c r="E140" t="s">
        <v>42</v>
      </c>
      <c r="F140" t="s">
        <v>5</v>
      </c>
      <c r="G140" t="s">
        <v>5</v>
      </c>
      <c r="H140">
        <v>5687.24</v>
      </c>
      <c r="I140">
        <v>5160.7</v>
      </c>
      <c r="J140">
        <v>0</v>
      </c>
    </row>
    <row r="141" spans="1:10" x14ac:dyDescent="0.35">
      <c r="A141">
        <v>319396</v>
      </c>
      <c r="B141" t="s">
        <v>20</v>
      </c>
      <c r="C141">
        <v>2015</v>
      </c>
      <c r="D141">
        <v>9</v>
      </c>
      <c r="E141" t="s">
        <v>42</v>
      </c>
      <c r="F141" t="s">
        <v>5</v>
      </c>
      <c r="G141" t="s">
        <v>5</v>
      </c>
      <c r="H141">
        <v>56080.72</v>
      </c>
      <c r="I141">
        <v>42630.8</v>
      </c>
      <c r="J141">
        <v>0</v>
      </c>
    </row>
    <row r="142" spans="1:10" x14ac:dyDescent="0.35">
      <c r="A142">
        <v>319397</v>
      </c>
      <c r="B142" t="s">
        <v>20</v>
      </c>
      <c r="C142">
        <v>2015</v>
      </c>
      <c r="D142">
        <v>9</v>
      </c>
      <c r="E142" t="s">
        <v>42</v>
      </c>
      <c r="F142" t="s">
        <v>5</v>
      </c>
      <c r="G142" t="s">
        <v>5</v>
      </c>
      <c r="H142">
        <v>72462.8</v>
      </c>
      <c r="I142">
        <v>50828.47</v>
      </c>
      <c r="J142">
        <v>0</v>
      </c>
    </row>
    <row r="143" spans="1:10" x14ac:dyDescent="0.35">
      <c r="A143">
        <v>319405</v>
      </c>
      <c r="B143" t="s">
        <v>20</v>
      </c>
      <c r="C143">
        <v>2015</v>
      </c>
      <c r="D143">
        <v>9</v>
      </c>
      <c r="E143" t="s">
        <v>42</v>
      </c>
      <c r="F143" t="s">
        <v>5</v>
      </c>
      <c r="G143" t="s">
        <v>5</v>
      </c>
      <c r="H143">
        <v>72455.02</v>
      </c>
      <c r="I143">
        <v>53417.58</v>
      </c>
      <c r="J143">
        <v>0</v>
      </c>
    </row>
    <row r="144" spans="1:10" x14ac:dyDescent="0.35">
      <c r="A144">
        <v>319407</v>
      </c>
      <c r="B144" t="s">
        <v>20</v>
      </c>
      <c r="C144">
        <v>2015</v>
      </c>
      <c r="D144">
        <v>9</v>
      </c>
      <c r="E144" t="s">
        <v>42</v>
      </c>
      <c r="F144" t="s">
        <v>5</v>
      </c>
      <c r="G144" t="s">
        <v>5</v>
      </c>
      <c r="H144">
        <v>5185.68</v>
      </c>
      <c r="I144">
        <v>6285.13</v>
      </c>
      <c r="J144">
        <v>1</v>
      </c>
    </row>
    <row r="145" spans="1:10" x14ac:dyDescent="0.35">
      <c r="A145">
        <v>319435</v>
      </c>
      <c r="B145" t="s">
        <v>20</v>
      </c>
      <c r="C145">
        <v>2015</v>
      </c>
      <c r="D145">
        <v>6</v>
      </c>
      <c r="E145" t="s">
        <v>43</v>
      </c>
      <c r="F145" t="s">
        <v>5</v>
      </c>
      <c r="G145" t="s">
        <v>5</v>
      </c>
      <c r="H145">
        <v>30162.48</v>
      </c>
      <c r="I145">
        <v>15889.65</v>
      </c>
      <c r="J145">
        <v>0</v>
      </c>
    </row>
    <row r="146" spans="1:10" x14ac:dyDescent="0.35">
      <c r="A146">
        <v>319459</v>
      </c>
      <c r="B146" t="s">
        <v>20</v>
      </c>
      <c r="C146">
        <v>2015</v>
      </c>
      <c r="D146">
        <v>9</v>
      </c>
      <c r="E146" t="s">
        <v>42</v>
      </c>
      <c r="F146" t="s">
        <v>5</v>
      </c>
      <c r="G146" t="s">
        <v>5</v>
      </c>
      <c r="H146">
        <v>60009.94</v>
      </c>
      <c r="I146">
        <v>41616.839999999997</v>
      </c>
      <c r="J146">
        <v>0</v>
      </c>
    </row>
    <row r="147" spans="1:10" x14ac:dyDescent="0.35">
      <c r="A147">
        <v>319477</v>
      </c>
      <c r="B147" t="s">
        <v>20</v>
      </c>
      <c r="C147">
        <v>2015</v>
      </c>
      <c r="D147">
        <v>6</v>
      </c>
      <c r="E147" t="s">
        <v>43</v>
      </c>
      <c r="F147" t="s">
        <v>5</v>
      </c>
      <c r="G147" t="s">
        <v>5</v>
      </c>
      <c r="H147">
        <v>29441.74</v>
      </c>
      <c r="I147">
        <v>13697.26</v>
      </c>
      <c r="J147">
        <v>0</v>
      </c>
    </row>
    <row r="148" spans="1:10" x14ac:dyDescent="0.35">
      <c r="A148">
        <v>319488</v>
      </c>
      <c r="B148" t="s">
        <v>20</v>
      </c>
      <c r="C148">
        <v>2015</v>
      </c>
      <c r="D148">
        <v>9</v>
      </c>
      <c r="E148" t="s">
        <v>42</v>
      </c>
      <c r="F148" t="s">
        <v>5</v>
      </c>
      <c r="G148" t="s">
        <v>5</v>
      </c>
      <c r="H148">
        <v>63755.34</v>
      </c>
      <c r="I148">
        <v>46235.8</v>
      </c>
      <c r="J148">
        <v>0</v>
      </c>
    </row>
    <row r="149" spans="1:10" x14ac:dyDescent="0.35">
      <c r="A149">
        <v>319497</v>
      </c>
      <c r="B149" t="s">
        <v>20</v>
      </c>
      <c r="C149">
        <v>2015</v>
      </c>
      <c r="D149">
        <v>6</v>
      </c>
      <c r="E149" t="s">
        <v>43</v>
      </c>
      <c r="F149" t="s">
        <v>5</v>
      </c>
      <c r="G149" t="s">
        <v>5</v>
      </c>
      <c r="H149">
        <v>89589.14</v>
      </c>
      <c r="I149">
        <v>53652.95</v>
      </c>
      <c r="J149">
        <v>0</v>
      </c>
    </row>
    <row r="150" spans="1:10" x14ac:dyDescent="0.35">
      <c r="A150">
        <v>319511</v>
      </c>
      <c r="B150" t="s">
        <v>20</v>
      </c>
      <c r="C150">
        <v>2015</v>
      </c>
      <c r="D150">
        <v>6</v>
      </c>
      <c r="E150" t="s">
        <v>43</v>
      </c>
      <c r="F150" t="s">
        <v>5</v>
      </c>
      <c r="G150" t="s">
        <v>5</v>
      </c>
      <c r="H150">
        <v>65699.14</v>
      </c>
      <c r="I150">
        <v>55208.22</v>
      </c>
      <c r="J150">
        <v>0</v>
      </c>
    </row>
    <row r="151" spans="1:10" x14ac:dyDescent="0.35">
      <c r="A151">
        <v>319512</v>
      </c>
      <c r="B151" t="s">
        <v>20</v>
      </c>
      <c r="C151">
        <v>2015</v>
      </c>
      <c r="D151">
        <v>9</v>
      </c>
      <c r="E151" t="s">
        <v>42</v>
      </c>
      <c r="F151" t="s">
        <v>5</v>
      </c>
      <c r="G151" t="s">
        <v>5</v>
      </c>
      <c r="H151">
        <v>29038.52</v>
      </c>
      <c r="I151">
        <v>12262.86</v>
      </c>
      <c r="J151">
        <v>0</v>
      </c>
    </row>
    <row r="152" spans="1:10" x14ac:dyDescent="0.35">
      <c r="A152">
        <v>319522</v>
      </c>
      <c r="B152" t="s">
        <v>20</v>
      </c>
      <c r="C152">
        <v>2015</v>
      </c>
      <c r="D152">
        <v>9</v>
      </c>
      <c r="E152" t="s">
        <v>42</v>
      </c>
      <c r="F152" t="s">
        <v>5</v>
      </c>
      <c r="G152" t="s">
        <v>5</v>
      </c>
      <c r="H152">
        <v>74053.960000000006</v>
      </c>
      <c r="I152">
        <v>55691.68</v>
      </c>
      <c r="J152">
        <v>0</v>
      </c>
    </row>
    <row r="153" spans="1:10" x14ac:dyDescent="0.35">
      <c r="A153">
        <v>319529</v>
      </c>
      <c r="B153" t="s">
        <v>20</v>
      </c>
      <c r="C153">
        <v>2015</v>
      </c>
      <c r="D153">
        <v>9</v>
      </c>
      <c r="E153" t="s">
        <v>42</v>
      </c>
      <c r="F153" t="s">
        <v>5</v>
      </c>
      <c r="G153" t="s">
        <v>5</v>
      </c>
      <c r="H153">
        <v>46063.45</v>
      </c>
      <c r="I153">
        <v>30434.61</v>
      </c>
      <c r="J153">
        <v>0</v>
      </c>
    </row>
    <row r="154" spans="1:10" x14ac:dyDescent="0.35">
      <c r="A154">
        <v>319540</v>
      </c>
      <c r="B154" t="s">
        <v>20</v>
      </c>
      <c r="C154">
        <v>2015</v>
      </c>
      <c r="D154">
        <v>9</v>
      </c>
      <c r="E154" t="s">
        <v>42</v>
      </c>
      <c r="F154" t="s">
        <v>5</v>
      </c>
      <c r="G154" t="s">
        <v>5</v>
      </c>
      <c r="H154">
        <v>4045.6</v>
      </c>
      <c r="I154">
        <v>4754.17</v>
      </c>
      <c r="J154">
        <v>1</v>
      </c>
    </row>
    <row r="155" spans="1:10" x14ac:dyDescent="0.35">
      <c r="A155">
        <v>319551</v>
      </c>
      <c r="B155" t="s">
        <v>20</v>
      </c>
      <c r="C155">
        <v>2015</v>
      </c>
      <c r="D155">
        <v>6</v>
      </c>
      <c r="E155" t="s">
        <v>43</v>
      </c>
      <c r="F155" t="s">
        <v>5</v>
      </c>
      <c r="G155" t="s">
        <v>5</v>
      </c>
      <c r="H155">
        <v>32426.639999999999</v>
      </c>
      <c r="I155">
        <v>9964.75</v>
      </c>
      <c r="J155">
        <v>0</v>
      </c>
    </row>
    <row r="156" spans="1:10" x14ac:dyDescent="0.35">
      <c r="A156">
        <v>319558</v>
      </c>
      <c r="B156" t="s">
        <v>20</v>
      </c>
      <c r="C156">
        <v>2015</v>
      </c>
      <c r="D156">
        <v>6</v>
      </c>
      <c r="E156" t="s">
        <v>43</v>
      </c>
      <c r="F156" t="s">
        <v>5</v>
      </c>
      <c r="G156" t="s">
        <v>5</v>
      </c>
      <c r="H156">
        <v>73691.92</v>
      </c>
      <c r="I156">
        <v>54609.94</v>
      </c>
      <c r="J156">
        <v>0</v>
      </c>
    </row>
    <row r="157" spans="1:10" x14ac:dyDescent="0.35">
      <c r="A157">
        <v>319570</v>
      </c>
      <c r="B157" t="s">
        <v>20</v>
      </c>
      <c r="C157">
        <v>2015</v>
      </c>
      <c r="D157">
        <v>6</v>
      </c>
      <c r="E157" t="s">
        <v>43</v>
      </c>
      <c r="F157" t="s">
        <v>5</v>
      </c>
      <c r="G157" t="s">
        <v>5</v>
      </c>
      <c r="H157">
        <v>40694.04</v>
      </c>
      <c r="I157">
        <v>30752.62</v>
      </c>
      <c r="J157">
        <v>0</v>
      </c>
    </row>
    <row r="158" spans="1:10" x14ac:dyDescent="0.35">
      <c r="A158">
        <v>319575</v>
      </c>
      <c r="B158" t="s">
        <v>20</v>
      </c>
      <c r="C158">
        <v>2015</v>
      </c>
      <c r="D158">
        <v>9</v>
      </c>
      <c r="E158" t="s">
        <v>42</v>
      </c>
      <c r="F158" t="s">
        <v>5</v>
      </c>
      <c r="G158" t="s">
        <v>5</v>
      </c>
      <c r="H158">
        <v>37525.410000000003</v>
      </c>
      <c r="I158">
        <v>25076.28</v>
      </c>
      <c r="J158">
        <v>0</v>
      </c>
    </row>
    <row r="159" spans="1:10" x14ac:dyDescent="0.35">
      <c r="A159">
        <v>319585</v>
      </c>
      <c r="B159" t="s">
        <v>20</v>
      </c>
      <c r="C159">
        <v>2015</v>
      </c>
      <c r="D159">
        <v>6</v>
      </c>
      <c r="E159" t="s">
        <v>43</v>
      </c>
      <c r="F159" t="s">
        <v>5</v>
      </c>
      <c r="G159" t="s">
        <v>5</v>
      </c>
      <c r="H159">
        <v>90295.6</v>
      </c>
      <c r="I159">
        <v>66746.83</v>
      </c>
      <c r="J159">
        <v>0</v>
      </c>
    </row>
    <row r="160" spans="1:10" x14ac:dyDescent="0.35">
      <c r="A160">
        <v>319588</v>
      </c>
      <c r="B160" t="s">
        <v>20</v>
      </c>
      <c r="C160">
        <v>2015</v>
      </c>
      <c r="D160">
        <v>6</v>
      </c>
      <c r="E160" t="s">
        <v>43</v>
      </c>
      <c r="F160" t="s">
        <v>5</v>
      </c>
      <c r="G160" t="s">
        <v>5</v>
      </c>
      <c r="H160">
        <v>66415.14</v>
      </c>
      <c r="I160">
        <v>47767.53</v>
      </c>
      <c r="J160">
        <v>0</v>
      </c>
    </row>
    <row r="161" spans="1:10" x14ac:dyDescent="0.35">
      <c r="A161">
        <v>319618</v>
      </c>
      <c r="B161" t="s">
        <v>20</v>
      </c>
      <c r="C161">
        <v>2015</v>
      </c>
      <c r="D161">
        <v>6</v>
      </c>
      <c r="E161" t="s">
        <v>43</v>
      </c>
      <c r="F161" t="s">
        <v>5</v>
      </c>
      <c r="G161" t="s">
        <v>5</v>
      </c>
      <c r="H161">
        <v>16545.36</v>
      </c>
      <c r="I161">
        <v>2667.27</v>
      </c>
      <c r="J161">
        <v>0</v>
      </c>
    </row>
    <row r="162" spans="1:10" x14ac:dyDescent="0.35">
      <c r="A162">
        <v>319646</v>
      </c>
      <c r="B162" t="s">
        <v>20</v>
      </c>
      <c r="C162">
        <v>2015</v>
      </c>
      <c r="D162">
        <v>9</v>
      </c>
      <c r="E162" t="s">
        <v>42</v>
      </c>
      <c r="F162" t="s">
        <v>5</v>
      </c>
      <c r="G162" t="s">
        <v>5</v>
      </c>
      <c r="H162">
        <v>75192.38</v>
      </c>
      <c r="I162">
        <v>57520.480000000003</v>
      </c>
      <c r="J162">
        <v>0</v>
      </c>
    </row>
    <row r="163" spans="1:10" x14ac:dyDescent="0.35">
      <c r="A163">
        <v>319651</v>
      </c>
      <c r="B163" t="s">
        <v>20</v>
      </c>
      <c r="C163">
        <v>2015</v>
      </c>
      <c r="D163">
        <v>9</v>
      </c>
      <c r="E163" t="s">
        <v>42</v>
      </c>
      <c r="F163" t="s">
        <v>5</v>
      </c>
      <c r="G163" t="s">
        <v>5</v>
      </c>
      <c r="H163">
        <v>37314.33</v>
      </c>
      <c r="I163">
        <v>28209.35</v>
      </c>
      <c r="J163">
        <v>0</v>
      </c>
    </row>
    <row r="164" spans="1:10" x14ac:dyDescent="0.35">
      <c r="A164">
        <v>319653</v>
      </c>
      <c r="B164" t="s">
        <v>20</v>
      </c>
      <c r="C164">
        <v>2015</v>
      </c>
      <c r="D164">
        <v>6</v>
      </c>
      <c r="E164" t="s">
        <v>43</v>
      </c>
      <c r="F164" t="s">
        <v>5</v>
      </c>
      <c r="G164" t="s">
        <v>5</v>
      </c>
      <c r="H164">
        <v>2952.56</v>
      </c>
      <c r="I164">
        <v>3233.02</v>
      </c>
      <c r="J164">
        <v>1</v>
      </c>
    </row>
    <row r="165" spans="1:10" x14ac:dyDescent="0.35">
      <c r="A165">
        <v>319656</v>
      </c>
      <c r="B165" t="s">
        <v>20</v>
      </c>
      <c r="C165">
        <v>2015</v>
      </c>
      <c r="D165">
        <v>6</v>
      </c>
      <c r="E165" t="s">
        <v>43</v>
      </c>
      <c r="F165" t="s">
        <v>5</v>
      </c>
      <c r="G165" t="s">
        <v>5</v>
      </c>
      <c r="H165">
        <v>86770.29</v>
      </c>
      <c r="I165">
        <v>54138.06</v>
      </c>
      <c r="J165">
        <v>0</v>
      </c>
    </row>
    <row r="166" spans="1:10" x14ac:dyDescent="0.35">
      <c r="A166">
        <v>319671</v>
      </c>
      <c r="B166" t="s">
        <v>20</v>
      </c>
      <c r="C166">
        <v>2015</v>
      </c>
      <c r="D166">
        <v>9</v>
      </c>
      <c r="E166" t="s">
        <v>42</v>
      </c>
      <c r="F166" t="s">
        <v>5</v>
      </c>
      <c r="G166" t="s">
        <v>5</v>
      </c>
      <c r="H166">
        <v>62415.98</v>
      </c>
      <c r="I166">
        <v>45436.77</v>
      </c>
      <c r="J166">
        <v>0</v>
      </c>
    </row>
    <row r="167" spans="1:10" x14ac:dyDescent="0.35">
      <c r="A167">
        <v>319690</v>
      </c>
      <c r="B167" t="s">
        <v>20</v>
      </c>
      <c r="C167">
        <v>2015</v>
      </c>
      <c r="D167">
        <v>9</v>
      </c>
      <c r="E167" t="s">
        <v>42</v>
      </c>
      <c r="F167" t="s">
        <v>5</v>
      </c>
      <c r="G167" t="s">
        <v>5</v>
      </c>
      <c r="H167">
        <v>254315.45</v>
      </c>
      <c r="I167">
        <v>233753.46</v>
      </c>
      <c r="J167">
        <v>0</v>
      </c>
    </row>
    <row r="168" spans="1:10" x14ac:dyDescent="0.35">
      <c r="A168">
        <v>319702</v>
      </c>
      <c r="B168" t="s">
        <v>20</v>
      </c>
      <c r="C168">
        <v>2015</v>
      </c>
      <c r="D168">
        <v>9</v>
      </c>
      <c r="E168" t="s">
        <v>42</v>
      </c>
      <c r="F168" t="s">
        <v>5</v>
      </c>
      <c r="G168" t="s">
        <v>5</v>
      </c>
      <c r="H168">
        <v>198496.92</v>
      </c>
      <c r="I168">
        <v>185976.67</v>
      </c>
      <c r="J168">
        <v>0</v>
      </c>
    </row>
    <row r="169" spans="1:10" x14ac:dyDescent="0.35">
      <c r="A169">
        <v>319718</v>
      </c>
      <c r="B169" t="s">
        <v>20</v>
      </c>
      <c r="C169">
        <v>2015</v>
      </c>
      <c r="D169">
        <v>9</v>
      </c>
      <c r="E169" t="s">
        <v>42</v>
      </c>
      <c r="F169" t="s">
        <v>5</v>
      </c>
      <c r="G169" t="s">
        <v>5</v>
      </c>
      <c r="H169">
        <v>66420.12</v>
      </c>
      <c r="I169">
        <v>52223.83</v>
      </c>
      <c r="J169">
        <v>0</v>
      </c>
    </row>
    <row r="170" spans="1:10" x14ac:dyDescent="0.35">
      <c r="A170">
        <v>319722</v>
      </c>
      <c r="B170" t="s">
        <v>20</v>
      </c>
      <c r="C170">
        <v>2015</v>
      </c>
      <c r="D170">
        <v>9</v>
      </c>
      <c r="E170" t="s">
        <v>42</v>
      </c>
      <c r="F170" t="s">
        <v>5</v>
      </c>
      <c r="G170" t="s">
        <v>5</v>
      </c>
      <c r="H170">
        <v>23838.959999999999</v>
      </c>
      <c r="I170">
        <v>6927.14</v>
      </c>
      <c r="J170">
        <v>0</v>
      </c>
    </row>
    <row r="171" spans="1:10" x14ac:dyDescent="0.35">
      <c r="A171">
        <v>319726</v>
      </c>
      <c r="B171" t="s">
        <v>20</v>
      </c>
      <c r="C171">
        <v>2015</v>
      </c>
      <c r="D171">
        <v>9</v>
      </c>
      <c r="E171" t="s">
        <v>42</v>
      </c>
      <c r="F171" t="s">
        <v>5</v>
      </c>
      <c r="G171" t="s">
        <v>5</v>
      </c>
      <c r="H171">
        <v>76516</v>
      </c>
      <c r="I171">
        <v>54360.01</v>
      </c>
      <c r="J171">
        <v>0</v>
      </c>
    </row>
    <row r="172" spans="1:10" x14ac:dyDescent="0.35">
      <c r="A172">
        <v>319727</v>
      </c>
      <c r="B172" t="s">
        <v>20</v>
      </c>
      <c r="C172">
        <v>2015</v>
      </c>
      <c r="D172">
        <v>6</v>
      </c>
      <c r="E172" t="s">
        <v>43</v>
      </c>
      <c r="F172" t="s">
        <v>5</v>
      </c>
      <c r="G172" t="s">
        <v>5</v>
      </c>
      <c r="H172">
        <v>34522.949999999997</v>
      </c>
      <c r="I172">
        <v>23516.87</v>
      </c>
      <c r="J172">
        <v>0</v>
      </c>
    </row>
    <row r="173" spans="1:10" x14ac:dyDescent="0.35">
      <c r="A173">
        <v>319728</v>
      </c>
      <c r="B173" t="s">
        <v>20</v>
      </c>
      <c r="C173">
        <v>2015</v>
      </c>
      <c r="D173">
        <v>9</v>
      </c>
      <c r="E173" t="s">
        <v>42</v>
      </c>
      <c r="F173" t="s">
        <v>5</v>
      </c>
      <c r="G173" t="s">
        <v>5</v>
      </c>
      <c r="H173">
        <v>23622.62</v>
      </c>
      <c r="I173">
        <v>8363.77</v>
      </c>
      <c r="J173">
        <v>0</v>
      </c>
    </row>
    <row r="174" spans="1:10" x14ac:dyDescent="0.35">
      <c r="A174">
        <v>319732</v>
      </c>
      <c r="B174" t="s">
        <v>20</v>
      </c>
      <c r="C174">
        <v>2015</v>
      </c>
      <c r="D174">
        <v>9</v>
      </c>
      <c r="E174" t="s">
        <v>42</v>
      </c>
      <c r="F174" t="s">
        <v>5</v>
      </c>
      <c r="G174" t="s">
        <v>5</v>
      </c>
      <c r="H174">
        <v>23968.720000000001</v>
      </c>
      <c r="I174">
        <v>8363.2099999999991</v>
      </c>
      <c r="J174">
        <v>0</v>
      </c>
    </row>
    <row r="175" spans="1:10" x14ac:dyDescent="0.35">
      <c r="A175">
        <v>319735</v>
      </c>
      <c r="B175" t="s">
        <v>20</v>
      </c>
      <c r="C175">
        <v>2015</v>
      </c>
      <c r="D175">
        <v>9</v>
      </c>
      <c r="E175" t="s">
        <v>42</v>
      </c>
      <c r="F175" t="s">
        <v>5</v>
      </c>
      <c r="G175" t="s">
        <v>5</v>
      </c>
      <c r="H175">
        <v>74957.38</v>
      </c>
      <c r="I175">
        <v>55885.08</v>
      </c>
      <c r="J175">
        <v>0</v>
      </c>
    </row>
    <row r="176" spans="1:10" x14ac:dyDescent="0.35">
      <c r="A176">
        <v>319747</v>
      </c>
      <c r="B176" t="s">
        <v>20</v>
      </c>
      <c r="C176">
        <v>2015</v>
      </c>
      <c r="D176">
        <v>9</v>
      </c>
      <c r="E176" t="s">
        <v>42</v>
      </c>
      <c r="F176" t="s">
        <v>5</v>
      </c>
      <c r="G176" t="s">
        <v>5</v>
      </c>
      <c r="H176">
        <v>68875.179999999993</v>
      </c>
      <c r="I176">
        <v>53862.63</v>
      </c>
      <c r="J176">
        <v>0</v>
      </c>
    </row>
    <row r="177" spans="1:10" x14ac:dyDescent="0.35">
      <c r="A177">
        <v>319757</v>
      </c>
      <c r="B177" t="s">
        <v>20</v>
      </c>
      <c r="C177">
        <v>2015</v>
      </c>
      <c r="D177">
        <v>9</v>
      </c>
      <c r="E177" t="s">
        <v>42</v>
      </c>
      <c r="F177" t="s">
        <v>5</v>
      </c>
      <c r="G177" t="s">
        <v>5</v>
      </c>
      <c r="H177">
        <v>26097.22</v>
      </c>
      <c r="I177">
        <v>10390.67</v>
      </c>
      <c r="J177">
        <v>0</v>
      </c>
    </row>
    <row r="178" spans="1:10" x14ac:dyDescent="0.35">
      <c r="A178">
        <v>319760</v>
      </c>
      <c r="B178" t="s">
        <v>20</v>
      </c>
      <c r="C178">
        <v>2015</v>
      </c>
      <c r="D178">
        <v>9</v>
      </c>
      <c r="E178" t="s">
        <v>42</v>
      </c>
      <c r="F178" t="s">
        <v>5</v>
      </c>
      <c r="G178" t="s">
        <v>5</v>
      </c>
      <c r="H178">
        <v>74214.44</v>
      </c>
      <c r="I178">
        <v>55692.03</v>
      </c>
      <c r="J178">
        <v>0</v>
      </c>
    </row>
    <row r="179" spans="1:10" x14ac:dyDescent="0.35">
      <c r="A179">
        <v>319766</v>
      </c>
      <c r="B179" t="s">
        <v>20</v>
      </c>
      <c r="C179">
        <v>2015</v>
      </c>
      <c r="D179">
        <v>6</v>
      </c>
      <c r="E179" t="s">
        <v>43</v>
      </c>
      <c r="F179" t="s">
        <v>5</v>
      </c>
      <c r="G179" t="s">
        <v>5</v>
      </c>
      <c r="H179">
        <v>72211.42</v>
      </c>
      <c r="I179">
        <v>53815.92</v>
      </c>
      <c r="J179">
        <v>0</v>
      </c>
    </row>
    <row r="180" spans="1:10" x14ac:dyDescent="0.35">
      <c r="A180">
        <v>319780</v>
      </c>
      <c r="B180" t="s">
        <v>20</v>
      </c>
      <c r="C180">
        <v>2015</v>
      </c>
      <c r="D180">
        <v>9</v>
      </c>
      <c r="E180" t="s">
        <v>42</v>
      </c>
      <c r="F180" t="s">
        <v>5</v>
      </c>
      <c r="G180" t="s">
        <v>5</v>
      </c>
      <c r="H180">
        <v>74448.240000000005</v>
      </c>
      <c r="I180">
        <v>55697.65</v>
      </c>
      <c r="J180">
        <v>0</v>
      </c>
    </row>
    <row r="181" spans="1:10" x14ac:dyDescent="0.35">
      <c r="A181">
        <v>319788</v>
      </c>
      <c r="B181" t="s">
        <v>20</v>
      </c>
      <c r="C181">
        <v>2015</v>
      </c>
      <c r="D181">
        <v>6</v>
      </c>
      <c r="E181" t="s">
        <v>43</v>
      </c>
      <c r="F181" t="s">
        <v>5</v>
      </c>
      <c r="G181" t="s">
        <v>5</v>
      </c>
      <c r="H181">
        <v>39088.720000000001</v>
      </c>
      <c r="I181">
        <v>12501.75</v>
      </c>
      <c r="J181">
        <v>0</v>
      </c>
    </row>
    <row r="182" spans="1:10" x14ac:dyDescent="0.35">
      <c r="A182">
        <v>319794</v>
      </c>
      <c r="B182" t="s">
        <v>20</v>
      </c>
      <c r="C182">
        <v>2015</v>
      </c>
      <c r="D182">
        <v>9</v>
      </c>
      <c r="E182" t="s">
        <v>42</v>
      </c>
      <c r="F182" t="s">
        <v>5</v>
      </c>
      <c r="G182" t="s">
        <v>5</v>
      </c>
      <c r="H182">
        <v>77358</v>
      </c>
      <c r="I182">
        <v>59168.85</v>
      </c>
      <c r="J182">
        <v>0</v>
      </c>
    </row>
    <row r="183" spans="1:10" x14ac:dyDescent="0.35">
      <c r="A183">
        <v>319803</v>
      </c>
      <c r="B183" t="s">
        <v>20</v>
      </c>
      <c r="C183">
        <v>2015</v>
      </c>
      <c r="D183">
        <v>9</v>
      </c>
      <c r="E183" t="s">
        <v>42</v>
      </c>
      <c r="F183" t="s">
        <v>5</v>
      </c>
      <c r="G183" t="s">
        <v>5</v>
      </c>
      <c r="H183">
        <v>70773.94</v>
      </c>
      <c r="I183">
        <v>52155.11</v>
      </c>
      <c r="J183">
        <v>0</v>
      </c>
    </row>
    <row r="184" spans="1:10" x14ac:dyDescent="0.35">
      <c r="A184">
        <v>319837</v>
      </c>
      <c r="B184" t="s">
        <v>20</v>
      </c>
      <c r="C184">
        <v>2015</v>
      </c>
      <c r="D184">
        <v>9</v>
      </c>
      <c r="E184" t="s">
        <v>42</v>
      </c>
      <c r="F184" t="s">
        <v>5</v>
      </c>
      <c r="G184" t="s">
        <v>5</v>
      </c>
      <c r="H184">
        <v>67631.98</v>
      </c>
      <c r="I184">
        <v>54017.18</v>
      </c>
      <c r="J184">
        <v>0</v>
      </c>
    </row>
    <row r="185" spans="1:10" x14ac:dyDescent="0.35">
      <c r="A185">
        <v>319843</v>
      </c>
      <c r="B185" t="s">
        <v>20</v>
      </c>
      <c r="C185">
        <v>2015</v>
      </c>
      <c r="D185">
        <v>9</v>
      </c>
      <c r="E185" t="s">
        <v>42</v>
      </c>
      <c r="F185" t="s">
        <v>5</v>
      </c>
      <c r="G185" t="s">
        <v>5</v>
      </c>
      <c r="H185">
        <v>50770.879999999997</v>
      </c>
      <c r="I185">
        <v>14993.83</v>
      </c>
      <c r="J185">
        <v>0</v>
      </c>
    </row>
    <row r="186" spans="1:10" x14ac:dyDescent="0.35">
      <c r="A186">
        <v>319848</v>
      </c>
      <c r="B186" t="s">
        <v>20</v>
      </c>
      <c r="C186">
        <v>2015</v>
      </c>
      <c r="D186">
        <v>6</v>
      </c>
      <c r="E186" t="s">
        <v>43</v>
      </c>
      <c r="F186" t="s">
        <v>5</v>
      </c>
      <c r="G186" t="s">
        <v>5</v>
      </c>
      <c r="H186">
        <v>40799.339999999997</v>
      </c>
      <c r="I186">
        <v>22803.49</v>
      </c>
      <c r="J186">
        <v>0</v>
      </c>
    </row>
    <row r="187" spans="1:10" x14ac:dyDescent="0.35">
      <c r="A187">
        <v>319859</v>
      </c>
      <c r="B187" t="s">
        <v>20</v>
      </c>
      <c r="C187">
        <v>2015</v>
      </c>
      <c r="D187">
        <v>9</v>
      </c>
      <c r="E187" t="s">
        <v>42</v>
      </c>
      <c r="F187" t="s">
        <v>5</v>
      </c>
      <c r="G187" t="s">
        <v>5</v>
      </c>
      <c r="H187">
        <v>7451.18</v>
      </c>
      <c r="I187">
        <v>6923.58</v>
      </c>
      <c r="J187">
        <v>0</v>
      </c>
    </row>
    <row r="188" spans="1:10" x14ac:dyDescent="0.35">
      <c r="A188">
        <v>319874</v>
      </c>
      <c r="B188" t="s">
        <v>20</v>
      </c>
      <c r="C188">
        <v>2015</v>
      </c>
      <c r="D188">
        <v>6</v>
      </c>
      <c r="E188" t="s">
        <v>43</v>
      </c>
      <c r="F188" t="s">
        <v>5</v>
      </c>
      <c r="G188" t="s">
        <v>5</v>
      </c>
      <c r="H188">
        <v>83699.3</v>
      </c>
      <c r="I188">
        <v>60430.14</v>
      </c>
      <c r="J188">
        <v>0</v>
      </c>
    </row>
    <row r="189" spans="1:10" x14ac:dyDescent="0.35">
      <c r="A189">
        <v>319893</v>
      </c>
      <c r="B189" t="s">
        <v>20</v>
      </c>
      <c r="C189">
        <v>2015</v>
      </c>
      <c r="D189">
        <v>6</v>
      </c>
      <c r="E189" t="s">
        <v>43</v>
      </c>
      <c r="F189" t="s">
        <v>5</v>
      </c>
      <c r="G189" t="s">
        <v>5</v>
      </c>
      <c r="H189">
        <v>27193.98</v>
      </c>
      <c r="I189">
        <v>8807.17</v>
      </c>
      <c r="J189">
        <v>0</v>
      </c>
    </row>
    <row r="190" spans="1:10" x14ac:dyDescent="0.35">
      <c r="A190">
        <v>319906</v>
      </c>
      <c r="B190" t="s">
        <v>20</v>
      </c>
      <c r="C190">
        <v>2015</v>
      </c>
      <c r="D190">
        <v>9</v>
      </c>
      <c r="E190" t="s">
        <v>42</v>
      </c>
      <c r="F190" t="s">
        <v>5</v>
      </c>
      <c r="G190" t="s">
        <v>5</v>
      </c>
      <c r="H190">
        <v>67176.75</v>
      </c>
      <c r="I190">
        <v>47949.52</v>
      </c>
      <c r="J190">
        <v>0</v>
      </c>
    </row>
    <row r="191" spans="1:10" x14ac:dyDescent="0.35">
      <c r="A191">
        <v>319916</v>
      </c>
      <c r="B191" t="s">
        <v>20</v>
      </c>
      <c r="C191">
        <v>2015</v>
      </c>
      <c r="D191">
        <v>6</v>
      </c>
      <c r="E191" t="s">
        <v>43</v>
      </c>
      <c r="F191" t="s">
        <v>5</v>
      </c>
      <c r="G191" t="s">
        <v>5</v>
      </c>
      <c r="H191">
        <v>23819.68</v>
      </c>
      <c r="I191">
        <v>8327.41</v>
      </c>
      <c r="J191">
        <v>0</v>
      </c>
    </row>
    <row r="192" spans="1:10" x14ac:dyDescent="0.35">
      <c r="A192">
        <v>319922</v>
      </c>
      <c r="B192" t="s">
        <v>20</v>
      </c>
      <c r="C192">
        <v>2015</v>
      </c>
      <c r="D192">
        <v>6</v>
      </c>
      <c r="E192" t="s">
        <v>43</v>
      </c>
      <c r="F192" t="s">
        <v>5</v>
      </c>
      <c r="G192" t="s">
        <v>5</v>
      </c>
      <c r="H192">
        <v>67087.3</v>
      </c>
      <c r="I192">
        <v>53497.98</v>
      </c>
      <c r="J192">
        <v>0</v>
      </c>
    </row>
    <row r="193" spans="1:10" x14ac:dyDescent="0.35">
      <c r="A193">
        <v>319925</v>
      </c>
      <c r="B193" t="s">
        <v>20</v>
      </c>
      <c r="C193">
        <v>2015</v>
      </c>
      <c r="D193">
        <v>6</v>
      </c>
      <c r="E193" t="s">
        <v>43</v>
      </c>
      <c r="F193" t="s">
        <v>5</v>
      </c>
      <c r="G193" t="s">
        <v>5</v>
      </c>
      <c r="H193">
        <v>58888.34</v>
      </c>
      <c r="I193">
        <v>39852.1</v>
      </c>
      <c r="J193">
        <v>0</v>
      </c>
    </row>
    <row r="194" spans="1:10" x14ac:dyDescent="0.35">
      <c r="A194">
        <v>319950</v>
      </c>
      <c r="B194" t="s">
        <v>20</v>
      </c>
      <c r="C194">
        <v>2015</v>
      </c>
      <c r="D194">
        <v>9</v>
      </c>
      <c r="E194" t="s">
        <v>42</v>
      </c>
      <c r="F194" t="s">
        <v>5</v>
      </c>
      <c r="G194" t="s">
        <v>5</v>
      </c>
      <c r="H194">
        <v>61588.68</v>
      </c>
      <c r="I194">
        <v>44234.559999999998</v>
      </c>
      <c r="J194">
        <v>0</v>
      </c>
    </row>
    <row r="195" spans="1:10" x14ac:dyDescent="0.35">
      <c r="A195">
        <v>319954</v>
      </c>
      <c r="B195" t="s">
        <v>20</v>
      </c>
      <c r="C195">
        <v>2015</v>
      </c>
      <c r="D195">
        <v>6</v>
      </c>
      <c r="E195" t="s">
        <v>43</v>
      </c>
      <c r="F195" t="s">
        <v>5</v>
      </c>
      <c r="G195" t="s">
        <v>5</v>
      </c>
      <c r="H195">
        <v>50662.8</v>
      </c>
      <c r="I195">
        <v>15633.34</v>
      </c>
      <c r="J195">
        <v>0</v>
      </c>
    </row>
    <row r="196" spans="1:10" x14ac:dyDescent="0.35">
      <c r="A196">
        <v>319960</v>
      </c>
      <c r="B196" t="s">
        <v>20</v>
      </c>
      <c r="C196">
        <v>2015</v>
      </c>
      <c r="D196">
        <v>6</v>
      </c>
      <c r="E196" t="s">
        <v>43</v>
      </c>
      <c r="F196" t="s">
        <v>5</v>
      </c>
      <c r="G196" t="s">
        <v>5</v>
      </c>
      <c r="H196">
        <v>7443.42</v>
      </c>
      <c r="I196">
        <v>6921.72</v>
      </c>
      <c r="J196">
        <v>0</v>
      </c>
    </row>
    <row r="197" spans="1:10" x14ac:dyDescent="0.35">
      <c r="A197">
        <v>319961</v>
      </c>
      <c r="B197" t="s">
        <v>20</v>
      </c>
      <c r="C197">
        <v>2015</v>
      </c>
      <c r="D197">
        <v>9</v>
      </c>
      <c r="E197" t="s">
        <v>42</v>
      </c>
      <c r="F197" t="s">
        <v>5</v>
      </c>
      <c r="G197" t="s">
        <v>5</v>
      </c>
      <c r="H197">
        <v>50040.51</v>
      </c>
      <c r="I197">
        <v>33755.49</v>
      </c>
      <c r="J197">
        <v>0</v>
      </c>
    </row>
    <row r="198" spans="1:10" x14ac:dyDescent="0.35">
      <c r="A198">
        <v>319991</v>
      </c>
      <c r="B198" t="s">
        <v>20</v>
      </c>
      <c r="C198">
        <v>2015</v>
      </c>
      <c r="D198">
        <v>9</v>
      </c>
      <c r="E198" t="s">
        <v>42</v>
      </c>
      <c r="F198" t="s">
        <v>5</v>
      </c>
      <c r="G198" t="s">
        <v>5</v>
      </c>
      <c r="H198">
        <v>18168.740000000002</v>
      </c>
      <c r="I198">
        <v>11624.99</v>
      </c>
      <c r="J198">
        <v>0</v>
      </c>
    </row>
    <row r="199" spans="1:10" x14ac:dyDescent="0.35">
      <c r="A199">
        <v>319997</v>
      </c>
      <c r="B199" t="s">
        <v>20</v>
      </c>
      <c r="C199">
        <v>2015</v>
      </c>
      <c r="D199">
        <v>6</v>
      </c>
      <c r="E199" t="s">
        <v>43</v>
      </c>
      <c r="F199" t="s">
        <v>5</v>
      </c>
      <c r="G199" t="s">
        <v>5</v>
      </c>
      <c r="H199">
        <v>24107.040000000001</v>
      </c>
      <c r="I199">
        <v>4634.08</v>
      </c>
      <c r="J199">
        <v>0</v>
      </c>
    </row>
    <row r="200" spans="1:10" x14ac:dyDescent="0.35">
      <c r="A200">
        <v>319998</v>
      </c>
      <c r="B200" t="s">
        <v>20</v>
      </c>
      <c r="C200">
        <v>2015</v>
      </c>
      <c r="D200">
        <v>6</v>
      </c>
      <c r="E200" t="s">
        <v>43</v>
      </c>
      <c r="F200" t="s">
        <v>5</v>
      </c>
      <c r="G200" t="s">
        <v>5</v>
      </c>
      <c r="H200">
        <v>65314.5</v>
      </c>
      <c r="I200">
        <v>46917.63</v>
      </c>
      <c r="J200">
        <v>0</v>
      </c>
    </row>
    <row r="201" spans="1:10" x14ac:dyDescent="0.35">
      <c r="A201">
        <v>320021</v>
      </c>
      <c r="B201" t="s">
        <v>20</v>
      </c>
      <c r="C201">
        <v>2015</v>
      </c>
      <c r="D201">
        <v>9</v>
      </c>
      <c r="E201" t="s">
        <v>42</v>
      </c>
      <c r="F201" t="s">
        <v>5</v>
      </c>
      <c r="G201" t="s">
        <v>5</v>
      </c>
      <c r="H201">
        <v>38666.46</v>
      </c>
      <c r="I201">
        <v>12472.08</v>
      </c>
      <c r="J201">
        <v>0</v>
      </c>
    </row>
    <row r="202" spans="1:10" x14ac:dyDescent="0.35">
      <c r="A202">
        <v>320027</v>
      </c>
      <c r="B202" t="s">
        <v>20</v>
      </c>
      <c r="C202">
        <v>2015</v>
      </c>
      <c r="D202">
        <v>9</v>
      </c>
      <c r="E202" t="s">
        <v>42</v>
      </c>
      <c r="F202" t="s">
        <v>5</v>
      </c>
      <c r="G202" t="s">
        <v>5</v>
      </c>
      <c r="H202">
        <v>73638.62</v>
      </c>
      <c r="I202">
        <v>55578.69</v>
      </c>
      <c r="J202">
        <v>0</v>
      </c>
    </row>
    <row r="203" spans="1:10" x14ac:dyDescent="0.35">
      <c r="A203">
        <v>320035</v>
      </c>
      <c r="B203" t="s">
        <v>20</v>
      </c>
      <c r="C203">
        <v>2015</v>
      </c>
      <c r="D203">
        <v>6</v>
      </c>
      <c r="E203" t="s">
        <v>43</v>
      </c>
      <c r="F203" t="s">
        <v>5</v>
      </c>
      <c r="G203" t="s">
        <v>5</v>
      </c>
      <c r="H203">
        <v>73339.94</v>
      </c>
      <c r="I203">
        <v>55506.95</v>
      </c>
      <c r="J203">
        <v>0</v>
      </c>
    </row>
    <row r="204" spans="1:10" x14ac:dyDescent="0.35">
      <c r="A204">
        <v>320039</v>
      </c>
      <c r="B204" t="s">
        <v>20</v>
      </c>
      <c r="C204">
        <v>2015</v>
      </c>
      <c r="D204">
        <v>9</v>
      </c>
      <c r="E204" t="s">
        <v>42</v>
      </c>
      <c r="F204" t="s">
        <v>5</v>
      </c>
      <c r="G204" t="s">
        <v>5</v>
      </c>
      <c r="H204">
        <v>16813.16</v>
      </c>
      <c r="I204">
        <v>4712.97</v>
      </c>
      <c r="J204">
        <v>0</v>
      </c>
    </row>
    <row r="205" spans="1:10" x14ac:dyDescent="0.35">
      <c r="A205">
        <v>320053</v>
      </c>
      <c r="B205" t="s">
        <v>20</v>
      </c>
      <c r="C205">
        <v>2015</v>
      </c>
      <c r="D205">
        <v>6</v>
      </c>
      <c r="E205" t="s">
        <v>43</v>
      </c>
      <c r="F205" t="s">
        <v>5</v>
      </c>
      <c r="G205" t="s">
        <v>5</v>
      </c>
      <c r="H205">
        <v>62653.5</v>
      </c>
      <c r="I205">
        <v>47580.45</v>
      </c>
      <c r="J205">
        <v>0</v>
      </c>
    </row>
    <row r="206" spans="1:10" x14ac:dyDescent="0.35">
      <c r="A206">
        <v>320063</v>
      </c>
      <c r="B206" t="s">
        <v>20</v>
      </c>
      <c r="C206">
        <v>2015</v>
      </c>
      <c r="D206">
        <v>6</v>
      </c>
      <c r="E206" t="s">
        <v>43</v>
      </c>
      <c r="F206" t="s">
        <v>5</v>
      </c>
      <c r="G206" t="s">
        <v>5</v>
      </c>
      <c r="H206">
        <v>23586.94</v>
      </c>
      <c r="I206">
        <v>8271.39</v>
      </c>
      <c r="J206">
        <v>0</v>
      </c>
    </row>
    <row r="207" spans="1:10" x14ac:dyDescent="0.35">
      <c r="A207">
        <v>320071</v>
      </c>
      <c r="B207" t="s">
        <v>20</v>
      </c>
      <c r="C207">
        <v>2015</v>
      </c>
      <c r="D207">
        <v>9</v>
      </c>
      <c r="E207" t="s">
        <v>42</v>
      </c>
      <c r="F207" t="s">
        <v>5</v>
      </c>
      <c r="G207" t="s">
        <v>5</v>
      </c>
      <c r="H207">
        <v>71915.92</v>
      </c>
      <c r="I207">
        <v>57212.639999999999</v>
      </c>
      <c r="J207">
        <v>0</v>
      </c>
    </row>
    <row r="208" spans="1:10" x14ac:dyDescent="0.35">
      <c r="A208">
        <v>320078</v>
      </c>
      <c r="B208" t="s">
        <v>20</v>
      </c>
      <c r="C208">
        <v>2015</v>
      </c>
      <c r="D208">
        <v>6</v>
      </c>
      <c r="E208" t="s">
        <v>43</v>
      </c>
      <c r="F208" t="s">
        <v>5</v>
      </c>
      <c r="G208" t="s">
        <v>5</v>
      </c>
      <c r="H208">
        <v>63668.14</v>
      </c>
      <c r="I208">
        <v>45923.17</v>
      </c>
      <c r="J208">
        <v>0</v>
      </c>
    </row>
    <row r="209" spans="1:10" x14ac:dyDescent="0.35">
      <c r="A209">
        <v>320115</v>
      </c>
      <c r="B209" t="s">
        <v>20</v>
      </c>
      <c r="C209">
        <v>2015</v>
      </c>
      <c r="D209">
        <v>9</v>
      </c>
      <c r="E209" t="s">
        <v>42</v>
      </c>
      <c r="F209" t="s">
        <v>5</v>
      </c>
      <c r="G209" t="s">
        <v>5</v>
      </c>
      <c r="H209">
        <v>38831.24</v>
      </c>
      <c r="I209">
        <v>15999.85</v>
      </c>
      <c r="J209">
        <v>0</v>
      </c>
    </row>
    <row r="210" spans="1:10" x14ac:dyDescent="0.35">
      <c r="A210">
        <v>320142</v>
      </c>
      <c r="B210" t="s">
        <v>20</v>
      </c>
      <c r="C210">
        <v>2015</v>
      </c>
      <c r="D210">
        <v>6</v>
      </c>
      <c r="E210" t="s">
        <v>43</v>
      </c>
      <c r="F210" t="s">
        <v>5</v>
      </c>
      <c r="G210" t="s">
        <v>5</v>
      </c>
      <c r="H210">
        <v>80284.78</v>
      </c>
      <c r="I210">
        <v>59665.42</v>
      </c>
      <c r="J210">
        <v>0</v>
      </c>
    </row>
    <row r="211" spans="1:10" x14ac:dyDescent="0.35">
      <c r="A211">
        <v>320144</v>
      </c>
      <c r="B211" t="s">
        <v>20</v>
      </c>
      <c r="C211">
        <v>2015</v>
      </c>
      <c r="D211">
        <v>9</v>
      </c>
      <c r="E211" t="s">
        <v>42</v>
      </c>
      <c r="F211" t="s">
        <v>5</v>
      </c>
      <c r="G211" t="s">
        <v>5</v>
      </c>
      <c r="H211">
        <v>65753.48</v>
      </c>
      <c r="I211">
        <v>48716.15</v>
      </c>
      <c r="J211">
        <v>0</v>
      </c>
    </row>
    <row r="212" spans="1:10" x14ac:dyDescent="0.35">
      <c r="A212">
        <v>320160</v>
      </c>
      <c r="B212" t="s">
        <v>20</v>
      </c>
      <c r="C212">
        <v>2015</v>
      </c>
      <c r="D212">
        <v>6</v>
      </c>
      <c r="E212" t="s">
        <v>43</v>
      </c>
      <c r="F212" t="s">
        <v>5</v>
      </c>
      <c r="G212" t="s">
        <v>5</v>
      </c>
      <c r="H212">
        <v>44246.6</v>
      </c>
      <c r="I212">
        <v>22593.39</v>
      </c>
      <c r="J212">
        <v>0</v>
      </c>
    </row>
    <row r="213" spans="1:10" x14ac:dyDescent="0.35">
      <c r="A213">
        <v>320161</v>
      </c>
      <c r="B213" t="s">
        <v>20</v>
      </c>
      <c r="C213">
        <v>2015</v>
      </c>
      <c r="D213">
        <v>6</v>
      </c>
      <c r="E213" t="s">
        <v>43</v>
      </c>
      <c r="F213" t="s">
        <v>5</v>
      </c>
      <c r="G213" t="s">
        <v>5</v>
      </c>
      <c r="H213">
        <v>32480.080000000002</v>
      </c>
      <c r="I213">
        <v>9505.6200000000008</v>
      </c>
      <c r="J213">
        <v>0</v>
      </c>
    </row>
    <row r="214" spans="1:10" x14ac:dyDescent="0.35">
      <c r="A214">
        <v>320176</v>
      </c>
      <c r="B214" t="s">
        <v>20</v>
      </c>
      <c r="C214">
        <v>2015</v>
      </c>
      <c r="D214">
        <v>6</v>
      </c>
      <c r="E214" t="s">
        <v>43</v>
      </c>
      <c r="F214" t="s">
        <v>5</v>
      </c>
      <c r="G214" t="s">
        <v>5</v>
      </c>
      <c r="H214">
        <v>60062.14</v>
      </c>
      <c r="I214">
        <v>45707.64</v>
      </c>
      <c r="J214">
        <v>0</v>
      </c>
    </row>
    <row r="215" spans="1:10" x14ac:dyDescent="0.35">
      <c r="A215">
        <v>320192</v>
      </c>
      <c r="B215" t="s">
        <v>20</v>
      </c>
      <c r="C215">
        <v>2015</v>
      </c>
      <c r="D215">
        <v>9</v>
      </c>
      <c r="E215" t="s">
        <v>42</v>
      </c>
      <c r="F215" t="s">
        <v>5</v>
      </c>
      <c r="G215" t="s">
        <v>5</v>
      </c>
      <c r="H215">
        <v>55691.34</v>
      </c>
      <c r="I215">
        <v>33520.32</v>
      </c>
      <c r="J215">
        <v>0</v>
      </c>
    </row>
    <row r="216" spans="1:10" x14ac:dyDescent="0.35">
      <c r="A216">
        <v>320193</v>
      </c>
      <c r="B216" t="s">
        <v>20</v>
      </c>
      <c r="C216">
        <v>2015</v>
      </c>
      <c r="D216">
        <v>9</v>
      </c>
      <c r="E216" t="s">
        <v>42</v>
      </c>
      <c r="F216" t="s">
        <v>5</v>
      </c>
      <c r="G216" t="s">
        <v>5</v>
      </c>
      <c r="H216">
        <v>34730.75</v>
      </c>
      <c r="I216">
        <v>20255.990000000002</v>
      </c>
      <c r="J216">
        <v>0</v>
      </c>
    </row>
    <row r="217" spans="1:10" x14ac:dyDescent="0.35">
      <c r="A217">
        <v>320195</v>
      </c>
      <c r="B217" t="s">
        <v>20</v>
      </c>
      <c r="C217">
        <v>2015</v>
      </c>
      <c r="D217">
        <v>6</v>
      </c>
      <c r="E217" t="s">
        <v>43</v>
      </c>
      <c r="F217" t="s">
        <v>5</v>
      </c>
      <c r="G217" t="s">
        <v>5</v>
      </c>
      <c r="H217">
        <v>12716.54</v>
      </c>
      <c r="I217">
        <v>3787.57</v>
      </c>
      <c r="J217">
        <v>0</v>
      </c>
    </row>
    <row r="218" spans="1:10" x14ac:dyDescent="0.35">
      <c r="A218">
        <v>320198</v>
      </c>
      <c r="B218" t="s">
        <v>20</v>
      </c>
      <c r="C218">
        <v>2015</v>
      </c>
      <c r="D218">
        <v>9</v>
      </c>
      <c r="E218" t="s">
        <v>42</v>
      </c>
      <c r="F218" t="s">
        <v>5</v>
      </c>
      <c r="G218" t="s">
        <v>5</v>
      </c>
      <c r="H218">
        <v>75384.679999999993</v>
      </c>
      <c r="I218">
        <v>56388.67</v>
      </c>
      <c r="J218">
        <v>0</v>
      </c>
    </row>
    <row r="219" spans="1:10" x14ac:dyDescent="0.35">
      <c r="A219">
        <v>320223</v>
      </c>
      <c r="B219" t="s">
        <v>20</v>
      </c>
      <c r="C219">
        <v>2015</v>
      </c>
      <c r="D219">
        <v>9</v>
      </c>
      <c r="E219" t="s">
        <v>42</v>
      </c>
      <c r="F219" t="s">
        <v>5</v>
      </c>
      <c r="G219" t="s">
        <v>5</v>
      </c>
      <c r="H219">
        <v>62581.24</v>
      </c>
      <c r="I219">
        <v>26575.54</v>
      </c>
      <c r="J219">
        <v>0</v>
      </c>
    </row>
    <row r="220" spans="1:10" x14ac:dyDescent="0.35">
      <c r="A220">
        <v>320228</v>
      </c>
      <c r="B220" t="s">
        <v>20</v>
      </c>
      <c r="C220">
        <v>2015</v>
      </c>
      <c r="D220">
        <v>6</v>
      </c>
      <c r="E220" t="s">
        <v>43</v>
      </c>
      <c r="F220" t="s">
        <v>5</v>
      </c>
      <c r="G220" t="s">
        <v>5</v>
      </c>
      <c r="H220">
        <v>64987.14</v>
      </c>
      <c r="I220">
        <v>46766.54</v>
      </c>
      <c r="J220">
        <v>0</v>
      </c>
    </row>
    <row r="221" spans="1:10" x14ac:dyDescent="0.35">
      <c r="A221">
        <v>320240</v>
      </c>
      <c r="B221" t="s">
        <v>20</v>
      </c>
      <c r="C221">
        <v>2015</v>
      </c>
      <c r="D221">
        <v>9</v>
      </c>
      <c r="E221" t="s">
        <v>42</v>
      </c>
      <c r="F221" t="s">
        <v>5</v>
      </c>
      <c r="G221" t="s">
        <v>5</v>
      </c>
      <c r="H221">
        <v>47062</v>
      </c>
      <c r="I221">
        <v>14041.12</v>
      </c>
      <c r="J221">
        <v>0</v>
      </c>
    </row>
    <row r="222" spans="1:10" x14ac:dyDescent="0.35">
      <c r="A222">
        <v>320248</v>
      </c>
      <c r="B222" t="s">
        <v>20</v>
      </c>
      <c r="C222">
        <v>2015</v>
      </c>
      <c r="D222">
        <v>6</v>
      </c>
      <c r="E222" t="s">
        <v>43</v>
      </c>
      <c r="F222" t="s">
        <v>5</v>
      </c>
      <c r="G222" t="s">
        <v>5</v>
      </c>
      <c r="H222">
        <v>7548.62</v>
      </c>
      <c r="I222">
        <v>6951.37</v>
      </c>
      <c r="J222">
        <v>0</v>
      </c>
    </row>
    <row r="223" spans="1:10" x14ac:dyDescent="0.35">
      <c r="A223">
        <v>320257</v>
      </c>
      <c r="B223" t="s">
        <v>20</v>
      </c>
      <c r="C223">
        <v>2015</v>
      </c>
      <c r="D223">
        <v>6</v>
      </c>
      <c r="E223" t="s">
        <v>43</v>
      </c>
      <c r="F223" t="s">
        <v>5</v>
      </c>
      <c r="G223" t="s">
        <v>5</v>
      </c>
      <c r="H223">
        <v>38263.31</v>
      </c>
      <c r="I223">
        <v>24857.85</v>
      </c>
      <c r="J223">
        <v>0</v>
      </c>
    </row>
    <row r="224" spans="1:10" x14ac:dyDescent="0.35">
      <c r="A224">
        <v>320259</v>
      </c>
      <c r="B224" t="s">
        <v>20</v>
      </c>
      <c r="C224">
        <v>2015</v>
      </c>
      <c r="D224">
        <v>9</v>
      </c>
      <c r="E224" t="s">
        <v>42</v>
      </c>
      <c r="F224" t="s">
        <v>5</v>
      </c>
      <c r="G224" t="s">
        <v>5</v>
      </c>
      <c r="H224">
        <v>26773.34</v>
      </c>
      <c r="I224">
        <v>14673.56</v>
      </c>
      <c r="J224">
        <v>0</v>
      </c>
    </row>
    <row r="225" spans="1:10" x14ac:dyDescent="0.35">
      <c r="A225">
        <v>320264</v>
      </c>
      <c r="B225" t="s">
        <v>20</v>
      </c>
      <c r="C225">
        <v>2015</v>
      </c>
      <c r="D225">
        <v>6</v>
      </c>
      <c r="E225" t="s">
        <v>43</v>
      </c>
      <c r="F225" t="s">
        <v>5</v>
      </c>
      <c r="G225" t="s">
        <v>5</v>
      </c>
      <c r="H225">
        <v>35410.910000000003</v>
      </c>
      <c r="I225">
        <v>20271.46</v>
      </c>
      <c r="J225">
        <v>0</v>
      </c>
    </row>
    <row r="226" spans="1:10" x14ac:dyDescent="0.35">
      <c r="A226">
        <v>320266</v>
      </c>
      <c r="B226" t="s">
        <v>20</v>
      </c>
      <c r="C226">
        <v>2015</v>
      </c>
      <c r="D226">
        <v>6</v>
      </c>
      <c r="E226" t="s">
        <v>43</v>
      </c>
      <c r="F226" t="s">
        <v>5</v>
      </c>
      <c r="G226" t="s">
        <v>5</v>
      </c>
      <c r="H226">
        <v>25939.38</v>
      </c>
      <c r="I226">
        <v>11312.2</v>
      </c>
      <c r="J226">
        <v>0</v>
      </c>
    </row>
    <row r="227" spans="1:10" x14ac:dyDescent="0.35">
      <c r="A227">
        <v>320279</v>
      </c>
      <c r="B227" t="s">
        <v>20</v>
      </c>
      <c r="C227">
        <v>2015</v>
      </c>
      <c r="D227">
        <v>6</v>
      </c>
      <c r="E227" t="s">
        <v>43</v>
      </c>
      <c r="F227" t="s">
        <v>5</v>
      </c>
      <c r="G227" t="s">
        <v>5</v>
      </c>
      <c r="H227">
        <v>74839.48</v>
      </c>
      <c r="I227">
        <v>57291.87</v>
      </c>
      <c r="J227">
        <v>0</v>
      </c>
    </row>
    <row r="228" spans="1:10" x14ac:dyDescent="0.35">
      <c r="A228">
        <v>320297</v>
      </c>
      <c r="B228" t="s">
        <v>20</v>
      </c>
      <c r="C228">
        <v>2015</v>
      </c>
      <c r="D228">
        <v>6</v>
      </c>
      <c r="E228" t="s">
        <v>43</v>
      </c>
      <c r="F228" t="s">
        <v>5</v>
      </c>
      <c r="G228" t="s">
        <v>5</v>
      </c>
      <c r="H228">
        <v>38230.589999999997</v>
      </c>
      <c r="I228">
        <v>28982.26</v>
      </c>
      <c r="J228">
        <v>0</v>
      </c>
    </row>
    <row r="229" spans="1:10" x14ac:dyDescent="0.35">
      <c r="A229">
        <v>320298</v>
      </c>
      <c r="B229" t="s">
        <v>20</v>
      </c>
      <c r="C229">
        <v>2015</v>
      </c>
      <c r="D229">
        <v>6</v>
      </c>
      <c r="E229" t="s">
        <v>43</v>
      </c>
      <c r="F229" t="s">
        <v>5</v>
      </c>
      <c r="G229" t="s">
        <v>5</v>
      </c>
      <c r="H229">
        <v>14403.66</v>
      </c>
      <c r="I229">
        <v>3229.86</v>
      </c>
      <c r="J229">
        <v>0</v>
      </c>
    </row>
    <row r="230" spans="1:10" x14ac:dyDescent="0.35">
      <c r="A230">
        <v>320338</v>
      </c>
      <c r="B230" t="s">
        <v>20</v>
      </c>
      <c r="C230">
        <v>2015</v>
      </c>
      <c r="D230">
        <v>9</v>
      </c>
      <c r="E230" t="s">
        <v>42</v>
      </c>
      <c r="F230" t="s">
        <v>5</v>
      </c>
      <c r="G230" t="s">
        <v>5</v>
      </c>
      <c r="H230">
        <v>4269.6400000000003</v>
      </c>
      <c r="I230">
        <v>2372.64</v>
      </c>
      <c r="J230">
        <v>0</v>
      </c>
    </row>
    <row r="231" spans="1:10" x14ac:dyDescent="0.35">
      <c r="A231">
        <v>320341</v>
      </c>
      <c r="B231" t="s">
        <v>20</v>
      </c>
      <c r="C231">
        <v>2015</v>
      </c>
      <c r="D231">
        <v>6</v>
      </c>
      <c r="E231" t="s">
        <v>43</v>
      </c>
      <c r="F231" t="s">
        <v>5</v>
      </c>
      <c r="G231" t="s">
        <v>5</v>
      </c>
      <c r="H231">
        <v>88627.520000000004</v>
      </c>
      <c r="I231">
        <v>63249</v>
      </c>
      <c r="J231">
        <v>0</v>
      </c>
    </row>
    <row r="232" spans="1:10" x14ac:dyDescent="0.35">
      <c r="A232">
        <v>320348</v>
      </c>
      <c r="B232" t="s">
        <v>20</v>
      </c>
      <c r="C232">
        <v>2015</v>
      </c>
      <c r="D232">
        <v>9</v>
      </c>
      <c r="E232" t="s">
        <v>42</v>
      </c>
      <c r="F232" t="s">
        <v>5</v>
      </c>
      <c r="G232" t="s">
        <v>5</v>
      </c>
      <c r="H232">
        <v>20063.759999999998</v>
      </c>
      <c r="I232">
        <v>5066.78</v>
      </c>
      <c r="J232">
        <v>0</v>
      </c>
    </row>
    <row r="233" spans="1:10" x14ac:dyDescent="0.35">
      <c r="A233">
        <v>320355</v>
      </c>
      <c r="B233" t="s">
        <v>20</v>
      </c>
      <c r="C233">
        <v>2015</v>
      </c>
      <c r="D233">
        <v>9</v>
      </c>
      <c r="E233" t="s">
        <v>42</v>
      </c>
      <c r="F233" t="s">
        <v>5</v>
      </c>
      <c r="G233" t="s">
        <v>5</v>
      </c>
      <c r="H233">
        <v>83897.9</v>
      </c>
      <c r="I233">
        <v>62727.4</v>
      </c>
      <c r="J233">
        <v>0</v>
      </c>
    </row>
    <row r="234" spans="1:10" x14ac:dyDescent="0.35">
      <c r="A234">
        <v>320359</v>
      </c>
      <c r="B234" t="s">
        <v>20</v>
      </c>
      <c r="C234">
        <v>2015</v>
      </c>
      <c r="D234">
        <v>6</v>
      </c>
      <c r="E234" t="s">
        <v>43</v>
      </c>
      <c r="F234" t="s">
        <v>5</v>
      </c>
      <c r="G234" t="s">
        <v>5</v>
      </c>
      <c r="H234">
        <v>27902.720000000001</v>
      </c>
      <c r="I234">
        <v>6736.57</v>
      </c>
      <c r="J234">
        <v>0</v>
      </c>
    </row>
    <row r="235" spans="1:10" x14ac:dyDescent="0.35">
      <c r="A235">
        <v>320361</v>
      </c>
      <c r="B235" t="s">
        <v>20</v>
      </c>
      <c r="C235">
        <v>2015</v>
      </c>
      <c r="D235">
        <v>9</v>
      </c>
      <c r="E235" t="s">
        <v>42</v>
      </c>
      <c r="F235" t="s">
        <v>5</v>
      </c>
      <c r="G235" t="s">
        <v>5</v>
      </c>
      <c r="H235">
        <v>80574.600000000006</v>
      </c>
      <c r="I235">
        <v>62363.93</v>
      </c>
      <c r="J235">
        <v>0</v>
      </c>
    </row>
    <row r="236" spans="1:10" x14ac:dyDescent="0.35">
      <c r="A236">
        <v>320369</v>
      </c>
      <c r="B236" t="s">
        <v>20</v>
      </c>
      <c r="C236">
        <v>2015</v>
      </c>
      <c r="D236">
        <v>9</v>
      </c>
      <c r="E236" t="s">
        <v>42</v>
      </c>
      <c r="F236" t="s">
        <v>5</v>
      </c>
      <c r="G236" t="s">
        <v>5</v>
      </c>
      <c r="H236">
        <v>80146.44</v>
      </c>
      <c r="I236">
        <v>61808.95</v>
      </c>
      <c r="J236">
        <v>0</v>
      </c>
    </row>
    <row r="237" spans="1:10" x14ac:dyDescent="0.35">
      <c r="A237">
        <v>320371</v>
      </c>
      <c r="B237" t="s">
        <v>20</v>
      </c>
      <c r="C237">
        <v>2015</v>
      </c>
      <c r="D237">
        <v>6</v>
      </c>
      <c r="E237" t="s">
        <v>43</v>
      </c>
      <c r="F237" t="s">
        <v>5</v>
      </c>
      <c r="G237" t="s">
        <v>5</v>
      </c>
      <c r="H237">
        <v>20112.72</v>
      </c>
      <c r="I237">
        <v>7711.12</v>
      </c>
      <c r="J237">
        <v>0</v>
      </c>
    </row>
    <row r="238" spans="1:10" x14ac:dyDescent="0.35">
      <c r="A238">
        <v>320388</v>
      </c>
      <c r="B238" t="s">
        <v>20</v>
      </c>
      <c r="C238">
        <v>2015</v>
      </c>
      <c r="D238">
        <v>9</v>
      </c>
      <c r="E238" t="s">
        <v>42</v>
      </c>
      <c r="F238" t="s">
        <v>5</v>
      </c>
      <c r="G238" t="s">
        <v>5</v>
      </c>
      <c r="H238">
        <v>20832.400000000001</v>
      </c>
      <c r="I238">
        <v>7048.38</v>
      </c>
      <c r="J238">
        <v>0</v>
      </c>
    </row>
    <row r="239" spans="1:10" x14ac:dyDescent="0.35">
      <c r="A239">
        <v>320390</v>
      </c>
      <c r="B239" t="s">
        <v>20</v>
      </c>
      <c r="C239">
        <v>2015</v>
      </c>
      <c r="D239">
        <v>6</v>
      </c>
      <c r="E239" t="s">
        <v>43</v>
      </c>
      <c r="F239" t="s">
        <v>5</v>
      </c>
      <c r="G239" t="s">
        <v>5</v>
      </c>
      <c r="H239">
        <v>7435.66</v>
      </c>
      <c r="I239">
        <v>6919.86</v>
      </c>
      <c r="J239">
        <v>0</v>
      </c>
    </row>
    <row r="240" spans="1:10" x14ac:dyDescent="0.35">
      <c r="A240">
        <v>320401</v>
      </c>
      <c r="B240" t="s">
        <v>20</v>
      </c>
      <c r="C240">
        <v>2015</v>
      </c>
      <c r="D240">
        <v>6</v>
      </c>
      <c r="E240" t="s">
        <v>43</v>
      </c>
      <c r="F240" t="s">
        <v>5</v>
      </c>
      <c r="G240" t="s">
        <v>5</v>
      </c>
      <c r="H240">
        <v>18025.12</v>
      </c>
      <c r="I240">
        <v>7554.37</v>
      </c>
      <c r="J240">
        <v>0</v>
      </c>
    </row>
    <row r="241" spans="1:10" x14ac:dyDescent="0.35">
      <c r="A241">
        <v>320410</v>
      </c>
      <c r="B241" t="s">
        <v>20</v>
      </c>
      <c r="C241">
        <v>2015</v>
      </c>
      <c r="D241">
        <v>6</v>
      </c>
      <c r="E241" t="s">
        <v>43</v>
      </c>
      <c r="F241" t="s">
        <v>5</v>
      </c>
      <c r="G241" t="s">
        <v>5</v>
      </c>
      <c r="H241">
        <v>12042.02</v>
      </c>
      <c r="I241">
        <v>2305.61</v>
      </c>
      <c r="J241">
        <v>0</v>
      </c>
    </row>
    <row r="242" spans="1:10" x14ac:dyDescent="0.35">
      <c r="A242">
        <v>320419</v>
      </c>
      <c r="B242" t="s">
        <v>20</v>
      </c>
      <c r="C242">
        <v>2015</v>
      </c>
      <c r="D242">
        <v>9</v>
      </c>
      <c r="E242" t="s">
        <v>42</v>
      </c>
      <c r="F242" t="s">
        <v>5</v>
      </c>
      <c r="G242" t="s">
        <v>5</v>
      </c>
      <c r="H242">
        <v>129060.44</v>
      </c>
      <c r="I242">
        <v>108410.61</v>
      </c>
      <c r="J242">
        <v>0</v>
      </c>
    </row>
    <row r="243" spans="1:10" x14ac:dyDescent="0.35">
      <c r="A243">
        <v>320422</v>
      </c>
      <c r="B243" t="s">
        <v>20</v>
      </c>
      <c r="C243">
        <v>2015</v>
      </c>
      <c r="D243">
        <v>9</v>
      </c>
      <c r="E243" t="s">
        <v>42</v>
      </c>
      <c r="F243" t="s">
        <v>5</v>
      </c>
      <c r="G243" t="s">
        <v>5</v>
      </c>
      <c r="H243">
        <v>72011.759999999995</v>
      </c>
      <c r="I243">
        <v>55014.03</v>
      </c>
      <c r="J243">
        <v>0</v>
      </c>
    </row>
    <row r="244" spans="1:10" x14ac:dyDescent="0.35">
      <c r="A244">
        <v>320427</v>
      </c>
      <c r="B244" t="s">
        <v>20</v>
      </c>
      <c r="C244">
        <v>2015</v>
      </c>
      <c r="D244">
        <v>9</v>
      </c>
      <c r="E244" t="s">
        <v>42</v>
      </c>
      <c r="F244" t="s">
        <v>5</v>
      </c>
      <c r="G244" t="s">
        <v>5</v>
      </c>
      <c r="H244">
        <v>204838.39999999999</v>
      </c>
      <c r="I244">
        <v>191394.83</v>
      </c>
      <c r="J244">
        <v>0</v>
      </c>
    </row>
    <row r="245" spans="1:10" x14ac:dyDescent="0.35">
      <c r="A245">
        <v>320429</v>
      </c>
      <c r="B245" t="s">
        <v>20</v>
      </c>
      <c r="C245">
        <v>2015</v>
      </c>
      <c r="D245">
        <v>6</v>
      </c>
      <c r="E245" t="s">
        <v>43</v>
      </c>
      <c r="F245" t="s">
        <v>5</v>
      </c>
      <c r="G245" t="s">
        <v>5</v>
      </c>
      <c r="H245">
        <v>56869.120000000003</v>
      </c>
      <c r="I245">
        <v>17832.57</v>
      </c>
      <c r="J245">
        <v>0</v>
      </c>
    </row>
    <row r="246" spans="1:10" x14ac:dyDescent="0.35">
      <c r="A246">
        <v>320436</v>
      </c>
      <c r="B246" t="s">
        <v>20</v>
      </c>
      <c r="C246">
        <v>2015</v>
      </c>
      <c r="D246">
        <v>6</v>
      </c>
      <c r="E246" t="s">
        <v>43</v>
      </c>
      <c r="F246" t="s">
        <v>5</v>
      </c>
      <c r="G246" t="s">
        <v>5</v>
      </c>
      <c r="H246">
        <v>28265.62</v>
      </c>
      <c r="I246">
        <v>6370.4</v>
      </c>
      <c r="J246">
        <v>0</v>
      </c>
    </row>
    <row r="247" spans="1:10" x14ac:dyDescent="0.35">
      <c r="A247">
        <v>320437</v>
      </c>
      <c r="B247" t="s">
        <v>20</v>
      </c>
      <c r="C247">
        <v>2015</v>
      </c>
      <c r="D247">
        <v>6</v>
      </c>
      <c r="E247" t="s">
        <v>43</v>
      </c>
      <c r="F247" t="s">
        <v>5</v>
      </c>
      <c r="G247" t="s">
        <v>5</v>
      </c>
      <c r="H247">
        <v>68696.7</v>
      </c>
      <c r="I247">
        <v>49337.42</v>
      </c>
      <c r="J247">
        <v>0</v>
      </c>
    </row>
    <row r="248" spans="1:10" x14ac:dyDescent="0.35">
      <c r="A248">
        <v>320440</v>
      </c>
      <c r="B248" t="s">
        <v>20</v>
      </c>
      <c r="C248">
        <v>2015</v>
      </c>
      <c r="D248">
        <v>6</v>
      </c>
      <c r="E248" t="s">
        <v>43</v>
      </c>
      <c r="F248" t="s">
        <v>5</v>
      </c>
      <c r="G248" t="s">
        <v>5</v>
      </c>
      <c r="H248">
        <v>14433.18</v>
      </c>
      <c r="I248">
        <v>4083.31</v>
      </c>
      <c r="J248">
        <v>0</v>
      </c>
    </row>
    <row r="249" spans="1:10" x14ac:dyDescent="0.35">
      <c r="A249">
        <v>320446</v>
      </c>
      <c r="B249" t="s">
        <v>20</v>
      </c>
      <c r="C249">
        <v>2015</v>
      </c>
      <c r="D249">
        <v>6</v>
      </c>
      <c r="E249" t="s">
        <v>43</v>
      </c>
      <c r="F249" t="s">
        <v>5</v>
      </c>
      <c r="G249" t="s">
        <v>5</v>
      </c>
      <c r="H249">
        <v>64429.86</v>
      </c>
      <c r="I249">
        <v>46175.65</v>
      </c>
      <c r="J249">
        <v>0</v>
      </c>
    </row>
    <row r="250" spans="1:10" x14ac:dyDescent="0.35">
      <c r="A250">
        <v>320448</v>
      </c>
      <c r="B250" t="s">
        <v>20</v>
      </c>
      <c r="C250">
        <v>2015</v>
      </c>
      <c r="D250">
        <v>6</v>
      </c>
      <c r="E250" t="s">
        <v>43</v>
      </c>
      <c r="F250" t="s">
        <v>5</v>
      </c>
      <c r="G250" t="s">
        <v>5</v>
      </c>
      <c r="H250">
        <v>62938.1</v>
      </c>
      <c r="I250">
        <v>42857.3</v>
      </c>
      <c r="J250">
        <v>0</v>
      </c>
    </row>
    <row r="251" spans="1:10" x14ac:dyDescent="0.35">
      <c r="A251">
        <v>320455</v>
      </c>
      <c r="B251" t="s">
        <v>20</v>
      </c>
      <c r="C251">
        <v>2015</v>
      </c>
      <c r="D251">
        <v>9</v>
      </c>
      <c r="E251" t="s">
        <v>42</v>
      </c>
      <c r="F251" t="s">
        <v>5</v>
      </c>
      <c r="G251" t="s">
        <v>5</v>
      </c>
      <c r="H251">
        <v>62800.84</v>
      </c>
      <c r="I251">
        <v>43869.38</v>
      </c>
      <c r="J251">
        <v>0</v>
      </c>
    </row>
    <row r="252" spans="1:10" x14ac:dyDescent="0.35">
      <c r="A252">
        <v>320464</v>
      </c>
      <c r="B252" t="s">
        <v>20</v>
      </c>
      <c r="C252">
        <v>2015</v>
      </c>
      <c r="D252">
        <v>9</v>
      </c>
      <c r="E252" t="s">
        <v>42</v>
      </c>
      <c r="F252" t="s">
        <v>5</v>
      </c>
      <c r="G252" t="s">
        <v>5</v>
      </c>
      <c r="H252">
        <v>66778.820000000007</v>
      </c>
      <c r="I252">
        <v>48846.64</v>
      </c>
      <c r="J252">
        <v>0</v>
      </c>
    </row>
    <row r="253" spans="1:10" x14ac:dyDescent="0.35">
      <c r="A253">
        <v>320472</v>
      </c>
      <c r="B253" t="s">
        <v>20</v>
      </c>
      <c r="C253">
        <v>2015</v>
      </c>
      <c r="D253">
        <v>9</v>
      </c>
      <c r="E253" t="s">
        <v>42</v>
      </c>
      <c r="F253" t="s">
        <v>5</v>
      </c>
      <c r="G253" t="s">
        <v>5</v>
      </c>
      <c r="H253">
        <v>68220.179999999993</v>
      </c>
      <c r="I253">
        <v>49361.35</v>
      </c>
      <c r="J253">
        <v>0</v>
      </c>
    </row>
    <row r="254" spans="1:10" x14ac:dyDescent="0.35">
      <c r="A254">
        <v>320477</v>
      </c>
      <c r="B254" t="s">
        <v>20</v>
      </c>
      <c r="C254">
        <v>2015</v>
      </c>
      <c r="D254">
        <v>9</v>
      </c>
      <c r="E254" t="s">
        <v>42</v>
      </c>
      <c r="F254" t="s">
        <v>5</v>
      </c>
      <c r="G254" t="s">
        <v>5</v>
      </c>
      <c r="H254">
        <v>61232.82</v>
      </c>
      <c r="I254">
        <v>43569.7</v>
      </c>
      <c r="J254">
        <v>0</v>
      </c>
    </row>
    <row r="255" spans="1:10" x14ac:dyDescent="0.35">
      <c r="A255">
        <v>320481</v>
      </c>
      <c r="B255" t="s">
        <v>20</v>
      </c>
      <c r="C255">
        <v>2015</v>
      </c>
      <c r="D255">
        <v>9</v>
      </c>
      <c r="E255" t="s">
        <v>42</v>
      </c>
      <c r="F255" t="s">
        <v>5</v>
      </c>
      <c r="G255" t="s">
        <v>5</v>
      </c>
      <c r="H255">
        <v>19405.560000000001</v>
      </c>
      <c r="I255">
        <v>5560.63</v>
      </c>
      <c r="J255">
        <v>0</v>
      </c>
    </row>
    <row r="256" spans="1:10" x14ac:dyDescent="0.35">
      <c r="A256">
        <v>320491</v>
      </c>
      <c r="B256" t="s">
        <v>20</v>
      </c>
      <c r="C256">
        <v>2015</v>
      </c>
      <c r="D256">
        <v>6</v>
      </c>
      <c r="E256" t="s">
        <v>43</v>
      </c>
      <c r="F256" t="s">
        <v>5</v>
      </c>
      <c r="G256" t="s">
        <v>5</v>
      </c>
      <c r="H256">
        <v>63616.800000000003</v>
      </c>
      <c r="I256">
        <v>46212.59</v>
      </c>
      <c r="J256">
        <v>0</v>
      </c>
    </row>
    <row r="257" spans="1:10" x14ac:dyDescent="0.35">
      <c r="A257">
        <v>320505</v>
      </c>
      <c r="B257" t="s">
        <v>20</v>
      </c>
      <c r="C257">
        <v>2015</v>
      </c>
      <c r="D257">
        <v>6</v>
      </c>
      <c r="E257" t="s">
        <v>43</v>
      </c>
      <c r="F257" t="s">
        <v>5</v>
      </c>
      <c r="G257" t="s">
        <v>5</v>
      </c>
      <c r="H257">
        <v>58783.78</v>
      </c>
      <c r="I257">
        <v>46956.04</v>
      </c>
      <c r="J257">
        <v>0</v>
      </c>
    </row>
    <row r="258" spans="1:10" x14ac:dyDescent="0.35">
      <c r="A258">
        <v>320508</v>
      </c>
      <c r="B258" t="s">
        <v>20</v>
      </c>
      <c r="C258">
        <v>2015</v>
      </c>
      <c r="D258">
        <v>9</v>
      </c>
      <c r="E258" t="s">
        <v>42</v>
      </c>
      <c r="F258" t="s">
        <v>5</v>
      </c>
      <c r="G258" t="s">
        <v>5</v>
      </c>
      <c r="H258">
        <v>23591.52</v>
      </c>
      <c r="I258">
        <v>8282</v>
      </c>
      <c r="J258">
        <v>0</v>
      </c>
    </row>
    <row r="259" spans="1:10" x14ac:dyDescent="0.35">
      <c r="A259">
        <v>320510</v>
      </c>
      <c r="B259" t="s">
        <v>20</v>
      </c>
      <c r="C259">
        <v>2015</v>
      </c>
      <c r="D259">
        <v>9</v>
      </c>
      <c r="E259" t="s">
        <v>42</v>
      </c>
      <c r="F259" t="s">
        <v>5</v>
      </c>
      <c r="G259" t="s">
        <v>5</v>
      </c>
      <c r="H259">
        <v>204323.34</v>
      </c>
      <c r="I259">
        <v>182529.69</v>
      </c>
      <c r="J259">
        <v>0</v>
      </c>
    </row>
    <row r="260" spans="1:10" x14ac:dyDescent="0.35">
      <c r="A260">
        <v>320523</v>
      </c>
      <c r="B260" t="s">
        <v>20</v>
      </c>
      <c r="C260">
        <v>2015</v>
      </c>
      <c r="D260">
        <v>9</v>
      </c>
      <c r="E260" t="s">
        <v>42</v>
      </c>
      <c r="F260" t="s">
        <v>5</v>
      </c>
      <c r="G260" t="s">
        <v>5</v>
      </c>
      <c r="H260">
        <v>114636.35</v>
      </c>
      <c r="I260">
        <v>94436.99</v>
      </c>
      <c r="J260">
        <v>0</v>
      </c>
    </row>
    <row r="261" spans="1:10" x14ac:dyDescent="0.35">
      <c r="A261">
        <v>320540</v>
      </c>
      <c r="B261" t="s">
        <v>20</v>
      </c>
      <c r="C261">
        <v>2015</v>
      </c>
      <c r="D261">
        <v>9</v>
      </c>
      <c r="E261" t="s">
        <v>42</v>
      </c>
      <c r="F261" t="s">
        <v>5</v>
      </c>
      <c r="G261" t="s">
        <v>5</v>
      </c>
      <c r="H261">
        <v>53546.68</v>
      </c>
      <c r="I261">
        <v>12895.58</v>
      </c>
      <c r="J261">
        <v>0</v>
      </c>
    </row>
    <row r="262" spans="1:10" x14ac:dyDescent="0.35">
      <c r="A262">
        <v>320541</v>
      </c>
      <c r="B262" t="s">
        <v>20</v>
      </c>
      <c r="C262">
        <v>2015</v>
      </c>
      <c r="D262">
        <v>6</v>
      </c>
      <c r="E262" t="s">
        <v>43</v>
      </c>
      <c r="F262" t="s">
        <v>5</v>
      </c>
      <c r="G262" t="s">
        <v>5</v>
      </c>
      <c r="H262">
        <v>75616.44</v>
      </c>
      <c r="I262">
        <v>58491.55</v>
      </c>
      <c r="J262">
        <v>0</v>
      </c>
    </row>
    <row r="263" spans="1:10" x14ac:dyDescent="0.35">
      <c r="A263">
        <v>320543</v>
      </c>
      <c r="B263" t="s">
        <v>20</v>
      </c>
      <c r="C263">
        <v>2015</v>
      </c>
      <c r="D263">
        <v>9</v>
      </c>
      <c r="E263" t="s">
        <v>42</v>
      </c>
      <c r="F263" t="s">
        <v>5</v>
      </c>
      <c r="G263" t="s">
        <v>5</v>
      </c>
      <c r="H263">
        <v>118677.26</v>
      </c>
      <c r="I263">
        <v>96155.74</v>
      </c>
      <c r="J263">
        <v>0</v>
      </c>
    </row>
    <row r="264" spans="1:10" x14ac:dyDescent="0.35">
      <c r="A264">
        <v>320545</v>
      </c>
      <c r="B264" t="s">
        <v>20</v>
      </c>
      <c r="C264">
        <v>2015</v>
      </c>
      <c r="D264">
        <v>6</v>
      </c>
      <c r="E264" t="s">
        <v>43</v>
      </c>
      <c r="F264" t="s">
        <v>5</v>
      </c>
      <c r="G264" t="s">
        <v>5</v>
      </c>
      <c r="H264">
        <v>80131.64</v>
      </c>
      <c r="I264">
        <v>59340.65</v>
      </c>
      <c r="J264">
        <v>0</v>
      </c>
    </row>
    <row r="265" spans="1:10" x14ac:dyDescent="0.35">
      <c r="A265">
        <v>320549</v>
      </c>
      <c r="B265" t="s">
        <v>20</v>
      </c>
      <c r="C265">
        <v>2015</v>
      </c>
      <c r="D265">
        <v>9</v>
      </c>
      <c r="E265" t="s">
        <v>42</v>
      </c>
      <c r="F265" t="s">
        <v>5</v>
      </c>
      <c r="G265" t="s">
        <v>5</v>
      </c>
      <c r="H265">
        <v>70797.41</v>
      </c>
      <c r="I265">
        <v>51712.59</v>
      </c>
      <c r="J265">
        <v>0</v>
      </c>
    </row>
    <row r="266" spans="1:10" x14ac:dyDescent="0.35">
      <c r="A266">
        <v>320550</v>
      </c>
      <c r="B266" t="s">
        <v>20</v>
      </c>
      <c r="C266">
        <v>2015</v>
      </c>
      <c r="D266">
        <v>9</v>
      </c>
      <c r="E266" t="s">
        <v>42</v>
      </c>
      <c r="F266" t="s">
        <v>5</v>
      </c>
      <c r="G266" t="s">
        <v>5</v>
      </c>
      <c r="H266">
        <v>64891.5</v>
      </c>
      <c r="I266">
        <v>45917.16</v>
      </c>
      <c r="J266">
        <v>0</v>
      </c>
    </row>
    <row r="267" spans="1:10" x14ac:dyDescent="0.35">
      <c r="A267">
        <v>320555</v>
      </c>
      <c r="B267" t="s">
        <v>20</v>
      </c>
      <c r="C267">
        <v>2015</v>
      </c>
      <c r="D267">
        <v>6</v>
      </c>
      <c r="E267" t="s">
        <v>43</v>
      </c>
      <c r="F267" t="s">
        <v>5</v>
      </c>
      <c r="G267" t="s">
        <v>5</v>
      </c>
      <c r="H267">
        <v>62931.94</v>
      </c>
      <c r="I267">
        <v>45797.31</v>
      </c>
      <c r="J267">
        <v>0</v>
      </c>
    </row>
    <row r="268" spans="1:10" x14ac:dyDescent="0.35">
      <c r="A268">
        <v>320565</v>
      </c>
      <c r="B268" t="s">
        <v>20</v>
      </c>
      <c r="C268">
        <v>2015</v>
      </c>
      <c r="D268">
        <v>9</v>
      </c>
      <c r="E268" t="s">
        <v>42</v>
      </c>
      <c r="F268" t="s">
        <v>5</v>
      </c>
      <c r="G268" t="s">
        <v>5</v>
      </c>
      <c r="H268">
        <v>7451.18</v>
      </c>
      <c r="I268">
        <v>6923.58</v>
      </c>
      <c r="J268">
        <v>0</v>
      </c>
    </row>
    <row r="269" spans="1:10" x14ac:dyDescent="0.35">
      <c r="A269">
        <v>320571</v>
      </c>
      <c r="B269" t="s">
        <v>20</v>
      </c>
      <c r="C269">
        <v>2015</v>
      </c>
      <c r="D269">
        <v>9</v>
      </c>
      <c r="E269" t="s">
        <v>42</v>
      </c>
      <c r="F269" t="s">
        <v>5</v>
      </c>
      <c r="G269" t="s">
        <v>5</v>
      </c>
      <c r="H269">
        <v>69776.5</v>
      </c>
      <c r="I269">
        <v>52259.75</v>
      </c>
      <c r="J269">
        <v>0</v>
      </c>
    </row>
    <row r="270" spans="1:10" x14ac:dyDescent="0.35">
      <c r="A270">
        <v>320575</v>
      </c>
      <c r="B270" t="s">
        <v>20</v>
      </c>
      <c r="C270">
        <v>2015</v>
      </c>
      <c r="D270">
        <v>9</v>
      </c>
      <c r="E270" t="s">
        <v>42</v>
      </c>
      <c r="F270" t="s">
        <v>5</v>
      </c>
      <c r="G270" t="s">
        <v>5</v>
      </c>
      <c r="H270">
        <v>5295.48</v>
      </c>
      <c r="I270">
        <v>6312.33</v>
      </c>
      <c r="J270">
        <v>1</v>
      </c>
    </row>
    <row r="271" spans="1:10" x14ac:dyDescent="0.35">
      <c r="A271">
        <v>320581</v>
      </c>
      <c r="B271" t="s">
        <v>20</v>
      </c>
      <c r="C271">
        <v>2015</v>
      </c>
      <c r="D271">
        <v>9</v>
      </c>
      <c r="E271" t="s">
        <v>42</v>
      </c>
      <c r="F271" t="s">
        <v>5</v>
      </c>
      <c r="G271" t="s">
        <v>5</v>
      </c>
      <c r="H271">
        <v>69608.02</v>
      </c>
      <c r="I271">
        <v>52197.46</v>
      </c>
      <c r="J271">
        <v>0</v>
      </c>
    </row>
    <row r="272" spans="1:10" x14ac:dyDescent="0.35">
      <c r="A272">
        <v>320588</v>
      </c>
      <c r="B272" t="s">
        <v>20</v>
      </c>
      <c r="C272">
        <v>2015</v>
      </c>
      <c r="D272">
        <v>9</v>
      </c>
      <c r="E272" t="s">
        <v>42</v>
      </c>
      <c r="F272" t="s">
        <v>5</v>
      </c>
      <c r="G272" t="s">
        <v>5</v>
      </c>
      <c r="H272">
        <v>90970.06</v>
      </c>
      <c r="I272">
        <v>28908.560000000001</v>
      </c>
      <c r="J272">
        <v>0</v>
      </c>
    </row>
    <row r="273" spans="1:10" x14ac:dyDescent="0.35">
      <c r="A273">
        <v>320589</v>
      </c>
      <c r="B273" t="s">
        <v>20</v>
      </c>
      <c r="C273">
        <v>2015</v>
      </c>
      <c r="D273">
        <v>9</v>
      </c>
      <c r="E273" t="s">
        <v>42</v>
      </c>
      <c r="F273" t="s">
        <v>5</v>
      </c>
      <c r="G273" t="s">
        <v>5</v>
      </c>
      <c r="H273">
        <v>64479.54</v>
      </c>
      <c r="I273">
        <v>46644.63</v>
      </c>
      <c r="J273">
        <v>0</v>
      </c>
    </row>
    <row r="274" spans="1:10" x14ac:dyDescent="0.35">
      <c r="A274">
        <v>320601</v>
      </c>
      <c r="B274" t="s">
        <v>20</v>
      </c>
      <c r="C274">
        <v>2015</v>
      </c>
      <c r="D274">
        <v>9</v>
      </c>
      <c r="E274" t="s">
        <v>42</v>
      </c>
      <c r="F274" t="s">
        <v>5</v>
      </c>
      <c r="G274" t="s">
        <v>5</v>
      </c>
      <c r="H274">
        <v>65658.66</v>
      </c>
      <c r="I274">
        <v>48449.04</v>
      </c>
      <c r="J274">
        <v>0</v>
      </c>
    </row>
    <row r="275" spans="1:10" x14ac:dyDescent="0.35">
      <c r="A275">
        <v>320606</v>
      </c>
      <c r="B275" t="s">
        <v>20</v>
      </c>
      <c r="C275">
        <v>2015</v>
      </c>
      <c r="D275">
        <v>6</v>
      </c>
      <c r="E275" t="s">
        <v>43</v>
      </c>
      <c r="F275" t="s">
        <v>5</v>
      </c>
      <c r="G275" t="s">
        <v>5</v>
      </c>
      <c r="H275">
        <v>39049.64</v>
      </c>
      <c r="I275">
        <v>12457.42</v>
      </c>
      <c r="J275">
        <v>0</v>
      </c>
    </row>
    <row r="276" spans="1:10" x14ac:dyDescent="0.35">
      <c r="A276">
        <v>320608</v>
      </c>
      <c r="B276" t="s">
        <v>20</v>
      </c>
      <c r="C276">
        <v>2015</v>
      </c>
      <c r="D276">
        <v>6</v>
      </c>
      <c r="E276" t="s">
        <v>43</v>
      </c>
      <c r="F276" t="s">
        <v>5</v>
      </c>
      <c r="G276" t="s">
        <v>5</v>
      </c>
      <c r="H276">
        <v>71792.460000000006</v>
      </c>
      <c r="I276">
        <v>55245.02</v>
      </c>
      <c r="J276">
        <v>0</v>
      </c>
    </row>
    <row r="277" spans="1:10" x14ac:dyDescent="0.35">
      <c r="A277">
        <v>320609</v>
      </c>
      <c r="B277" t="s">
        <v>20</v>
      </c>
      <c r="C277">
        <v>2015</v>
      </c>
      <c r="D277">
        <v>9</v>
      </c>
      <c r="E277" t="s">
        <v>42</v>
      </c>
      <c r="F277" t="s">
        <v>5</v>
      </c>
      <c r="G277" t="s">
        <v>5</v>
      </c>
      <c r="H277">
        <v>100220.42</v>
      </c>
      <c r="I277">
        <v>81523.990000000005</v>
      </c>
      <c r="J277">
        <v>0</v>
      </c>
    </row>
    <row r="278" spans="1:10" x14ac:dyDescent="0.35">
      <c r="A278">
        <v>320611</v>
      </c>
      <c r="B278" t="s">
        <v>20</v>
      </c>
      <c r="C278">
        <v>2015</v>
      </c>
      <c r="D278">
        <v>6</v>
      </c>
      <c r="E278" t="s">
        <v>43</v>
      </c>
      <c r="F278" t="s">
        <v>5</v>
      </c>
      <c r="G278" t="s">
        <v>5</v>
      </c>
      <c r="H278">
        <v>57130.18</v>
      </c>
      <c r="I278">
        <v>42849.16</v>
      </c>
      <c r="J278">
        <v>0</v>
      </c>
    </row>
    <row r="279" spans="1:10" x14ac:dyDescent="0.35">
      <c r="A279">
        <v>320621</v>
      </c>
      <c r="B279" t="s">
        <v>20</v>
      </c>
      <c r="C279">
        <v>2015</v>
      </c>
      <c r="D279">
        <v>6</v>
      </c>
      <c r="E279" t="s">
        <v>43</v>
      </c>
      <c r="F279" t="s">
        <v>5</v>
      </c>
      <c r="G279" t="s">
        <v>5</v>
      </c>
      <c r="H279">
        <v>46515.69</v>
      </c>
      <c r="I279">
        <v>28518.95</v>
      </c>
      <c r="J279">
        <v>0</v>
      </c>
    </row>
    <row r="280" spans="1:10" x14ac:dyDescent="0.35">
      <c r="A280">
        <v>320624</v>
      </c>
      <c r="B280" t="s">
        <v>20</v>
      </c>
      <c r="C280">
        <v>2015</v>
      </c>
      <c r="D280">
        <v>9</v>
      </c>
      <c r="E280" t="s">
        <v>42</v>
      </c>
      <c r="F280" t="s">
        <v>5</v>
      </c>
      <c r="G280" t="s">
        <v>5</v>
      </c>
      <c r="H280">
        <v>63931.48</v>
      </c>
      <c r="I280">
        <v>46115.97</v>
      </c>
      <c r="J280">
        <v>0</v>
      </c>
    </row>
    <row r="281" spans="1:10" x14ac:dyDescent="0.35">
      <c r="A281">
        <v>320634</v>
      </c>
      <c r="B281" t="s">
        <v>20</v>
      </c>
      <c r="C281">
        <v>2015</v>
      </c>
      <c r="D281">
        <v>9</v>
      </c>
      <c r="E281" t="s">
        <v>42</v>
      </c>
      <c r="F281" t="s">
        <v>5</v>
      </c>
      <c r="G281" t="s">
        <v>5</v>
      </c>
      <c r="H281">
        <v>95638.7</v>
      </c>
      <c r="I281">
        <v>76473.56</v>
      </c>
      <c r="J281">
        <v>0</v>
      </c>
    </row>
    <row r="282" spans="1:10" x14ac:dyDescent="0.35">
      <c r="A282">
        <v>320638</v>
      </c>
      <c r="B282" t="s">
        <v>20</v>
      </c>
      <c r="C282">
        <v>2015</v>
      </c>
      <c r="D282">
        <v>9</v>
      </c>
      <c r="E282" t="s">
        <v>42</v>
      </c>
      <c r="F282" t="s">
        <v>5</v>
      </c>
      <c r="G282" t="s">
        <v>5</v>
      </c>
      <c r="H282">
        <v>68403.94</v>
      </c>
      <c r="I282">
        <v>51908.68</v>
      </c>
      <c r="J282">
        <v>0</v>
      </c>
    </row>
    <row r="283" spans="1:10" x14ac:dyDescent="0.35">
      <c r="A283">
        <v>320641</v>
      </c>
      <c r="B283" t="s">
        <v>20</v>
      </c>
      <c r="C283">
        <v>2015</v>
      </c>
      <c r="D283">
        <v>6</v>
      </c>
      <c r="E283" t="s">
        <v>43</v>
      </c>
      <c r="F283" t="s">
        <v>5</v>
      </c>
      <c r="G283" t="s">
        <v>5</v>
      </c>
      <c r="H283">
        <v>72560.58</v>
      </c>
      <c r="I283">
        <v>56818.21</v>
      </c>
      <c r="J283">
        <v>0</v>
      </c>
    </row>
    <row r="284" spans="1:10" x14ac:dyDescent="0.35">
      <c r="A284">
        <v>320644</v>
      </c>
      <c r="B284" t="s">
        <v>20</v>
      </c>
      <c r="C284">
        <v>2015</v>
      </c>
      <c r="D284">
        <v>6</v>
      </c>
      <c r="E284" t="s">
        <v>43</v>
      </c>
      <c r="F284" t="s">
        <v>5</v>
      </c>
      <c r="G284" t="s">
        <v>5</v>
      </c>
      <c r="H284">
        <v>9259.48</v>
      </c>
      <c r="I284">
        <v>2569.62</v>
      </c>
      <c r="J284">
        <v>0</v>
      </c>
    </row>
    <row r="285" spans="1:10" x14ac:dyDescent="0.35">
      <c r="A285">
        <v>320645</v>
      </c>
      <c r="B285" t="s">
        <v>20</v>
      </c>
      <c r="C285">
        <v>2015</v>
      </c>
      <c r="D285">
        <v>9</v>
      </c>
      <c r="E285" t="s">
        <v>42</v>
      </c>
      <c r="F285" t="s">
        <v>5</v>
      </c>
      <c r="G285" t="s">
        <v>5</v>
      </c>
      <c r="H285">
        <v>69610.44</v>
      </c>
      <c r="I285">
        <v>52225.04</v>
      </c>
      <c r="J285">
        <v>0</v>
      </c>
    </row>
    <row r="286" spans="1:10" x14ac:dyDescent="0.35">
      <c r="A286">
        <v>320648</v>
      </c>
      <c r="B286" t="s">
        <v>20</v>
      </c>
      <c r="C286">
        <v>2015</v>
      </c>
      <c r="D286">
        <v>6</v>
      </c>
      <c r="E286" t="s">
        <v>43</v>
      </c>
      <c r="F286" t="s">
        <v>5</v>
      </c>
      <c r="G286" t="s">
        <v>5</v>
      </c>
      <c r="H286">
        <v>31468.28</v>
      </c>
      <c r="I286">
        <v>8670.26</v>
      </c>
      <c r="J286">
        <v>0</v>
      </c>
    </row>
    <row r="287" spans="1:10" x14ac:dyDescent="0.35">
      <c r="A287">
        <v>320652</v>
      </c>
      <c r="B287" t="s">
        <v>20</v>
      </c>
      <c r="C287">
        <v>2015</v>
      </c>
      <c r="D287">
        <v>9</v>
      </c>
      <c r="E287" t="s">
        <v>42</v>
      </c>
      <c r="F287" t="s">
        <v>5</v>
      </c>
      <c r="G287" t="s">
        <v>5</v>
      </c>
      <c r="H287">
        <v>174974.06</v>
      </c>
      <c r="I287">
        <v>118113.66</v>
      </c>
      <c r="J287">
        <v>0</v>
      </c>
    </row>
    <row r="288" spans="1:10" x14ac:dyDescent="0.35">
      <c r="A288">
        <v>320657</v>
      </c>
      <c r="B288" t="s">
        <v>20</v>
      </c>
      <c r="C288">
        <v>2015</v>
      </c>
      <c r="D288">
        <v>6</v>
      </c>
      <c r="E288" t="s">
        <v>43</v>
      </c>
      <c r="F288" t="s">
        <v>5</v>
      </c>
      <c r="G288" t="s">
        <v>5</v>
      </c>
      <c r="H288">
        <v>23757.68</v>
      </c>
      <c r="I288">
        <v>8312.52</v>
      </c>
      <c r="J288">
        <v>0</v>
      </c>
    </row>
    <row r="289" spans="1:10" x14ac:dyDescent="0.35">
      <c r="A289">
        <v>320666</v>
      </c>
      <c r="B289" t="s">
        <v>20</v>
      </c>
      <c r="C289">
        <v>2015</v>
      </c>
      <c r="D289">
        <v>9</v>
      </c>
      <c r="E289" t="s">
        <v>42</v>
      </c>
      <c r="F289" t="s">
        <v>5</v>
      </c>
      <c r="G289" t="s">
        <v>5</v>
      </c>
      <c r="H289">
        <v>62536.5</v>
      </c>
      <c r="I289">
        <v>42651.33</v>
      </c>
      <c r="J289">
        <v>0</v>
      </c>
    </row>
    <row r="290" spans="1:10" x14ac:dyDescent="0.35">
      <c r="A290">
        <v>320671</v>
      </c>
      <c r="B290" t="s">
        <v>20</v>
      </c>
      <c r="C290">
        <v>2015</v>
      </c>
      <c r="D290">
        <v>9</v>
      </c>
      <c r="E290" t="s">
        <v>42</v>
      </c>
      <c r="F290" t="s">
        <v>5</v>
      </c>
      <c r="G290" t="s">
        <v>5</v>
      </c>
      <c r="H290">
        <v>66911.12</v>
      </c>
      <c r="I290">
        <v>48912.18</v>
      </c>
      <c r="J290">
        <v>0</v>
      </c>
    </row>
    <row r="291" spans="1:10" x14ac:dyDescent="0.35">
      <c r="A291">
        <v>320673</v>
      </c>
      <c r="B291" t="s">
        <v>20</v>
      </c>
      <c r="C291">
        <v>2015</v>
      </c>
      <c r="D291">
        <v>6</v>
      </c>
      <c r="E291" t="s">
        <v>43</v>
      </c>
      <c r="F291" t="s">
        <v>5</v>
      </c>
      <c r="G291" t="s">
        <v>5</v>
      </c>
      <c r="H291">
        <v>24117.88</v>
      </c>
      <c r="I291">
        <v>8399.0300000000007</v>
      </c>
      <c r="J291">
        <v>0</v>
      </c>
    </row>
    <row r="292" spans="1:10" x14ac:dyDescent="0.35">
      <c r="A292">
        <v>320674</v>
      </c>
      <c r="B292" t="s">
        <v>20</v>
      </c>
      <c r="C292">
        <v>2015</v>
      </c>
      <c r="D292">
        <v>9</v>
      </c>
      <c r="E292" t="s">
        <v>42</v>
      </c>
      <c r="F292" t="s">
        <v>5</v>
      </c>
      <c r="G292" t="s">
        <v>5</v>
      </c>
      <c r="H292">
        <v>104891.59</v>
      </c>
      <c r="I292">
        <v>82890.649999999994</v>
      </c>
      <c r="J292">
        <v>0</v>
      </c>
    </row>
    <row r="293" spans="1:10" x14ac:dyDescent="0.35">
      <c r="A293">
        <v>320676</v>
      </c>
      <c r="B293" t="s">
        <v>20</v>
      </c>
      <c r="C293">
        <v>2015</v>
      </c>
      <c r="D293">
        <v>6</v>
      </c>
      <c r="E293" t="s">
        <v>43</v>
      </c>
      <c r="F293" t="s">
        <v>5</v>
      </c>
      <c r="G293" t="s">
        <v>5</v>
      </c>
      <c r="H293">
        <v>60531.58</v>
      </c>
      <c r="I293">
        <v>42166.69</v>
      </c>
      <c r="J293">
        <v>0</v>
      </c>
    </row>
    <row r="294" spans="1:10" x14ac:dyDescent="0.35">
      <c r="A294">
        <v>320678</v>
      </c>
      <c r="B294" t="s">
        <v>20</v>
      </c>
      <c r="C294">
        <v>2015</v>
      </c>
      <c r="D294">
        <v>9</v>
      </c>
      <c r="E294" t="s">
        <v>42</v>
      </c>
      <c r="F294" t="s">
        <v>5</v>
      </c>
      <c r="G294" t="s">
        <v>5</v>
      </c>
      <c r="H294">
        <v>23901.56</v>
      </c>
      <c r="I294">
        <v>8347.08</v>
      </c>
      <c r="J294">
        <v>0</v>
      </c>
    </row>
    <row r="295" spans="1:10" x14ac:dyDescent="0.35">
      <c r="A295">
        <v>320682</v>
      </c>
      <c r="B295" t="s">
        <v>20</v>
      </c>
      <c r="C295">
        <v>2015</v>
      </c>
      <c r="D295">
        <v>9</v>
      </c>
      <c r="E295" t="s">
        <v>42</v>
      </c>
      <c r="F295" t="s">
        <v>5</v>
      </c>
      <c r="G295" t="s">
        <v>5</v>
      </c>
      <c r="H295">
        <v>7435.66</v>
      </c>
      <c r="I295">
        <v>6919.86</v>
      </c>
      <c r="J295">
        <v>0</v>
      </c>
    </row>
    <row r="296" spans="1:10" x14ac:dyDescent="0.35">
      <c r="A296">
        <v>320692</v>
      </c>
      <c r="B296" t="s">
        <v>20</v>
      </c>
      <c r="C296">
        <v>2015</v>
      </c>
      <c r="D296">
        <v>6</v>
      </c>
      <c r="E296" t="s">
        <v>43</v>
      </c>
      <c r="F296" t="s">
        <v>5</v>
      </c>
      <c r="G296" t="s">
        <v>5</v>
      </c>
      <c r="H296">
        <v>79454.78</v>
      </c>
      <c r="I296">
        <v>56967.8</v>
      </c>
      <c r="J296">
        <v>0</v>
      </c>
    </row>
    <row r="297" spans="1:10" x14ac:dyDescent="0.35">
      <c r="A297">
        <v>320697</v>
      </c>
      <c r="B297" t="s">
        <v>20</v>
      </c>
      <c r="C297">
        <v>2015</v>
      </c>
      <c r="D297">
        <v>6</v>
      </c>
      <c r="E297" t="s">
        <v>43</v>
      </c>
      <c r="F297" t="s">
        <v>5</v>
      </c>
      <c r="G297" t="s">
        <v>5</v>
      </c>
      <c r="H297">
        <v>68150.679999999993</v>
      </c>
      <c r="I297">
        <v>58013.32</v>
      </c>
      <c r="J297">
        <v>0</v>
      </c>
    </row>
    <row r="298" spans="1:10" x14ac:dyDescent="0.35">
      <c r="A298">
        <v>320704</v>
      </c>
      <c r="B298" t="s">
        <v>20</v>
      </c>
      <c r="C298">
        <v>2015</v>
      </c>
      <c r="D298">
        <v>6</v>
      </c>
      <c r="E298" t="s">
        <v>43</v>
      </c>
      <c r="F298" t="s">
        <v>5</v>
      </c>
      <c r="G298" t="s">
        <v>5</v>
      </c>
      <c r="H298">
        <v>5170.16</v>
      </c>
      <c r="I298">
        <v>6281.4</v>
      </c>
      <c r="J298">
        <v>1</v>
      </c>
    </row>
    <row r="299" spans="1:10" x14ac:dyDescent="0.35">
      <c r="A299">
        <v>320716</v>
      </c>
      <c r="B299" t="s">
        <v>20</v>
      </c>
      <c r="C299">
        <v>2015</v>
      </c>
      <c r="D299">
        <v>6</v>
      </c>
      <c r="E299" t="s">
        <v>43</v>
      </c>
      <c r="F299" t="s">
        <v>5</v>
      </c>
      <c r="G299" t="s">
        <v>5</v>
      </c>
      <c r="H299">
        <v>66157.259999999995</v>
      </c>
      <c r="I299">
        <v>48696.68</v>
      </c>
      <c r="J299">
        <v>0</v>
      </c>
    </row>
    <row r="300" spans="1:10" x14ac:dyDescent="0.35">
      <c r="A300">
        <v>320718</v>
      </c>
      <c r="B300" t="s">
        <v>20</v>
      </c>
      <c r="C300">
        <v>2015</v>
      </c>
      <c r="D300">
        <v>6</v>
      </c>
      <c r="E300" t="s">
        <v>43</v>
      </c>
      <c r="F300" t="s">
        <v>5</v>
      </c>
      <c r="G300" t="s">
        <v>5</v>
      </c>
      <c r="H300">
        <v>30803.62</v>
      </c>
      <c r="I300">
        <v>10237.1</v>
      </c>
      <c r="J300">
        <v>0</v>
      </c>
    </row>
    <row r="301" spans="1:10" x14ac:dyDescent="0.35">
      <c r="A301">
        <v>320725</v>
      </c>
      <c r="B301" t="s">
        <v>20</v>
      </c>
      <c r="C301">
        <v>2015</v>
      </c>
      <c r="D301">
        <v>9</v>
      </c>
      <c r="E301" t="s">
        <v>42</v>
      </c>
      <c r="F301" t="s">
        <v>5</v>
      </c>
      <c r="G301" t="s">
        <v>5</v>
      </c>
      <c r="H301">
        <v>100070</v>
      </c>
      <c r="I301">
        <v>81283.820000000007</v>
      </c>
      <c r="J301">
        <v>0</v>
      </c>
    </row>
    <row r="302" spans="1:10" x14ac:dyDescent="0.35">
      <c r="A302">
        <v>320734</v>
      </c>
      <c r="B302" t="s">
        <v>20</v>
      </c>
      <c r="C302">
        <v>2015</v>
      </c>
      <c r="D302">
        <v>6</v>
      </c>
      <c r="E302" t="s">
        <v>43</v>
      </c>
      <c r="F302" t="s">
        <v>5</v>
      </c>
      <c r="G302" t="s">
        <v>5</v>
      </c>
      <c r="H302">
        <v>76380.259999999995</v>
      </c>
      <c r="I302">
        <v>58673.38</v>
      </c>
      <c r="J302">
        <v>0</v>
      </c>
    </row>
    <row r="303" spans="1:10" x14ac:dyDescent="0.35">
      <c r="A303">
        <v>320736</v>
      </c>
      <c r="B303" t="s">
        <v>20</v>
      </c>
      <c r="C303">
        <v>2015</v>
      </c>
      <c r="D303">
        <v>6</v>
      </c>
      <c r="E303" t="s">
        <v>43</v>
      </c>
      <c r="F303" t="s">
        <v>5</v>
      </c>
      <c r="G303" t="s">
        <v>5</v>
      </c>
      <c r="H303">
        <v>135974.22</v>
      </c>
      <c r="I303">
        <v>122670.66</v>
      </c>
      <c r="J303">
        <v>0</v>
      </c>
    </row>
    <row r="304" spans="1:10" x14ac:dyDescent="0.35">
      <c r="A304">
        <v>320741</v>
      </c>
      <c r="B304" t="s">
        <v>20</v>
      </c>
      <c r="C304">
        <v>2015</v>
      </c>
      <c r="D304">
        <v>6</v>
      </c>
      <c r="E304" t="s">
        <v>43</v>
      </c>
      <c r="F304" t="s">
        <v>5</v>
      </c>
      <c r="G304" t="s">
        <v>5</v>
      </c>
      <c r="H304">
        <v>5216.32</v>
      </c>
      <c r="I304">
        <v>6292.78</v>
      </c>
      <c r="J304">
        <v>1</v>
      </c>
    </row>
    <row r="305" spans="1:10" x14ac:dyDescent="0.35">
      <c r="A305">
        <v>320746</v>
      </c>
      <c r="B305" t="s">
        <v>20</v>
      </c>
      <c r="C305">
        <v>2015</v>
      </c>
      <c r="D305">
        <v>9</v>
      </c>
      <c r="E305" t="s">
        <v>42</v>
      </c>
      <c r="F305" t="s">
        <v>5</v>
      </c>
      <c r="G305" t="s">
        <v>5</v>
      </c>
      <c r="H305">
        <v>85202.12</v>
      </c>
      <c r="I305">
        <v>62649.06</v>
      </c>
      <c r="J305">
        <v>0</v>
      </c>
    </row>
    <row r="306" spans="1:10" x14ac:dyDescent="0.35">
      <c r="A306">
        <v>320766</v>
      </c>
      <c r="B306" t="s">
        <v>20</v>
      </c>
      <c r="C306">
        <v>2015</v>
      </c>
      <c r="D306">
        <v>6</v>
      </c>
      <c r="E306" t="s">
        <v>43</v>
      </c>
      <c r="F306" t="s">
        <v>5</v>
      </c>
      <c r="G306" t="s">
        <v>5</v>
      </c>
      <c r="H306">
        <v>7443.42</v>
      </c>
      <c r="I306">
        <v>6921.72</v>
      </c>
      <c r="J306">
        <v>0</v>
      </c>
    </row>
    <row r="307" spans="1:10" x14ac:dyDescent="0.35">
      <c r="A307">
        <v>320783</v>
      </c>
      <c r="B307" t="s">
        <v>20</v>
      </c>
      <c r="C307">
        <v>2015</v>
      </c>
      <c r="D307">
        <v>9</v>
      </c>
      <c r="E307" t="s">
        <v>42</v>
      </c>
      <c r="F307" t="s">
        <v>5</v>
      </c>
      <c r="G307" t="s">
        <v>5</v>
      </c>
      <c r="H307">
        <v>7443.42</v>
      </c>
      <c r="I307">
        <v>6921.72</v>
      </c>
      <c r="J307">
        <v>0</v>
      </c>
    </row>
    <row r="308" spans="1:10" x14ac:dyDescent="0.35">
      <c r="A308">
        <v>320789</v>
      </c>
      <c r="B308" t="s">
        <v>20</v>
      </c>
      <c r="C308">
        <v>2015</v>
      </c>
      <c r="D308">
        <v>9</v>
      </c>
      <c r="E308" t="s">
        <v>42</v>
      </c>
      <c r="F308" t="s">
        <v>5</v>
      </c>
      <c r="G308" t="s">
        <v>5</v>
      </c>
      <c r="H308">
        <v>75062.58</v>
      </c>
      <c r="I308">
        <v>57623.8</v>
      </c>
      <c r="J308">
        <v>0</v>
      </c>
    </row>
    <row r="309" spans="1:10" x14ac:dyDescent="0.35">
      <c r="A309">
        <v>320795</v>
      </c>
      <c r="B309" t="s">
        <v>20</v>
      </c>
      <c r="C309">
        <v>2015</v>
      </c>
      <c r="D309">
        <v>6</v>
      </c>
      <c r="E309" t="s">
        <v>43</v>
      </c>
      <c r="F309" t="s">
        <v>5</v>
      </c>
      <c r="G309" t="s">
        <v>5</v>
      </c>
      <c r="H309">
        <v>60233.5</v>
      </c>
      <c r="I309">
        <v>45095.8</v>
      </c>
      <c r="J309">
        <v>0</v>
      </c>
    </row>
    <row r="310" spans="1:10" x14ac:dyDescent="0.35">
      <c r="A310">
        <v>320800</v>
      </c>
      <c r="B310" t="s">
        <v>20</v>
      </c>
      <c r="C310">
        <v>2015</v>
      </c>
      <c r="D310">
        <v>9</v>
      </c>
      <c r="E310" t="s">
        <v>42</v>
      </c>
      <c r="F310" t="s">
        <v>5</v>
      </c>
      <c r="G310" t="s">
        <v>5</v>
      </c>
      <c r="H310">
        <v>37403.129999999997</v>
      </c>
      <c r="I310">
        <v>26935.67</v>
      </c>
      <c r="J310">
        <v>0</v>
      </c>
    </row>
    <row r="311" spans="1:10" x14ac:dyDescent="0.35">
      <c r="A311">
        <v>320803</v>
      </c>
      <c r="B311" t="s">
        <v>20</v>
      </c>
      <c r="C311">
        <v>2015</v>
      </c>
      <c r="D311">
        <v>6</v>
      </c>
      <c r="E311" t="s">
        <v>43</v>
      </c>
      <c r="F311" t="s">
        <v>5</v>
      </c>
      <c r="G311" t="s">
        <v>5</v>
      </c>
      <c r="H311">
        <v>19597.8</v>
      </c>
      <c r="I311">
        <v>5579.99</v>
      </c>
      <c r="J311">
        <v>0</v>
      </c>
    </row>
    <row r="312" spans="1:10" x14ac:dyDescent="0.35">
      <c r="A312">
        <v>320828</v>
      </c>
      <c r="B312" t="s">
        <v>20</v>
      </c>
      <c r="C312">
        <v>2015</v>
      </c>
      <c r="D312">
        <v>6</v>
      </c>
      <c r="E312" t="s">
        <v>43</v>
      </c>
      <c r="F312" t="s">
        <v>5</v>
      </c>
      <c r="G312" t="s">
        <v>5</v>
      </c>
      <c r="H312">
        <v>75007.12</v>
      </c>
      <c r="I312">
        <v>55985.96</v>
      </c>
      <c r="J312">
        <v>0</v>
      </c>
    </row>
    <row r="313" spans="1:10" x14ac:dyDescent="0.35">
      <c r="A313">
        <v>320834</v>
      </c>
      <c r="B313" t="s">
        <v>20</v>
      </c>
      <c r="C313">
        <v>2015</v>
      </c>
      <c r="D313">
        <v>6</v>
      </c>
      <c r="E313" t="s">
        <v>43</v>
      </c>
      <c r="F313" t="s">
        <v>5</v>
      </c>
      <c r="G313" t="s">
        <v>5</v>
      </c>
      <c r="H313">
        <v>10652.96</v>
      </c>
      <c r="I313">
        <v>2379.6799999999998</v>
      </c>
      <c r="J313">
        <v>0</v>
      </c>
    </row>
    <row r="314" spans="1:10" x14ac:dyDescent="0.35">
      <c r="A314">
        <v>320843</v>
      </c>
      <c r="B314" t="s">
        <v>20</v>
      </c>
      <c r="C314">
        <v>2015</v>
      </c>
      <c r="D314">
        <v>9</v>
      </c>
      <c r="E314" t="s">
        <v>42</v>
      </c>
      <c r="F314" t="s">
        <v>5</v>
      </c>
      <c r="G314" t="s">
        <v>5</v>
      </c>
      <c r="H314">
        <v>19355.04</v>
      </c>
      <c r="I314">
        <v>7966.58</v>
      </c>
      <c r="J314">
        <v>0</v>
      </c>
    </row>
    <row r="315" spans="1:10" x14ac:dyDescent="0.35">
      <c r="A315">
        <v>320846</v>
      </c>
      <c r="B315" t="s">
        <v>20</v>
      </c>
      <c r="C315">
        <v>2015</v>
      </c>
      <c r="D315">
        <v>9</v>
      </c>
      <c r="E315" t="s">
        <v>42</v>
      </c>
      <c r="F315" t="s">
        <v>5</v>
      </c>
      <c r="G315" t="s">
        <v>5</v>
      </c>
      <c r="H315">
        <v>58306.82</v>
      </c>
      <c r="I315">
        <v>45228.44</v>
      </c>
      <c r="J315">
        <v>0</v>
      </c>
    </row>
    <row r="316" spans="1:10" x14ac:dyDescent="0.35">
      <c r="A316">
        <v>320857</v>
      </c>
      <c r="B316" t="s">
        <v>20</v>
      </c>
      <c r="C316">
        <v>2015</v>
      </c>
      <c r="D316">
        <v>6</v>
      </c>
      <c r="E316" t="s">
        <v>43</v>
      </c>
      <c r="F316" t="s">
        <v>5</v>
      </c>
      <c r="G316" t="s">
        <v>5</v>
      </c>
      <c r="H316">
        <v>64152.74</v>
      </c>
      <c r="I316">
        <v>45770.720000000001</v>
      </c>
      <c r="J316">
        <v>0</v>
      </c>
    </row>
    <row r="317" spans="1:10" x14ac:dyDescent="0.35">
      <c r="A317">
        <v>320869</v>
      </c>
      <c r="B317" t="s">
        <v>20</v>
      </c>
      <c r="C317">
        <v>2015</v>
      </c>
      <c r="D317">
        <v>9</v>
      </c>
      <c r="E317" t="s">
        <v>42</v>
      </c>
      <c r="F317" t="s">
        <v>5</v>
      </c>
      <c r="G317" t="s">
        <v>5</v>
      </c>
      <c r="H317">
        <v>5177.92</v>
      </c>
      <c r="I317">
        <v>6283.27</v>
      </c>
      <c r="J317">
        <v>1</v>
      </c>
    </row>
    <row r="318" spans="1:10" x14ac:dyDescent="0.35">
      <c r="A318">
        <v>320870</v>
      </c>
      <c r="B318" t="s">
        <v>20</v>
      </c>
      <c r="C318">
        <v>2015</v>
      </c>
      <c r="D318">
        <v>9</v>
      </c>
      <c r="E318" t="s">
        <v>42</v>
      </c>
      <c r="F318" t="s">
        <v>5</v>
      </c>
      <c r="G318" t="s">
        <v>5</v>
      </c>
      <c r="H318">
        <v>37478.410000000003</v>
      </c>
      <c r="I318">
        <v>24944.83</v>
      </c>
      <c r="J318">
        <v>0</v>
      </c>
    </row>
    <row r="319" spans="1:10" x14ac:dyDescent="0.35">
      <c r="A319">
        <v>320893</v>
      </c>
      <c r="B319" t="s">
        <v>20</v>
      </c>
      <c r="C319">
        <v>2015</v>
      </c>
      <c r="D319">
        <v>9</v>
      </c>
      <c r="E319" t="s">
        <v>42</v>
      </c>
      <c r="F319" t="s">
        <v>5</v>
      </c>
      <c r="G319" t="s">
        <v>5</v>
      </c>
      <c r="H319">
        <v>74606.42</v>
      </c>
      <c r="I319">
        <v>55941.15</v>
      </c>
      <c r="J319">
        <v>0</v>
      </c>
    </row>
    <row r="320" spans="1:10" x14ac:dyDescent="0.35">
      <c r="A320">
        <v>320945</v>
      </c>
      <c r="B320" t="s">
        <v>20</v>
      </c>
      <c r="C320">
        <v>2015</v>
      </c>
      <c r="D320">
        <v>6</v>
      </c>
      <c r="E320" t="s">
        <v>43</v>
      </c>
      <c r="F320" t="s">
        <v>5</v>
      </c>
      <c r="G320" t="s">
        <v>5</v>
      </c>
      <c r="H320">
        <v>66273.56</v>
      </c>
      <c r="I320">
        <v>48596.68</v>
      </c>
      <c r="J320">
        <v>0</v>
      </c>
    </row>
    <row r="321" spans="1:10" x14ac:dyDescent="0.35">
      <c r="A321">
        <v>320949</v>
      </c>
      <c r="B321" t="s">
        <v>20</v>
      </c>
      <c r="C321">
        <v>2015</v>
      </c>
      <c r="D321">
        <v>6</v>
      </c>
      <c r="E321" t="s">
        <v>43</v>
      </c>
      <c r="F321" t="s">
        <v>5</v>
      </c>
      <c r="G321" t="s">
        <v>5</v>
      </c>
      <c r="H321">
        <v>22924.06</v>
      </c>
      <c r="I321">
        <v>7492.03</v>
      </c>
      <c r="J321">
        <v>0</v>
      </c>
    </row>
    <row r="322" spans="1:10" x14ac:dyDescent="0.35">
      <c r="A322">
        <v>320959</v>
      </c>
      <c r="B322" t="s">
        <v>20</v>
      </c>
      <c r="C322">
        <v>2015</v>
      </c>
      <c r="D322">
        <v>6</v>
      </c>
      <c r="E322" t="s">
        <v>43</v>
      </c>
      <c r="F322" t="s">
        <v>5</v>
      </c>
      <c r="G322" t="s">
        <v>5</v>
      </c>
      <c r="H322">
        <v>51051.18</v>
      </c>
      <c r="I322">
        <v>18635.45</v>
      </c>
      <c r="J322">
        <v>0</v>
      </c>
    </row>
    <row r="323" spans="1:10" x14ac:dyDescent="0.35">
      <c r="A323">
        <v>320960</v>
      </c>
      <c r="B323" t="s">
        <v>20</v>
      </c>
      <c r="C323">
        <v>2015</v>
      </c>
      <c r="D323">
        <v>9</v>
      </c>
      <c r="E323" t="s">
        <v>42</v>
      </c>
      <c r="F323" t="s">
        <v>5</v>
      </c>
      <c r="G323" t="s">
        <v>5</v>
      </c>
      <c r="H323">
        <v>101582.6</v>
      </c>
      <c r="I323">
        <v>81663.070000000007</v>
      </c>
      <c r="J323">
        <v>0</v>
      </c>
    </row>
    <row r="324" spans="1:10" x14ac:dyDescent="0.35">
      <c r="A324">
        <v>320969</v>
      </c>
      <c r="B324" t="s">
        <v>20</v>
      </c>
      <c r="C324">
        <v>2015</v>
      </c>
      <c r="D324">
        <v>6</v>
      </c>
      <c r="E324" t="s">
        <v>43</v>
      </c>
      <c r="F324" t="s">
        <v>5</v>
      </c>
      <c r="G324" t="s">
        <v>5</v>
      </c>
      <c r="H324">
        <v>33572.449999999997</v>
      </c>
      <c r="I324">
        <v>19926.919999999998</v>
      </c>
      <c r="J324">
        <v>0</v>
      </c>
    </row>
    <row r="325" spans="1:10" x14ac:dyDescent="0.35">
      <c r="A325">
        <v>320976</v>
      </c>
      <c r="B325" t="s">
        <v>20</v>
      </c>
      <c r="C325">
        <v>2015</v>
      </c>
      <c r="D325">
        <v>9</v>
      </c>
      <c r="E325" t="s">
        <v>42</v>
      </c>
      <c r="F325" t="s">
        <v>5</v>
      </c>
      <c r="G325" t="s">
        <v>5</v>
      </c>
      <c r="H325">
        <v>74503.28</v>
      </c>
      <c r="I325">
        <v>55917.53</v>
      </c>
      <c r="J325">
        <v>0</v>
      </c>
    </row>
    <row r="326" spans="1:10" x14ac:dyDescent="0.35">
      <c r="A326">
        <v>320980</v>
      </c>
      <c r="B326" t="s">
        <v>20</v>
      </c>
      <c r="C326">
        <v>2015</v>
      </c>
      <c r="D326">
        <v>6</v>
      </c>
      <c r="E326" t="s">
        <v>43</v>
      </c>
      <c r="F326" t="s">
        <v>5</v>
      </c>
      <c r="G326" t="s">
        <v>5</v>
      </c>
      <c r="H326">
        <v>37378.300000000003</v>
      </c>
      <c r="I326">
        <v>22755.040000000001</v>
      </c>
      <c r="J326">
        <v>0</v>
      </c>
    </row>
    <row r="327" spans="1:10" x14ac:dyDescent="0.35">
      <c r="A327">
        <v>320986</v>
      </c>
      <c r="B327" t="s">
        <v>20</v>
      </c>
      <c r="C327">
        <v>2015</v>
      </c>
      <c r="D327">
        <v>9</v>
      </c>
      <c r="E327" t="s">
        <v>42</v>
      </c>
      <c r="F327" t="s">
        <v>5</v>
      </c>
      <c r="G327" t="s">
        <v>5</v>
      </c>
      <c r="H327">
        <v>58427.64</v>
      </c>
      <c r="I327">
        <v>41190.51</v>
      </c>
      <c r="J327">
        <v>0</v>
      </c>
    </row>
    <row r="328" spans="1:10" x14ac:dyDescent="0.35">
      <c r="A328">
        <v>320990</v>
      </c>
      <c r="B328" t="s">
        <v>20</v>
      </c>
      <c r="C328">
        <v>2015</v>
      </c>
      <c r="D328">
        <v>6</v>
      </c>
      <c r="E328" t="s">
        <v>43</v>
      </c>
      <c r="F328" t="s">
        <v>5</v>
      </c>
      <c r="G328" t="s">
        <v>5</v>
      </c>
      <c r="H328">
        <v>5335.62</v>
      </c>
      <c r="I328">
        <v>3900.54</v>
      </c>
      <c r="J328">
        <v>0</v>
      </c>
    </row>
    <row r="329" spans="1:10" x14ac:dyDescent="0.35">
      <c r="A329">
        <v>320992</v>
      </c>
      <c r="B329" t="s">
        <v>20</v>
      </c>
      <c r="C329">
        <v>2015</v>
      </c>
      <c r="D329">
        <v>9</v>
      </c>
      <c r="E329" t="s">
        <v>42</v>
      </c>
      <c r="F329" t="s">
        <v>5</v>
      </c>
      <c r="G329" t="s">
        <v>5</v>
      </c>
      <c r="H329">
        <v>62854.52</v>
      </c>
      <c r="I329">
        <v>46286.34</v>
      </c>
      <c r="J329">
        <v>0</v>
      </c>
    </row>
    <row r="330" spans="1:10" x14ac:dyDescent="0.35">
      <c r="A330">
        <v>320997</v>
      </c>
      <c r="B330" t="s">
        <v>20</v>
      </c>
      <c r="C330">
        <v>2015</v>
      </c>
      <c r="D330">
        <v>9</v>
      </c>
      <c r="E330" t="s">
        <v>42</v>
      </c>
      <c r="F330" t="s">
        <v>5</v>
      </c>
      <c r="G330" t="s">
        <v>5</v>
      </c>
      <c r="H330">
        <v>64705.440000000002</v>
      </c>
      <c r="I330">
        <v>43681.05</v>
      </c>
      <c r="J330">
        <v>0</v>
      </c>
    </row>
    <row r="331" spans="1:10" x14ac:dyDescent="0.35">
      <c r="A331">
        <v>321005</v>
      </c>
      <c r="B331" t="s">
        <v>20</v>
      </c>
      <c r="C331">
        <v>2015</v>
      </c>
      <c r="D331">
        <v>9</v>
      </c>
      <c r="E331" t="s">
        <v>42</v>
      </c>
      <c r="F331" t="s">
        <v>5</v>
      </c>
      <c r="G331" t="s">
        <v>5</v>
      </c>
      <c r="H331">
        <v>64039.08</v>
      </c>
      <c r="I331">
        <v>47626.53</v>
      </c>
      <c r="J331">
        <v>0</v>
      </c>
    </row>
    <row r="332" spans="1:10" x14ac:dyDescent="0.35">
      <c r="A332">
        <v>321009</v>
      </c>
      <c r="B332" t="s">
        <v>20</v>
      </c>
      <c r="C332">
        <v>2015</v>
      </c>
      <c r="D332">
        <v>9</v>
      </c>
      <c r="E332" t="s">
        <v>42</v>
      </c>
      <c r="F332" t="s">
        <v>5</v>
      </c>
      <c r="G332" t="s">
        <v>5</v>
      </c>
      <c r="H332">
        <v>26834.799999999999</v>
      </c>
      <c r="I332">
        <v>8571.64</v>
      </c>
      <c r="J332">
        <v>0</v>
      </c>
    </row>
    <row r="333" spans="1:10" x14ac:dyDescent="0.35">
      <c r="A333">
        <v>321010</v>
      </c>
      <c r="B333" t="s">
        <v>20</v>
      </c>
      <c r="C333">
        <v>2015</v>
      </c>
      <c r="D333">
        <v>6</v>
      </c>
      <c r="E333" t="s">
        <v>43</v>
      </c>
      <c r="F333" t="s">
        <v>5</v>
      </c>
      <c r="G333" t="s">
        <v>5</v>
      </c>
      <c r="H333">
        <v>47816.52</v>
      </c>
      <c r="I333">
        <v>16986.96</v>
      </c>
      <c r="J333">
        <v>0</v>
      </c>
    </row>
    <row r="334" spans="1:10" x14ac:dyDescent="0.35">
      <c r="A334">
        <v>321015</v>
      </c>
      <c r="B334" t="s">
        <v>20</v>
      </c>
      <c r="C334">
        <v>2015</v>
      </c>
      <c r="D334">
        <v>9</v>
      </c>
      <c r="E334" t="s">
        <v>42</v>
      </c>
      <c r="F334" t="s">
        <v>5</v>
      </c>
      <c r="G334" t="s">
        <v>5</v>
      </c>
      <c r="H334">
        <v>67588.34</v>
      </c>
      <c r="I334">
        <v>49082.51</v>
      </c>
      <c r="J334">
        <v>0</v>
      </c>
    </row>
    <row r="335" spans="1:10" x14ac:dyDescent="0.35">
      <c r="A335">
        <v>321017</v>
      </c>
      <c r="B335" t="s">
        <v>20</v>
      </c>
      <c r="C335">
        <v>2015</v>
      </c>
      <c r="D335">
        <v>6</v>
      </c>
      <c r="E335" t="s">
        <v>43</v>
      </c>
      <c r="F335" t="s">
        <v>5</v>
      </c>
      <c r="G335" t="s">
        <v>5</v>
      </c>
      <c r="H335">
        <v>18795.16</v>
      </c>
      <c r="I335">
        <v>5276.25</v>
      </c>
      <c r="J335">
        <v>0</v>
      </c>
    </row>
    <row r="336" spans="1:10" x14ac:dyDescent="0.35">
      <c r="A336">
        <v>321024</v>
      </c>
      <c r="B336" t="s">
        <v>20</v>
      </c>
      <c r="C336">
        <v>2015</v>
      </c>
      <c r="D336">
        <v>6</v>
      </c>
      <c r="E336" t="s">
        <v>43</v>
      </c>
      <c r="F336" t="s">
        <v>5</v>
      </c>
      <c r="G336" t="s">
        <v>5</v>
      </c>
      <c r="H336">
        <v>66809.36</v>
      </c>
      <c r="I336">
        <v>48707.07</v>
      </c>
      <c r="J336">
        <v>0</v>
      </c>
    </row>
    <row r="337" spans="1:10" x14ac:dyDescent="0.35">
      <c r="A337">
        <v>321043</v>
      </c>
      <c r="B337" t="s">
        <v>20</v>
      </c>
      <c r="C337">
        <v>2015</v>
      </c>
      <c r="D337">
        <v>9</v>
      </c>
      <c r="E337" t="s">
        <v>42</v>
      </c>
      <c r="F337" t="s">
        <v>5</v>
      </c>
      <c r="G337" t="s">
        <v>5</v>
      </c>
      <c r="H337">
        <v>65319.96</v>
      </c>
      <c r="I337">
        <v>48367.49</v>
      </c>
      <c r="J337">
        <v>0</v>
      </c>
    </row>
    <row r="338" spans="1:10" x14ac:dyDescent="0.35">
      <c r="A338">
        <v>321045</v>
      </c>
      <c r="B338" t="s">
        <v>20</v>
      </c>
      <c r="C338">
        <v>2015</v>
      </c>
      <c r="D338">
        <v>9</v>
      </c>
      <c r="E338" t="s">
        <v>42</v>
      </c>
      <c r="F338" t="s">
        <v>5</v>
      </c>
      <c r="G338" t="s">
        <v>5</v>
      </c>
      <c r="H338">
        <v>23728.86</v>
      </c>
      <c r="I338">
        <v>8305.4699999999993</v>
      </c>
      <c r="J338">
        <v>0</v>
      </c>
    </row>
    <row r="339" spans="1:10" x14ac:dyDescent="0.35">
      <c r="A339">
        <v>321049</v>
      </c>
      <c r="B339" t="s">
        <v>20</v>
      </c>
      <c r="C339">
        <v>2015</v>
      </c>
      <c r="D339">
        <v>6</v>
      </c>
      <c r="E339" t="s">
        <v>43</v>
      </c>
      <c r="F339" t="s">
        <v>5</v>
      </c>
      <c r="G339" t="s">
        <v>5</v>
      </c>
      <c r="H339">
        <v>37774.730000000003</v>
      </c>
      <c r="I339">
        <v>28546.41</v>
      </c>
      <c r="J339">
        <v>0</v>
      </c>
    </row>
    <row r="340" spans="1:10" x14ac:dyDescent="0.35">
      <c r="A340">
        <v>321050</v>
      </c>
      <c r="B340" t="s">
        <v>20</v>
      </c>
      <c r="C340">
        <v>2015</v>
      </c>
      <c r="D340">
        <v>9</v>
      </c>
      <c r="E340" t="s">
        <v>42</v>
      </c>
      <c r="F340" t="s">
        <v>5</v>
      </c>
      <c r="G340" t="s">
        <v>5</v>
      </c>
      <c r="H340">
        <v>73956.960000000006</v>
      </c>
      <c r="I340">
        <v>55578.15</v>
      </c>
      <c r="J340">
        <v>0</v>
      </c>
    </row>
    <row r="341" spans="1:10" x14ac:dyDescent="0.35">
      <c r="A341">
        <v>321051</v>
      </c>
      <c r="B341" t="s">
        <v>20</v>
      </c>
      <c r="C341">
        <v>2015</v>
      </c>
      <c r="D341">
        <v>9</v>
      </c>
      <c r="E341" t="s">
        <v>42</v>
      </c>
      <c r="F341" t="s">
        <v>5</v>
      </c>
      <c r="G341" t="s">
        <v>5</v>
      </c>
      <c r="H341">
        <v>71583.740000000005</v>
      </c>
      <c r="I341">
        <v>45841.55</v>
      </c>
      <c r="J341">
        <v>0</v>
      </c>
    </row>
    <row r="342" spans="1:10" x14ac:dyDescent="0.35">
      <c r="A342">
        <v>321055</v>
      </c>
      <c r="B342" t="s">
        <v>20</v>
      </c>
      <c r="C342">
        <v>2015</v>
      </c>
      <c r="D342">
        <v>9</v>
      </c>
      <c r="E342" t="s">
        <v>42</v>
      </c>
      <c r="F342" t="s">
        <v>5</v>
      </c>
      <c r="G342" t="s">
        <v>5</v>
      </c>
      <c r="H342">
        <v>49018.52</v>
      </c>
      <c r="I342">
        <v>27722.44</v>
      </c>
      <c r="J342">
        <v>0</v>
      </c>
    </row>
    <row r="343" spans="1:10" x14ac:dyDescent="0.35">
      <c r="A343">
        <v>321058</v>
      </c>
      <c r="B343" t="s">
        <v>20</v>
      </c>
      <c r="C343">
        <v>2015</v>
      </c>
      <c r="D343">
        <v>9</v>
      </c>
      <c r="E343" t="s">
        <v>42</v>
      </c>
      <c r="F343" t="s">
        <v>5</v>
      </c>
      <c r="G343" t="s">
        <v>5</v>
      </c>
      <c r="H343">
        <v>66762.8</v>
      </c>
      <c r="I343">
        <v>44139.78</v>
      </c>
      <c r="J343">
        <v>0</v>
      </c>
    </row>
    <row r="344" spans="1:10" x14ac:dyDescent="0.35">
      <c r="A344">
        <v>321073</v>
      </c>
      <c r="B344" t="s">
        <v>20</v>
      </c>
      <c r="C344">
        <v>2015</v>
      </c>
      <c r="D344">
        <v>6</v>
      </c>
      <c r="E344" t="s">
        <v>43</v>
      </c>
      <c r="F344" t="s">
        <v>5</v>
      </c>
      <c r="G344" t="s">
        <v>5</v>
      </c>
      <c r="H344">
        <v>62006.28</v>
      </c>
      <c r="I344">
        <v>43584.27</v>
      </c>
      <c r="J344">
        <v>0</v>
      </c>
    </row>
    <row r="345" spans="1:10" x14ac:dyDescent="0.35">
      <c r="A345">
        <v>321081</v>
      </c>
      <c r="B345" t="s">
        <v>20</v>
      </c>
      <c r="C345">
        <v>2015</v>
      </c>
      <c r="D345">
        <v>9</v>
      </c>
      <c r="E345" t="s">
        <v>42</v>
      </c>
      <c r="F345" t="s">
        <v>5</v>
      </c>
      <c r="G345" t="s">
        <v>5</v>
      </c>
      <c r="H345">
        <v>76706.05</v>
      </c>
      <c r="I345">
        <v>60390.23</v>
      </c>
      <c r="J345">
        <v>0</v>
      </c>
    </row>
    <row r="346" spans="1:10" x14ac:dyDescent="0.35">
      <c r="A346">
        <v>321086</v>
      </c>
      <c r="B346" t="s">
        <v>20</v>
      </c>
      <c r="C346">
        <v>2015</v>
      </c>
      <c r="D346">
        <v>9</v>
      </c>
      <c r="E346" t="s">
        <v>42</v>
      </c>
      <c r="F346" t="s">
        <v>5</v>
      </c>
      <c r="G346" t="s">
        <v>5</v>
      </c>
      <c r="H346">
        <v>67162.58</v>
      </c>
      <c r="I346">
        <v>52706.01</v>
      </c>
      <c r="J346">
        <v>0</v>
      </c>
    </row>
    <row r="347" spans="1:10" x14ac:dyDescent="0.35">
      <c r="A347">
        <v>321087</v>
      </c>
      <c r="B347" t="s">
        <v>20</v>
      </c>
      <c r="C347">
        <v>2015</v>
      </c>
      <c r="D347">
        <v>9</v>
      </c>
      <c r="E347" t="s">
        <v>42</v>
      </c>
      <c r="F347" t="s">
        <v>5</v>
      </c>
      <c r="G347" t="s">
        <v>5</v>
      </c>
      <c r="H347">
        <v>18751.400000000001</v>
      </c>
      <c r="I347">
        <v>4938.97</v>
      </c>
      <c r="J347">
        <v>0</v>
      </c>
    </row>
    <row r="348" spans="1:10" x14ac:dyDescent="0.35">
      <c r="A348">
        <v>321088</v>
      </c>
      <c r="B348" t="s">
        <v>20</v>
      </c>
      <c r="C348">
        <v>2015</v>
      </c>
      <c r="D348">
        <v>9</v>
      </c>
      <c r="E348" t="s">
        <v>42</v>
      </c>
      <c r="F348" t="s">
        <v>5</v>
      </c>
      <c r="G348" t="s">
        <v>5</v>
      </c>
      <c r="H348">
        <v>24968.34</v>
      </c>
      <c r="I348">
        <v>6730.84</v>
      </c>
      <c r="J348">
        <v>0</v>
      </c>
    </row>
    <row r="349" spans="1:10" x14ac:dyDescent="0.35">
      <c r="A349">
        <v>321089</v>
      </c>
      <c r="B349" t="s">
        <v>20</v>
      </c>
      <c r="C349">
        <v>2015</v>
      </c>
      <c r="D349">
        <v>6</v>
      </c>
      <c r="E349" t="s">
        <v>43</v>
      </c>
      <c r="F349" t="s">
        <v>5</v>
      </c>
      <c r="G349" t="s">
        <v>5</v>
      </c>
      <c r="H349">
        <v>145941.20000000001</v>
      </c>
      <c r="I349">
        <v>93636.91</v>
      </c>
      <c r="J349">
        <v>0</v>
      </c>
    </row>
    <row r="350" spans="1:10" x14ac:dyDescent="0.35">
      <c r="A350">
        <v>321092</v>
      </c>
      <c r="B350" t="s">
        <v>20</v>
      </c>
      <c r="C350">
        <v>2015</v>
      </c>
      <c r="D350">
        <v>6</v>
      </c>
      <c r="E350" t="s">
        <v>43</v>
      </c>
      <c r="F350" t="s">
        <v>5</v>
      </c>
      <c r="G350" t="s">
        <v>5</v>
      </c>
      <c r="H350">
        <v>76097.8</v>
      </c>
      <c r="I350">
        <v>57643.49</v>
      </c>
      <c r="J350">
        <v>0</v>
      </c>
    </row>
    <row r="351" spans="1:10" x14ac:dyDescent="0.35">
      <c r="A351">
        <v>321097</v>
      </c>
      <c r="B351" t="s">
        <v>20</v>
      </c>
      <c r="C351">
        <v>2015</v>
      </c>
      <c r="D351">
        <v>6</v>
      </c>
      <c r="E351" t="s">
        <v>43</v>
      </c>
      <c r="F351" t="s">
        <v>5</v>
      </c>
      <c r="G351" t="s">
        <v>5</v>
      </c>
      <c r="H351">
        <v>66067.48</v>
      </c>
      <c r="I351">
        <v>48630.86</v>
      </c>
      <c r="J351">
        <v>0</v>
      </c>
    </row>
    <row r="352" spans="1:10" x14ac:dyDescent="0.35">
      <c r="A352">
        <v>321098</v>
      </c>
      <c r="B352" t="s">
        <v>20</v>
      </c>
      <c r="C352">
        <v>2015</v>
      </c>
      <c r="D352">
        <v>6</v>
      </c>
      <c r="E352" t="s">
        <v>43</v>
      </c>
      <c r="F352" t="s">
        <v>5</v>
      </c>
      <c r="G352" t="s">
        <v>5</v>
      </c>
      <c r="H352">
        <v>76091.14</v>
      </c>
      <c r="I352">
        <v>58357.02</v>
      </c>
      <c r="J352">
        <v>0</v>
      </c>
    </row>
    <row r="353" spans="1:10" x14ac:dyDescent="0.35">
      <c r="A353">
        <v>321102</v>
      </c>
      <c r="B353" t="s">
        <v>20</v>
      </c>
      <c r="C353">
        <v>2015</v>
      </c>
      <c r="D353">
        <v>9</v>
      </c>
      <c r="E353" t="s">
        <v>42</v>
      </c>
      <c r="F353" t="s">
        <v>5</v>
      </c>
      <c r="G353" t="s">
        <v>5</v>
      </c>
      <c r="H353">
        <v>21827.62</v>
      </c>
      <c r="I353">
        <v>3142.8</v>
      </c>
      <c r="J353">
        <v>0</v>
      </c>
    </row>
    <row r="354" spans="1:10" x14ac:dyDescent="0.35">
      <c r="A354">
        <v>321109</v>
      </c>
      <c r="B354" t="s">
        <v>20</v>
      </c>
      <c r="C354">
        <v>2015</v>
      </c>
      <c r="D354">
        <v>9</v>
      </c>
      <c r="E354" t="s">
        <v>42</v>
      </c>
      <c r="F354" t="s">
        <v>5</v>
      </c>
      <c r="G354" t="s">
        <v>5</v>
      </c>
      <c r="H354">
        <v>65665.259999999995</v>
      </c>
      <c r="I354">
        <v>40209.019999999997</v>
      </c>
      <c r="J354">
        <v>0</v>
      </c>
    </row>
    <row r="355" spans="1:10" x14ac:dyDescent="0.35">
      <c r="A355">
        <v>321111</v>
      </c>
      <c r="B355" t="s">
        <v>20</v>
      </c>
      <c r="C355">
        <v>2015</v>
      </c>
      <c r="D355">
        <v>9</v>
      </c>
      <c r="E355" t="s">
        <v>42</v>
      </c>
      <c r="F355" t="s">
        <v>5</v>
      </c>
      <c r="G355" t="s">
        <v>5</v>
      </c>
      <c r="H355">
        <v>68377.52</v>
      </c>
      <c r="I355">
        <v>51858.06</v>
      </c>
      <c r="J355">
        <v>0</v>
      </c>
    </row>
    <row r="356" spans="1:10" x14ac:dyDescent="0.35">
      <c r="A356">
        <v>321118</v>
      </c>
      <c r="B356" t="s">
        <v>20</v>
      </c>
      <c r="C356">
        <v>2015</v>
      </c>
      <c r="D356">
        <v>6</v>
      </c>
      <c r="E356" t="s">
        <v>43</v>
      </c>
      <c r="F356" t="s">
        <v>5</v>
      </c>
      <c r="G356" t="s">
        <v>5</v>
      </c>
      <c r="H356">
        <v>14854.3</v>
      </c>
      <c r="I356">
        <v>3691.52</v>
      </c>
      <c r="J356">
        <v>0</v>
      </c>
    </row>
    <row r="357" spans="1:10" x14ac:dyDescent="0.35">
      <c r="A357">
        <v>321121</v>
      </c>
      <c r="B357" t="s">
        <v>20</v>
      </c>
      <c r="C357">
        <v>2015</v>
      </c>
      <c r="D357">
        <v>6</v>
      </c>
      <c r="E357" t="s">
        <v>43</v>
      </c>
      <c r="F357" t="s">
        <v>5</v>
      </c>
      <c r="G357" t="s">
        <v>5</v>
      </c>
      <c r="H357">
        <v>85821.4</v>
      </c>
      <c r="I357">
        <v>60933.21</v>
      </c>
      <c r="J357">
        <v>0</v>
      </c>
    </row>
    <row r="358" spans="1:10" x14ac:dyDescent="0.35">
      <c r="A358">
        <v>321122</v>
      </c>
      <c r="B358" t="s">
        <v>20</v>
      </c>
      <c r="C358">
        <v>2015</v>
      </c>
      <c r="D358">
        <v>9</v>
      </c>
      <c r="E358" t="s">
        <v>42</v>
      </c>
      <c r="F358" t="s">
        <v>5</v>
      </c>
      <c r="G358" t="s">
        <v>5</v>
      </c>
      <c r="H358">
        <v>60812.08</v>
      </c>
      <c r="I358">
        <v>42589.02</v>
      </c>
      <c r="J358">
        <v>0</v>
      </c>
    </row>
    <row r="359" spans="1:10" x14ac:dyDescent="0.35">
      <c r="A359">
        <v>321147</v>
      </c>
      <c r="B359" t="s">
        <v>20</v>
      </c>
      <c r="C359">
        <v>2015</v>
      </c>
      <c r="D359">
        <v>9</v>
      </c>
      <c r="E359" t="s">
        <v>42</v>
      </c>
      <c r="F359" t="s">
        <v>5</v>
      </c>
      <c r="G359" t="s">
        <v>5</v>
      </c>
      <c r="H359">
        <v>68450.58</v>
      </c>
      <c r="I359">
        <v>51906.89</v>
      </c>
      <c r="J359">
        <v>0</v>
      </c>
    </row>
    <row r="360" spans="1:10" x14ac:dyDescent="0.35">
      <c r="A360">
        <v>321150</v>
      </c>
      <c r="B360" t="s">
        <v>20</v>
      </c>
      <c r="C360">
        <v>2015</v>
      </c>
      <c r="D360">
        <v>9</v>
      </c>
      <c r="E360" t="s">
        <v>42</v>
      </c>
      <c r="F360" t="s">
        <v>5</v>
      </c>
      <c r="G360" t="s">
        <v>5</v>
      </c>
      <c r="H360">
        <v>6733.62</v>
      </c>
      <c r="I360">
        <v>1939.69</v>
      </c>
      <c r="J360">
        <v>0</v>
      </c>
    </row>
    <row r="361" spans="1:10" x14ac:dyDescent="0.35">
      <c r="A361">
        <v>321152</v>
      </c>
      <c r="B361" t="s">
        <v>20</v>
      </c>
      <c r="C361">
        <v>2015</v>
      </c>
      <c r="D361">
        <v>6</v>
      </c>
      <c r="E361" t="s">
        <v>43</v>
      </c>
      <c r="F361" t="s">
        <v>5</v>
      </c>
      <c r="G361" t="s">
        <v>5</v>
      </c>
      <c r="H361">
        <v>75588.800000000003</v>
      </c>
      <c r="I361">
        <v>58973.21</v>
      </c>
      <c r="J361">
        <v>0</v>
      </c>
    </row>
    <row r="362" spans="1:10" x14ac:dyDescent="0.35">
      <c r="A362">
        <v>321161</v>
      </c>
      <c r="B362" t="s">
        <v>20</v>
      </c>
      <c r="C362">
        <v>2015</v>
      </c>
      <c r="D362">
        <v>6</v>
      </c>
      <c r="E362" t="s">
        <v>43</v>
      </c>
      <c r="F362" t="s">
        <v>5</v>
      </c>
      <c r="G362" t="s">
        <v>5</v>
      </c>
      <c r="H362">
        <v>49492.34</v>
      </c>
      <c r="I362">
        <v>12384.53</v>
      </c>
      <c r="J362">
        <v>0</v>
      </c>
    </row>
    <row r="363" spans="1:10" x14ac:dyDescent="0.35">
      <c r="A363">
        <v>321165</v>
      </c>
      <c r="B363" t="s">
        <v>20</v>
      </c>
      <c r="C363">
        <v>2015</v>
      </c>
      <c r="D363">
        <v>9</v>
      </c>
      <c r="E363" t="s">
        <v>42</v>
      </c>
      <c r="F363" t="s">
        <v>5</v>
      </c>
      <c r="G363" t="s">
        <v>5</v>
      </c>
      <c r="H363">
        <v>21220.6</v>
      </c>
      <c r="I363">
        <v>7137.31</v>
      </c>
      <c r="J363">
        <v>0</v>
      </c>
    </row>
    <row r="364" spans="1:10" x14ac:dyDescent="0.35">
      <c r="A364">
        <v>321169</v>
      </c>
      <c r="B364" t="s">
        <v>20</v>
      </c>
      <c r="C364">
        <v>2015</v>
      </c>
      <c r="D364">
        <v>6</v>
      </c>
      <c r="E364" t="s">
        <v>43</v>
      </c>
      <c r="F364" t="s">
        <v>5</v>
      </c>
      <c r="G364" t="s">
        <v>5</v>
      </c>
      <c r="H364">
        <v>72664.86</v>
      </c>
      <c r="I364">
        <v>55379.25</v>
      </c>
      <c r="J364">
        <v>0</v>
      </c>
    </row>
    <row r="365" spans="1:10" x14ac:dyDescent="0.35">
      <c r="A365">
        <v>321186</v>
      </c>
      <c r="B365" t="s">
        <v>20</v>
      </c>
      <c r="C365">
        <v>2015</v>
      </c>
      <c r="D365">
        <v>9</v>
      </c>
      <c r="E365" t="s">
        <v>42</v>
      </c>
      <c r="F365" t="s">
        <v>5</v>
      </c>
      <c r="G365" t="s">
        <v>5</v>
      </c>
      <c r="H365">
        <v>66304.66</v>
      </c>
      <c r="I365">
        <v>48854.28</v>
      </c>
      <c r="J365">
        <v>0</v>
      </c>
    </row>
    <row r="366" spans="1:10" x14ac:dyDescent="0.35">
      <c r="A366">
        <v>321190</v>
      </c>
      <c r="B366" t="s">
        <v>20</v>
      </c>
      <c r="C366">
        <v>2015</v>
      </c>
      <c r="D366">
        <v>6</v>
      </c>
      <c r="E366" t="s">
        <v>43</v>
      </c>
      <c r="F366" t="s">
        <v>5</v>
      </c>
      <c r="G366" t="s">
        <v>5</v>
      </c>
      <c r="H366">
        <v>64121.38</v>
      </c>
      <c r="I366">
        <v>45479.85</v>
      </c>
      <c r="J366">
        <v>0</v>
      </c>
    </row>
    <row r="367" spans="1:10" x14ac:dyDescent="0.35">
      <c r="A367">
        <v>321196</v>
      </c>
      <c r="B367" t="s">
        <v>20</v>
      </c>
      <c r="C367">
        <v>2015</v>
      </c>
      <c r="D367">
        <v>6</v>
      </c>
      <c r="E367" t="s">
        <v>43</v>
      </c>
      <c r="F367" t="s">
        <v>5</v>
      </c>
      <c r="G367" t="s">
        <v>5</v>
      </c>
      <c r="H367">
        <v>72451.48</v>
      </c>
      <c r="I367">
        <v>50596.77</v>
      </c>
      <c r="J367">
        <v>0</v>
      </c>
    </row>
    <row r="368" spans="1:10" x14ac:dyDescent="0.35">
      <c r="A368">
        <v>321199</v>
      </c>
      <c r="B368" t="s">
        <v>20</v>
      </c>
      <c r="C368">
        <v>2015</v>
      </c>
      <c r="D368">
        <v>9</v>
      </c>
      <c r="E368" t="s">
        <v>42</v>
      </c>
      <c r="F368" t="s">
        <v>5</v>
      </c>
      <c r="G368" t="s">
        <v>5</v>
      </c>
      <c r="H368">
        <v>38045.410000000003</v>
      </c>
      <c r="I368">
        <v>19076.57</v>
      </c>
      <c r="J368">
        <v>0</v>
      </c>
    </row>
    <row r="369" spans="1:10" x14ac:dyDescent="0.35">
      <c r="A369">
        <v>321203</v>
      </c>
      <c r="B369" t="s">
        <v>20</v>
      </c>
      <c r="C369">
        <v>2015</v>
      </c>
      <c r="D369">
        <v>6</v>
      </c>
      <c r="E369" t="s">
        <v>43</v>
      </c>
      <c r="F369" t="s">
        <v>5</v>
      </c>
      <c r="G369" t="s">
        <v>5</v>
      </c>
      <c r="H369">
        <v>63456.54</v>
      </c>
      <c r="I369">
        <v>43151.16</v>
      </c>
      <c r="J369">
        <v>0</v>
      </c>
    </row>
    <row r="370" spans="1:10" x14ac:dyDescent="0.35">
      <c r="A370">
        <v>321205</v>
      </c>
      <c r="B370" t="s">
        <v>20</v>
      </c>
      <c r="C370">
        <v>2015</v>
      </c>
      <c r="D370">
        <v>6</v>
      </c>
      <c r="E370" t="s">
        <v>43</v>
      </c>
      <c r="F370" t="s">
        <v>5</v>
      </c>
      <c r="G370" t="s">
        <v>5</v>
      </c>
      <c r="H370">
        <v>36845.230000000003</v>
      </c>
      <c r="I370">
        <v>17300.830000000002</v>
      </c>
      <c r="J370">
        <v>0</v>
      </c>
    </row>
    <row r="371" spans="1:10" x14ac:dyDescent="0.35">
      <c r="A371">
        <v>321213</v>
      </c>
      <c r="B371" t="s">
        <v>20</v>
      </c>
      <c r="C371">
        <v>2015</v>
      </c>
      <c r="D371">
        <v>6</v>
      </c>
      <c r="E371" t="s">
        <v>43</v>
      </c>
      <c r="F371" t="s">
        <v>5</v>
      </c>
      <c r="G371" t="s">
        <v>5</v>
      </c>
      <c r="H371">
        <v>5170.16</v>
      </c>
      <c r="I371">
        <v>6281.4</v>
      </c>
      <c r="J371">
        <v>1</v>
      </c>
    </row>
    <row r="372" spans="1:10" x14ac:dyDescent="0.35">
      <c r="A372">
        <v>321220</v>
      </c>
      <c r="B372" t="s">
        <v>20</v>
      </c>
      <c r="C372">
        <v>2015</v>
      </c>
      <c r="D372">
        <v>9</v>
      </c>
      <c r="E372" t="s">
        <v>42</v>
      </c>
      <c r="F372" t="s">
        <v>5</v>
      </c>
      <c r="G372" t="s">
        <v>5</v>
      </c>
      <c r="H372">
        <v>74195.16</v>
      </c>
      <c r="I372">
        <v>55723.68</v>
      </c>
      <c r="J372">
        <v>0</v>
      </c>
    </row>
    <row r="373" spans="1:10" x14ac:dyDescent="0.35">
      <c r="A373">
        <v>321222</v>
      </c>
      <c r="B373" t="s">
        <v>20</v>
      </c>
      <c r="C373">
        <v>2015</v>
      </c>
      <c r="D373">
        <v>9</v>
      </c>
      <c r="E373" t="s">
        <v>42</v>
      </c>
      <c r="F373" t="s">
        <v>5</v>
      </c>
      <c r="G373" t="s">
        <v>5</v>
      </c>
      <c r="H373">
        <v>63663.23</v>
      </c>
      <c r="I373">
        <v>29281.42</v>
      </c>
      <c r="J373">
        <v>0</v>
      </c>
    </row>
    <row r="374" spans="1:10" x14ac:dyDescent="0.35">
      <c r="A374">
        <v>321230</v>
      </c>
      <c r="B374" t="s">
        <v>20</v>
      </c>
      <c r="C374">
        <v>2015</v>
      </c>
      <c r="D374">
        <v>6</v>
      </c>
      <c r="E374" t="s">
        <v>43</v>
      </c>
      <c r="F374" t="s">
        <v>5</v>
      </c>
      <c r="G374" t="s">
        <v>5</v>
      </c>
      <c r="H374">
        <v>66821.740000000005</v>
      </c>
      <c r="I374">
        <v>48987.73</v>
      </c>
      <c r="J374">
        <v>0</v>
      </c>
    </row>
    <row r="375" spans="1:10" x14ac:dyDescent="0.35">
      <c r="A375">
        <v>321235</v>
      </c>
      <c r="B375" t="s">
        <v>20</v>
      </c>
      <c r="C375">
        <v>2015</v>
      </c>
      <c r="D375">
        <v>6</v>
      </c>
      <c r="E375" t="s">
        <v>43</v>
      </c>
      <c r="F375" t="s">
        <v>5</v>
      </c>
      <c r="G375" t="s">
        <v>5</v>
      </c>
      <c r="H375">
        <v>5072.72</v>
      </c>
      <c r="I375">
        <v>6253.62</v>
      </c>
      <c r="J375">
        <v>1</v>
      </c>
    </row>
    <row r="376" spans="1:10" x14ac:dyDescent="0.35">
      <c r="A376">
        <v>321236</v>
      </c>
      <c r="B376" t="s">
        <v>20</v>
      </c>
      <c r="C376">
        <v>2015</v>
      </c>
      <c r="D376">
        <v>9</v>
      </c>
      <c r="E376" t="s">
        <v>42</v>
      </c>
      <c r="F376" t="s">
        <v>5</v>
      </c>
      <c r="G376" t="s">
        <v>5</v>
      </c>
      <c r="H376">
        <v>77426.399999999994</v>
      </c>
      <c r="I376">
        <v>55713.23</v>
      </c>
      <c r="J376">
        <v>0</v>
      </c>
    </row>
    <row r="377" spans="1:10" x14ac:dyDescent="0.35">
      <c r="A377">
        <v>321240</v>
      </c>
      <c r="B377" t="s">
        <v>20</v>
      </c>
      <c r="C377">
        <v>2015</v>
      </c>
      <c r="D377">
        <v>9</v>
      </c>
      <c r="E377" t="s">
        <v>42</v>
      </c>
      <c r="F377" t="s">
        <v>5</v>
      </c>
      <c r="G377" t="s">
        <v>5</v>
      </c>
      <c r="H377">
        <v>62946.22</v>
      </c>
      <c r="I377">
        <v>46238.11</v>
      </c>
      <c r="J377">
        <v>0</v>
      </c>
    </row>
    <row r="378" spans="1:10" x14ac:dyDescent="0.35">
      <c r="A378">
        <v>321251</v>
      </c>
      <c r="B378" t="s">
        <v>20</v>
      </c>
      <c r="C378">
        <v>2015</v>
      </c>
      <c r="D378">
        <v>6</v>
      </c>
      <c r="E378" t="s">
        <v>43</v>
      </c>
      <c r="F378" t="s">
        <v>5</v>
      </c>
      <c r="G378" t="s">
        <v>5</v>
      </c>
      <c r="H378">
        <v>70452.88</v>
      </c>
      <c r="I378">
        <v>55775.75</v>
      </c>
      <c r="J378">
        <v>0</v>
      </c>
    </row>
    <row r="379" spans="1:10" x14ac:dyDescent="0.35">
      <c r="A379">
        <v>321252</v>
      </c>
      <c r="B379" t="s">
        <v>20</v>
      </c>
      <c r="C379">
        <v>2015</v>
      </c>
      <c r="D379">
        <v>6</v>
      </c>
      <c r="E379" t="s">
        <v>43</v>
      </c>
      <c r="F379" t="s">
        <v>5</v>
      </c>
      <c r="G379" t="s">
        <v>5</v>
      </c>
      <c r="H379">
        <v>66395.44</v>
      </c>
      <c r="I379">
        <v>47260.59</v>
      </c>
      <c r="J379">
        <v>0</v>
      </c>
    </row>
    <row r="380" spans="1:10" x14ac:dyDescent="0.35">
      <c r="A380">
        <v>321255</v>
      </c>
      <c r="B380" t="s">
        <v>20</v>
      </c>
      <c r="C380">
        <v>2015</v>
      </c>
      <c r="D380">
        <v>6</v>
      </c>
      <c r="E380" t="s">
        <v>43</v>
      </c>
      <c r="F380" t="s">
        <v>5</v>
      </c>
      <c r="G380" t="s">
        <v>5</v>
      </c>
      <c r="H380">
        <v>73560.100000000006</v>
      </c>
      <c r="I380">
        <v>55521.96</v>
      </c>
      <c r="J380">
        <v>0</v>
      </c>
    </row>
    <row r="381" spans="1:10" x14ac:dyDescent="0.35">
      <c r="A381">
        <v>321258</v>
      </c>
      <c r="B381" t="s">
        <v>20</v>
      </c>
      <c r="C381">
        <v>2015</v>
      </c>
      <c r="D381">
        <v>6</v>
      </c>
      <c r="E381" t="s">
        <v>43</v>
      </c>
      <c r="F381" t="s">
        <v>5</v>
      </c>
      <c r="G381" t="s">
        <v>5</v>
      </c>
      <c r="H381">
        <v>17557.939999999999</v>
      </c>
      <c r="I381">
        <v>4150.38</v>
      </c>
      <c r="J381">
        <v>0</v>
      </c>
    </row>
    <row r="382" spans="1:10" x14ac:dyDescent="0.35">
      <c r="A382">
        <v>321266</v>
      </c>
      <c r="B382" t="s">
        <v>20</v>
      </c>
      <c r="C382">
        <v>2015</v>
      </c>
      <c r="D382">
        <v>6</v>
      </c>
      <c r="E382" t="s">
        <v>43</v>
      </c>
      <c r="F382" t="s">
        <v>5</v>
      </c>
      <c r="G382" t="s">
        <v>5</v>
      </c>
      <c r="H382">
        <v>78498.14</v>
      </c>
      <c r="I382">
        <v>61768.68</v>
      </c>
      <c r="J382">
        <v>0</v>
      </c>
    </row>
    <row r="383" spans="1:10" x14ac:dyDescent="0.35">
      <c r="A383">
        <v>321271</v>
      </c>
      <c r="B383" t="s">
        <v>20</v>
      </c>
      <c r="C383">
        <v>2015</v>
      </c>
      <c r="D383">
        <v>6</v>
      </c>
      <c r="E383" t="s">
        <v>43</v>
      </c>
      <c r="F383" t="s">
        <v>5</v>
      </c>
      <c r="G383" t="s">
        <v>5</v>
      </c>
      <c r="H383">
        <v>34713.74</v>
      </c>
      <c r="I383">
        <v>9864.11</v>
      </c>
      <c r="J383">
        <v>0</v>
      </c>
    </row>
    <row r="384" spans="1:10" x14ac:dyDescent="0.35">
      <c r="A384">
        <v>321273</v>
      </c>
      <c r="B384" t="s">
        <v>20</v>
      </c>
      <c r="C384">
        <v>2015</v>
      </c>
      <c r="D384">
        <v>6</v>
      </c>
      <c r="E384" t="s">
        <v>43</v>
      </c>
      <c r="F384" t="s">
        <v>5</v>
      </c>
      <c r="G384" t="s">
        <v>5</v>
      </c>
      <c r="H384">
        <v>64949.94</v>
      </c>
      <c r="I384">
        <v>46542.89</v>
      </c>
      <c r="J384">
        <v>0</v>
      </c>
    </row>
    <row r="385" spans="1:10" x14ac:dyDescent="0.35">
      <c r="A385">
        <v>321276</v>
      </c>
      <c r="B385" t="s">
        <v>20</v>
      </c>
      <c r="C385">
        <v>2015</v>
      </c>
      <c r="D385">
        <v>9</v>
      </c>
      <c r="E385" t="s">
        <v>42</v>
      </c>
      <c r="F385" t="s">
        <v>5</v>
      </c>
      <c r="G385" t="s">
        <v>5</v>
      </c>
      <c r="H385">
        <v>60869.5</v>
      </c>
      <c r="I385">
        <v>47087.81</v>
      </c>
      <c r="J385">
        <v>0</v>
      </c>
    </row>
    <row r="386" spans="1:10" x14ac:dyDescent="0.35">
      <c r="A386">
        <v>321305</v>
      </c>
      <c r="B386" t="s">
        <v>20</v>
      </c>
      <c r="C386">
        <v>2015</v>
      </c>
      <c r="D386">
        <v>6</v>
      </c>
      <c r="E386" t="s">
        <v>43</v>
      </c>
      <c r="F386" t="s">
        <v>5</v>
      </c>
      <c r="G386" t="s">
        <v>5</v>
      </c>
      <c r="H386">
        <v>5177.92</v>
      </c>
      <c r="I386">
        <v>6283.27</v>
      </c>
      <c r="J386">
        <v>1</v>
      </c>
    </row>
    <row r="387" spans="1:10" x14ac:dyDescent="0.35">
      <c r="A387">
        <v>321316</v>
      </c>
      <c r="B387" t="s">
        <v>20</v>
      </c>
      <c r="C387">
        <v>2015</v>
      </c>
      <c r="D387">
        <v>9</v>
      </c>
      <c r="E387" t="s">
        <v>42</v>
      </c>
      <c r="F387" t="s">
        <v>5</v>
      </c>
      <c r="G387" t="s">
        <v>5</v>
      </c>
      <c r="H387">
        <v>76473.02</v>
      </c>
      <c r="I387">
        <v>58679.21</v>
      </c>
      <c r="J387">
        <v>0</v>
      </c>
    </row>
    <row r="388" spans="1:10" x14ac:dyDescent="0.35">
      <c r="A388">
        <v>321336</v>
      </c>
      <c r="B388" t="s">
        <v>20</v>
      </c>
      <c r="C388">
        <v>2015</v>
      </c>
      <c r="D388">
        <v>6</v>
      </c>
      <c r="E388" t="s">
        <v>43</v>
      </c>
      <c r="F388" t="s">
        <v>5</v>
      </c>
      <c r="G388" t="s">
        <v>5</v>
      </c>
      <c r="H388">
        <v>38192.83</v>
      </c>
      <c r="I388">
        <v>26247.53</v>
      </c>
      <c r="J388">
        <v>0</v>
      </c>
    </row>
    <row r="389" spans="1:10" x14ac:dyDescent="0.35">
      <c r="A389">
        <v>321337</v>
      </c>
      <c r="B389" t="s">
        <v>20</v>
      </c>
      <c r="C389">
        <v>2015</v>
      </c>
      <c r="D389">
        <v>6</v>
      </c>
      <c r="E389" t="s">
        <v>43</v>
      </c>
      <c r="F389" t="s">
        <v>5</v>
      </c>
      <c r="G389" t="s">
        <v>5</v>
      </c>
      <c r="H389">
        <v>151646.46</v>
      </c>
      <c r="I389">
        <v>104315.23</v>
      </c>
      <c r="J389">
        <v>0</v>
      </c>
    </row>
    <row r="390" spans="1:10" x14ac:dyDescent="0.35">
      <c r="A390">
        <v>321340</v>
      </c>
      <c r="B390" t="s">
        <v>20</v>
      </c>
      <c r="C390">
        <v>2015</v>
      </c>
      <c r="D390">
        <v>9</v>
      </c>
      <c r="E390" t="s">
        <v>42</v>
      </c>
      <c r="F390" t="s">
        <v>5</v>
      </c>
      <c r="G390" t="s">
        <v>5</v>
      </c>
      <c r="H390">
        <v>74419.62</v>
      </c>
      <c r="I390">
        <v>56153.42</v>
      </c>
      <c r="J390">
        <v>0</v>
      </c>
    </row>
    <row r="391" spans="1:10" x14ac:dyDescent="0.35">
      <c r="A391">
        <v>321349</v>
      </c>
      <c r="B391" t="s">
        <v>20</v>
      </c>
      <c r="C391">
        <v>2015</v>
      </c>
      <c r="D391">
        <v>9</v>
      </c>
      <c r="E391" t="s">
        <v>42</v>
      </c>
      <c r="F391" t="s">
        <v>5</v>
      </c>
      <c r="G391" t="s">
        <v>5</v>
      </c>
      <c r="H391">
        <v>68607.460000000006</v>
      </c>
      <c r="I391">
        <v>49373.97</v>
      </c>
      <c r="J391">
        <v>0</v>
      </c>
    </row>
    <row r="392" spans="1:10" x14ac:dyDescent="0.35">
      <c r="A392">
        <v>321356</v>
      </c>
      <c r="B392" t="s">
        <v>20</v>
      </c>
      <c r="C392">
        <v>2015</v>
      </c>
      <c r="D392">
        <v>6</v>
      </c>
      <c r="E392" t="s">
        <v>43</v>
      </c>
      <c r="F392" t="s">
        <v>5</v>
      </c>
      <c r="G392" t="s">
        <v>5</v>
      </c>
      <c r="H392">
        <v>38076.21</v>
      </c>
      <c r="I392">
        <v>28534.92</v>
      </c>
      <c r="J392">
        <v>0</v>
      </c>
    </row>
    <row r="393" spans="1:10" x14ac:dyDescent="0.35">
      <c r="A393">
        <v>321363</v>
      </c>
      <c r="B393" t="s">
        <v>20</v>
      </c>
      <c r="C393">
        <v>2015</v>
      </c>
      <c r="D393">
        <v>9</v>
      </c>
      <c r="E393" t="s">
        <v>42</v>
      </c>
      <c r="F393" t="s">
        <v>5</v>
      </c>
      <c r="G393" t="s">
        <v>5</v>
      </c>
      <c r="H393">
        <v>43703.54</v>
      </c>
      <c r="I393">
        <v>25315.84</v>
      </c>
      <c r="J393">
        <v>0</v>
      </c>
    </row>
    <row r="394" spans="1:10" x14ac:dyDescent="0.35">
      <c r="A394">
        <v>321367</v>
      </c>
      <c r="B394" t="s">
        <v>20</v>
      </c>
      <c r="C394">
        <v>2015</v>
      </c>
      <c r="D394">
        <v>9</v>
      </c>
      <c r="E394" t="s">
        <v>42</v>
      </c>
      <c r="F394" t="s">
        <v>5</v>
      </c>
      <c r="G394" t="s">
        <v>5</v>
      </c>
      <c r="H394">
        <v>77821.789999999994</v>
      </c>
      <c r="I394">
        <v>59602.03</v>
      </c>
      <c r="J394">
        <v>0</v>
      </c>
    </row>
    <row r="395" spans="1:10" x14ac:dyDescent="0.35">
      <c r="A395">
        <v>321371</v>
      </c>
      <c r="B395" t="s">
        <v>20</v>
      </c>
      <c r="C395">
        <v>2015</v>
      </c>
      <c r="D395">
        <v>9</v>
      </c>
      <c r="E395" t="s">
        <v>42</v>
      </c>
      <c r="F395" t="s">
        <v>5</v>
      </c>
      <c r="G395" t="s">
        <v>5</v>
      </c>
      <c r="H395">
        <v>227732.92</v>
      </c>
      <c r="I395">
        <v>212637.72</v>
      </c>
      <c r="J395">
        <v>0</v>
      </c>
    </row>
    <row r="396" spans="1:10" x14ac:dyDescent="0.35">
      <c r="A396">
        <v>321380</v>
      </c>
      <c r="B396" t="s">
        <v>20</v>
      </c>
      <c r="C396">
        <v>2015</v>
      </c>
      <c r="D396">
        <v>9</v>
      </c>
      <c r="E396" t="s">
        <v>42</v>
      </c>
      <c r="F396" t="s">
        <v>5</v>
      </c>
      <c r="G396" t="s">
        <v>5</v>
      </c>
      <c r="H396">
        <v>23461.24</v>
      </c>
      <c r="I396">
        <v>8199.16</v>
      </c>
      <c r="J396">
        <v>0</v>
      </c>
    </row>
    <row r="397" spans="1:10" x14ac:dyDescent="0.35">
      <c r="A397">
        <v>321381</v>
      </c>
      <c r="B397" t="s">
        <v>20</v>
      </c>
      <c r="C397">
        <v>2015</v>
      </c>
      <c r="D397">
        <v>6</v>
      </c>
      <c r="E397" t="s">
        <v>43</v>
      </c>
      <c r="F397" t="s">
        <v>5</v>
      </c>
      <c r="G397" t="s">
        <v>5</v>
      </c>
      <c r="H397">
        <v>23576.1</v>
      </c>
      <c r="I397">
        <v>8236.06</v>
      </c>
      <c r="J397">
        <v>0</v>
      </c>
    </row>
    <row r="398" spans="1:10" x14ac:dyDescent="0.35">
      <c r="A398">
        <v>321386</v>
      </c>
      <c r="B398" t="s">
        <v>20</v>
      </c>
      <c r="C398">
        <v>2015</v>
      </c>
      <c r="D398">
        <v>6</v>
      </c>
      <c r="E398" t="s">
        <v>43</v>
      </c>
      <c r="F398" t="s">
        <v>5</v>
      </c>
      <c r="G398" t="s">
        <v>5</v>
      </c>
      <c r="H398">
        <v>61208.14</v>
      </c>
      <c r="I398">
        <v>46872.36</v>
      </c>
      <c r="J398">
        <v>0</v>
      </c>
    </row>
    <row r="399" spans="1:10" x14ac:dyDescent="0.35">
      <c r="A399">
        <v>321389</v>
      </c>
      <c r="B399" t="s">
        <v>20</v>
      </c>
      <c r="C399">
        <v>2015</v>
      </c>
      <c r="D399">
        <v>9</v>
      </c>
      <c r="E399" t="s">
        <v>42</v>
      </c>
      <c r="F399" t="s">
        <v>5</v>
      </c>
      <c r="G399" t="s">
        <v>5</v>
      </c>
      <c r="H399">
        <v>67208.44</v>
      </c>
      <c r="I399">
        <v>49119.63</v>
      </c>
      <c r="J399">
        <v>0</v>
      </c>
    </row>
    <row r="400" spans="1:10" x14ac:dyDescent="0.35">
      <c r="A400">
        <v>321391</v>
      </c>
      <c r="B400" t="s">
        <v>20</v>
      </c>
      <c r="C400">
        <v>2015</v>
      </c>
      <c r="D400">
        <v>6</v>
      </c>
      <c r="E400" t="s">
        <v>43</v>
      </c>
      <c r="F400" t="s">
        <v>5</v>
      </c>
      <c r="G400" t="s">
        <v>5</v>
      </c>
      <c r="H400">
        <v>109759.62</v>
      </c>
      <c r="I400">
        <v>89919.64</v>
      </c>
      <c r="J400">
        <v>0</v>
      </c>
    </row>
    <row r="401" spans="1:10" x14ac:dyDescent="0.35">
      <c r="A401">
        <v>321397</v>
      </c>
      <c r="B401" t="s">
        <v>20</v>
      </c>
      <c r="C401">
        <v>2015</v>
      </c>
      <c r="D401">
        <v>6</v>
      </c>
      <c r="E401" t="s">
        <v>43</v>
      </c>
      <c r="F401" t="s">
        <v>5</v>
      </c>
      <c r="G401" t="s">
        <v>5</v>
      </c>
      <c r="H401">
        <v>20942.96</v>
      </c>
      <c r="I401">
        <v>5846.32</v>
      </c>
      <c r="J401">
        <v>0</v>
      </c>
    </row>
    <row r="402" spans="1:10" x14ac:dyDescent="0.35">
      <c r="A402">
        <v>321398</v>
      </c>
      <c r="B402" t="s">
        <v>20</v>
      </c>
      <c r="C402">
        <v>2015</v>
      </c>
      <c r="D402">
        <v>9</v>
      </c>
      <c r="E402" t="s">
        <v>42</v>
      </c>
      <c r="F402" t="s">
        <v>5</v>
      </c>
      <c r="G402" t="s">
        <v>5</v>
      </c>
      <c r="H402">
        <v>88352.84</v>
      </c>
      <c r="I402">
        <v>74509.08</v>
      </c>
      <c r="J402">
        <v>0</v>
      </c>
    </row>
    <row r="403" spans="1:10" x14ac:dyDescent="0.35">
      <c r="A403">
        <v>321407</v>
      </c>
      <c r="B403" t="s">
        <v>20</v>
      </c>
      <c r="C403">
        <v>2015</v>
      </c>
      <c r="D403">
        <v>6</v>
      </c>
      <c r="E403" t="s">
        <v>43</v>
      </c>
      <c r="F403" t="s">
        <v>5</v>
      </c>
      <c r="G403" t="s">
        <v>5</v>
      </c>
      <c r="H403">
        <v>105206.38</v>
      </c>
      <c r="I403">
        <v>87886.45</v>
      </c>
      <c r="J403">
        <v>0</v>
      </c>
    </row>
    <row r="404" spans="1:10" x14ac:dyDescent="0.35">
      <c r="A404">
        <v>321418</v>
      </c>
      <c r="B404" t="s">
        <v>20</v>
      </c>
      <c r="C404">
        <v>2015</v>
      </c>
      <c r="D404">
        <v>9</v>
      </c>
      <c r="E404" t="s">
        <v>42</v>
      </c>
      <c r="F404" t="s">
        <v>5</v>
      </c>
      <c r="G404" t="s">
        <v>5</v>
      </c>
      <c r="H404">
        <v>64911.4</v>
      </c>
      <c r="I404">
        <v>45444.23</v>
      </c>
      <c r="J404">
        <v>0</v>
      </c>
    </row>
    <row r="405" spans="1:10" x14ac:dyDescent="0.35">
      <c r="A405">
        <v>321419</v>
      </c>
      <c r="B405" t="s">
        <v>20</v>
      </c>
      <c r="C405">
        <v>2015</v>
      </c>
      <c r="D405">
        <v>9</v>
      </c>
      <c r="E405" t="s">
        <v>42</v>
      </c>
      <c r="F405" t="s">
        <v>5</v>
      </c>
      <c r="G405" t="s">
        <v>5</v>
      </c>
      <c r="H405">
        <v>34822.99</v>
      </c>
      <c r="I405">
        <v>20676.37</v>
      </c>
      <c r="J405">
        <v>0</v>
      </c>
    </row>
    <row r="406" spans="1:10" x14ac:dyDescent="0.35">
      <c r="A406">
        <v>321433</v>
      </c>
      <c r="B406" t="s">
        <v>20</v>
      </c>
      <c r="C406">
        <v>2015</v>
      </c>
      <c r="D406">
        <v>6</v>
      </c>
      <c r="E406" t="s">
        <v>43</v>
      </c>
      <c r="F406" t="s">
        <v>5</v>
      </c>
      <c r="G406" t="s">
        <v>5</v>
      </c>
      <c r="H406">
        <v>53866.6</v>
      </c>
      <c r="I406">
        <v>20204.939999999999</v>
      </c>
      <c r="J406">
        <v>0</v>
      </c>
    </row>
    <row r="407" spans="1:10" x14ac:dyDescent="0.35">
      <c r="A407">
        <v>321435</v>
      </c>
      <c r="B407" t="s">
        <v>20</v>
      </c>
      <c r="C407">
        <v>2015</v>
      </c>
      <c r="D407">
        <v>6</v>
      </c>
      <c r="E407" t="s">
        <v>43</v>
      </c>
      <c r="F407" t="s">
        <v>5</v>
      </c>
      <c r="G407" t="s">
        <v>5</v>
      </c>
      <c r="H407">
        <v>24968.02</v>
      </c>
      <c r="I407">
        <v>4561.33</v>
      </c>
      <c r="J407">
        <v>0</v>
      </c>
    </row>
    <row r="408" spans="1:10" x14ac:dyDescent="0.35">
      <c r="A408">
        <v>321448</v>
      </c>
      <c r="B408" t="s">
        <v>20</v>
      </c>
      <c r="C408">
        <v>2015</v>
      </c>
      <c r="D408">
        <v>6</v>
      </c>
      <c r="E408" t="s">
        <v>43</v>
      </c>
      <c r="F408" t="s">
        <v>5</v>
      </c>
      <c r="G408" t="s">
        <v>5</v>
      </c>
      <c r="H408">
        <v>7443.42</v>
      </c>
      <c r="I408">
        <v>6921.72</v>
      </c>
      <c r="J408">
        <v>0</v>
      </c>
    </row>
    <row r="409" spans="1:10" x14ac:dyDescent="0.35">
      <c r="A409">
        <v>321456</v>
      </c>
      <c r="B409" t="s">
        <v>20</v>
      </c>
      <c r="C409">
        <v>2015</v>
      </c>
      <c r="D409">
        <v>6</v>
      </c>
      <c r="E409" t="s">
        <v>43</v>
      </c>
      <c r="F409" t="s">
        <v>5</v>
      </c>
      <c r="G409" t="s">
        <v>5</v>
      </c>
      <c r="H409">
        <v>70205.48</v>
      </c>
      <c r="I409">
        <v>50184.6</v>
      </c>
      <c r="J409">
        <v>0</v>
      </c>
    </row>
    <row r="410" spans="1:10" x14ac:dyDescent="0.35">
      <c r="A410">
        <v>321461</v>
      </c>
      <c r="B410" t="s">
        <v>20</v>
      </c>
      <c r="C410">
        <v>2015</v>
      </c>
      <c r="D410">
        <v>6</v>
      </c>
      <c r="E410" t="s">
        <v>43</v>
      </c>
      <c r="F410" t="s">
        <v>5</v>
      </c>
      <c r="G410" t="s">
        <v>5</v>
      </c>
      <c r="H410">
        <v>44897.73</v>
      </c>
      <c r="I410">
        <v>36076.639999999999</v>
      </c>
      <c r="J410">
        <v>0</v>
      </c>
    </row>
    <row r="411" spans="1:10" x14ac:dyDescent="0.35">
      <c r="A411">
        <v>321468</v>
      </c>
      <c r="B411" t="s">
        <v>20</v>
      </c>
      <c r="C411">
        <v>2015</v>
      </c>
      <c r="D411">
        <v>6</v>
      </c>
      <c r="E411" t="s">
        <v>43</v>
      </c>
      <c r="F411" t="s">
        <v>5</v>
      </c>
      <c r="G411" t="s">
        <v>5</v>
      </c>
      <c r="H411">
        <v>46955.33</v>
      </c>
      <c r="I411">
        <v>35114</v>
      </c>
      <c r="J411">
        <v>0</v>
      </c>
    </row>
    <row r="412" spans="1:10" x14ac:dyDescent="0.35">
      <c r="A412">
        <v>321469</v>
      </c>
      <c r="B412" t="s">
        <v>20</v>
      </c>
      <c r="C412">
        <v>2015</v>
      </c>
      <c r="D412">
        <v>6</v>
      </c>
      <c r="E412" t="s">
        <v>43</v>
      </c>
      <c r="F412" t="s">
        <v>5</v>
      </c>
      <c r="G412" t="s">
        <v>5</v>
      </c>
      <c r="H412">
        <v>7443.42</v>
      </c>
      <c r="I412">
        <v>6921.72</v>
      </c>
      <c r="J412">
        <v>0</v>
      </c>
    </row>
    <row r="413" spans="1:10" x14ac:dyDescent="0.35">
      <c r="A413">
        <v>321470</v>
      </c>
      <c r="B413" t="s">
        <v>20</v>
      </c>
      <c r="C413">
        <v>2015</v>
      </c>
      <c r="D413">
        <v>9</v>
      </c>
      <c r="E413" t="s">
        <v>42</v>
      </c>
      <c r="F413" t="s">
        <v>5</v>
      </c>
      <c r="G413" t="s">
        <v>5</v>
      </c>
      <c r="H413">
        <v>68976.52</v>
      </c>
      <c r="I413">
        <v>51874.13</v>
      </c>
      <c r="J413">
        <v>0</v>
      </c>
    </row>
    <row r="414" spans="1:10" x14ac:dyDescent="0.35">
      <c r="A414">
        <v>321476</v>
      </c>
      <c r="B414" t="s">
        <v>20</v>
      </c>
      <c r="C414">
        <v>2015</v>
      </c>
      <c r="D414">
        <v>9</v>
      </c>
      <c r="E414" t="s">
        <v>42</v>
      </c>
      <c r="F414" t="s">
        <v>5</v>
      </c>
      <c r="G414" t="s">
        <v>5</v>
      </c>
      <c r="H414">
        <v>136125.51999999999</v>
      </c>
      <c r="I414">
        <v>90800.02</v>
      </c>
      <c r="J414">
        <v>0</v>
      </c>
    </row>
    <row r="415" spans="1:10" x14ac:dyDescent="0.35">
      <c r="A415">
        <v>321477</v>
      </c>
      <c r="B415" t="s">
        <v>20</v>
      </c>
      <c r="C415">
        <v>2015</v>
      </c>
      <c r="D415">
        <v>6</v>
      </c>
      <c r="E415" t="s">
        <v>43</v>
      </c>
      <c r="F415" t="s">
        <v>5</v>
      </c>
      <c r="G415" t="s">
        <v>5</v>
      </c>
      <c r="H415">
        <v>78074.98</v>
      </c>
      <c r="I415">
        <v>56034.38</v>
      </c>
      <c r="J415">
        <v>0</v>
      </c>
    </row>
    <row r="416" spans="1:10" x14ac:dyDescent="0.35">
      <c r="A416">
        <v>321484</v>
      </c>
      <c r="B416" t="s">
        <v>20</v>
      </c>
      <c r="C416">
        <v>2015</v>
      </c>
      <c r="D416">
        <v>9</v>
      </c>
      <c r="E416" t="s">
        <v>42</v>
      </c>
      <c r="F416" t="s">
        <v>5</v>
      </c>
      <c r="G416" t="s">
        <v>5</v>
      </c>
      <c r="H416">
        <v>7443.42</v>
      </c>
      <c r="I416">
        <v>6921.72</v>
      </c>
      <c r="J416">
        <v>0</v>
      </c>
    </row>
    <row r="417" spans="1:10" x14ac:dyDescent="0.35">
      <c r="A417">
        <v>321497</v>
      </c>
      <c r="B417" t="s">
        <v>20</v>
      </c>
      <c r="C417">
        <v>2015</v>
      </c>
      <c r="D417">
        <v>9</v>
      </c>
      <c r="E417" t="s">
        <v>42</v>
      </c>
      <c r="F417" t="s">
        <v>5</v>
      </c>
      <c r="G417" t="s">
        <v>5</v>
      </c>
      <c r="H417">
        <v>4923.42</v>
      </c>
      <c r="I417">
        <v>6220.02</v>
      </c>
      <c r="J417">
        <v>1</v>
      </c>
    </row>
    <row r="418" spans="1:10" x14ac:dyDescent="0.35">
      <c r="A418">
        <v>321511</v>
      </c>
      <c r="B418" t="s">
        <v>20</v>
      </c>
      <c r="C418">
        <v>2015</v>
      </c>
      <c r="D418">
        <v>6</v>
      </c>
      <c r="E418" t="s">
        <v>43</v>
      </c>
      <c r="F418" t="s">
        <v>5</v>
      </c>
      <c r="G418" t="s">
        <v>5</v>
      </c>
      <c r="H418">
        <v>37633.69</v>
      </c>
      <c r="I418">
        <v>25791.200000000001</v>
      </c>
      <c r="J418">
        <v>0</v>
      </c>
    </row>
    <row r="419" spans="1:10" x14ac:dyDescent="0.35">
      <c r="A419">
        <v>321515</v>
      </c>
      <c r="B419" t="s">
        <v>20</v>
      </c>
      <c r="C419">
        <v>2015</v>
      </c>
      <c r="D419">
        <v>6</v>
      </c>
      <c r="E419" t="s">
        <v>43</v>
      </c>
      <c r="F419" t="s">
        <v>5</v>
      </c>
      <c r="G419" t="s">
        <v>5</v>
      </c>
      <c r="H419">
        <v>20898.78</v>
      </c>
      <c r="I419">
        <v>12059.31</v>
      </c>
      <c r="J419">
        <v>0</v>
      </c>
    </row>
    <row r="420" spans="1:10" x14ac:dyDescent="0.35">
      <c r="A420">
        <v>321517</v>
      </c>
      <c r="B420" t="s">
        <v>20</v>
      </c>
      <c r="C420">
        <v>2015</v>
      </c>
      <c r="D420">
        <v>6</v>
      </c>
      <c r="E420" t="s">
        <v>43</v>
      </c>
      <c r="F420" t="s">
        <v>5</v>
      </c>
      <c r="G420" t="s">
        <v>5</v>
      </c>
      <c r="H420">
        <v>85364.91</v>
      </c>
      <c r="I420">
        <v>64634.68</v>
      </c>
      <c r="J420">
        <v>0</v>
      </c>
    </row>
    <row r="421" spans="1:10" x14ac:dyDescent="0.35">
      <c r="A421">
        <v>321519</v>
      </c>
      <c r="B421" t="s">
        <v>20</v>
      </c>
      <c r="C421">
        <v>2015</v>
      </c>
      <c r="D421">
        <v>9</v>
      </c>
      <c r="E421" t="s">
        <v>42</v>
      </c>
      <c r="F421" t="s">
        <v>5</v>
      </c>
      <c r="G421" t="s">
        <v>5</v>
      </c>
      <c r="H421">
        <v>116803.98</v>
      </c>
      <c r="I421">
        <v>46277.95</v>
      </c>
      <c r="J421">
        <v>0</v>
      </c>
    </row>
    <row r="422" spans="1:10" x14ac:dyDescent="0.35">
      <c r="A422">
        <v>321524</v>
      </c>
      <c r="B422" t="s">
        <v>20</v>
      </c>
      <c r="C422">
        <v>2015</v>
      </c>
      <c r="D422">
        <v>6</v>
      </c>
      <c r="E422" t="s">
        <v>43</v>
      </c>
      <c r="F422" t="s">
        <v>5</v>
      </c>
      <c r="G422" t="s">
        <v>5</v>
      </c>
      <c r="H422">
        <v>73602.320000000007</v>
      </c>
      <c r="I422">
        <v>55665.58</v>
      </c>
      <c r="J422">
        <v>0</v>
      </c>
    </row>
    <row r="423" spans="1:10" x14ac:dyDescent="0.35">
      <c r="A423">
        <v>321525</v>
      </c>
      <c r="B423" t="s">
        <v>20</v>
      </c>
      <c r="C423">
        <v>2015</v>
      </c>
      <c r="D423">
        <v>6</v>
      </c>
      <c r="E423" t="s">
        <v>43</v>
      </c>
      <c r="F423" t="s">
        <v>5</v>
      </c>
      <c r="G423" t="s">
        <v>5</v>
      </c>
      <c r="H423">
        <v>68145.42</v>
      </c>
      <c r="I423">
        <v>53983.51</v>
      </c>
      <c r="J423">
        <v>0</v>
      </c>
    </row>
    <row r="424" spans="1:10" x14ac:dyDescent="0.35">
      <c r="A424">
        <v>321530</v>
      </c>
      <c r="B424" t="s">
        <v>20</v>
      </c>
      <c r="C424">
        <v>2015</v>
      </c>
      <c r="D424">
        <v>6</v>
      </c>
      <c r="E424" t="s">
        <v>43</v>
      </c>
      <c r="F424" t="s">
        <v>5</v>
      </c>
      <c r="G424" t="s">
        <v>5</v>
      </c>
      <c r="H424">
        <v>35277.81</v>
      </c>
      <c r="I424">
        <v>24480.97</v>
      </c>
      <c r="J424">
        <v>0</v>
      </c>
    </row>
    <row r="425" spans="1:10" x14ac:dyDescent="0.35">
      <c r="A425">
        <v>321534</v>
      </c>
      <c r="B425" t="s">
        <v>20</v>
      </c>
      <c r="C425">
        <v>2015</v>
      </c>
      <c r="D425">
        <v>6</v>
      </c>
      <c r="E425" t="s">
        <v>43</v>
      </c>
      <c r="F425" t="s">
        <v>5</v>
      </c>
      <c r="G425" t="s">
        <v>5</v>
      </c>
      <c r="H425">
        <v>75298.86</v>
      </c>
      <c r="I425">
        <v>26410.15</v>
      </c>
      <c r="J425">
        <v>0</v>
      </c>
    </row>
    <row r="426" spans="1:10" x14ac:dyDescent="0.35">
      <c r="A426">
        <v>321538</v>
      </c>
      <c r="B426" t="s">
        <v>20</v>
      </c>
      <c r="C426">
        <v>2015</v>
      </c>
      <c r="D426">
        <v>9</v>
      </c>
      <c r="E426" t="s">
        <v>42</v>
      </c>
      <c r="F426" t="s">
        <v>5</v>
      </c>
      <c r="G426" t="s">
        <v>5</v>
      </c>
      <c r="H426">
        <v>70191.14</v>
      </c>
      <c r="I426">
        <v>52359.31</v>
      </c>
      <c r="J426">
        <v>0</v>
      </c>
    </row>
    <row r="427" spans="1:10" x14ac:dyDescent="0.35">
      <c r="A427">
        <v>321539</v>
      </c>
      <c r="B427" t="s">
        <v>20</v>
      </c>
      <c r="C427">
        <v>2015</v>
      </c>
      <c r="D427">
        <v>9</v>
      </c>
      <c r="E427" t="s">
        <v>42</v>
      </c>
      <c r="F427" t="s">
        <v>5</v>
      </c>
      <c r="G427" t="s">
        <v>5</v>
      </c>
      <c r="H427">
        <v>14337.14</v>
      </c>
      <c r="I427">
        <v>4258.4799999999996</v>
      </c>
      <c r="J427">
        <v>0</v>
      </c>
    </row>
    <row r="428" spans="1:10" x14ac:dyDescent="0.35">
      <c r="A428">
        <v>321541</v>
      </c>
      <c r="B428" t="s">
        <v>20</v>
      </c>
      <c r="C428">
        <v>2015</v>
      </c>
      <c r="D428">
        <v>9</v>
      </c>
      <c r="E428" t="s">
        <v>42</v>
      </c>
      <c r="F428" t="s">
        <v>5</v>
      </c>
      <c r="G428" t="s">
        <v>5</v>
      </c>
      <c r="H428">
        <v>24207.599999999999</v>
      </c>
      <c r="I428">
        <v>12060.82</v>
      </c>
      <c r="J428">
        <v>0</v>
      </c>
    </row>
    <row r="429" spans="1:10" x14ac:dyDescent="0.35">
      <c r="A429">
        <v>321542</v>
      </c>
      <c r="B429" t="s">
        <v>20</v>
      </c>
      <c r="C429">
        <v>2015</v>
      </c>
      <c r="D429">
        <v>6</v>
      </c>
      <c r="E429" t="s">
        <v>43</v>
      </c>
      <c r="F429" t="s">
        <v>5</v>
      </c>
      <c r="G429" t="s">
        <v>5</v>
      </c>
      <c r="H429">
        <v>67977.539999999994</v>
      </c>
      <c r="I429">
        <v>53714.23</v>
      </c>
      <c r="J429">
        <v>0</v>
      </c>
    </row>
    <row r="430" spans="1:10" x14ac:dyDescent="0.35">
      <c r="A430">
        <v>321555</v>
      </c>
      <c r="B430" t="s">
        <v>20</v>
      </c>
      <c r="C430">
        <v>2015</v>
      </c>
      <c r="D430">
        <v>6</v>
      </c>
      <c r="E430" t="s">
        <v>43</v>
      </c>
      <c r="F430" t="s">
        <v>5</v>
      </c>
      <c r="G430" t="s">
        <v>5</v>
      </c>
      <c r="H430">
        <v>37290.01</v>
      </c>
      <c r="I430">
        <v>25822.13</v>
      </c>
      <c r="J430">
        <v>0</v>
      </c>
    </row>
    <row r="431" spans="1:10" x14ac:dyDescent="0.35">
      <c r="A431">
        <v>321556</v>
      </c>
      <c r="B431" t="s">
        <v>20</v>
      </c>
      <c r="C431">
        <v>2015</v>
      </c>
      <c r="D431">
        <v>9</v>
      </c>
      <c r="E431" t="s">
        <v>42</v>
      </c>
      <c r="F431" t="s">
        <v>5</v>
      </c>
      <c r="G431" t="s">
        <v>5</v>
      </c>
      <c r="H431">
        <v>12895.06</v>
      </c>
      <c r="I431">
        <v>2620.2399999999998</v>
      </c>
      <c r="J431">
        <v>0</v>
      </c>
    </row>
    <row r="432" spans="1:10" x14ac:dyDescent="0.35">
      <c r="A432">
        <v>321558</v>
      </c>
      <c r="B432" t="s">
        <v>20</v>
      </c>
      <c r="C432">
        <v>2015</v>
      </c>
      <c r="D432">
        <v>6</v>
      </c>
      <c r="E432" t="s">
        <v>43</v>
      </c>
      <c r="F432" t="s">
        <v>5</v>
      </c>
      <c r="G432" t="s">
        <v>5</v>
      </c>
      <c r="H432">
        <v>47115.59</v>
      </c>
      <c r="I432">
        <v>36865.519999999997</v>
      </c>
      <c r="J432">
        <v>0</v>
      </c>
    </row>
    <row r="433" spans="1:10" x14ac:dyDescent="0.35">
      <c r="A433">
        <v>321559</v>
      </c>
      <c r="B433" t="s">
        <v>20</v>
      </c>
      <c r="C433">
        <v>2015</v>
      </c>
      <c r="D433">
        <v>6</v>
      </c>
      <c r="E433" t="s">
        <v>43</v>
      </c>
      <c r="F433" t="s">
        <v>5</v>
      </c>
      <c r="G433" t="s">
        <v>5</v>
      </c>
      <c r="H433">
        <v>15917.92</v>
      </c>
      <c r="I433">
        <v>4175.99</v>
      </c>
      <c r="J433">
        <v>0</v>
      </c>
    </row>
    <row r="434" spans="1:10" x14ac:dyDescent="0.35">
      <c r="A434">
        <v>321561</v>
      </c>
      <c r="B434" t="s">
        <v>20</v>
      </c>
      <c r="C434">
        <v>2015</v>
      </c>
      <c r="D434">
        <v>6</v>
      </c>
      <c r="E434" t="s">
        <v>43</v>
      </c>
      <c r="F434" t="s">
        <v>5</v>
      </c>
      <c r="G434" t="s">
        <v>5</v>
      </c>
      <c r="H434">
        <v>4912.58</v>
      </c>
      <c r="I434">
        <v>6217.42</v>
      </c>
      <c r="J434">
        <v>1</v>
      </c>
    </row>
    <row r="435" spans="1:10" x14ac:dyDescent="0.35">
      <c r="A435">
        <v>321562</v>
      </c>
      <c r="B435" t="s">
        <v>20</v>
      </c>
      <c r="C435">
        <v>2015</v>
      </c>
      <c r="D435">
        <v>9</v>
      </c>
      <c r="E435" t="s">
        <v>42</v>
      </c>
      <c r="F435" t="s">
        <v>5</v>
      </c>
      <c r="G435" t="s">
        <v>5</v>
      </c>
      <c r="H435">
        <v>59809.14</v>
      </c>
      <c r="I435">
        <v>44323.14</v>
      </c>
      <c r="J435">
        <v>0</v>
      </c>
    </row>
    <row r="436" spans="1:10" x14ac:dyDescent="0.35">
      <c r="A436">
        <v>321566</v>
      </c>
      <c r="B436" t="s">
        <v>20</v>
      </c>
      <c r="C436">
        <v>2015</v>
      </c>
      <c r="D436">
        <v>9</v>
      </c>
      <c r="E436" t="s">
        <v>42</v>
      </c>
      <c r="F436" t="s">
        <v>5</v>
      </c>
      <c r="G436" t="s">
        <v>5</v>
      </c>
      <c r="H436">
        <v>72180.460000000006</v>
      </c>
      <c r="I436">
        <v>55127.63</v>
      </c>
      <c r="J436">
        <v>0</v>
      </c>
    </row>
    <row r="437" spans="1:10" x14ac:dyDescent="0.35">
      <c r="A437">
        <v>321582</v>
      </c>
      <c r="B437" t="s">
        <v>20</v>
      </c>
      <c r="C437">
        <v>2015</v>
      </c>
      <c r="D437">
        <v>9</v>
      </c>
      <c r="E437" t="s">
        <v>42</v>
      </c>
      <c r="F437" t="s">
        <v>5</v>
      </c>
      <c r="G437" t="s">
        <v>5</v>
      </c>
      <c r="H437">
        <v>76150.720000000001</v>
      </c>
      <c r="I437">
        <v>54296.29</v>
      </c>
      <c r="J437">
        <v>0</v>
      </c>
    </row>
    <row r="438" spans="1:10" x14ac:dyDescent="0.35">
      <c r="A438">
        <v>321583</v>
      </c>
      <c r="B438" t="s">
        <v>20</v>
      </c>
      <c r="C438">
        <v>2015</v>
      </c>
      <c r="D438">
        <v>9</v>
      </c>
      <c r="E438" t="s">
        <v>42</v>
      </c>
      <c r="F438" t="s">
        <v>5</v>
      </c>
      <c r="G438" t="s">
        <v>5</v>
      </c>
      <c r="H438">
        <v>18360.72</v>
      </c>
      <c r="I438">
        <v>7343.73</v>
      </c>
      <c r="J438">
        <v>0</v>
      </c>
    </row>
    <row r="439" spans="1:10" x14ac:dyDescent="0.35">
      <c r="A439">
        <v>321587</v>
      </c>
      <c r="B439" t="s">
        <v>20</v>
      </c>
      <c r="C439">
        <v>2015</v>
      </c>
      <c r="D439">
        <v>6</v>
      </c>
      <c r="E439" t="s">
        <v>43</v>
      </c>
      <c r="F439" t="s">
        <v>5</v>
      </c>
      <c r="G439" t="s">
        <v>5</v>
      </c>
      <c r="H439">
        <v>17253.88</v>
      </c>
      <c r="I439">
        <v>6650.45</v>
      </c>
      <c r="J439">
        <v>0</v>
      </c>
    </row>
    <row r="440" spans="1:10" x14ac:dyDescent="0.35">
      <c r="A440">
        <v>321596</v>
      </c>
      <c r="B440" t="s">
        <v>20</v>
      </c>
      <c r="C440">
        <v>2015</v>
      </c>
      <c r="D440">
        <v>9</v>
      </c>
      <c r="E440" t="s">
        <v>42</v>
      </c>
      <c r="F440" t="s">
        <v>5</v>
      </c>
      <c r="G440" t="s">
        <v>5</v>
      </c>
      <c r="H440">
        <v>33005.93</v>
      </c>
      <c r="I440">
        <v>19575.439999999999</v>
      </c>
      <c r="J440">
        <v>0</v>
      </c>
    </row>
    <row r="441" spans="1:10" x14ac:dyDescent="0.35">
      <c r="A441">
        <v>321597</v>
      </c>
      <c r="B441" t="s">
        <v>20</v>
      </c>
      <c r="C441">
        <v>2015</v>
      </c>
      <c r="D441">
        <v>6</v>
      </c>
      <c r="E441" t="s">
        <v>43</v>
      </c>
      <c r="F441" t="s">
        <v>5</v>
      </c>
      <c r="G441" t="s">
        <v>5</v>
      </c>
      <c r="H441">
        <v>30261.200000000001</v>
      </c>
      <c r="I441">
        <v>15058.05</v>
      </c>
      <c r="J441">
        <v>0</v>
      </c>
    </row>
    <row r="442" spans="1:10" x14ac:dyDescent="0.35">
      <c r="A442">
        <v>321599</v>
      </c>
      <c r="B442" t="s">
        <v>20</v>
      </c>
      <c r="C442">
        <v>2015</v>
      </c>
      <c r="D442">
        <v>9</v>
      </c>
      <c r="E442" t="s">
        <v>42</v>
      </c>
      <c r="F442" t="s">
        <v>5</v>
      </c>
      <c r="G442" t="s">
        <v>5</v>
      </c>
      <c r="H442">
        <v>17130.48</v>
      </c>
      <c r="I442">
        <v>5358.06</v>
      </c>
      <c r="J442">
        <v>0</v>
      </c>
    </row>
    <row r="443" spans="1:10" x14ac:dyDescent="0.35">
      <c r="A443">
        <v>321600</v>
      </c>
      <c r="B443" t="s">
        <v>20</v>
      </c>
      <c r="C443">
        <v>2015</v>
      </c>
      <c r="D443">
        <v>6</v>
      </c>
      <c r="E443" t="s">
        <v>43</v>
      </c>
      <c r="F443" t="s">
        <v>5</v>
      </c>
      <c r="G443" t="s">
        <v>5</v>
      </c>
      <c r="H443">
        <v>29275.9</v>
      </c>
      <c r="I443">
        <v>12626.2</v>
      </c>
      <c r="J443">
        <v>0</v>
      </c>
    </row>
    <row r="444" spans="1:10" x14ac:dyDescent="0.35">
      <c r="A444">
        <v>321609</v>
      </c>
      <c r="B444" t="s">
        <v>20</v>
      </c>
      <c r="C444">
        <v>2015</v>
      </c>
      <c r="D444">
        <v>9</v>
      </c>
      <c r="E444" t="s">
        <v>42</v>
      </c>
      <c r="F444" t="s">
        <v>5</v>
      </c>
      <c r="G444" t="s">
        <v>5</v>
      </c>
      <c r="H444">
        <v>70916.740000000005</v>
      </c>
      <c r="I444">
        <v>50347.96</v>
      </c>
      <c r="J444">
        <v>0</v>
      </c>
    </row>
    <row r="445" spans="1:10" x14ac:dyDescent="0.35">
      <c r="A445">
        <v>321614</v>
      </c>
      <c r="B445" t="s">
        <v>20</v>
      </c>
      <c r="C445">
        <v>2015</v>
      </c>
      <c r="D445">
        <v>9</v>
      </c>
      <c r="E445" t="s">
        <v>42</v>
      </c>
      <c r="F445" t="s">
        <v>5</v>
      </c>
      <c r="G445" t="s">
        <v>5</v>
      </c>
      <c r="H445">
        <v>69724.83</v>
      </c>
      <c r="I445">
        <v>48171.28</v>
      </c>
      <c r="J445">
        <v>0</v>
      </c>
    </row>
    <row r="446" spans="1:10" x14ac:dyDescent="0.35">
      <c r="A446">
        <v>321616</v>
      </c>
      <c r="B446" t="s">
        <v>20</v>
      </c>
      <c r="C446">
        <v>2015</v>
      </c>
      <c r="D446">
        <v>6</v>
      </c>
      <c r="E446" t="s">
        <v>43</v>
      </c>
      <c r="F446" t="s">
        <v>5</v>
      </c>
      <c r="G446" t="s">
        <v>5</v>
      </c>
      <c r="H446">
        <v>68588.92</v>
      </c>
      <c r="I446">
        <v>44583.96</v>
      </c>
      <c r="J446">
        <v>0</v>
      </c>
    </row>
    <row r="447" spans="1:10" x14ac:dyDescent="0.35">
      <c r="A447">
        <v>321620</v>
      </c>
      <c r="B447" t="s">
        <v>20</v>
      </c>
      <c r="C447">
        <v>2015</v>
      </c>
      <c r="D447">
        <v>9</v>
      </c>
      <c r="E447" t="s">
        <v>42</v>
      </c>
      <c r="F447" t="s">
        <v>5</v>
      </c>
      <c r="G447" t="s">
        <v>5</v>
      </c>
      <c r="H447">
        <v>24702.14</v>
      </c>
      <c r="I447">
        <v>8546.17</v>
      </c>
      <c r="J447">
        <v>0</v>
      </c>
    </row>
    <row r="448" spans="1:10" x14ac:dyDescent="0.35">
      <c r="A448">
        <v>321625</v>
      </c>
      <c r="B448" t="s">
        <v>20</v>
      </c>
      <c r="C448">
        <v>2015</v>
      </c>
      <c r="D448">
        <v>6</v>
      </c>
      <c r="E448" t="s">
        <v>43</v>
      </c>
      <c r="F448" t="s">
        <v>5</v>
      </c>
      <c r="G448" t="s">
        <v>5</v>
      </c>
      <c r="H448">
        <v>31425.62</v>
      </c>
      <c r="I448">
        <v>12876.6</v>
      </c>
      <c r="J448">
        <v>0</v>
      </c>
    </row>
    <row r="449" spans="1:10" x14ac:dyDescent="0.35">
      <c r="A449">
        <v>321627</v>
      </c>
      <c r="B449" t="s">
        <v>20</v>
      </c>
      <c r="C449">
        <v>2015</v>
      </c>
      <c r="D449">
        <v>6</v>
      </c>
      <c r="E449" t="s">
        <v>43</v>
      </c>
      <c r="F449" t="s">
        <v>5</v>
      </c>
      <c r="G449" t="s">
        <v>5</v>
      </c>
      <c r="H449">
        <v>23773.119999999999</v>
      </c>
      <c r="I449">
        <v>7044.54</v>
      </c>
      <c r="J449">
        <v>0</v>
      </c>
    </row>
    <row r="450" spans="1:10" x14ac:dyDescent="0.35">
      <c r="A450">
        <v>321634</v>
      </c>
      <c r="B450" t="s">
        <v>20</v>
      </c>
      <c r="C450">
        <v>2015</v>
      </c>
      <c r="D450">
        <v>6</v>
      </c>
      <c r="E450" t="s">
        <v>43</v>
      </c>
      <c r="F450" t="s">
        <v>5</v>
      </c>
      <c r="G450" t="s">
        <v>5</v>
      </c>
      <c r="H450">
        <v>61404.36</v>
      </c>
      <c r="I450">
        <v>44412.99</v>
      </c>
      <c r="J450">
        <v>0</v>
      </c>
    </row>
    <row r="451" spans="1:10" x14ac:dyDescent="0.35">
      <c r="A451">
        <v>321639</v>
      </c>
      <c r="B451" t="s">
        <v>20</v>
      </c>
      <c r="C451">
        <v>2015</v>
      </c>
      <c r="D451">
        <v>6</v>
      </c>
      <c r="E451" t="s">
        <v>43</v>
      </c>
      <c r="F451" t="s">
        <v>5</v>
      </c>
      <c r="G451" t="s">
        <v>5</v>
      </c>
      <c r="H451">
        <v>60866.26</v>
      </c>
      <c r="I451">
        <v>42288.57</v>
      </c>
      <c r="J451">
        <v>0</v>
      </c>
    </row>
    <row r="452" spans="1:10" x14ac:dyDescent="0.35">
      <c r="A452">
        <v>321641</v>
      </c>
      <c r="B452" t="s">
        <v>20</v>
      </c>
      <c r="C452">
        <v>2015</v>
      </c>
      <c r="D452">
        <v>9</v>
      </c>
      <c r="E452" t="s">
        <v>42</v>
      </c>
      <c r="F452" t="s">
        <v>5</v>
      </c>
      <c r="G452" t="s">
        <v>5</v>
      </c>
      <c r="H452">
        <v>77806.92</v>
      </c>
      <c r="I452">
        <v>58281.23</v>
      </c>
      <c r="J452">
        <v>0</v>
      </c>
    </row>
    <row r="453" spans="1:10" x14ac:dyDescent="0.35">
      <c r="A453">
        <v>321647</v>
      </c>
      <c r="B453" t="s">
        <v>20</v>
      </c>
      <c r="C453">
        <v>2015</v>
      </c>
      <c r="D453">
        <v>9</v>
      </c>
      <c r="E453" t="s">
        <v>42</v>
      </c>
      <c r="F453" t="s">
        <v>5</v>
      </c>
      <c r="G453" t="s">
        <v>5</v>
      </c>
      <c r="H453">
        <v>129924.42</v>
      </c>
      <c r="I453">
        <v>109869.66</v>
      </c>
      <c r="J453">
        <v>0</v>
      </c>
    </row>
    <row r="454" spans="1:10" x14ac:dyDescent="0.35">
      <c r="A454">
        <v>321648</v>
      </c>
      <c r="B454" t="s">
        <v>20</v>
      </c>
      <c r="C454">
        <v>2015</v>
      </c>
      <c r="D454">
        <v>9</v>
      </c>
      <c r="E454" t="s">
        <v>42</v>
      </c>
      <c r="F454" t="s">
        <v>5</v>
      </c>
      <c r="G454" t="s">
        <v>5</v>
      </c>
      <c r="H454">
        <v>45803.14</v>
      </c>
      <c r="I454">
        <v>21245.89</v>
      </c>
      <c r="J454">
        <v>0</v>
      </c>
    </row>
    <row r="455" spans="1:10" x14ac:dyDescent="0.35">
      <c r="A455">
        <v>321656</v>
      </c>
      <c r="B455" t="s">
        <v>20</v>
      </c>
      <c r="C455">
        <v>2015</v>
      </c>
      <c r="D455">
        <v>9</v>
      </c>
      <c r="E455" t="s">
        <v>42</v>
      </c>
      <c r="F455" t="s">
        <v>5</v>
      </c>
      <c r="G455" t="s">
        <v>5</v>
      </c>
      <c r="H455">
        <v>31382.57</v>
      </c>
      <c r="I455">
        <v>12795.76</v>
      </c>
      <c r="J455">
        <v>0</v>
      </c>
    </row>
    <row r="456" spans="1:10" x14ac:dyDescent="0.35">
      <c r="A456">
        <v>321657</v>
      </c>
      <c r="B456" t="s">
        <v>20</v>
      </c>
      <c r="C456">
        <v>2015</v>
      </c>
      <c r="D456">
        <v>6</v>
      </c>
      <c r="E456" t="s">
        <v>43</v>
      </c>
      <c r="F456" t="s">
        <v>5</v>
      </c>
      <c r="G456" t="s">
        <v>5</v>
      </c>
      <c r="H456">
        <v>73346.460000000006</v>
      </c>
      <c r="I456">
        <v>55737.47</v>
      </c>
      <c r="J456">
        <v>0</v>
      </c>
    </row>
    <row r="457" spans="1:10" x14ac:dyDescent="0.35">
      <c r="A457">
        <v>321663</v>
      </c>
      <c r="B457" t="s">
        <v>20</v>
      </c>
      <c r="C457">
        <v>2015</v>
      </c>
      <c r="D457">
        <v>6</v>
      </c>
      <c r="E457" t="s">
        <v>43</v>
      </c>
      <c r="F457" t="s">
        <v>5</v>
      </c>
      <c r="G457" t="s">
        <v>5</v>
      </c>
      <c r="H457">
        <v>68355.14</v>
      </c>
      <c r="I457">
        <v>49647.91</v>
      </c>
      <c r="J457">
        <v>0</v>
      </c>
    </row>
    <row r="458" spans="1:10" x14ac:dyDescent="0.35">
      <c r="A458">
        <v>321671</v>
      </c>
      <c r="B458" t="s">
        <v>20</v>
      </c>
      <c r="C458">
        <v>2015</v>
      </c>
      <c r="D458">
        <v>9</v>
      </c>
      <c r="E458" t="s">
        <v>42</v>
      </c>
      <c r="F458" t="s">
        <v>5</v>
      </c>
      <c r="G458" t="s">
        <v>5</v>
      </c>
      <c r="H458">
        <v>62157.78</v>
      </c>
      <c r="I458">
        <v>19332.849999999999</v>
      </c>
      <c r="J458">
        <v>0</v>
      </c>
    </row>
    <row r="459" spans="1:10" x14ac:dyDescent="0.35">
      <c r="A459">
        <v>321679</v>
      </c>
      <c r="B459" t="s">
        <v>20</v>
      </c>
      <c r="C459">
        <v>2015</v>
      </c>
      <c r="D459">
        <v>9</v>
      </c>
      <c r="E459" t="s">
        <v>42</v>
      </c>
      <c r="F459" t="s">
        <v>5</v>
      </c>
      <c r="G459" t="s">
        <v>5</v>
      </c>
      <c r="H459">
        <v>27988.52</v>
      </c>
      <c r="I459">
        <v>7478.35</v>
      </c>
      <c r="J459">
        <v>0</v>
      </c>
    </row>
    <row r="460" spans="1:10" x14ac:dyDescent="0.35">
      <c r="A460">
        <v>321685</v>
      </c>
      <c r="B460" t="s">
        <v>20</v>
      </c>
      <c r="C460">
        <v>2015</v>
      </c>
      <c r="D460">
        <v>6</v>
      </c>
      <c r="E460" t="s">
        <v>43</v>
      </c>
      <c r="F460" t="s">
        <v>5</v>
      </c>
      <c r="G460" t="s">
        <v>5</v>
      </c>
      <c r="H460">
        <v>14234.74</v>
      </c>
      <c r="I460">
        <v>4106.26</v>
      </c>
      <c r="J460">
        <v>0</v>
      </c>
    </row>
    <row r="461" spans="1:10" x14ac:dyDescent="0.35">
      <c r="A461">
        <v>321690</v>
      </c>
      <c r="B461" t="s">
        <v>20</v>
      </c>
      <c r="C461">
        <v>2015</v>
      </c>
      <c r="D461">
        <v>6</v>
      </c>
      <c r="E461" t="s">
        <v>43</v>
      </c>
      <c r="F461" t="s">
        <v>5</v>
      </c>
      <c r="G461" t="s">
        <v>5</v>
      </c>
      <c r="H461">
        <v>73042.58</v>
      </c>
      <c r="I461">
        <v>55404.04</v>
      </c>
      <c r="J461">
        <v>0</v>
      </c>
    </row>
    <row r="462" spans="1:10" x14ac:dyDescent="0.35">
      <c r="A462">
        <v>321695</v>
      </c>
      <c r="B462" t="s">
        <v>20</v>
      </c>
      <c r="C462">
        <v>2015</v>
      </c>
      <c r="D462">
        <v>9</v>
      </c>
      <c r="E462" t="s">
        <v>42</v>
      </c>
      <c r="F462" t="s">
        <v>5</v>
      </c>
      <c r="G462" t="s">
        <v>5</v>
      </c>
      <c r="H462">
        <v>50394.48</v>
      </c>
      <c r="I462">
        <v>21986.5</v>
      </c>
      <c r="J462">
        <v>0</v>
      </c>
    </row>
    <row r="463" spans="1:10" x14ac:dyDescent="0.35">
      <c r="A463">
        <v>321700</v>
      </c>
      <c r="B463" t="s">
        <v>20</v>
      </c>
      <c r="C463">
        <v>2015</v>
      </c>
      <c r="D463">
        <v>9</v>
      </c>
      <c r="E463" t="s">
        <v>42</v>
      </c>
      <c r="F463" t="s">
        <v>5</v>
      </c>
      <c r="G463" t="s">
        <v>5</v>
      </c>
      <c r="H463">
        <v>7481.82</v>
      </c>
      <c r="I463">
        <v>6931.23</v>
      </c>
      <c r="J463">
        <v>0</v>
      </c>
    </row>
    <row r="464" spans="1:10" x14ac:dyDescent="0.35">
      <c r="A464">
        <v>321704</v>
      </c>
      <c r="B464" t="s">
        <v>20</v>
      </c>
      <c r="C464">
        <v>2015</v>
      </c>
      <c r="D464">
        <v>6</v>
      </c>
      <c r="E464" t="s">
        <v>43</v>
      </c>
      <c r="F464" t="s">
        <v>5</v>
      </c>
      <c r="G464" t="s">
        <v>5</v>
      </c>
      <c r="H464">
        <v>61857.32</v>
      </c>
      <c r="I464">
        <v>44338.36</v>
      </c>
      <c r="J464">
        <v>0</v>
      </c>
    </row>
    <row r="465" spans="1:10" x14ac:dyDescent="0.35">
      <c r="A465">
        <v>321708</v>
      </c>
      <c r="B465" t="s">
        <v>20</v>
      </c>
      <c r="C465">
        <v>2015</v>
      </c>
      <c r="D465">
        <v>9</v>
      </c>
      <c r="E465" t="s">
        <v>42</v>
      </c>
      <c r="F465" t="s">
        <v>5</v>
      </c>
      <c r="G465" t="s">
        <v>5</v>
      </c>
      <c r="H465">
        <v>70052.399999999994</v>
      </c>
      <c r="I465">
        <v>52316.63</v>
      </c>
      <c r="J465">
        <v>0</v>
      </c>
    </row>
    <row r="466" spans="1:10" x14ac:dyDescent="0.35">
      <c r="A466">
        <v>321712</v>
      </c>
      <c r="B466" t="s">
        <v>20</v>
      </c>
      <c r="C466">
        <v>2015</v>
      </c>
      <c r="D466">
        <v>9</v>
      </c>
      <c r="E466" t="s">
        <v>42</v>
      </c>
      <c r="F466" t="s">
        <v>5</v>
      </c>
      <c r="G466" t="s">
        <v>5</v>
      </c>
      <c r="H466">
        <v>14262.78</v>
      </c>
      <c r="I466">
        <v>3696.12</v>
      </c>
      <c r="J466">
        <v>0</v>
      </c>
    </row>
    <row r="467" spans="1:10" x14ac:dyDescent="0.35">
      <c r="A467">
        <v>321713</v>
      </c>
      <c r="B467" t="s">
        <v>20</v>
      </c>
      <c r="C467">
        <v>2015</v>
      </c>
      <c r="D467">
        <v>9</v>
      </c>
      <c r="E467" t="s">
        <v>42</v>
      </c>
      <c r="F467" t="s">
        <v>5</v>
      </c>
      <c r="G467" t="s">
        <v>5</v>
      </c>
      <c r="H467">
        <v>59577.120000000003</v>
      </c>
      <c r="I467">
        <v>42189.29</v>
      </c>
      <c r="J467">
        <v>0</v>
      </c>
    </row>
    <row r="468" spans="1:10" x14ac:dyDescent="0.35">
      <c r="A468">
        <v>321714</v>
      </c>
      <c r="B468" t="s">
        <v>20</v>
      </c>
      <c r="C468">
        <v>2015</v>
      </c>
      <c r="D468">
        <v>9</v>
      </c>
      <c r="E468" t="s">
        <v>42</v>
      </c>
      <c r="F468" t="s">
        <v>5</v>
      </c>
      <c r="G468" t="s">
        <v>5</v>
      </c>
      <c r="H468">
        <v>48857.62</v>
      </c>
      <c r="I468">
        <v>22799.39</v>
      </c>
      <c r="J468">
        <v>0</v>
      </c>
    </row>
    <row r="469" spans="1:10" x14ac:dyDescent="0.35">
      <c r="A469">
        <v>321729</v>
      </c>
      <c r="B469" t="s">
        <v>20</v>
      </c>
      <c r="C469">
        <v>2015</v>
      </c>
      <c r="D469">
        <v>6</v>
      </c>
      <c r="E469" t="s">
        <v>43</v>
      </c>
      <c r="F469" t="s">
        <v>5</v>
      </c>
      <c r="G469" t="s">
        <v>5</v>
      </c>
      <c r="H469">
        <v>74145.539999999994</v>
      </c>
      <c r="I469">
        <v>50344.95</v>
      </c>
      <c r="J469">
        <v>0</v>
      </c>
    </row>
    <row r="470" spans="1:10" x14ac:dyDescent="0.35">
      <c r="A470">
        <v>321736</v>
      </c>
      <c r="B470" t="s">
        <v>20</v>
      </c>
      <c r="C470">
        <v>2015</v>
      </c>
      <c r="D470">
        <v>6</v>
      </c>
      <c r="E470" t="s">
        <v>43</v>
      </c>
      <c r="F470" t="s">
        <v>5</v>
      </c>
      <c r="G470" t="s">
        <v>5</v>
      </c>
      <c r="H470">
        <v>46685.06</v>
      </c>
      <c r="I470">
        <v>20517.46</v>
      </c>
      <c r="J470">
        <v>0</v>
      </c>
    </row>
    <row r="471" spans="1:10" x14ac:dyDescent="0.35">
      <c r="A471">
        <v>321737</v>
      </c>
      <c r="B471" t="s">
        <v>20</v>
      </c>
      <c r="C471">
        <v>2015</v>
      </c>
      <c r="D471">
        <v>6</v>
      </c>
      <c r="E471" t="s">
        <v>43</v>
      </c>
      <c r="F471" t="s">
        <v>5</v>
      </c>
      <c r="G471" t="s">
        <v>5</v>
      </c>
      <c r="H471">
        <v>61917.46</v>
      </c>
      <c r="I471">
        <v>18783</v>
      </c>
      <c r="J471">
        <v>0</v>
      </c>
    </row>
    <row r="472" spans="1:10" x14ac:dyDescent="0.35">
      <c r="A472">
        <v>321745</v>
      </c>
      <c r="B472" t="s">
        <v>20</v>
      </c>
      <c r="C472">
        <v>2015</v>
      </c>
      <c r="D472">
        <v>9</v>
      </c>
      <c r="E472" t="s">
        <v>42</v>
      </c>
      <c r="F472" t="s">
        <v>5</v>
      </c>
      <c r="G472" t="s">
        <v>5</v>
      </c>
      <c r="H472">
        <v>74159.960000000006</v>
      </c>
      <c r="I472">
        <v>56091.96</v>
      </c>
      <c r="J472">
        <v>0</v>
      </c>
    </row>
    <row r="473" spans="1:10" x14ac:dyDescent="0.35">
      <c r="A473">
        <v>321749</v>
      </c>
      <c r="B473" t="s">
        <v>20</v>
      </c>
      <c r="C473">
        <v>2015</v>
      </c>
      <c r="D473">
        <v>6</v>
      </c>
      <c r="E473" t="s">
        <v>43</v>
      </c>
      <c r="F473" t="s">
        <v>5</v>
      </c>
      <c r="G473" t="s">
        <v>5</v>
      </c>
      <c r="H473">
        <v>117838.14</v>
      </c>
      <c r="I473">
        <v>89589.81</v>
      </c>
      <c r="J473">
        <v>0</v>
      </c>
    </row>
    <row r="474" spans="1:10" x14ac:dyDescent="0.35">
      <c r="A474">
        <v>321751</v>
      </c>
      <c r="B474" t="s">
        <v>20</v>
      </c>
      <c r="C474">
        <v>2015</v>
      </c>
      <c r="D474">
        <v>6</v>
      </c>
      <c r="E474" t="s">
        <v>43</v>
      </c>
      <c r="F474" t="s">
        <v>5</v>
      </c>
      <c r="G474" t="s">
        <v>5</v>
      </c>
      <c r="H474">
        <v>67538.5</v>
      </c>
      <c r="I474">
        <v>46001.919999999998</v>
      </c>
      <c r="J474">
        <v>0</v>
      </c>
    </row>
    <row r="475" spans="1:10" x14ac:dyDescent="0.35">
      <c r="A475">
        <v>321766</v>
      </c>
      <c r="B475" t="s">
        <v>20</v>
      </c>
      <c r="C475">
        <v>2015</v>
      </c>
      <c r="D475">
        <v>9</v>
      </c>
      <c r="E475" t="s">
        <v>42</v>
      </c>
      <c r="F475" t="s">
        <v>5</v>
      </c>
      <c r="G475" t="s">
        <v>5</v>
      </c>
      <c r="H475">
        <v>76724.92</v>
      </c>
      <c r="I475">
        <v>59008.85</v>
      </c>
      <c r="J475">
        <v>0</v>
      </c>
    </row>
    <row r="476" spans="1:10" x14ac:dyDescent="0.35">
      <c r="A476">
        <v>321767</v>
      </c>
      <c r="B476" t="s">
        <v>20</v>
      </c>
      <c r="C476">
        <v>2015</v>
      </c>
      <c r="D476">
        <v>6</v>
      </c>
      <c r="E476" t="s">
        <v>43</v>
      </c>
      <c r="F476" t="s">
        <v>5</v>
      </c>
      <c r="G476" t="s">
        <v>5</v>
      </c>
      <c r="H476">
        <v>64768.9</v>
      </c>
      <c r="I476">
        <v>45918.71</v>
      </c>
      <c r="J476">
        <v>0</v>
      </c>
    </row>
    <row r="477" spans="1:10" x14ac:dyDescent="0.35">
      <c r="A477">
        <v>321772</v>
      </c>
      <c r="B477" t="s">
        <v>20</v>
      </c>
      <c r="C477">
        <v>2015</v>
      </c>
      <c r="D477">
        <v>6</v>
      </c>
      <c r="E477" t="s">
        <v>43</v>
      </c>
      <c r="F477" t="s">
        <v>5</v>
      </c>
      <c r="G477" t="s">
        <v>5</v>
      </c>
      <c r="H477">
        <v>47171.5</v>
      </c>
      <c r="I477">
        <v>14301.46</v>
      </c>
      <c r="J477">
        <v>0</v>
      </c>
    </row>
    <row r="478" spans="1:10" x14ac:dyDescent="0.35">
      <c r="A478">
        <v>321774</v>
      </c>
      <c r="B478" t="s">
        <v>20</v>
      </c>
      <c r="C478">
        <v>2015</v>
      </c>
      <c r="D478">
        <v>9</v>
      </c>
      <c r="E478" t="s">
        <v>42</v>
      </c>
      <c r="F478" t="s">
        <v>5</v>
      </c>
      <c r="G478" t="s">
        <v>5</v>
      </c>
      <c r="H478">
        <v>10281.56</v>
      </c>
      <c r="I478">
        <v>2940.39</v>
      </c>
      <c r="J478">
        <v>0</v>
      </c>
    </row>
    <row r="479" spans="1:10" x14ac:dyDescent="0.35">
      <c r="A479">
        <v>321780</v>
      </c>
      <c r="B479" t="s">
        <v>20</v>
      </c>
      <c r="C479">
        <v>2015</v>
      </c>
      <c r="D479">
        <v>6</v>
      </c>
      <c r="E479" t="s">
        <v>43</v>
      </c>
      <c r="F479" t="s">
        <v>5</v>
      </c>
      <c r="G479" t="s">
        <v>5</v>
      </c>
      <c r="H479">
        <v>75436.06</v>
      </c>
      <c r="I479">
        <v>58107.42</v>
      </c>
      <c r="J479">
        <v>0</v>
      </c>
    </row>
    <row r="480" spans="1:10" x14ac:dyDescent="0.35">
      <c r="A480">
        <v>321785</v>
      </c>
      <c r="B480" t="s">
        <v>20</v>
      </c>
      <c r="C480">
        <v>2015</v>
      </c>
      <c r="D480">
        <v>6</v>
      </c>
      <c r="E480" t="s">
        <v>43</v>
      </c>
      <c r="F480" t="s">
        <v>5</v>
      </c>
      <c r="G480" t="s">
        <v>5</v>
      </c>
      <c r="H480">
        <v>56513.64</v>
      </c>
      <c r="I480">
        <v>16986.77</v>
      </c>
      <c r="J480">
        <v>0</v>
      </c>
    </row>
    <row r="481" spans="1:10" x14ac:dyDescent="0.35">
      <c r="A481">
        <v>321797</v>
      </c>
      <c r="B481" t="s">
        <v>20</v>
      </c>
      <c r="C481">
        <v>2015</v>
      </c>
      <c r="D481">
        <v>6</v>
      </c>
      <c r="E481" t="s">
        <v>43</v>
      </c>
      <c r="F481" t="s">
        <v>5</v>
      </c>
      <c r="G481" t="s">
        <v>5</v>
      </c>
      <c r="H481">
        <v>6895.8</v>
      </c>
      <c r="I481">
        <v>7955.22</v>
      </c>
      <c r="J481">
        <v>1</v>
      </c>
    </row>
    <row r="482" spans="1:10" x14ac:dyDescent="0.35">
      <c r="A482">
        <v>321805</v>
      </c>
      <c r="B482" t="s">
        <v>20</v>
      </c>
      <c r="C482">
        <v>2015</v>
      </c>
      <c r="D482">
        <v>9</v>
      </c>
      <c r="E482" t="s">
        <v>42</v>
      </c>
      <c r="F482" t="s">
        <v>5</v>
      </c>
      <c r="G482" t="s">
        <v>5</v>
      </c>
      <c r="H482">
        <v>54972.5</v>
      </c>
      <c r="I482">
        <v>23095</v>
      </c>
      <c r="J482">
        <v>0</v>
      </c>
    </row>
    <row r="483" spans="1:10" x14ac:dyDescent="0.35">
      <c r="A483">
        <v>321814</v>
      </c>
      <c r="B483" t="s">
        <v>20</v>
      </c>
      <c r="C483">
        <v>2015</v>
      </c>
      <c r="D483">
        <v>9</v>
      </c>
      <c r="E483" t="s">
        <v>42</v>
      </c>
      <c r="F483" t="s">
        <v>5</v>
      </c>
      <c r="G483" t="s">
        <v>5</v>
      </c>
      <c r="H483">
        <v>67232.679999999993</v>
      </c>
      <c r="I483">
        <v>49086.3</v>
      </c>
      <c r="J483">
        <v>0</v>
      </c>
    </row>
    <row r="484" spans="1:10" x14ac:dyDescent="0.35">
      <c r="A484">
        <v>321816</v>
      </c>
      <c r="B484" t="s">
        <v>20</v>
      </c>
      <c r="C484">
        <v>2015</v>
      </c>
      <c r="D484">
        <v>9</v>
      </c>
      <c r="E484" t="s">
        <v>42</v>
      </c>
      <c r="F484" t="s">
        <v>5</v>
      </c>
      <c r="G484" t="s">
        <v>5</v>
      </c>
      <c r="H484">
        <v>127202.8</v>
      </c>
      <c r="I484">
        <v>39285.85</v>
      </c>
      <c r="J484">
        <v>0</v>
      </c>
    </row>
    <row r="485" spans="1:10" x14ac:dyDescent="0.35">
      <c r="A485">
        <v>321824</v>
      </c>
      <c r="B485" t="s">
        <v>20</v>
      </c>
      <c r="C485">
        <v>2015</v>
      </c>
      <c r="D485">
        <v>6</v>
      </c>
      <c r="E485" t="s">
        <v>43</v>
      </c>
      <c r="F485" t="s">
        <v>5</v>
      </c>
      <c r="G485" t="s">
        <v>5</v>
      </c>
      <c r="H485">
        <v>64555.64</v>
      </c>
      <c r="I485">
        <v>46703.31</v>
      </c>
      <c r="J485">
        <v>0</v>
      </c>
    </row>
    <row r="486" spans="1:10" x14ac:dyDescent="0.35">
      <c r="A486">
        <v>321826</v>
      </c>
      <c r="B486" t="s">
        <v>20</v>
      </c>
      <c r="C486">
        <v>2015</v>
      </c>
      <c r="D486">
        <v>6</v>
      </c>
      <c r="E486" t="s">
        <v>43</v>
      </c>
      <c r="F486" t="s">
        <v>5</v>
      </c>
      <c r="G486" t="s">
        <v>5</v>
      </c>
      <c r="H486">
        <v>28698.93</v>
      </c>
      <c r="I486">
        <v>18739.330000000002</v>
      </c>
      <c r="J486">
        <v>0</v>
      </c>
    </row>
    <row r="487" spans="1:10" x14ac:dyDescent="0.35">
      <c r="A487">
        <v>321829</v>
      </c>
      <c r="B487" t="s">
        <v>20</v>
      </c>
      <c r="C487">
        <v>2015</v>
      </c>
      <c r="D487">
        <v>6</v>
      </c>
      <c r="E487" t="s">
        <v>43</v>
      </c>
      <c r="F487" t="s">
        <v>5</v>
      </c>
      <c r="G487" t="s">
        <v>5</v>
      </c>
      <c r="H487">
        <v>31742.32</v>
      </c>
      <c r="I487">
        <v>15011.22</v>
      </c>
      <c r="J487">
        <v>0</v>
      </c>
    </row>
    <row r="488" spans="1:10" x14ac:dyDescent="0.35">
      <c r="A488">
        <v>321832</v>
      </c>
      <c r="B488" t="s">
        <v>20</v>
      </c>
      <c r="C488">
        <v>2015</v>
      </c>
      <c r="D488">
        <v>9</v>
      </c>
      <c r="E488" t="s">
        <v>42</v>
      </c>
      <c r="F488" t="s">
        <v>5</v>
      </c>
      <c r="G488" t="s">
        <v>5</v>
      </c>
      <c r="H488">
        <v>104337.76</v>
      </c>
      <c r="I488">
        <v>95947.34</v>
      </c>
      <c r="J488">
        <v>0</v>
      </c>
    </row>
    <row r="489" spans="1:10" x14ac:dyDescent="0.35">
      <c r="A489">
        <v>321833</v>
      </c>
      <c r="B489" t="s">
        <v>20</v>
      </c>
      <c r="C489">
        <v>2015</v>
      </c>
      <c r="D489">
        <v>6</v>
      </c>
      <c r="E489" t="s">
        <v>43</v>
      </c>
      <c r="F489" t="s">
        <v>5</v>
      </c>
      <c r="G489" t="s">
        <v>5</v>
      </c>
      <c r="H489">
        <v>65047.76</v>
      </c>
      <c r="I489">
        <v>55084.54</v>
      </c>
      <c r="J489">
        <v>0</v>
      </c>
    </row>
    <row r="490" spans="1:10" x14ac:dyDescent="0.35">
      <c r="A490">
        <v>321834</v>
      </c>
      <c r="B490" t="s">
        <v>20</v>
      </c>
      <c r="C490">
        <v>2015</v>
      </c>
      <c r="D490">
        <v>6</v>
      </c>
      <c r="E490" t="s">
        <v>43</v>
      </c>
      <c r="F490" t="s">
        <v>5</v>
      </c>
      <c r="G490" t="s">
        <v>5</v>
      </c>
      <c r="H490">
        <v>26540.2</v>
      </c>
      <c r="I490">
        <v>8182.39</v>
      </c>
      <c r="J490">
        <v>0</v>
      </c>
    </row>
    <row r="491" spans="1:10" x14ac:dyDescent="0.35">
      <c r="A491">
        <v>321838</v>
      </c>
      <c r="B491" t="s">
        <v>20</v>
      </c>
      <c r="C491">
        <v>2015</v>
      </c>
      <c r="D491">
        <v>6</v>
      </c>
      <c r="E491" t="s">
        <v>43</v>
      </c>
      <c r="F491" t="s">
        <v>5</v>
      </c>
      <c r="G491" t="s">
        <v>5</v>
      </c>
      <c r="H491">
        <v>57974.38</v>
      </c>
      <c r="I491">
        <v>44386.8</v>
      </c>
      <c r="J491">
        <v>0</v>
      </c>
    </row>
    <row r="492" spans="1:10" x14ac:dyDescent="0.35">
      <c r="A492">
        <v>321839</v>
      </c>
      <c r="B492" t="s">
        <v>20</v>
      </c>
      <c r="C492">
        <v>2015</v>
      </c>
      <c r="D492">
        <v>9</v>
      </c>
      <c r="E492" t="s">
        <v>42</v>
      </c>
      <c r="F492" t="s">
        <v>5</v>
      </c>
      <c r="G492" t="s">
        <v>5</v>
      </c>
      <c r="H492">
        <v>27183.78</v>
      </c>
      <c r="I492">
        <v>7339.98</v>
      </c>
      <c r="J492">
        <v>0</v>
      </c>
    </row>
    <row r="493" spans="1:10" x14ac:dyDescent="0.35">
      <c r="A493">
        <v>321841</v>
      </c>
      <c r="B493" t="s">
        <v>20</v>
      </c>
      <c r="C493">
        <v>2015</v>
      </c>
      <c r="D493">
        <v>6</v>
      </c>
      <c r="E493" t="s">
        <v>43</v>
      </c>
      <c r="F493" t="s">
        <v>5</v>
      </c>
      <c r="G493" t="s">
        <v>5</v>
      </c>
      <c r="H493">
        <v>60386.58</v>
      </c>
      <c r="I493">
        <v>51329.17</v>
      </c>
      <c r="J493">
        <v>0</v>
      </c>
    </row>
    <row r="494" spans="1:10" x14ac:dyDescent="0.35">
      <c r="A494">
        <v>321850</v>
      </c>
      <c r="B494" t="s">
        <v>20</v>
      </c>
      <c r="C494">
        <v>2015</v>
      </c>
      <c r="D494">
        <v>6</v>
      </c>
      <c r="E494" t="s">
        <v>43</v>
      </c>
      <c r="F494" t="s">
        <v>5</v>
      </c>
      <c r="G494" t="s">
        <v>5</v>
      </c>
      <c r="H494">
        <v>77862.399999999994</v>
      </c>
      <c r="I494">
        <v>59277.47</v>
      </c>
      <c r="J494">
        <v>0</v>
      </c>
    </row>
    <row r="495" spans="1:10" x14ac:dyDescent="0.35">
      <c r="A495">
        <v>321858</v>
      </c>
      <c r="B495" t="s">
        <v>20</v>
      </c>
      <c r="C495">
        <v>2015</v>
      </c>
      <c r="D495">
        <v>6</v>
      </c>
      <c r="E495" t="s">
        <v>43</v>
      </c>
      <c r="F495" t="s">
        <v>5</v>
      </c>
      <c r="G495" t="s">
        <v>5</v>
      </c>
      <c r="H495">
        <v>13165.96</v>
      </c>
      <c r="I495">
        <v>3572.99</v>
      </c>
      <c r="J495">
        <v>0</v>
      </c>
    </row>
    <row r="496" spans="1:10" x14ac:dyDescent="0.35">
      <c r="A496">
        <v>321860</v>
      </c>
      <c r="B496" t="s">
        <v>20</v>
      </c>
      <c r="C496">
        <v>2015</v>
      </c>
      <c r="D496">
        <v>9</v>
      </c>
      <c r="E496" t="s">
        <v>42</v>
      </c>
      <c r="F496" t="s">
        <v>5</v>
      </c>
      <c r="G496" t="s">
        <v>5</v>
      </c>
      <c r="H496">
        <v>34814.57</v>
      </c>
      <c r="I496">
        <v>20177.14</v>
      </c>
      <c r="J496">
        <v>0</v>
      </c>
    </row>
    <row r="497" spans="1:10" x14ac:dyDescent="0.35">
      <c r="A497">
        <v>321861</v>
      </c>
      <c r="B497" t="s">
        <v>20</v>
      </c>
      <c r="C497">
        <v>2015</v>
      </c>
      <c r="D497">
        <v>6</v>
      </c>
      <c r="E497" t="s">
        <v>43</v>
      </c>
      <c r="F497" t="s">
        <v>5</v>
      </c>
      <c r="G497" t="s">
        <v>5</v>
      </c>
      <c r="H497">
        <v>39816.480000000003</v>
      </c>
      <c r="I497">
        <v>27428.240000000002</v>
      </c>
      <c r="J497">
        <v>0</v>
      </c>
    </row>
    <row r="498" spans="1:10" x14ac:dyDescent="0.35">
      <c r="A498">
        <v>321862</v>
      </c>
      <c r="B498" t="s">
        <v>20</v>
      </c>
      <c r="C498">
        <v>2015</v>
      </c>
      <c r="D498">
        <v>9</v>
      </c>
      <c r="E498" t="s">
        <v>42</v>
      </c>
      <c r="F498" t="s">
        <v>5</v>
      </c>
      <c r="G498" t="s">
        <v>5</v>
      </c>
      <c r="H498">
        <v>76390.960000000006</v>
      </c>
      <c r="I498">
        <v>58924.07</v>
      </c>
      <c r="J498">
        <v>0</v>
      </c>
    </row>
    <row r="499" spans="1:10" x14ac:dyDescent="0.35">
      <c r="A499">
        <v>321868</v>
      </c>
      <c r="B499" t="s">
        <v>20</v>
      </c>
      <c r="C499">
        <v>2015</v>
      </c>
      <c r="D499">
        <v>6</v>
      </c>
      <c r="E499" t="s">
        <v>43</v>
      </c>
      <c r="F499" t="s">
        <v>5</v>
      </c>
      <c r="G499" t="s">
        <v>5</v>
      </c>
      <c r="H499">
        <v>27274.04</v>
      </c>
      <c r="I499">
        <v>10146.799999999999</v>
      </c>
      <c r="J499">
        <v>0</v>
      </c>
    </row>
    <row r="500" spans="1:10" x14ac:dyDescent="0.35">
      <c r="A500">
        <v>321870</v>
      </c>
      <c r="B500" t="s">
        <v>20</v>
      </c>
      <c r="C500">
        <v>2015</v>
      </c>
      <c r="D500">
        <v>9</v>
      </c>
      <c r="E500" t="s">
        <v>42</v>
      </c>
      <c r="F500" t="s">
        <v>5</v>
      </c>
      <c r="G500" t="s">
        <v>5</v>
      </c>
      <c r="H500">
        <v>65297.94</v>
      </c>
      <c r="I500">
        <v>48634.71</v>
      </c>
      <c r="J500">
        <v>0</v>
      </c>
    </row>
    <row r="501" spans="1:10" x14ac:dyDescent="0.35">
      <c r="A501">
        <v>321883</v>
      </c>
      <c r="B501" t="s">
        <v>20</v>
      </c>
      <c r="C501">
        <v>2015</v>
      </c>
      <c r="D501">
        <v>9</v>
      </c>
      <c r="E501" t="s">
        <v>42</v>
      </c>
      <c r="F501" t="s">
        <v>5</v>
      </c>
      <c r="G501" t="s">
        <v>5</v>
      </c>
      <c r="H501">
        <v>71029.62</v>
      </c>
      <c r="I501">
        <v>53622.64</v>
      </c>
      <c r="J501">
        <v>0</v>
      </c>
    </row>
    <row r="502" spans="1:10" x14ac:dyDescent="0.35">
      <c r="A502">
        <v>321886</v>
      </c>
      <c r="B502" t="s">
        <v>20</v>
      </c>
      <c r="C502">
        <v>2015</v>
      </c>
      <c r="D502">
        <v>9</v>
      </c>
      <c r="E502" t="s">
        <v>42</v>
      </c>
      <c r="F502" t="s">
        <v>5</v>
      </c>
      <c r="G502" t="s">
        <v>5</v>
      </c>
      <c r="H502">
        <v>24998.66</v>
      </c>
      <c r="I502">
        <v>7455.52</v>
      </c>
      <c r="J502">
        <v>0</v>
      </c>
    </row>
    <row r="503" spans="1:10" x14ac:dyDescent="0.35">
      <c r="A503">
        <v>321888</v>
      </c>
      <c r="B503" t="s">
        <v>20</v>
      </c>
      <c r="C503">
        <v>2015</v>
      </c>
      <c r="D503">
        <v>6</v>
      </c>
      <c r="E503" t="s">
        <v>43</v>
      </c>
      <c r="F503" t="s">
        <v>5</v>
      </c>
      <c r="G503" t="s">
        <v>5</v>
      </c>
      <c r="H503">
        <v>12743.98</v>
      </c>
      <c r="I503">
        <v>6527.72</v>
      </c>
      <c r="J503">
        <v>0</v>
      </c>
    </row>
    <row r="504" spans="1:10" x14ac:dyDescent="0.35">
      <c r="A504">
        <v>321898</v>
      </c>
      <c r="B504" t="s">
        <v>20</v>
      </c>
      <c r="C504">
        <v>2015</v>
      </c>
      <c r="D504">
        <v>9</v>
      </c>
      <c r="E504" t="s">
        <v>42</v>
      </c>
      <c r="F504" t="s">
        <v>5</v>
      </c>
      <c r="G504" t="s">
        <v>5</v>
      </c>
      <c r="H504">
        <v>16672.5</v>
      </c>
      <c r="I504">
        <v>2547.91</v>
      </c>
      <c r="J504">
        <v>0</v>
      </c>
    </row>
    <row r="505" spans="1:10" x14ac:dyDescent="0.35">
      <c r="A505">
        <v>321903</v>
      </c>
      <c r="B505" t="s">
        <v>20</v>
      </c>
      <c r="C505">
        <v>2015</v>
      </c>
      <c r="D505">
        <v>9</v>
      </c>
      <c r="E505" t="s">
        <v>42</v>
      </c>
      <c r="F505" t="s">
        <v>5</v>
      </c>
      <c r="G505" t="s">
        <v>5</v>
      </c>
      <c r="H505">
        <v>93950.399999999994</v>
      </c>
      <c r="I505">
        <v>54552.44</v>
      </c>
      <c r="J505">
        <v>0</v>
      </c>
    </row>
    <row r="506" spans="1:10" x14ac:dyDescent="0.35">
      <c r="A506">
        <v>321911</v>
      </c>
      <c r="B506" t="s">
        <v>20</v>
      </c>
      <c r="C506">
        <v>2015</v>
      </c>
      <c r="D506">
        <v>6</v>
      </c>
      <c r="E506" t="s">
        <v>43</v>
      </c>
      <c r="F506" t="s">
        <v>5</v>
      </c>
      <c r="G506" t="s">
        <v>5</v>
      </c>
      <c r="H506">
        <v>39040.980000000003</v>
      </c>
      <c r="I506">
        <v>13538.59</v>
      </c>
      <c r="J506">
        <v>0</v>
      </c>
    </row>
    <row r="507" spans="1:10" x14ac:dyDescent="0.35">
      <c r="A507">
        <v>321913</v>
      </c>
      <c r="B507" t="s">
        <v>20</v>
      </c>
      <c r="C507">
        <v>2015</v>
      </c>
      <c r="D507">
        <v>6</v>
      </c>
      <c r="E507" t="s">
        <v>43</v>
      </c>
      <c r="F507" t="s">
        <v>5</v>
      </c>
      <c r="G507" t="s">
        <v>5</v>
      </c>
      <c r="H507">
        <v>52339.54</v>
      </c>
      <c r="I507">
        <v>21244.43</v>
      </c>
      <c r="J507">
        <v>0</v>
      </c>
    </row>
    <row r="508" spans="1:10" x14ac:dyDescent="0.35">
      <c r="A508">
        <v>321930</v>
      </c>
      <c r="B508" t="s">
        <v>20</v>
      </c>
      <c r="C508">
        <v>2015</v>
      </c>
      <c r="D508">
        <v>6</v>
      </c>
      <c r="E508" t="s">
        <v>43</v>
      </c>
      <c r="F508" t="s">
        <v>5</v>
      </c>
      <c r="G508" t="s">
        <v>5</v>
      </c>
      <c r="H508">
        <v>12300.92</v>
      </c>
      <c r="I508">
        <v>2599.58</v>
      </c>
      <c r="J508">
        <v>0</v>
      </c>
    </row>
    <row r="509" spans="1:10" x14ac:dyDescent="0.35">
      <c r="A509">
        <v>321935</v>
      </c>
      <c r="B509" t="s">
        <v>20</v>
      </c>
      <c r="C509">
        <v>2015</v>
      </c>
      <c r="D509">
        <v>9</v>
      </c>
      <c r="E509" t="s">
        <v>42</v>
      </c>
      <c r="F509" t="s">
        <v>5</v>
      </c>
      <c r="G509" t="s">
        <v>5</v>
      </c>
      <c r="H509">
        <v>13051.84</v>
      </c>
      <c r="I509">
        <v>2887.67</v>
      </c>
      <c r="J509">
        <v>0</v>
      </c>
    </row>
    <row r="510" spans="1:10" x14ac:dyDescent="0.35">
      <c r="A510">
        <v>321939</v>
      </c>
      <c r="B510" t="s">
        <v>20</v>
      </c>
      <c r="C510">
        <v>2015</v>
      </c>
      <c r="D510">
        <v>9</v>
      </c>
      <c r="E510" t="s">
        <v>42</v>
      </c>
      <c r="F510" t="s">
        <v>5</v>
      </c>
      <c r="G510" t="s">
        <v>5</v>
      </c>
      <c r="H510">
        <v>79630.880000000005</v>
      </c>
      <c r="I510">
        <v>62865.74</v>
      </c>
      <c r="J510">
        <v>0</v>
      </c>
    </row>
    <row r="511" spans="1:10" x14ac:dyDescent="0.35">
      <c r="A511">
        <v>321949</v>
      </c>
      <c r="B511" t="s">
        <v>20</v>
      </c>
      <c r="C511">
        <v>2015</v>
      </c>
      <c r="D511">
        <v>6</v>
      </c>
      <c r="E511" t="s">
        <v>43</v>
      </c>
      <c r="F511" t="s">
        <v>5</v>
      </c>
      <c r="G511" t="s">
        <v>5</v>
      </c>
      <c r="H511">
        <v>66064.539999999994</v>
      </c>
      <c r="I511">
        <v>53313.53</v>
      </c>
      <c r="J511">
        <v>0</v>
      </c>
    </row>
    <row r="512" spans="1:10" x14ac:dyDescent="0.35">
      <c r="A512">
        <v>321956</v>
      </c>
      <c r="B512" t="s">
        <v>20</v>
      </c>
      <c r="C512">
        <v>2015</v>
      </c>
      <c r="D512">
        <v>6</v>
      </c>
      <c r="E512" t="s">
        <v>43</v>
      </c>
      <c r="F512" t="s">
        <v>5</v>
      </c>
      <c r="G512" t="s">
        <v>5</v>
      </c>
      <c r="H512">
        <v>62157.56</v>
      </c>
      <c r="I512">
        <v>48290.15</v>
      </c>
      <c r="J512">
        <v>0</v>
      </c>
    </row>
    <row r="513" spans="1:10" x14ac:dyDescent="0.35">
      <c r="A513">
        <v>321967</v>
      </c>
      <c r="B513" t="s">
        <v>20</v>
      </c>
      <c r="C513">
        <v>2015</v>
      </c>
      <c r="D513">
        <v>9</v>
      </c>
      <c r="E513" t="s">
        <v>42</v>
      </c>
      <c r="F513" t="s">
        <v>5</v>
      </c>
      <c r="G513" t="s">
        <v>5</v>
      </c>
      <c r="H513">
        <v>285716.78000000003</v>
      </c>
      <c r="I513">
        <v>177126.55</v>
      </c>
      <c r="J513">
        <v>0</v>
      </c>
    </row>
    <row r="514" spans="1:10" x14ac:dyDescent="0.35">
      <c r="A514">
        <v>321968</v>
      </c>
      <c r="B514" t="s">
        <v>20</v>
      </c>
      <c r="C514">
        <v>2015</v>
      </c>
      <c r="D514">
        <v>6</v>
      </c>
      <c r="E514" t="s">
        <v>43</v>
      </c>
      <c r="F514" t="s">
        <v>5</v>
      </c>
      <c r="G514" t="s">
        <v>5</v>
      </c>
      <c r="H514">
        <v>184850.18</v>
      </c>
      <c r="I514">
        <v>84605.23</v>
      </c>
      <c r="J514">
        <v>0</v>
      </c>
    </row>
    <row r="515" spans="1:10" x14ac:dyDescent="0.35">
      <c r="A515">
        <v>321979</v>
      </c>
      <c r="B515" t="s">
        <v>20</v>
      </c>
      <c r="C515">
        <v>2015</v>
      </c>
      <c r="D515">
        <v>6</v>
      </c>
      <c r="E515" t="s">
        <v>43</v>
      </c>
      <c r="F515" t="s">
        <v>5</v>
      </c>
      <c r="G515" t="s">
        <v>5</v>
      </c>
      <c r="H515">
        <v>62117.64</v>
      </c>
      <c r="I515">
        <v>42641.45</v>
      </c>
      <c r="J515">
        <v>0</v>
      </c>
    </row>
    <row r="516" spans="1:10" x14ac:dyDescent="0.35">
      <c r="A516">
        <v>321983</v>
      </c>
      <c r="B516" t="s">
        <v>20</v>
      </c>
      <c r="C516">
        <v>2015</v>
      </c>
      <c r="D516">
        <v>6</v>
      </c>
      <c r="E516" t="s">
        <v>43</v>
      </c>
      <c r="F516" t="s">
        <v>5</v>
      </c>
      <c r="G516" t="s">
        <v>5</v>
      </c>
      <c r="H516">
        <v>131721.74</v>
      </c>
      <c r="I516">
        <v>62147.13</v>
      </c>
      <c r="J516">
        <v>0</v>
      </c>
    </row>
    <row r="517" spans="1:10" x14ac:dyDescent="0.35">
      <c r="A517">
        <v>321984</v>
      </c>
      <c r="B517" t="s">
        <v>20</v>
      </c>
      <c r="C517">
        <v>2015</v>
      </c>
      <c r="D517">
        <v>9</v>
      </c>
      <c r="E517" t="s">
        <v>42</v>
      </c>
      <c r="F517" t="s">
        <v>5</v>
      </c>
      <c r="G517" t="s">
        <v>5</v>
      </c>
      <c r="H517">
        <v>42470.82</v>
      </c>
      <c r="I517">
        <v>13018.09</v>
      </c>
      <c r="J517">
        <v>0</v>
      </c>
    </row>
    <row r="518" spans="1:10" x14ac:dyDescent="0.35">
      <c r="A518">
        <v>321986</v>
      </c>
      <c r="B518" t="s">
        <v>20</v>
      </c>
      <c r="C518">
        <v>2015</v>
      </c>
      <c r="D518">
        <v>6</v>
      </c>
      <c r="E518" t="s">
        <v>43</v>
      </c>
      <c r="F518" t="s">
        <v>5</v>
      </c>
      <c r="G518" t="s">
        <v>5</v>
      </c>
      <c r="H518">
        <v>15813.88</v>
      </c>
      <c r="I518">
        <v>4656.6000000000004</v>
      </c>
      <c r="J518">
        <v>0</v>
      </c>
    </row>
    <row r="519" spans="1:10" x14ac:dyDescent="0.35">
      <c r="A519">
        <v>321991</v>
      </c>
      <c r="B519" t="s">
        <v>20</v>
      </c>
      <c r="C519">
        <v>2015</v>
      </c>
      <c r="D519">
        <v>6</v>
      </c>
      <c r="E519" t="s">
        <v>43</v>
      </c>
      <c r="F519" t="s">
        <v>5</v>
      </c>
      <c r="G519" t="s">
        <v>5</v>
      </c>
      <c r="H519">
        <v>2740</v>
      </c>
      <c r="I519">
        <v>3181.23</v>
      </c>
      <c r="J519">
        <v>1</v>
      </c>
    </row>
    <row r="520" spans="1:10" x14ac:dyDescent="0.35">
      <c r="A520">
        <v>321992</v>
      </c>
      <c r="B520" t="s">
        <v>20</v>
      </c>
      <c r="C520">
        <v>2015</v>
      </c>
      <c r="D520">
        <v>6</v>
      </c>
      <c r="E520" t="s">
        <v>43</v>
      </c>
      <c r="F520" t="s">
        <v>5</v>
      </c>
      <c r="G520" t="s">
        <v>5</v>
      </c>
      <c r="H520">
        <v>20932.66</v>
      </c>
      <c r="I520">
        <v>8953.57</v>
      </c>
      <c r="J520">
        <v>0</v>
      </c>
    </row>
    <row r="521" spans="1:10" x14ac:dyDescent="0.35">
      <c r="A521">
        <v>321993</v>
      </c>
      <c r="B521" t="s">
        <v>20</v>
      </c>
      <c r="C521">
        <v>2015</v>
      </c>
      <c r="D521">
        <v>6</v>
      </c>
      <c r="E521" t="s">
        <v>43</v>
      </c>
      <c r="F521" t="s">
        <v>5</v>
      </c>
      <c r="G521" t="s">
        <v>5</v>
      </c>
      <c r="H521">
        <v>123387.4</v>
      </c>
      <c r="I521">
        <v>69737.61</v>
      </c>
      <c r="J521">
        <v>0</v>
      </c>
    </row>
    <row r="522" spans="1:10" x14ac:dyDescent="0.35">
      <c r="A522">
        <v>321996</v>
      </c>
      <c r="B522" t="s">
        <v>20</v>
      </c>
      <c r="C522">
        <v>2015</v>
      </c>
      <c r="D522">
        <v>6</v>
      </c>
      <c r="E522" t="s">
        <v>43</v>
      </c>
      <c r="F522" t="s">
        <v>5</v>
      </c>
      <c r="G522" t="s">
        <v>5</v>
      </c>
      <c r="H522">
        <v>16315.32</v>
      </c>
      <c r="I522">
        <v>4717.88</v>
      </c>
      <c r="J522">
        <v>0</v>
      </c>
    </row>
    <row r="523" spans="1:10" x14ac:dyDescent="0.35">
      <c r="A523">
        <v>322001</v>
      </c>
      <c r="B523" t="s">
        <v>20</v>
      </c>
      <c r="C523">
        <v>2015</v>
      </c>
      <c r="D523">
        <v>6</v>
      </c>
      <c r="E523" t="s">
        <v>43</v>
      </c>
      <c r="F523" t="s">
        <v>5</v>
      </c>
      <c r="G523" t="s">
        <v>5</v>
      </c>
      <c r="H523">
        <v>76590.98</v>
      </c>
      <c r="I523">
        <v>58720.95</v>
      </c>
      <c r="J523">
        <v>0</v>
      </c>
    </row>
    <row r="524" spans="1:10" x14ac:dyDescent="0.35">
      <c r="A524">
        <v>322016</v>
      </c>
      <c r="B524" t="s">
        <v>20</v>
      </c>
      <c r="C524">
        <v>2015</v>
      </c>
      <c r="D524">
        <v>6</v>
      </c>
      <c r="E524" t="s">
        <v>43</v>
      </c>
      <c r="F524" t="s">
        <v>5</v>
      </c>
      <c r="G524" t="s">
        <v>5</v>
      </c>
      <c r="H524">
        <v>172873.64</v>
      </c>
      <c r="I524">
        <v>154971.07999999999</v>
      </c>
      <c r="J524">
        <v>0</v>
      </c>
    </row>
    <row r="525" spans="1:10" x14ac:dyDescent="0.35">
      <c r="A525">
        <v>322019</v>
      </c>
      <c r="B525" t="s">
        <v>20</v>
      </c>
      <c r="C525">
        <v>2015</v>
      </c>
      <c r="D525">
        <v>6</v>
      </c>
      <c r="E525" t="s">
        <v>43</v>
      </c>
      <c r="F525" t="s">
        <v>5</v>
      </c>
      <c r="G525" t="s">
        <v>5</v>
      </c>
      <c r="H525">
        <v>49406.59</v>
      </c>
      <c r="I525">
        <v>21227.119999999999</v>
      </c>
      <c r="J525">
        <v>0</v>
      </c>
    </row>
    <row r="526" spans="1:10" x14ac:dyDescent="0.35">
      <c r="A526">
        <v>322029</v>
      </c>
      <c r="B526" t="s">
        <v>20</v>
      </c>
      <c r="C526">
        <v>2015</v>
      </c>
      <c r="D526">
        <v>9</v>
      </c>
      <c r="E526" t="s">
        <v>42</v>
      </c>
      <c r="F526" t="s">
        <v>5</v>
      </c>
      <c r="G526" t="s">
        <v>5</v>
      </c>
      <c r="H526">
        <v>26704.880000000001</v>
      </c>
      <c r="I526">
        <v>6340.07</v>
      </c>
      <c r="J526">
        <v>0</v>
      </c>
    </row>
    <row r="527" spans="1:10" x14ac:dyDescent="0.35">
      <c r="A527">
        <v>322031</v>
      </c>
      <c r="B527" t="s">
        <v>20</v>
      </c>
      <c r="C527">
        <v>2015</v>
      </c>
      <c r="D527">
        <v>6</v>
      </c>
      <c r="E527" t="s">
        <v>43</v>
      </c>
      <c r="F527" t="s">
        <v>5</v>
      </c>
      <c r="G527" t="s">
        <v>5</v>
      </c>
      <c r="H527">
        <v>10074.84</v>
      </c>
      <c r="I527">
        <v>2824.66</v>
      </c>
      <c r="J527">
        <v>0</v>
      </c>
    </row>
    <row r="528" spans="1:10" x14ac:dyDescent="0.35">
      <c r="A528">
        <v>322037</v>
      </c>
      <c r="B528" t="s">
        <v>20</v>
      </c>
      <c r="C528">
        <v>2015</v>
      </c>
      <c r="D528">
        <v>6</v>
      </c>
      <c r="E528" t="s">
        <v>43</v>
      </c>
      <c r="F528" t="s">
        <v>5</v>
      </c>
      <c r="G528" t="s">
        <v>5</v>
      </c>
      <c r="H528">
        <v>73709.759999999995</v>
      </c>
      <c r="I528">
        <v>20003.849999999999</v>
      </c>
      <c r="J528">
        <v>0</v>
      </c>
    </row>
    <row r="529" spans="1:10" x14ac:dyDescent="0.35">
      <c r="A529">
        <v>322039</v>
      </c>
      <c r="B529" t="s">
        <v>20</v>
      </c>
      <c r="C529">
        <v>2015</v>
      </c>
      <c r="D529">
        <v>6</v>
      </c>
      <c r="E529" t="s">
        <v>43</v>
      </c>
      <c r="F529" t="s">
        <v>5</v>
      </c>
      <c r="G529" t="s">
        <v>5</v>
      </c>
      <c r="H529">
        <v>20963.82</v>
      </c>
      <c r="I529">
        <v>5754.81</v>
      </c>
      <c r="J529">
        <v>0</v>
      </c>
    </row>
    <row r="530" spans="1:10" x14ac:dyDescent="0.35">
      <c r="A530">
        <v>322040</v>
      </c>
      <c r="B530" t="s">
        <v>20</v>
      </c>
      <c r="C530">
        <v>2015</v>
      </c>
      <c r="D530">
        <v>6</v>
      </c>
      <c r="E530" t="s">
        <v>43</v>
      </c>
      <c r="F530" t="s">
        <v>5</v>
      </c>
      <c r="G530" t="s">
        <v>5</v>
      </c>
      <c r="H530">
        <v>74620.08</v>
      </c>
      <c r="I530">
        <v>52178.81</v>
      </c>
      <c r="J530">
        <v>0</v>
      </c>
    </row>
    <row r="531" spans="1:10" x14ac:dyDescent="0.35">
      <c r="A531">
        <v>322042</v>
      </c>
      <c r="B531" t="s">
        <v>20</v>
      </c>
      <c r="C531">
        <v>2015</v>
      </c>
      <c r="D531">
        <v>6</v>
      </c>
      <c r="E531" t="s">
        <v>43</v>
      </c>
      <c r="F531" t="s">
        <v>5</v>
      </c>
      <c r="G531" t="s">
        <v>5</v>
      </c>
      <c r="H531">
        <v>18780.919999999998</v>
      </c>
      <c r="I531">
        <v>4996.2</v>
      </c>
      <c r="J531">
        <v>0</v>
      </c>
    </row>
    <row r="532" spans="1:10" x14ac:dyDescent="0.35">
      <c r="A532">
        <v>322047</v>
      </c>
      <c r="B532" t="s">
        <v>20</v>
      </c>
      <c r="C532">
        <v>2015</v>
      </c>
      <c r="D532">
        <v>6</v>
      </c>
      <c r="E532" t="s">
        <v>43</v>
      </c>
      <c r="F532" t="s">
        <v>5</v>
      </c>
      <c r="G532" t="s">
        <v>5</v>
      </c>
      <c r="H532">
        <v>26301.1</v>
      </c>
      <c r="I532">
        <v>15775.23</v>
      </c>
      <c r="J532">
        <v>0</v>
      </c>
    </row>
    <row r="533" spans="1:10" x14ac:dyDescent="0.35">
      <c r="A533">
        <v>322058</v>
      </c>
      <c r="B533" t="s">
        <v>20</v>
      </c>
      <c r="C533">
        <v>2015</v>
      </c>
      <c r="D533">
        <v>9</v>
      </c>
      <c r="E533" t="s">
        <v>42</v>
      </c>
      <c r="F533" t="s">
        <v>5</v>
      </c>
      <c r="G533" t="s">
        <v>5</v>
      </c>
      <c r="H533">
        <v>11915.32</v>
      </c>
      <c r="I533">
        <v>3527.44</v>
      </c>
      <c r="J533">
        <v>0</v>
      </c>
    </row>
    <row r="534" spans="1:10" x14ac:dyDescent="0.35">
      <c r="A534">
        <v>322060</v>
      </c>
      <c r="B534" t="s">
        <v>20</v>
      </c>
      <c r="C534">
        <v>2015</v>
      </c>
      <c r="D534">
        <v>6</v>
      </c>
      <c r="E534" t="s">
        <v>43</v>
      </c>
      <c r="F534" t="s">
        <v>5</v>
      </c>
      <c r="G534" t="s">
        <v>5</v>
      </c>
      <c r="H534">
        <v>28276.639999999999</v>
      </c>
      <c r="I534">
        <v>14140.23</v>
      </c>
      <c r="J534">
        <v>0</v>
      </c>
    </row>
    <row r="535" spans="1:10" x14ac:dyDescent="0.35">
      <c r="A535">
        <v>322068</v>
      </c>
      <c r="B535" t="s">
        <v>20</v>
      </c>
      <c r="C535">
        <v>2015</v>
      </c>
      <c r="D535">
        <v>6</v>
      </c>
      <c r="E535" t="s">
        <v>43</v>
      </c>
      <c r="F535" t="s">
        <v>5</v>
      </c>
      <c r="G535" t="s">
        <v>5</v>
      </c>
      <c r="H535">
        <v>17585.259999999998</v>
      </c>
      <c r="I535">
        <v>5557.32</v>
      </c>
      <c r="J535">
        <v>0</v>
      </c>
    </row>
    <row r="536" spans="1:10" x14ac:dyDescent="0.35">
      <c r="A536">
        <v>322070</v>
      </c>
      <c r="B536" t="s">
        <v>20</v>
      </c>
      <c r="C536">
        <v>2015</v>
      </c>
      <c r="D536">
        <v>9</v>
      </c>
      <c r="E536" t="s">
        <v>42</v>
      </c>
      <c r="F536" t="s">
        <v>5</v>
      </c>
      <c r="G536" t="s">
        <v>5</v>
      </c>
      <c r="H536">
        <v>66475.539999999994</v>
      </c>
      <c r="I536">
        <v>48919.61</v>
      </c>
      <c r="J536">
        <v>0</v>
      </c>
    </row>
    <row r="537" spans="1:10" x14ac:dyDescent="0.35">
      <c r="A537">
        <v>322072</v>
      </c>
      <c r="B537" t="s">
        <v>20</v>
      </c>
      <c r="C537">
        <v>2015</v>
      </c>
      <c r="D537">
        <v>9</v>
      </c>
      <c r="E537" t="s">
        <v>42</v>
      </c>
      <c r="F537" t="s">
        <v>5</v>
      </c>
      <c r="G537" t="s">
        <v>5</v>
      </c>
      <c r="H537">
        <v>112646.44</v>
      </c>
      <c r="I537">
        <v>43120.97</v>
      </c>
      <c r="J537">
        <v>0</v>
      </c>
    </row>
    <row r="538" spans="1:10" x14ac:dyDescent="0.35">
      <c r="A538">
        <v>322076</v>
      </c>
      <c r="B538" t="s">
        <v>20</v>
      </c>
      <c r="C538">
        <v>2015</v>
      </c>
      <c r="D538">
        <v>9</v>
      </c>
      <c r="E538" t="s">
        <v>42</v>
      </c>
      <c r="F538" t="s">
        <v>5</v>
      </c>
      <c r="G538" t="s">
        <v>5</v>
      </c>
      <c r="H538">
        <v>18907.3</v>
      </c>
      <c r="I538">
        <v>4777.25</v>
      </c>
      <c r="J538">
        <v>0</v>
      </c>
    </row>
    <row r="539" spans="1:10" x14ac:dyDescent="0.35">
      <c r="A539">
        <v>322079</v>
      </c>
      <c r="B539" t="s">
        <v>20</v>
      </c>
      <c r="C539">
        <v>2015</v>
      </c>
      <c r="D539">
        <v>6</v>
      </c>
      <c r="E539" t="s">
        <v>43</v>
      </c>
      <c r="F539" t="s">
        <v>5</v>
      </c>
      <c r="G539" t="s">
        <v>5</v>
      </c>
      <c r="H539">
        <v>13156</v>
      </c>
      <c r="I539">
        <v>3824.49</v>
      </c>
      <c r="J539">
        <v>0</v>
      </c>
    </row>
    <row r="540" spans="1:10" x14ac:dyDescent="0.35">
      <c r="A540">
        <v>322084</v>
      </c>
      <c r="B540" t="s">
        <v>20</v>
      </c>
      <c r="C540">
        <v>2015</v>
      </c>
      <c r="D540">
        <v>9</v>
      </c>
      <c r="E540" t="s">
        <v>42</v>
      </c>
      <c r="F540" t="s">
        <v>5</v>
      </c>
      <c r="G540" t="s">
        <v>5</v>
      </c>
      <c r="H540">
        <v>61663.26</v>
      </c>
      <c r="I540">
        <v>45136.66</v>
      </c>
      <c r="J540">
        <v>0</v>
      </c>
    </row>
    <row r="541" spans="1:10" x14ac:dyDescent="0.35">
      <c r="A541">
        <v>322091</v>
      </c>
      <c r="B541" t="s">
        <v>20</v>
      </c>
      <c r="C541">
        <v>2015</v>
      </c>
      <c r="D541">
        <v>6</v>
      </c>
      <c r="E541" t="s">
        <v>43</v>
      </c>
      <c r="F541" t="s">
        <v>5</v>
      </c>
      <c r="G541" t="s">
        <v>5</v>
      </c>
      <c r="H541">
        <v>27937.3</v>
      </c>
      <c r="I541">
        <v>7912</v>
      </c>
      <c r="J541">
        <v>0</v>
      </c>
    </row>
    <row r="542" spans="1:10" x14ac:dyDescent="0.35">
      <c r="A542">
        <v>322097</v>
      </c>
      <c r="B542" t="s">
        <v>20</v>
      </c>
      <c r="C542">
        <v>2015</v>
      </c>
      <c r="D542">
        <v>9</v>
      </c>
      <c r="E542" t="s">
        <v>42</v>
      </c>
      <c r="F542" t="s">
        <v>5</v>
      </c>
      <c r="G542" t="s">
        <v>5</v>
      </c>
      <c r="H542">
        <v>23574.639999999999</v>
      </c>
      <c r="I542">
        <v>10428.98</v>
      </c>
      <c r="J542">
        <v>0</v>
      </c>
    </row>
    <row r="543" spans="1:10" x14ac:dyDescent="0.35">
      <c r="A543">
        <v>322107</v>
      </c>
      <c r="B543" t="s">
        <v>20</v>
      </c>
      <c r="C543">
        <v>2015</v>
      </c>
      <c r="D543">
        <v>6</v>
      </c>
      <c r="E543" t="s">
        <v>43</v>
      </c>
      <c r="F543" t="s">
        <v>5</v>
      </c>
      <c r="G543" t="s">
        <v>5</v>
      </c>
      <c r="H543">
        <v>11790.5</v>
      </c>
      <c r="I543">
        <v>2605.5100000000002</v>
      </c>
      <c r="J543">
        <v>0</v>
      </c>
    </row>
    <row r="544" spans="1:10" x14ac:dyDescent="0.35">
      <c r="A544">
        <v>322110</v>
      </c>
      <c r="B544" t="s">
        <v>20</v>
      </c>
      <c r="C544">
        <v>2015</v>
      </c>
      <c r="D544">
        <v>6</v>
      </c>
      <c r="E544" t="s">
        <v>43</v>
      </c>
      <c r="F544" t="s">
        <v>5</v>
      </c>
      <c r="G544" t="s">
        <v>5</v>
      </c>
      <c r="H544">
        <v>19880.5</v>
      </c>
      <c r="I544">
        <v>9427.7800000000007</v>
      </c>
      <c r="J544">
        <v>0</v>
      </c>
    </row>
    <row r="545" spans="1:10" x14ac:dyDescent="0.35">
      <c r="A545">
        <v>322136</v>
      </c>
      <c r="B545" t="s">
        <v>20</v>
      </c>
      <c r="C545">
        <v>2015</v>
      </c>
      <c r="D545">
        <v>9</v>
      </c>
      <c r="E545" t="s">
        <v>42</v>
      </c>
      <c r="F545" t="s">
        <v>5</v>
      </c>
      <c r="G545" t="s">
        <v>5</v>
      </c>
      <c r="H545">
        <v>17222.32</v>
      </c>
      <c r="I545">
        <v>5070.03</v>
      </c>
      <c r="J545">
        <v>0</v>
      </c>
    </row>
    <row r="546" spans="1:10" x14ac:dyDescent="0.35">
      <c r="A546">
        <v>322143</v>
      </c>
      <c r="B546" t="s">
        <v>20</v>
      </c>
      <c r="C546">
        <v>2015</v>
      </c>
      <c r="D546">
        <v>9</v>
      </c>
      <c r="E546" t="s">
        <v>42</v>
      </c>
      <c r="F546" t="s">
        <v>5</v>
      </c>
      <c r="G546" t="s">
        <v>5</v>
      </c>
      <c r="H546">
        <v>34514.080000000002</v>
      </c>
      <c r="I546">
        <v>12680.74</v>
      </c>
      <c r="J546">
        <v>0</v>
      </c>
    </row>
    <row r="547" spans="1:10" x14ac:dyDescent="0.35">
      <c r="A547">
        <v>322147</v>
      </c>
      <c r="B547" t="s">
        <v>20</v>
      </c>
      <c r="C547">
        <v>2015</v>
      </c>
      <c r="D547">
        <v>6</v>
      </c>
      <c r="E547" t="s">
        <v>43</v>
      </c>
      <c r="F547" t="s">
        <v>5</v>
      </c>
      <c r="G547" t="s">
        <v>5</v>
      </c>
      <c r="H547">
        <v>39166.160000000003</v>
      </c>
      <c r="I547">
        <v>12818.48</v>
      </c>
      <c r="J547">
        <v>0</v>
      </c>
    </row>
    <row r="548" spans="1:10" x14ac:dyDescent="0.35">
      <c r="A548">
        <v>322149</v>
      </c>
      <c r="B548" t="s">
        <v>20</v>
      </c>
      <c r="C548">
        <v>2015</v>
      </c>
      <c r="D548">
        <v>9</v>
      </c>
      <c r="E548" t="s">
        <v>42</v>
      </c>
      <c r="F548" t="s">
        <v>5</v>
      </c>
      <c r="G548" t="s">
        <v>5</v>
      </c>
      <c r="H548">
        <v>36277.980000000003</v>
      </c>
      <c r="I548">
        <v>11623.11</v>
      </c>
      <c r="J548">
        <v>0</v>
      </c>
    </row>
    <row r="549" spans="1:10" x14ac:dyDescent="0.35">
      <c r="A549">
        <v>322154</v>
      </c>
      <c r="B549" t="s">
        <v>20</v>
      </c>
      <c r="C549">
        <v>2015</v>
      </c>
      <c r="D549">
        <v>9</v>
      </c>
      <c r="E549" t="s">
        <v>42</v>
      </c>
      <c r="F549" t="s">
        <v>5</v>
      </c>
      <c r="G549" t="s">
        <v>5</v>
      </c>
      <c r="H549">
        <v>10409.5</v>
      </c>
      <c r="I549">
        <v>2333.31</v>
      </c>
      <c r="J549">
        <v>0</v>
      </c>
    </row>
    <row r="550" spans="1:10" x14ac:dyDescent="0.35">
      <c r="A550">
        <v>322157</v>
      </c>
      <c r="B550" t="s">
        <v>20</v>
      </c>
      <c r="C550">
        <v>2015</v>
      </c>
      <c r="D550">
        <v>9</v>
      </c>
      <c r="E550" t="s">
        <v>42</v>
      </c>
      <c r="F550" t="s">
        <v>5</v>
      </c>
      <c r="G550" t="s">
        <v>5</v>
      </c>
      <c r="H550">
        <v>72766.759999999995</v>
      </c>
      <c r="I550">
        <v>55432.06</v>
      </c>
      <c r="J550">
        <v>0</v>
      </c>
    </row>
    <row r="551" spans="1:10" x14ac:dyDescent="0.35">
      <c r="A551">
        <v>322164</v>
      </c>
      <c r="B551" t="s">
        <v>20</v>
      </c>
      <c r="C551">
        <v>2015</v>
      </c>
      <c r="D551">
        <v>9</v>
      </c>
      <c r="E551" t="s">
        <v>42</v>
      </c>
      <c r="F551" t="s">
        <v>5</v>
      </c>
      <c r="G551" t="s">
        <v>5</v>
      </c>
      <c r="H551">
        <v>10511.92</v>
      </c>
      <c r="I551">
        <v>3080.08</v>
      </c>
      <c r="J551">
        <v>0</v>
      </c>
    </row>
    <row r="552" spans="1:10" x14ac:dyDescent="0.35">
      <c r="A552">
        <v>322165</v>
      </c>
      <c r="B552" t="s">
        <v>20</v>
      </c>
      <c r="C552">
        <v>2015</v>
      </c>
      <c r="D552">
        <v>6</v>
      </c>
      <c r="E552" t="s">
        <v>43</v>
      </c>
      <c r="F552" t="s">
        <v>5</v>
      </c>
      <c r="G552" t="s">
        <v>5</v>
      </c>
      <c r="H552">
        <v>57314.04</v>
      </c>
      <c r="I552">
        <v>39791.42</v>
      </c>
      <c r="J552">
        <v>0</v>
      </c>
    </row>
    <row r="553" spans="1:10" x14ac:dyDescent="0.35">
      <c r="A553">
        <v>322175</v>
      </c>
      <c r="B553" t="s">
        <v>20</v>
      </c>
      <c r="C553">
        <v>2015</v>
      </c>
      <c r="D553">
        <v>9</v>
      </c>
      <c r="E553" t="s">
        <v>42</v>
      </c>
      <c r="F553" t="s">
        <v>5</v>
      </c>
      <c r="G553" t="s">
        <v>5</v>
      </c>
      <c r="H553">
        <v>58288.160000000003</v>
      </c>
      <c r="I553">
        <v>44434.93</v>
      </c>
      <c r="J553">
        <v>0</v>
      </c>
    </row>
    <row r="554" spans="1:10" x14ac:dyDescent="0.35">
      <c r="A554">
        <v>322177</v>
      </c>
      <c r="B554" t="s">
        <v>20</v>
      </c>
      <c r="C554">
        <v>2015</v>
      </c>
      <c r="D554">
        <v>9</v>
      </c>
      <c r="E554" t="s">
        <v>42</v>
      </c>
      <c r="F554" t="s">
        <v>5</v>
      </c>
      <c r="G554" t="s">
        <v>5</v>
      </c>
      <c r="H554">
        <v>25587.14</v>
      </c>
      <c r="I554">
        <v>12889.85</v>
      </c>
      <c r="J554">
        <v>0</v>
      </c>
    </row>
    <row r="555" spans="1:10" x14ac:dyDescent="0.35">
      <c r="A555">
        <v>322180</v>
      </c>
      <c r="B555" t="s">
        <v>20</v>
      </c>
      <c r="C555">
        <v>2015</v>
      </c>
      <c r="D555">
        <v>6</v>
      </c>
      <c r="E555" t="s">
        <v>43</v>
      </c>
      <c r="F555" t="s">
        <v>5</v>
      </c>
      <c r="G555" t="s">
        <v>5</v>
      </c>
      <c r="H555">
        <v>64378.559999999998</v>
      </c>
      <c r="I555">
        <v>38935.61</v>
      </c>
      <c r="J555">
        <v>0</v>
      </c>
    </row>
    <row r="556" spans="1:10" x14ac:dyDescent="0.35">
      <c r="A556">
        <v>322182</v>
      </c>
      <c r="B556" t="s">
        <v>20</v>
      </c>
      <c r="C556">
        <v>2015</v>
      </c>
      <c r="D556">
        <v>9</v>
      </c>
      <c r="E556" t="s">
        <v>42</v>
      </c>
      <c r="F556" t="s">
        <v>5</v>
      </c>
      <c r="G556" t="s">
        <v>5</v>
      </c>
      <c r="H556">
        <v>10846.76</v>
      </c>
      <c r="I556">
        <v>2944.57</v>
      </c>
      <c r="J556">
        <v>0</v>
      </c>
    </row>
    <row r="557" spans="1:10" x14ac:dyDescent="0.35">
      <c r="A557">
        <v>322187</v>
      </c>
      <c r="B557" t="s">
        <v>20</v>
      </c>
      <c r="C557">
        <v>2015</v>
      </c>
      <c r="D557">
        <v>6</v>
      </c>
      <c r="E557" t="s">
        <v>43</v>
      </c>
      <c r="F557" t="s">
        <v>5</v>
      </c>
      <c r="G557" t="s">
        <v>5</v>
      </c>
      <c r="H557">
        <v>19318.02</v>
      </c>
      <c r="I557">
        <v>5810.97</v>
      </c>
      <c r="J557">
        <v>0</v>
      </c>
    </row>
    <row r="558" spans="1:10" x14ac:dyDescent="0.35">
      <c r="A558">
        <v>322189</v>
      </c>
      <c r="B558" t="s">
        <v>20</v>
      </c>
      <c r="C558">
        <v>2015</v>
      </c>
      <c r="D558">
        <v>6</v>
      </c>
      <c r="E558" t="s">
        <v>43</v>
      </c>
      <c r="F558" t="s">
        <v>5</v>
      </c>
      <c r="G558" t="s">
        <v>5</v>
      </c>
      <c r="H558">
        <v>73268.75</v>
      </c>
      <c r="I558">
        <v>31006.69</v>
      </c>
      <c r="J558">
        <v>0</v>
      </c>
    </row>
    <row r="559" spans="1:10" x14ac:dyDescent="0.35">
      <c r="A559">
        <v>322205</v>
      </c>
      <c r="B559" t="s">
        <v>20</v>
      </c>
      <c r="C559">
        <v>2015</v>
      </c>
      <c r="D559">
        <v>6</v>
      </c>
      <c r="E559" t="s">
        <v>43</v>
      </c>
      <c r="F559" t="s">
        <v>5</v>
      </c>
      <c r="G559" t="s">
        <v>5</v>
      </c>
      <c r="H559">
        <v>23346.080000000002</v>
      </c>
      <c r="I559">
        <v>5280.5</v>
      </c>
      <c r="J559">
        <v>0</v>
      </c>
    </row>
    <row r="560" spans="1:10" x14ac:dyDescent="0.35">
      <c r="A560">
        <v>322207</v>
      </c>
      <c r="B560" t="s">
        <v>20</v>
      </c>
      <c r="C560">
        <v>2015</v>
      </c>
      <c r="D560">
        <v>9</v>
      </c>
      <c r="E560" t="s">
        <v>42</v>
      </c>
      <c r="F560" t="s">
        <v>5</v>
      </c>
      <c r="G560" t="s">
        <v>5</v>
      </c>
      <c r="H560">
        <v>18656.28</v>
      </c>
      <c r="I560">
        <v>5142.08</v>
      </c>
      <c r="J560">
        <v>0</v>
      </c>
    </row>
    <row r="561" spans="1:10" x14ac:dyDescent="0.35">
      <c r="A561">
        <v>322208</v>
      </c>
      <c r="B561" t="s">
        <v>20</v>
      </c>
      <c r="C561">
        <v>2015</v>
      </c>
      <c r="D561">
        <v>6</v>
      </c>
      <c r="E561" t="s">
        <v>43</v>
      </c>
      <c r="F561" t="s">
        <v>5</v>
      </c>
      <c r="G561" t="s">
        <v>5</v>
      </c>
      <c r="H561">
        <v>159189.06</v>
      </c>
      <c r="I561">
        <v>91112.97</v>
      </c>
      <c r="J561">
        <v>0</v>
      </c>
    </row>
    <row r="562" spans="1:10" x14ac:dyDescent="0.35">
      <c r="A562">
        <v>322212</v>
      </c>
      <c r="B562" t="s">
        <v>20</v>
      </c>
      <c r="C562">
        <v>2015</v>
      </c>
      <c r="D562">
        <v>9</v>
      </c>
      <c r="E562" t="s">
        <v>42</v>
      </c>
      <c r="F562" t="s">
        <v>5</v>
      </c>
      <c r="G562" t="s">
        <v>5</v>
      </c>
      <c r="H562">
        <v>9871.7000000000007</v>
      </c>
      <c r="I562">
        <v>2444.7199999999998</v>
      </c>
      <c r="J562">
        <v>0</v>
      </c>
    </row>
    <row r="563" spans="1:10" x14ac:dyDescent="0.35">
      <c r="A563">
        <v>322215</v>
      </c>
      <c r="B563" t="s">
        <v>20</v>
      </c>
      <c r="C563">
        <v>2015</v>
      </c>
      <c r="D563">
        <v>9</v>
      </c>
      <c r="E563" t="s">
        <v>42</v>
      </c>
      <c r="F563" t="s">
        <v>5</v>
      </c>
      <c r="G563" t="s">
        <v>5</v>
      </c>
      <c r="H563">
        <v>5143.75</v>
      </c>
      <c r="I563">
        <v>6274.6</v>
      </c>
      <c r="J563">
        <v>1</v>
      </c>
    </row>
    <row r="564" spans="1:10" x14ac:dyDescent="0.35">
      <c r="A564">
        <v>322219</v>
      </c>
      <c r="B564" t="s">
        <v>20</v>
      </c>
      <c r="C564">
        <v>2015</v>
      </c>
      <c r="D564">
        <v>9</v>
      </c>
      <c r="E564" t="s">
        <v>42</v>
      </c>
      <c r="F564" t="s">
        <v>5</v>
      </c>
      <c r="G564" t="s">
        <v>5</v>
      </c>
      <c r="H564">
        <v>14476.36</v>
      </c>
      <c r="I564">
        <v>4138.43</v>
      </c>
      <c r="J564">
        <v>0</v>
      </c>
    </row>
    <row r="565" spans="1:10" x14ac:dyDescent="0.35">
      <c r="A565">
        <v>322221</v>
      </c>
      <c r="B565" t="s">
        <v>20</v>
      </c>
      <c r="C565">
        <v>2015</v>
      </c>
      <c r="D565">
        <v>6</v>
      </c>
      <c r="E565" t="s">
        <v>43</v>
      </c>
      <c r="F565" t="s">
        <v>5</v>
      </c>
      <c r="G565" t="s">
        <v>5</v>
      </c>
      <c r="H565">
        <v>21375.78</v>
      </c>
      <c r="I565">
        <v>12628.7</v>
      </c>
      <c r="J565">
        <v>0</v>
      </c>
    </row>
    <row r="566" spans="1:10" x14ac:dyDescent="0.35">
      <c r="A566">
        <v>322223</v>
      </c>
      <c r="B566" t="s">
        <v>20</v>
      </c>
      <c r="C566">
        <v>2015</v>
      </c>
      <c r="D566">
        <v>9</v>
      </c>
      <c r="E566" t="s">
        <v>42</v>
      </c>
      <c r="F566" t="s">
        <v>5</v>
      </c>
      <c r="G566" t="s">
        <v>5</v>
      </c>
      <c r="H566">
        <v>69095.960000000006</v>
      </c>
      <c r="I566">
        <v>54290.68</v>
      </c>
      <c r="J566">
        <v>0</v>
      </c>
    </row>
    <row r="567" spans="1:10" x14ac:dyDescent="0.35">
      <c r="A567">
        <v>322232</v>
      </c>
      <c r="B567" t="s">
        <v>20</v>
      </c>
      <c r="C567">
        <v>2015</v>
      </c>
      <c r="D567">
        <v>6</v>
      </c>
      <c r="E567" t="s">
        <v>43</v>
      </c>
      <c r="F567" t="s">
        <v>5</v>
      </c>
      <c r="G567" t="s">
        <v>5</v>
      </c>
      <c r="H567">
        <v>59850.22</v>
      </c>
      <c r="I567">
        <v>45541.21</v>
      </c>
      <c r="J567">
        <v>0</v>
      </c>
    </row>
    <row r="568" spans="1:10" x14ac:dyDescent="0.35">
      <c r="A568">
        <v>322233</v>
      </c>
      <c r="B568" t="s">
        <v>20</v>
      </c>
      <c r="C568">
        <v>2015</v>
      </c>
      <c r="D568">
        <v>6</v>
      </c>
      <c r="E568" t="s">
        <v>43</v>
      </c>
      <c r="F568" t="s">
        <v>5</v>
      </c>
      <c r="G568" t="s">
        <v>5</v>
      </c>
      <c r="H568">
        <v>59266.82</v>
      </c>
      <c r="I568">
        <v>18811.86</v>
      </c>
      <c r="J568">
        <v>0</v>
      </c>
    </row>
    <row r="569" spans="1:10" x14ac:dyDescent="0.35">
      <c r="A569">
        <v>322243</v>
      </c>
      <c r="B569" t="s">
        <v>20</v>
      </c>
      <c r="C569">
        <v>2015</v>
      </c>
      <c r="D569">
        <v>6</v>
      </c>
      <c r="E569" t="s">
        <v>43</v>
      </c>
      <c r="F569" t="s">
        <v>5</v>
      </c>
      <c r="G569" t="s">
        <v>5</v>
      </c>
      <c r="H569">
        <v>37503.9</v>
      </c>
      <c r="I569">
        <v>23644.880000000001</v>
      </c>
      <c r="J569">
        <v>0</v>
      </c>
    </row>
    <row r="570" spans="1:10" x14ac:dyDescent="0.35">
      <c r="A570">
        <v>322254</v>
      </c>
      <c r="B570" t="s">
        <v>20</v>
      </c>
      <c r="C570">
        <v>2015</v>
      </c>
      <c r="D570">
        <v>6</v>
      </c>
      <c r="E570" t="s">
        <v>43</v>
      </c>
      <c r="F570" t="s">
        <v>5</v>
      </c>
      <c r="G570" t="s">
        <v>5</v>
      </c>
      <c r="H570">
        <v>36019.64</v>
      </c>
      <c r="I570">
        <v>11973.92</v>
      </c>
      <c r="J570">
        <v>0</v>
      </c>
    </row>
    <row r="571" spans="1:10" x14ac:dyDescent="0.35">
      <c r="A571">
        <v>322266</v>
      </c>
      <c r="B571" t="s">
        <v>20</v>
      </c>
      <c r="C571">
        <v>2015</v>
      </c>
      <c r="D571">
        <v>6</v>
      </c>
      <c r="E571" t="s">
        <v>43</v>
      </c>
      <c r="F571" t="s">
        <v>5</v>
      </c>
      <c r="G571" t="s">
        <v>5</v>
      </c>
      <c r="H571">
        <v>155903.38</v>
      </c>
      <c r="I571">
        <v>133138.34</v>
      </c>
      <c r="J571">
        <v>0</v>
      </c>
    </row>
    <row r="572" spans="1:10" x14ac:dyDescent="0.35">
      <c r="A572">
        <v>322277</v>
      </c>
      <c r="B572" t="s">
        <v>20</v>
      </c>
      <c r="C572">
        <v>2015</v>
      </c>
      <c r="D572">
        <v>6</v>
      </c>
      <c r="E572" t="s">
        <v>43</v>
      </c>
      <c r="F572" t="s">
        <v>5</v>
      </c>
      <c r="G572" t="s">
        <v>5</v>
      </c>
      <c r="H572">
        <v>14754.86</v>
      </c>
      <c r="I572">
        <v>2772.57</v>
      </c>
      <c r="J572">
        <v>0</v>
      </c>
    </row>
    <row r="573" spans="1:10" x14ac:dyDescent="0.35">
      <c r="A573">
        <v>322287</v>
      </c>
      <c r="B573" t="s">
        <v>20</v>
      </c>
      <c r="C573">
        <v>2015</v>
      </c>
      <c r="D573">
        <v>6</v>
      </c>
      <c r="E573" t="s">
        <v>43</v>
      </c>
      <c r="F573" t="s">
        <v>5</v>
      </c>
      <c r="G573" t="s">
        <v>5</v>
      </c>
      <c r="H573">
        <v>8567.86</v>
      </c>
      <c r="I573">
        <v>2286.5</v>
      </c>
      <c r="J573">
        <v>0</v>
      </c>
    </row>
    <row r="574" spans="1:10" x14ac:dyDescent="0.35">
      <c r="A574">
        <v>322296</v>
      </c>
      <c r="B574" t="s">
        <v>20</v>
      </c>
      <c r="C574">
        <v>2015</v>
      </c>
      <c r="D574">
        <v>9</v>
      </c>
      <c r="E574" t="s">
        <v>42</v>
      </c>
      <c r="F574" t="s">
        <v>5</v>
      </c>
      <c r="G574" t="s">
        <v>5</v>
      </c>
      <c r="H574">
        <v>16493.8</v>
      </c>
      <c r="I574">
        <v>3917.67</v>
      </c>
      <c r="J574">
        <v>0</v>
      </c>
    </row>
    <row r="575" spans="1:10" x14ac:dyDescent="0.35">
      <c r="A575">
        <v>322299</v>
      </c>
      <c r="B575" t="s">
        <v>20</v>
      </c>
      <c r="C575">
        <v>2015</v>
      </c>
      <c r="D575">
        <v>6</v>
      </c>
      <c r="E575" t="s">
        <v>43</v>
      </c>
      <c r="F575" t="s">
        <v>5</v>
      </c>
      <c r="G575" t="s">
        <v>5</v>
      </c>
      <c r="H575">
        <v>16983.54</v>
      </c>
      <c r="I575">
        <v>4467.28</v>
      </c>
      <c r="J575">
        <v>0</v>
      </c>
    </row>
    <row r="576" spans="1:10" x14ac:dyDescent="0.35">
      <c r="A576">
        <v>322301</v>
      </c>
      <c r="B576" t="s">
        <v>20</v>
      </c>
      <c r="C576">
        <v>2015</v>
      </c>
      <c r="D576">
        <v>9</v>
      </c>
      <c r="E576" t="s">
        <v>42</v>
      </c>
      <c r="F576" t="s">
        <v>5</v>
      </c>
      <c r="G576" t="s">
        <v>5</v>
      </c>
      <c r="H576">
        <v>23604.48</v>
      </c>
      <c r="I576">
        <v>9353.31</v>
      </c>
      <c r="J576">
        <v>0</v>
      </c>
    </row>
    <row r="577" spans="1:10" x14ac:dyDescent="0.35">
      <c r="A577">
        <v>322304</v>
      </c>
      <c r="B577" t="s">
        <v>20</v>
      </c>
      <c r="C577">
        <v>2015</v>
      </c>
      <c r="D577">
        <v>6</v>
      </c>
      <c r="E577" t="s">
        <v>43</v>
      </c>
      <c r="F577" t="s">
        <v>5</v>
      </c>
      <c r="G577" t="s">
        <v>5</v>
      </c>
      <c r="H577">
        <v>29797.040000000001</v>
      </c>
      <c r="I577">
        <v>8809.32</v>
      </c>
      <c r="J577">
        <v>0</v>
      </c>
    </row>
    <row r="578" spans="1:10" x14ac:dyDescent="0.35">
      <c r="A578">
        <v>322318</v>
      </c>
      <c r="B578" t="s">
        <v>20</v>
      </c>
      <c r="C578">
        <v>2015</v>
      </c>
      <c r="D578">
        <v>9</v>
      </c>
      <c r="E578" t="s">
        <v>42</v>
      </c>
      <c r="F578" t="s">
        <v>5</v>
      </c>
      <c r="G578" t="s">
        <v>5</v>
      </c>
      <c r="H578">
        <v>23156.12</v>
      </c>
      <c r="I578">
        <v>8125.76</v>
      </c>
      <c r="J578">
        <v>0</v>
      </c>
    </row>
    <row r="579" spans="1:10" x14ac:dyDescent="0.35">
      <c r="A579">
        <v>322319</v>
      </c>
      <c r="B579" t="s">
        <v>20</v>
      </c>
      <c r="C579">
        <v>2015</v>
      </c>
      <c r="D579">
        <v>9</v>
      </c>
      <c r="E579" t="s">
        <v>42</v>
      </c>
      <c r="F579" t="s">
        <v>5</v>
      </c>
      <c r="G579" t="s">
        <v>5</v>
      </c>
      <c r="H579">
        <v>15050.92</v>
      </c>
      <c r="I579">
        <v>4293.3999999999996</v>
      </c>
      <c r="J579">
        <v>0</v>
      </c>
    </row>
    <row r="580" spans="1:10" x14ac:dyDescent="0.35">
      <c r="A580">
        <v>322322</v>
      </c>
      <c r="B580" t="s">
        <v>20</v>
      </c>
      <c r="C580">
        <v>2015</v>
      </c>
      <c r="D580">
        <v>9</v>
      </c>
      <c r="E580" t="s">
        <v>42</v>
      </c>
      <c r="F580" t="s">
        <v>5</v>
      </c>
      <c r="G580" t="s">
        <v>5</v>
      </c>
      <c r="H580">
        <v>5445.42</v>
      </c>
      <c r="I580">
        <v>1802.42</v>
      </c>
      <c r="J580">
        <v>0</v>
      </c>
    </row>
    <row r="581" spans="1:10" x14ac:dyDescent="0.35">
      <c r="A581">
        <v>322326</v>
      </c>
      <c r="B581" t="s">
        <v>20</v>
      </c>
      <c r="C581">
        <v>2015</v>
      </c>
      <c r="D581">
        <v>9</v>
      </c>
      <c r="E581" t="s">
        <v>42</v>
      </c>
      <c r="F581" t="s">
        <v>5</v>
      </c>
      <c r="G581" t="s">
        <v>5</v>
      </c>
      <c r="H581">
        <v>38661.9</v>
      </c>
      <c r="I581">
        <v>11540.14</v>
      </c>
      <c r="J581">
        <v>0</v>
      </c>
    </row>
    <row r="582" spans="1:10" x14ac:dyDescent="0.35">
      <c r="A582">
        <v>322329</v>
      </c>
      <c r="B582" t="s">
        <v>20</v>
      </c>
      <c r="C582">
        <v>2015</v>
      </c>
      <c r="D582">
        <v>9</v>
      </c>
      <c r="E582" t="s">
        <v>42</v>
      </c>
      <c r="F582" t="s">
        <v>5</v>
      </c>
      <c r="G582" t="s">
        <v>5</v>
      </c>
      <c r="H582">
        <v>60547.14</v>
      </c>
      <c r="I582">
        <v>15014.46</v>
      </c>
      <c r="J582">
        <v>0</v>
      </c>
    </row>
    <row r="583" spans="1:10" x14ac:dyDescent="0.35">
      <c r="A583">
        <v>322331</v>
      </c>
      <c r="B583" t="s">
        <v>20</v>
      </c>
      <c r="C583">
        <v>2015</v>
      </c>
      <c r="D583">
        <v>9</v>
      </c>
      <c r="E583" t="s">
        <v>42</v>
      </c>
      <c r="F583" t="s">
        <v>5</v>
      </c>
      <c r="G583" t="s">
        <v>5</v>
      </c>
      <c r="H583">
        <v>56684.36</v>
      </c>
      <c r="I583">
        <v>30483.34</v>
      </c>
      <c r="J583">
        <v>0</v>
      </c>
    </row>
    <row r="584" spans="1:10" x14ac:dyDescent="0.35">
      <c r="A584">
        <v>322336</v>
      </c>
      <c r="B584" t="s">
        <v>20</v>
      </c>
      <c r="C584">
        <v>2015</v>
      </c>
      <c r="D584">
        <v>9</v>
      </c>
      <c r="E584" t="s">
        <v>42</v>
      </c>
      <c r="F584" t="s">
        <v>5</v>
      </c>
      <c r="G584" t="s">
        <v>5</v>
      </c>
      <c r="H584">
        <v>78087.12</v>
      </c>
      <c r="I584">
        <v>61747.59</v>
      </c>
      <c r="J584">
        <v>0</v>
      </c>
    </row>
    <row r="585" spans="1:10" x14ac:dyDescent="0.35">
      <c r="A585">
        <v>322338</v>
      </c>
      <c r="B585" t="s">
        <v>20</v>
      </c>
      <c r="C585">
        <v>2015</v>
      </c>
      <c r="D585">
        <v>9</v>
      </c>
      <c r="E585" t="s">
        <v>42</v>
      </c>
      <c r="F585" t="s">
        <v>5</v>
      </c>
      <c r="G585" t="s">
        <v>5</v>
      </c>
      <c r="H585">
        <v>19025.900000000001</v>
      </c>
      <c r="I585">
        <v>4714.88</v>
      </c>
      <c r="J585">
        <v>0</v>
      </c>
    </row>
    <row r="586" spans="1:10" x14ac:dyDescent="0.35">
      <c r="A586">
        <v>322340</v>
      </c>
      <c r="B586" t="s">
        <v>20</v>
      </c>
      <c r="C586">
        <v>2015</v>
      </c>
      <c r="D586">
        <v>9</v>
      </c>
      <c r="E586" t="s">
        <v>42</v>
      </c>
      <c r="F586" t="s">
        <v>5</v>
      </c>
      <c r="G586" t="s">
        <v>5</v>
      </c>
      <c r="H586">
        <v>58967.66</v>
      </c>
      <c r="I586">
        <v>45389.59</v>
      </c>
      <c r="J586">
        <v>0</v>
      </c>
    </row>
    <row r="587" spans="1:10" x14ac:dyDescent="0.35">
      <c r="A587">
        <v>322345</v>
      </c>
      <c r="B587" t="s">
        <v>20</v>
      </c>
      <c r="C587">
        <v>2015</v>
      </c>
      <c r="D587">
        <v>9</v>
      </c>
      <c r="E587" t="s">
        <v>42</v>
      </c>
      <c r="F587" t="s">
        <v>5</v>
      </c>
      <c r="G587" t="s">
        <v>5</v>
      </c>
      <c r="H587">
        <v>81534.759999999995</v>
      </c>
      <c r="I587">
        <v>59398.559999999998</v>
      </c>
      <c r="J587">
        <v>0</v>
      </c>
    </row>
    <row r="588" spans="1:10" x14ac:dyDescent="0.35">
      <c r="A588">
        <v>322356</v>
      </c>
      <c r="B588" t="s">
        <v>20</v>
      </c>
      <c r="C588">
        <v>2015</v>
      </c>
      <c r="D588">
        <v>9</v>
      </c>
      <c r="E588" t="s">
        <v>42</v>
      </c>
      <c r="F588" t="s">
        <v>5</v>
      </c>
      <c r="G588" t="s">
        <v>5</v>
      </c>
      <c r="H588">
        <v>19677.54</v>
      </c>
      <c r="I588">
        <v>11547.46</v>
      </c>
      <c r="J588">
        <v>0</v>
      </c>
    </row>
    <row r="589" spans="1:10" x14ac:dyDescent="0.35">
      <c r="A589">
        <v>322359</v>
      </c>
      <c r="B589" t="s">
        <v>20</v>
      </c>
      <c r="C589">
        <v>2015</v>
      </c>
      <c r="D589">
        <v>9</v>
      </c>
      <c r="E589" t="s">
        <v>42</v>
      </c>
      <c r="F589" t="s">
        <v>5</v>
      </c>
      <c r="G589" t="s">
        <v>5</v>
      </c>
      <c r="H589">
        <v>20205.62</v>
      </c>
      <c r="I589">
        <v>5354.76</v>
      </c>
      <c r="J589">
        <v>0</v>
      </c>
    </row>
    <row r="590" spans="1:10" x14ac:dyDescent="0.35">
      <c r="A590">
        <v>322362</v>
      </c>
      <c r="B590" t="s">
        <v>20</v>
      </c>
      <c r="C590">
        <v>2015</v>
      </c>
      <c r="D590">
        <v>6</v>
      </c>
      <c r="E590" t="s">
        <v>43</v>
      </c>
      <c r="F590" t="s">
        <v>5</v>
      </c>
      <c r="G590" t="s">
        <v>5</v>
      </c>
      <c r="H590">
        <v>12952.56</v>
      </c>
      <c r="I590">
        <v>3832.38</v>
      </c>
      <c r="J590">
        <v>0</v>
      </c>
    </row>
    <row r="591" spans="1:10" x14ac:dyDescent="0.35">
      <c r="A591">
        <v>322363</v>
      </c>
      <c r="B591" t="s">
        <v>20</v>
      </c>
      <c r="C591">
        <v>2015</v>
      </c>
      <c r="D591">
        <v>6</v>
      </c>
      <c r="E591" t="s">
        <v>43</v>
      </c>
      <c r="F591" t="s">
        <v>5</v>
      </c>
      <c r="G591" t="s">
        <v>5</v>
      </c>
      <c r="H591">
        <v>39574.93</v>
      </c>
      <c r="I591">
        <v>27191.02</v>
      </c>
      <c r="J591">
        <v>0</v>
      </c>
    </row>
    <row r="592" spans="1:10" x14ac:dyDescent="0.35">
      <c r="A592">
        <v>322375</v>
      </c>
      <c r="B592" t="s">
        <v>20</v>
      </c>
      <c r="C592">
        <v>2015</v>
      </c>
      <c r="D592">
        <v>9</v>
      </c>
      <c r="E592" t="s">
        <v>42</v>
      </c>
      <c r="F592" t="s">
        <v>5</v>
      </c>
      <c r="G592" t="s">
        <v>5</v>
      </c>
      <c r="H592">
        <v>26321.78</v>
      </c>
      <c r="I592">
        <v>6721.26</v>
      </c>
      <c r="J592">
        <v>0</v>
      </c>
    </row>
    <row r="593" spans="1:10" x14ac:dyDescent="0.35">
      <c r="A593">
        <v>322382</v>
      </c>
      <c r="B593" t="s">
        <v>20</v>
      </c>
      <c r="C593">
        <v>2015</v>
      </c>
      <c r="D593">
        <v>6</v>
      </c>
      <c r="E593" t="s">
        <v>43</v>
      </c>
      <c r="F593" t="s">
        <v>5</v>
      </c>
      <c r="G593" t="s">
        <v>5</v>
      </c>
      <c r="H593">
        <v>15197.12</v>
      </c>
      <c r="I593">
        <v>5004.87</v>
      </c>
      <c r="J593">
        <v>0</v>
      </c>
    </row>
    <row r="594" spans="1:10" x14ac:dyDescent="0.35">
      <c r="A594">
        <v>322386</v>
      </c>
      <c r="B594" t="s">
        <v>20</v>
      </c>
      <c r="C594">
        <v>2015</v>
      </c>
      <c r="D594">
        <v>9</v>
      </c>
      <c r="E594" t="s">
        <v>42</v>
      </c>
      <c r="F594" t="s">
        <v>5</v>
      </c>
      <c r="G594" t="s">
        <v>5</v>
      </c>
      <c r="H594">
        <v>5135.99</v>
      </c>
      <c r="I594">
        <v>6272.73</v>
      </c>
      <c r="J594">
        <v>1</v>
      </c>
    </row>
    <row r="595" spans="1:10" x14ac:dyDescent="0.35">
      <c r="A595">
        <v>322387</v>
      </c>
      <c r="B595" t="s">
        <v>20</v>
      </c>
      <c r="C595">
        <v>2015</v>
      </c>
      <c r="D595">
        <v>9</v>
      </c>
      <c r="E595" t="s">
        <v>42</v>
      </c>
      <c r="F595" t="s">
        <v>5</v>
      </c>
      <c r="G595" t="s">
        <v>5</v>
      </c>
      <c r="H595">
        <v>34681.839999999997</v>
      </c>
      <c r="I595">
        <v>7068.81</v>
      </c>
      <c r="J595">
        <v>0</v>
      </c>
    </row>
    <row r="596" spans="1:10" x14ac:dyDescent="0.35">
      <c r="A596">
        <v>322388</v>
      </c>
      <c r="B596" t="s">
        <v>20</v>
      </c>
      <c r="C596">
        <v>2015</v>
      </c>
      <c r="D596">
        <v>6</v>
      </c>
      <c r="E596" t="s">
        <v>43</v>
      </c>
      <c r="F596" t="s">
        <v>5</v>
      </c>
      <c r="G596" t="s">
        <v>5</v>
      </c>
      <c r="H596">
        <v>67080.66</v>
      </c>
      <c r="I596">
        <v>25808.21</v>
      </c>
      <c r="J596">
        <v>0</v>
      </c>
    </row>
    <row r="597" spans="1:10" x14ac:dyDescent="0.35">
      <c r="A597">
        <v>322389</v>
      </c>
      <c r="B597" t="s">
        <v>20</v>
      </c>
      <c r="C597">
        <v>2015</v>
      </c>
      <c r="D597">
        <v>9</v>
      </c>
      <c r="E597" t="s">
        <v>42</v>
      </c>
      <c r="F597" t="s">
        <v>5</v>
      </c>
      <c r="G597" t="s">
        <v>5</v>
      </c>
      <c r="H597">
        <v>77141.960000000006</v>
      </c>
      <c r="I597">
        <v>59147.71</v>
      </c>
      <c r="J597">
        <v>0</v>
      </c>
    </row>
    <row r="598" spans="1:10" x14ac:dyDescent="0.35">
      <c r="A598">
        <v>322393</v>
      </c>
      <c r="B598" t="s">
        <v>20</v>
      </c>
      <c r="C598">
        <v>2015</v>
      </c>
      <c r="D598">
        <v>6</v>
      </c>
      <c r="E598" t="s">
        <v>43</v>
      </c>
      <c r="F598" t="s">
        <v>5</v>
      </c>
      <c r="G598" t="s">
        <v>5</v>
      </c>
      <c r="H598">
        <v>9940.2000000000007</v>
      </c>
      <c r="I598">
        <v>2211.2399999999998</v>
      </c>
      <c r="J598">
        <v>0</v>
      </c>
    </row>
    <row r="599" spans="1:10" x14ac:dyDescent="0.35">
      <c r="A599">
        <v>322395</v>
      </c>
      <c r="B599" t="s">
        <v>20</v>
      </c>
      <c r="C599">
        <v>2015</v>
      </c>
      <c r="D599">
        <v>6</v>
      </c>
      <c r="E599" t="s">
        <v>43</v>
      </c>
      <c r="F599" t="s">
        <v>5</v>
      </c>
      <c r="G599" t="s">
        <v>5</v>
      </c>
      <c r="H599">
        <v>17026.5</v>
      </c>
      <c r="I599">
        <v>4223.25</v>
      </c>
      <c r="J599">
        <v>0</v>
      </c>
    </row>
    <row r="600" spans="1:10" x14ac:dyDescent="0.35">
      <c r="A600">
        <v>322397</v>
      </c>
      <c r="B600" t="s">
        <v>20</v>
      </c>
      <c r="C600">
        <v>2015</v>
      </c>
      <c r="D600">
        <v>6</v>
      </c>
      <c r="E600" t="s">
        <v>43</v>
      </c>
      <c r="F600" t="s">
        <v>5</v>
      </c>
      <c r="G600" t="s">
        <v>5</v>
      </c>
      <c r="H600">
        <v>12570.82</v>
      </c>
      <c r="I600">
        <v>4013.76</v>
      </c>
      <c r="J600">
        <v>0</v>
      </c>
    </row>
    <row r="601" spans="1:10" x14ac:dyDescent="0.35">
      <c r="A601">
        <v>322400</v>
      </c>
      <c r="B601" t="s">
        <v>20</v>
      </c>
      <c r="C601">
        <v>2015</v>
      </c>
      <c r="D601">
        <v>6</v>
      </c>
      <c r="E601" t="s">
        <v>43</v>
      </c>
      <c r="F601" t="s">
        <v>5</v>
      </c>
      <c r="G601" t="s">
        <v>5</v>
      </c>
      <c r="H601">
        <v>67282.02</v>
      </c>
      <c r="I601">
        <v>49114.53</v>
      </c>
      <c r="J601">
        <v>0</v>
      </c>
    </row>
    <row r="602" spans="1:10" x14ac:dyDescent="0.35">
      <c r="A602">
        <v>322409</v>
      </c>
      <c r="B602" t="s">
        <v>20</v>
      </c>
      <c r="C602">
        <v>2015</v>
      </c>
      <c r="D602">
        <v>9</v>
      </c>
      <c r="E602" t="s">
        <v>42</v>
      </c>
      <c r="F602" t="s">
        <v>5</v>
      </c>
      <c r="G602" t="s">
        <v>5</v>
      </c>
      <c r="H602">
        <v>34585.160000000003</v>
      </c>
      <c r="I602">
        <v>11711.17</v>
      </c>
      <c r="J602">
        <v>0</v>
      </c>
    </row>
    <row r="603" spans="1:10" x14ac:dyDescent="0.35">
      <c r="A603">
        <v>322417</v>
      </c>
      <c r="B603" t="s">
        <v>20</v>
      </c>
      <c r="C603">
        <v>2015</v>
      </c>
      <c r="D603">
        <v>6</v>
      </c>
      <c r="E603" t="s">
        <v>43</v>
      </c>
      <c r="F603" t="s">
        <v>5</v>
      </c>
      <c r="G603" t="s">
        <v>5</v>
      </c>
      <c r="H603">
        <v>74062.460000000006</v>
      </c>
      <c r="I603">
        <v>55579.95</v>
      </c>
      <c r="J603">
        <v>0</v>
      </c>
    </row>
    <row r="604" spans="1:10" x14ac:dyDescent="0.35">
      <c r="A604">
        <v>322418</v>
      </c>
      <c r="B604" t="s">
        <v>20</v>
      </c>
      <c r="C604">
        <v>2015</v>
      </c>
      <c r="D604">
        <v>9</v>
      </c>
      <c r="E604" t="s">
        <v>42</v>
      </c>
      <c r="F604" t="s">
        <v>5</v>
      </c>
      <c r="G604" t="s">
        <v>5</v>
      </c>
      <c r="H604">
        <v>10764.64</v>
      </c>
      <c r="I604">
        <v>2495.64</v>
      </c>
      <c r="J604">
        <v>0</v>
      </c>
    </row>
    <row r="605" spans="1:10" x14ac:dyDescent="0.35">
      <c r="A605">
        <v>322422</v>
      </c>
      <c r="B605" t="s">
        <v>20</v>
      </c>
      <c r="C605">
        <v>2015</v>
      </c>
      <c r="D605">
        <v>6</v>
      </c>
      <c r="E605" t="s">
        <v>43</v>
      </c>
      <c r="F605" t="s">
        <v>5</v>
      </c>
      <c r="G605" t="s">
        <v>5</v>
      </c>
      <c r="H605">
        <v>27933.94</v>
      </c>
      <c r="I605">
        <v>8649.06</v>
      </c>
      <c r="J605">
        <v>0</v>
      </c>
    </row>
    <row r="606" spans="1:10" x14ac:dyDescent="0.35">
      <c r="A606">
        <v>322437</v>
      </c>
      <c r="B606" t="s">
        <v>20</v>
      </c>
      <c r="C606">
        <v>2015</v>
      </c>
      <c r="D606">
        <v>9</v>
      </c>
      <c r="E606" t="s">
        <v>42</v>
      </c>
      <c r="F606" t="s">
        <v>5</v>
      </c>
      <c r="G606" t="s">
        <v>5</v>
      </c>
      <c r="H606">
        <v>60684.4</v>
      </c>
      <c r="I606">
        <v>43914.97</v>
      </c>
      <c r="J606">
        <v>0</v>
      </c>
    </row>
    <row r="607" spans="1:10" x14ac:dyDescent="0.35">
      <c r="A607">
        <v>322439</v>
      </c>
      <c r="B607" t="s">
        <v>20</v>
      </c>
      <c r="C607">
        <v>2015</v>
      </c>
      <c r="D607">
        <v>9</v>
      </c>
      <c r="E607" t="s">
        <v>42</v>
      </c>
      <c r="F607" t="s">
        <v>5</v>
      </c>
      <c r="G607" t="s">
        <v>5</v>
      </c>
      <c r="H607">
        <v>20627.96</v>
      </c>
      <c r="I607">
        <v>6154.49</v>
      </c>
      <c r="J607">
        <v>0</v>
      </c>
    </row>
    <row r="608" spans="1:10" x14ac:dyDescent="0.35">
      <c r="A608">
        <v>322444</v>
      </c>
      <c r="B608" t="s">
        <v>20</v>
      </c>
      <c r="C608">
        <v>2015</v>
      </c>
      <c r="D608">
        <v>9</v>
      </c>
      <c r="E608" t="s">
        <v>42</v>
      </c>
      <c r="F608" t="s">
        <v>5</v>
      </c>
      <c r="G608" t="s">
        <v>5</v>
      </c>
      <c r="H608">
        <v>16223.84</v>
      </c>
      <c r="I608">
        <v>4575.45</v>
      </c>
      <c r="J608">
        <v>0</v>
      </c>
    </row>
    <row r="609" spans="1:10" x14ac:dyDescent="0.35">
      <c r="A609">
        <v>322459</v>
      </c>
      <c r="B609" t="s">
        <v>20</v>
      </c>
      <c r="C609">
        <v>2015</v>
      </c>
      <c r="D609">
        <v>6</v>
      </c>
      <c r="E609" t="s">
        <v>43</v>
      </c>
      <c r="F609" t="s">
        <v>5</v>
      </c>
      <c r="G609" t="s">
        <v>5</v>
      </c>
      <c r="H609">
        <v>61338.2</v>
      </c>
      <c r="I609">
        <v>18315.87</v>
      </c>
      <c r="J609">
        <v>0</v>
      </c>
    </row>
    <row r="610" spans="1:10" x14ac:dyDescent="0.35">
      <c r="A610">
        <v>322467</v>
      </c>
      <c r="B610" t="s">
        <v>20</v>
      </c>
      <c r="C610">
        <v>2015</v>
      </c>
      <c r="D610">
        <v>9</v>
      </c>
      <c r="E610" t="s">
        <v>42</v>
      </c>
      <c r="F610" t="s">
        <v>5</v>
      </c>
      <c r="G610" t="s">
        <v>5</v>
      </c>
      <c r="H610">
        <v>28801.82</v>
      </c>
      <c r="I610">
        <v>11611.57</v>
      </c>
      <c r="J610">
        <v>0</v>
      </c>
    </row>
    <row r="611" spans="1:10" x14ac:dyDescent="0.35">
      <c r="A611">
        <v>322478</v>
      </c>
      <c r="B611" t="s">
        <v>20</v>
      </c>
      <c r="C611">
        <v>2015</v>
      </c>
      <c r="D611">
        <v>9</v>
      </c>
      <c r="E611" t="s">
        <v>42</v>
      </c>
      <c r="F611" t="s">
        <v>5</v>
      </c>
      <c r="G611" t="s">
        <v>5</v>
      </c>
      <c r="H611">
        <v>28797.84</v>
      </c>
      <c r="I611">
        <v>20044.45</v>
      </c>
      <c r="J611">
        <v>0</v>
      </c>
    </row>
    <row r="612" spans="1:10" x14ac:dyDescent="0.35">
      <c r="A612">
        <v>322480</v>
      </c>
      <c r="B612" t="s">
        <v>20</v>
      </c>
      <c r="C612">
        <v>2015</v>
      </c>
      <c r="D612">
        <v>9</v>
      </c>
      <c r="E612" t="s">
        <v>42</v>
      </c>
      <c r="F612" t="s">
        <v>5</v>
      </c>
      <c r="G612" t="s">
        <v>5</v>
      </c>
      <c r="H612">
        <v>22960.36</v>
      </c>
      <c r="I612">
        <v>9422.75</v>
      </c>
      <c r="J612">
        <v>0</v>
      </c>
    </row>
    <row r="613" spans="1:10" x14ac:dyDescent="0.35">
      <c r="A613">
        <v>322482</v>
      </c>
      <c r="B613" t="s">
        <v>20</v>
      </c>
      <c r="C613">
        <v>2015</v>
      </c>
      <c r="D613">
        <v>6</v>
      </c>
      <c r="E613" t="s">
        <v>43</v>
      </c>
      <c r="F613" t="s">
        <v>5</v>
      </c>
      <c r="G613" t="s">
        <v>5</v>
      </c>
      <c r="H613">
        <v>12905.6</v>
      </c>
      <c r="I613">
        <v>3009.82</v>
      </c>
      <c r="J613">
        <v>0</v>
      </c>
    </row>
    <row r="614" spans="1:10" x14ac:dyDescent="0.35">
      <c r="A614">
        <v>322484</v>
      </c>
      <c r="B614" t="s">
        <v>20</v>
      </c>
      <c r="C614">
        <v>2015</v>
      </c>
      <c r="D614">
        <v>6</v>
      </c>
      <c r="E614" t="s">
        <v>43</v>
      </c>
      <c r="F614" t="s">
        <v>5</v>
      </c>
      <c r="G614" t="s">
        <v>5</v>
      </c>
      <c r="H614">
        <v>43149.74</v>
      </c>
      <c r="I614">
        <v>14016.96</v>
      </c>
      <c r="J614">
        <v>0</v>
      </c>
    </row>
    <row r="615" spans="1:10" x14ac:dyDescent="0.35">
      <c r="A615">
        <v>322486</v>
      </c>
      <c r="B615" t="s">
        <v>20</v>
      </c>
      <c r="C615">
        <v>2015</v>
      </c>
      <c r="D615">
        <v>9</v>
      </c>
      <c r="E615" t="s">
        <v>42</v>
      </c>
      <c r="F615" t="s">
        <v>5</v>
      </c>
      <c r="G615" t="s">
        <v>5</v>
      </c>
      <c r="H615">
        <v>22779.14</v>
      </c>
      <c r="I615">
        <v>5872.43</v>
      </c>
      <c r="J615">
        <v>0</v>
      </c>
    </row>
    <row r="616" spans="1:10" x14ac:dyDescent="0.35">
      <c r="A616">
        <v>322490</v>
      </c>
      <c r="B616" t="s">
        <v>20</v>
      </c>
      <c r="C616">
        <v>2015</v>
      </c>
      <c r="D616">
        <v>9</v>
      </c>
      <c r="E616" t="s">
        <v>42</v>
      </c>
      <c r="F616" t="s">
        <v>5</v>
      </c>
      <c r="G616" t="s">
        <v>5</v>
      </c>
      <c r="H616">
        <v>19891.72</v>
      </c>
      <c r="I616">
        <v>6615.38</v>
      </c>
      <c r="J616">
        <v>0</v>
      </c>
    </row>
    <row r="617" spans="1:10" x14ac:dyDescent="0.35">
      <c r="A617">
        <v>322504</v>
      </c>
      <c r="B617" t="s">
        <v>20</v>
      </c>
      <c r="C617">
        <v>2015</v>
      </c>
      <c r="D617">
        <v>9</v>
      </c>
      <c r="E617" t="s">
        <v>42</v>
      </c>
      <c r="F617" t="s">
        <v>5</v>
      </c>
      <c r="G617" t="s">
        <v>5</v>
      </c>
      <c r="H617">
        <v>20517.46</v>
      </c>
      <c r="I617">
        <v>5177.29</v>
      </c>
      <c r="J617">
        <v>0</v>
      </c>
    </row>
    <row r="618" spans="1:10" x14ac:dyDescent="0.35">
      <c r="A618">
        <v>322506</v>
      </c>
      <c r="B618" t="s">
        <v>20</v>
      </c>
      <c r="C618">
        <v>2015</v>
      </c>
      <c r="D618">
        <v>6</v>
      </c>
      <c r="E618" t="s">
        <v>43</v>
      </c>
      <c r="F618" t="s">
        <v>5</v>
      </c>
      <c r="G618" t="s">
        <v>5</v>
      </c>
      <c r="H618">
        <v>65736.22</v>
      </c>
      <c r="I618">
        <v>47460.45</v>
      </c>
      <c r="J618">
        <v>0</v>
      </c>
    </row>
    <row r="619" spans="1:10" x14ac:dyDescent="0.35">
      <c r="A619">
        <v>322510</v>
      </c>
      <c r="B619" t="s">
        <v>20</v>
      </c>
      <c r="C619">
        <v>2015</v>
      </c>
      <c r="D619">
        <v>6</v>
      </c>
      <c r="E619" t="s">
        <v>43</v>
      </c>
      <c r="F619" t="s">
        <v>5</v>
      </c>
      <c r="G619" t="s">
        <v>5</v>
      </c>
      <c r="H619">
        <v>10796.5</v>
      </c>
      <c r="I619">
        <v>3152.21</v>
      </c>
      <c r="J619">
        <v>0</v>
      </c>
    </row>
    <row r="620" spans="1:10" x14ac:dyDescent="0.35">
      <c r="A620">
        <v>322511</v>
      </c>
      <c r="B620" t="s">
        <v>20</v>
      </c>
      <c r="C620">
        <v>2015</v>
      </c>
      <c r="D620">
        <v>6</v>
      </c>
      <c r="E620" t="s">
        <v>43</v>
      </c>
      <c r="F620" t="s">
        <v>5</v>
      </c>
      <c r="G620" t="s">
        <v>5</v>
      </c>
      <c r="H620">
        <v>5063.45</v>
      </c>
      <c r="I620">
        <v>3828.54</v>
      </c>
      <c r="J620">
        <v>0</v>
      </c>
    </row>
    <row r="621" spans="1:10" x14ac:dyDescent="0.35">
      <c r="A621">
        <v>322521</v>
      </c>
      <c r="B621" t="s">
        <v>20</v>
      </c>
      <c r="C621">
        <v>2015</v>
      </c>
      <c r="D621">
        <v>6</v>
      </c>
      <c r="E621" t="s">
        <v>43</v>
      </c>
      <c r="F621" t="s">
        <v>5</v>
      </c>
      <c r="G621" t="s">
        <v>5</v>
      </c>
      <c r="H621">
        <v>54508.9</v>
      </c>
      <c r="I621">
        <v>16916.36</v>
      </c>
      <c r="J621">
        <v>0</v>
      </c>
    </row>
    <row r="622" spans="1:10" x14ac:dyDescent="0.35">
      <c r="A622">
        <v>322524</v>
      </c>
      <c r="B622" t="s">
        <v>20</v>
      </c>
      <c r="C622">
        <v>2015</v>
      </c>
      <c r="D622">
        <v>9</v>
      </c>
      <c r="E622" t="s">
        <v>42</v>
      </c>
      <c r="F622" t="s">
        <v>5</v>
      </c>
      <c r="G622" t="s">
        <v>5</v>
      </c>
      <c r="H622">
        <v>60891.08</v>
      </c>
      <c r="I622">
        <v>42220.72</v>
      </c>
      <c r="J622">
        <v>0</v>
      </c>
    </row>
    <row r="623" spans="1:10" x14ac:dyDescent="0.35">
      <c r="A623">
        <v>322530</v>
      </c>
      <c r="B623" t="s">
        <v>20</v>
      </c>
      <c r="C623">
        <v>2015</v>
      </c>
      <c r="D623">
        <v>9</v>
      </c>
      <c r="E623" t="s">
        <v>42</v>
      </c>
      <c r="F623" t="s">
        <v>5</v>
      </c>
      <c r="G623" t="s">
        <v>5</v>
      </c>
      <c r="H623">
        <v>9623.9599999999991</v>
      </c>
      <c r="I623">
        <v>2638.77</v>
      </c>
      <c r="J623">
        <v>0</v>
      </c>
    </row>
    <row r="624" spans="1:10" x14ac:dyDescent="0.35">
      <c r="A624">
        <v>322532</v>
      </c>
      <c r="B624" t="s">
        <v>20</v>
      </c>
      <c r="C624">
        <v>2015</v>
      </c>
      <c r="D624">
        <v>9</v>
      </c>
      <c r="E624" t="s">
        <v>42</v>
      </c>
      <c r="F624" t="s">
        <v>5</v>
      </c>
      <c r="G624" t="s">
        <v>5</v>
      </c>
      <c r="H624">
        <v>78451.539999999994</v>
      </c>
      <c r="I624">
        <v>61782.71</v>
      </c>
      <c r="J624">
        <v>0</v>
      </c>
    </row>
    <row r="625" spans="1:10" x14ac:dyDescent="0.35">
      <c r="A625">
        <v>322535</v>
      </c>
      <c r="B625" t="s">
        <v>20</v>
      </c>
      <c r="C625">
        <v>2015</v>
      </c>
      <c r="D625">
        <v>6</v>
      </c>
      <c r="E625" t="s">
        <v>43</v>
      </c>
      <c r="F625" t="s">
        <v>5</v>
      </c>
      <c r="G625" t="s">
        <v>5</v>
      </c>
      <c r="H625">
        <v>53428.5</v>
      </c>
      <c r="I625">
        <v>42980.84</v>
      </c>
      <c r="J625">
        <v>0</v>
      </c>
    </row>
    <row r="626" spans="1:10" x14ac:dyDescent="0.35">
      <c r="A626">
        <v>322544</v>
      </c>
      <c r="B626" t="s">
        <v>20</v>
      </c>
      <c r="C626">
        <v>2015</v>
      </c>
      <c r="D626">
        <v>6</v>
      </c>
      <c r="E626" t="s">
        <v>43</v>
      </c>
      <c r="F626" t="s">
        <v>5</v>
      </c>
      <c r="G626" t="s">
        <v>5</v>
      </c>
      <c r="H626">
        <v>19849.04</v>
      </c>
      <c r="I626">
        <v>5915.47</v>
      </c>
      <c r="J626">
        <v>0</v>
      </c>
    </row>
    <row r="627" spans="1:10" x14ac:dyDescent="0.35">
      <c r="A627">
        <v>322548</v>
      </c>
      <c r="B627" t="s">
        <v>20</v>
      </c>
      <c r="C627">
        <v>2015</v>
      </c>
      <c r="D627">
        <v>9</v>
      </c>
      <c r="E627" t="s">
        <v>42</v>
      </c>
      <c r="F627" t="s">
        <v>5</v>
      </c>
      <c r="G627" t="s">
        <v>5</v>
      </c>
      <c r="H627">
        <v>57943.4</v>
      </c>
      <c r="I627">
        <v>44602.97</v>
      </c>
      <c r="J627">
        <v>0</v>
      </c>
    </row>
    <row r="628" spans="1:10" x14ac:dyDescent="0.35">
      <c r="A628">
        <v>322550</v>
      </c>
      <c r="B628" t="s">
        <v>20</v>
      </c>
      <c r="C628">
        <v>2015</v>
      </c>
      <c r="D628">
        <v>9</v>
      </c>
      <c r="E628" t="s">
        <v>42</v>
      </c>
      <c r="F628" t="s">
        <v>5</v>
      </c>
      <c r="G628" t="s">
        <v>5</v>
      </c>
      <c r="H628">
        <v>71396.899999999994</v>
      </c>
      <c r="I628">
        <v>54971.69</v>
      </c>
      <c r="J628">
        <v>0</v>
      </c>
    </row>
    <row r="629" spans="1:10" x14ac:dyDescent="0.35">
      <c r="A629">
        <v>322563</v>
      </c>
      <c r="B629" t="s">
        <v>20</v>
      </c>
      <c r="C629">
        <v>2015</v>
      </c>
      <c r="D629">
        <v>6</v>
      </c>
      <c r="E629" t="s">
        <v>43</v>
      </c>
      <c r="F629" t="s">
        <v>5</v>
      </c>
      <c r="G629" t="s">
        <v>5</v>
      </c>
      <c r="H629">
        <v>25137.86</v>
      </c>
      <c r="I629">
        <v>6674.07</v>
      </c>
      <c r="J629">
        <v>0</v>
      </c>
    </row>
    <row r="630" spans="1:10" x14ac:dyDescent="0.35">
      <c r="A630">
        <v>322566</v>
      </c>
      <c r="B630" t="s">
        <v>20</v>
      </c>
      <c r="C630">
        <v>2015</v>
      </c>
      <c r="D630">
        <v>6</v>
      </c>
      <c r="E630" t="s">
        <v>43</v>
      </c>
      <c r="F630" t="s">
        <v>5</v>
      </c>
      <c r="G630" t="s">
        <v>5</v>
      </c>
      <c r="H630">
        <v>16254.66</v>
      </c>
      <c r="I630">
        <v>4916.91</v>
      </c>
      <c r="J630">
        <v>0</v>
      </c>
    </row>
    <row r="631" spans="1:10" x14ac:dyDescent="0.35">
      <c r="A631">
        <v>322577</v>
      </c>
      <c r="B631" t="s">
        <v>20</v>
      </c>
      <c r="C631">
        <v>2015</v>
      </c>
      <c r="D631">
        <v>9</v>
      </c>
      <c r="E631" t="s">
        <v>42</v>
      </c>
      <c r="F631" t="s">
        <v>5</v>
      </c>
      <c r="G631" t="s">
        <v>5</v>
      </c>
      <c r="H631">
        <v>22096.02</v>
      </c>
      <c r="I631">
        <v>6536.9</v>
      </c>
      <c r="J631">
        <v>0</v>
      </c>
    </row>
    <row r="632" spans="1:10" x14ac:dyDescent="0.35">
      <c r="A632">
        <v>322578</v>
      </c>
      <c r="B632" t="s">
        <v>20</v>
      </c>
      <c r="C632">
        <v>2015</v>
      </c>
      <c r="D632">
        <v>9</v>
      </c>
      <c r="E632" t="s">
        <v>42</v>
      </c>
      <c r="F632" t="s">
        <v>5</v>
      </c>
      <c r="G632" t="s">
        <v>5</v>
      </c>
      <c r="H632">
        <v>24193.64</v>
      </c>
      <c r="I632">
        <v>8526.2099999999991</v>
      </c>
      <c r="J632">
        <v>0</v>
      </c>
    </row>
    <row r="633" spans="1:10" x14ac:dyDescent="0.35">
      <c r="A633">
        <v>322580</v>
      </c>
      <c r="B633" t="s">
        <v>20</v>
      </c>
      <c r="C633">
        <v>2015</v>
      </c>
      <c r="D633">
        <v>9</v>
      </c>
      <c r="E633" t="s">
        <v>42</v>
      </c>
      <c r="F633" t="s">
        <v>5</v>
      </c>
      <c r="G633" t="s">
        <v>5</v>
      </c>
      <c r="H633">
        <v>60586.66</v>
      </c>
      <c r="I633">
        <v>45719.05</v>
      </c>
      <c r="J633">
        <v>0</v>
      </c>
    </row>
    <row r="634" spans="1:10" x14ac:dyDescent="0.35">
      <c r="A634">
        <v>322583</v>
      </c>
      <c r="B634" t="s">
        <v>20</v>
      </c>
      <c r="C634">
        <v>2015</v>
      </c>
      <c r="D634">
        <v>9</v>
      </c>
      <c r="E634" t="s">
        <v>42</v>
      </c>
      <c r="F634" t="s">
        <v>5</v>
      </c>
      <c r="G634" t="s">
        <v>5</v>
      </c>
      <c r="H634">
        <v>56867.48</v>
      </c>
      <c r="I634">
        <v>32669.200000000001</v>
      </c>
      <c r="J634">
        <v>0</v>
      </c>
    </row>
    <row r="635" spans="1:10" x14ac:dyDescent="0.35">
      <c r="A635">
        <v>322586</v>
      </c>
      <c r="B635" t="s">
        <v>20</v>
      </c>
      <c r="C635">
        <v>2015</v>
      </c>
      <c r="D635">
        <v>6</v>
      </c>
      <c r="E635" t="s">
        <v>43</v>
      </c>
      <c r="F635" t="s">
        <v>5</v>
      </c>
      <c r="G635" t="s">
        <v>5</v>
      </c>
      <c r="H635">
        <v>24073</v>
      </c>
      <c r="I635">
        <v>4748.68</v>
      </c>
      <c r="J635">
        <v>0</v>
      </c>
    </row>
    <row r="636" spans="1:10" x14ac:dyDescent="0.35">
      <c r="A636">
        <v>322599</v>
      </c>
      <c r="B636" t="s">
        <v>20</v>
      </c>
      <c r="C636">
        <v>2015</v>
      </c>
      <c r="D636">
        <v>6</v>
      </c>
      <c r="E636" t="s">
        <v>43</v>
      </c>
      <c r="F636" t="s">
        <v>5</v>
      </c>
      <c r="G636" t="s">
        <v>5</v>
      </c>
      <c r="H636">
        <v>10724.78</v>
      </c>
      <c r="I636">
        <v>2652.22</v>
      </c>
      <c r="J636">
        <v>0</v>
      </c>
    </row>
    <row r="637" spans="1:10" x14ac:dyDescent="0.35">
      <c r="A637">
        <v>322606</v>
      </c>
      <c r="B637" t="s">
        <v>20</v>
      </c>
      <c r="C637">
        <v>2015</v>
      </c>
      <c r="D637">
        <v>9</v>
      </c>
      <c r="E637" t="s">
        <v>42</v>
      </c>
      <c r="F637" t="s">
        <v>5</v>
      </c>
      <c r="G637" t="s">
        <v>5</v>
      </c>
      <c r="H637">
        <v>63080.78</v>
      </c>
      <c r="I637">
        <v>45484.39</v>
      </c>
      <c r="J637">
        <v>0</v>
      </c>
    </row>
    <row r="638" spans="1:10" x14ac:dyDescent="0.35">
      <c r="A638">
        <v>322609</v>
      </c>
      <c r="B638" t="s">
        <v>20</v>
      </c>
      <c r="C638">
        <v>2015</v>
      </c>
      <c r="D638">
        <v>6</v>
      </c>
      <c r="E638" t="s">
        <v>43</v>
      </c>
      <c r="F638" t="s">
        <v>5</v>
      </c>
      <c r="G638" t="s">
        <v>5</v>
      </c>
      <c r="H638">
        <v>115079.03999999999</v>
      </c>
      <c r="I638">
        <v>90955.81</v>
      </c>
      <c r="J638">
        <v>0</v>
      </c>
    </row>
    <row r="639" spans="1:10" x14ac:dyDescent="0.35">
      <c r="A639">
        <v>322611</v>
      </c>
      <c r="B639" t="s">
        <v>20</v>
      </c>
      <c r="C639">
        <v>2015</v>
      </c>
      <c r="D639">
        <v>9</v>
      </c>
      <c r="E639" t="s">
        <v>42</v>
      </c>
      <c r="F639" t="s">
        <v>5</v>
      </c>
      <c r="G639" t="s">
        <v>5</v>
      </c>
      <c r="H639">
        <v>21769.66</v>
      </c>
      <c r="I639">
        <v>5927.98</v>
      </c>
      <c r="J639">
        <v>0</v>
      </c>
    </row>
    <row r="640" spans="1:10" x14ac:dyDescent="0.35">
      <c r="A640">
        <v>322612</v>
      </c>
      <c r="B640" t="s">
        <v>20</v>
      </c>
      <c r="C640">
        <v>2015</v>
      </c>
      <c r="D640">
        <v>9</v>
      </c>
      <c r="E640" t="s">
        <v>42</v>
      </c>
      <c r="F640" t="s">
        <v>5</v>
      </c>
      <c r="G640" t="s">
        <v>5</v>
      </c>
      <c r="H640">
        <v>20990.9</v>
      </c>
      <c r="I640">
        <v>8657.14</v>
      </c>
      <c r="J640">
        <v>0</v>
      </c>
    </row>
    <row r="641" spans="1:10" x14ac:dyDescent="0.35">
      <c r="A641">
        <v>322615</v>
      </c>
      <c r="B641" t="s">
        <v>20</v>
      </c>
      <c r="C641">
        <v>2015</v>
      </c>
      <c r="D641">
        <v>9</v>
      </c>
      <c r="E641" t="s">
        <v>42</v>
      </c>
      <c r="F641" t="s">
        <v>5</v>
      </c>
      <c r="G641" t="s">
        <v>5</v>
      </c>
      <c r="H641">
        <v>47164.7</v>
      </c>
      <c r="I641">
        <v>12811.35</v>
      </c>
      <c r="J641">
        <v>0</v>
      </c>
    </row>
    <row r="642" spans="1:10" x14ac:dyDescent="0.35">
      <c r="A642">
        <v>322617</v>
      </c>
      <c r="B642" t="s">
        <v>20</v>
      </c>
      <c r="C642">
        <v>2015</v>
      </c>
      <c r="D642">
        <v>6</v>
      </c>
      <c r="E642" t="s">
        <v>43</v>
      </c>
      <c r="F642" t="s">
        <v>5</v>
      </c>
      <c r="G642" t="s">
        <v>5</v>
      </c>
      <c r="H642">
        <v>63335.82</v>
      </c>
      <c r="I642">
        <v>44960.82</v>
      </c>
      <c r="J642">
        <v>0</v>
      </c>
    </row>
    <row r="643" spans="1:10" x14ac:dyDescent="0.35">
      <c r="A643">
        <v>322622</v>
      </c>
      <c r="B643" t="s">
        <v>20</v>
      </c>
      <c r="C643">
        <v>2015</v>
      </c>
      <c r="D643">
        <v>6</v>
      </c>
      <c r="E643" t="s">
        <v>43</v>
      </c>
      <c r="F643" t="s">
        <v>5</v>
      </c>
      <c r="G643" t="s">
        <v>5</v>
      </c>
      <c r="H643">
        <v>12800.66</v>
      </c>
      <c r="I643">
        <v>3282.64</v>
      </c>
      <c r="J643">
        <v>0</v>
      </c>
    </row>
    <row r="644" spans="1:10" x14ac:dyDescent="0.35">
      <c r="A644">
        <v>322625</v>
      </c>
      <c r="B644" t="s">
        <v>20</v>
      </c>
      <c r="C644">
        <v>2015</v>
      </c>
      <c r="D644">
        <v>9</v>
      </c>
      <c r="E644" t="s">
        <v>42</v>
      </c>
      <c r="F644" t="s">
        <v>5</v>
      </c>
      <c r="G644" t="s">
        <v>5</v>
      </c>
      <c r="H644">
        <v>71984.820000000007</v>
      </c>
      <c r="I644">
        <v>51912.77</v>
      </c>
      <c r="J644">
        <v>0</v>
      </c>
    </row>
    <row r="645" spans="1:10" x14ac:dyDescent="0.35">
      <c r="A645">
        <v>322627</v>
      </c>
      <c r="B645" t="s">
        <v>20</v>
      </c>
      <c r="C645">
        <v>2015</v>
      </c>
      <c r="D645">
        <v>9</v>
      </c>
      <c r="E645" t="s">
        <v>42</v>
      </c>
      <c r="F645" t="s">
        <v>5</v>
      </c>
      <c r="G645" t="s">
        <v>5</v>
      </c>
      <c r="H645">
        <v>12049.36</v>
      </c>
      <c r="I645">
        <v>3150.41</v>
      </c>
      <c r="J645">
        <v>0</v>
      </c>
    </row>
    <row r="646" spans="1:10" x14ac:dyDescent="0.35">
      <c r="A646">
        <v>322632</v>
      </c>
      <c r="B646" t="s">
        <v>20</v>
      </c>
      <c r="C646">
        <v>2015</v>
      </c>
      <c r="D646">
        <v>6</v>
      </c>
      <c r="E646" t="s">
        <v>43</v>
      </c>
      <c r="F646" t="s">
        <v>5</v>
      </c>
      <c r="G646" t="s">
        <v>5</v>
      </c>
      <c r="H646">
        <v>61017.52</v>
      </c>
      <c r="I646">
        <v>45823.79</v>
      </c>
      <c r="J646">
        <v>0</v>
      </c>
    </row>
    <row r="647" spans="1:10" x14ac:dyDescent="0.35">
      <c r="A647">
        <v>322638</v>
      </c>
      <c r="B647" t="s">
        <v>20</v>
      </c>
      <c r="C647">
        <v>2015</v>
      </c>
      <c r="D647">
        <v>9</v>
      </c>
      <c r="E647" t="s">
        <v>42</v>
      </c>
      <c r="F647" t="s">
        <v>5</v>
      </c>
      <c r="G647" t="s">
        <v>5</v>
      </c>
      <c r="H647">
        <v>49192.3</v>
      </c>
      <c r="I647">
        <v>18516.68</v>
      </c>
      <c r="J647">
        <v>0</v>
      </c>
    </row>
    <row r="648" spans="1:10" x14ac:dyDescent="0.35">
      <c r="A648">
        <v>322647</v>
      </c>
      <c r="B648" t="s">
        <v>20</v>
      </c>
      <c r="C648">
        <v>2015</v>
      </c>
      <c r="D648">
        <v>6</v>
      </c>
      <c r="E648" t="s">
        <v>43</v>
      </c>
      <c r="F648" t="s">
        <v>5</v>
      </c>
      <c r="G648" t="s">
        <v>5</v>
      </c>
      <c r="H648">
        <v>76974.02</v>
      </c>
      <c r="I648">
        <v>61401.95</v>
      </c>
      <c r="J648">
        <v>0</v>
      </c>
    </row>
    <row r="649" spans="1:10" x14ac:dyDescent="0.35">
      <c r="A649">
        <v>322657</v>
      </c>
      <c r="B649" t="s">
        <v>20</v>
      </c>
      <c r="C649">
        <v>2015</v>
      </c>
      <c r="D649">
        <v>9</v>
      </c>
      <c r="E649" t="s">
        <v>42</v>
      </c>
      <c r="F649" t="s">
        <v>5</v>
      </c>
      <c r="G649" t="s">
        <v>5</v>
      </c>
      <c r="H649">
        <v>21424.28</v>
      </c>
      <c r="I649">
        <v>8449.6</v>
      </c>
      <c r="J649">
        <v>0</v>
      </c>
    </row>
    <row r="650" spans="1:10" x14ac:dyDescent="0.35">
      <c r="A650">
        <v>322661</v>
      </c>
      <c r="B650" t="s">
        <v>20</v>
      </c>
      <c r="C650">
        <v>2015</v>
      </c>
      <c r="D650">
        <v>9</v>
      </c>
      <c r="E650" t="s">
        <v>42</v>
      </c>
      <c r="F650" t="s">
        <v>5</v>
      </c>
      <c r="G650" t="s">
        <v>5</v>
      </c>
      <c r="H650">
        <v>8514.2999999999993</v>
      </c>
      <c r="I650">
        <v>2340.63</v>
      </c>
      <c r="J650">
        <v>0</v>
      </c>
    </row>
    <row r="651" spans="1:10" x14ac:dyDescent="0.35">
      <c r="A651">
        <v>322670</v>
      </c>
      <c r="B651" t="s">
        <v>20</v>
      </c>
      <c r="C651">
        <v>2015</v>
      </c>
      <c r="D651">
        <v>9</v>
      </c>
      <c r="E651" t="s">
        <v>42</v>
      </c>
      <c r="F651" t="s">
        <v>5</v>
      </c>
      <c r="G651" t="s">
        <v>5</v>
      </c>
      <c r="H651">
        <v>17665.72</v>
      </c>
      <c r="I651">
        <v>3339.42</v>
      </c>
      <c r="J651">
        <v>0</v>
      </c>
    </row>
    <row r="652" spans="1:10" x14ac:dyDescent="0.35">
      <c r="A652">
        <v>322672</v>
      </c>
      <c r="B652" t="s">
        <v>20</v>
      </c>
      <c r="C652">
        <v>2015</v>
      </c>
      <c r="D652">
        <v>9</v>
      </c>
      <c r="E652" t="s">
        <v>42</v>
      </c>
      <c r="F652" t="s">
        <v>5</v>
      </c>
      <c r="G652" t="s">
        <v>5</v>
      </c>
      <c r="H652">
        <v>64971.76</v>
      </c>
      <c r="I652">
        <v>48474.67</v>
      </c>
      <c r="J652">
        <v>0</v>
      </c>
    </row>
    <row r="653" spans="1:10" x14ac:dyDescent="0.35">
      <c r="A653">
        <v>322679</v>
      </c>
      <c r="B653" t="s">
        <v>20</v>
      </c>
      <c r="C653">
        <v>2015</v>
      </c>
      <c r="D653">
        <v>9</v>
      </c>
      <c r="E653" t="s">
        <v>42</v>
      </c>
      <c r="F653" t="s">
        <v>5</v>
      </c>
      <c r="G653" t="s">
        <v>5</v>
      </c>
      <c r="H653">
        <v>31650.48</v>
      </c>
      <c r="I653">
        <v>12525.81</v>
      </c>
      <c r="J653">
        <v>0</v>
      </c>
    </row>
    <row r="654" spans="1:10" x14ac:dyDescent="0.35">
      <c r="A654">
        <v>322690</v>
      </c>
      <c r="B654" t="s">
        <v>20</v>
      </c>
      <c r="C654">
        <v>2015</v>
      </c>
      <c r="D654">
        <v>6</v>
      </c>
      <c r="E654" t="s">
        <v>43</v>
      </c>
      <c r="F654" t="s">
        <v>5</v>
      </c>
      <c r="G654" t="s">
        <v>5</v>
      </c>
      <c r="H654">
        <v>25220.1</v>
      </c>
      <c r="I654">
        <v>4894.75</v>
      </c>
      <c r="J654">
        <v>0</v>
      </c>
    </row>
    <row r="655" spans="1:10" x14ac:dyDescent="0.35">
      <c r="A655">
        <v>322698</v>
      </c>
      <c r="B655" t="s">
        <v>20</v>
      </c>
      <c r="C655">
        <v>2015</v>
      </c>
      <c r="D655">
        <v>6</v>
      </c>
      <c r="E655" t="s">
        <v>43</v>
      </c>
      <c r="F655" t="s">
        <v>5</v>
      </c>
      <c r="G655" t="s">
        <v>5</v>
      </c>
      <c r="H655">
        <v>69095.179999999993</v>
      </c>
      <c r="I655">
        <v>50642.5</v>
      </c>
      <c r="J655">
        <v>0</v>
      </c>
    </row>
    <row r="656" spans="1:10" x14ac:dyDescent="0.35">
      <c r="A656">
        <v>322705</v>
      </c>
      <c r="B656" t="s">
        <v>20</v>
      </c>
      <c r="C656">
        <v>2015</v>
      </c>
      <c r="D656">
        <v>9</v>
      </c>
      <c r="E656" t="s">
        <v>42</v>
      </c>
      <c r="F656" t="s">
        <v>5</v>
      </c>
      <c r="G656" t="s">
        <v>5</v>
      </c>
      <c r="H656">
        <v>65725.7</v>
      </c>
      <c r="I656">
        <v>48630.71</v>
      </c>
      <c r="J656">
        <v>0</v>
      </c>
    </row>
    <row r="657" spans="1:10" x14ac:dyDescent="0.35">
      <c r="A657">
        <v>322711</v>
      </c>
      <c r="B657" t="s">
        <v>20</v>
      </c>
      <c r="C657">
        <v>2015</v>
      </c>
      <c r="D657">
        <v>6</v>
      </c>
      <c r="E657" t="s">
        <v>43</v>
      </c>
      <c r="F657" t="s">
        <v>5</v>
      </c>
      <c r="G657" t="s">
        <v>5</v>
      </c>
      <c r="H657">
        <v>54011.3</v>
      </c>
      <c r="I657">
        <v>39297.03</v>
      </c>
      <c r="J657">
        <v>0</v>
      </c>
    </row>
    <row r="658" spans="1:10" x14ac:dyDescent="0.35">
      <c r="A658">
        <v>322714</v>
      </c>
      <c r="B658" t="s">
        <v>20</v>
      </c>
      <c r="C658">
        <v>2015</v>
      </c>
      <c r="D658">
        <v>6</v>
      </c>
      <c r="E658" t="s">
        <v>43</v>
      </c>
      <c r="F658" t="s">
        <v>5</v>
      </c>
      <c r="G658" t="s">
        <v>5</v>
      </c>
      <c r="H658">
        <v>41423.1</v>
      </c>
      <c r="I658">
        <v>11455.02</v>
      </c>
      <c r="J658">
        <v>0</v>
      </c>
    </row>
    <row r="659" spans="1:10" x14ac:dyDescent="0.35">
      <c r="A659">
        <v>322725</v>
      </c>
      <c r="B659" t="s">
        <v>20</v>
      </c>
      <c r="C659">
        <v>2015</v>
      </c>
      <c r="D659">
        <v>6</v>
      </c>
      <c r="E659" t="s">
        <v>43</v>
      </c>
      <c r="F659" t="s">
        <v>5</v>
      </c>
      <c r="G659" t="s">
        <v>5</v>
      </c>
      <c r="H659">
        <v>71446.94</v>
      </c>
      <c r="I659">
        <v>54213.17</v>
      </c>
      <c r="J659">
        <v>0</v>
      </c>
    </row>
    <row r="660" spans="1:10" x14ac:dyDescent="0.35">
      <c r="A660">
        <v>322726</v>
      </c>
      <c r="B660" t="s">
        <v>20</v>
      </c>
      <c r="C660">
        <v>2015</v>
      </c>
      <c r="D660">
        <v>9</v>
      </c>
      <c r="E660" t="s">
        <v>42</v>
      </c>
      <c r="F660" t="s">
        <v>5</v>
      </c>
      <c r="G660" t="s">
        <v>5</v>
      </c>
      <c r="H660">
        <v>12469.14</v>
      </c>
      <c r="I660">
        <v>2779.01</v>
      </c>
      <c r="J660">
        <v>0</v>
      </c>
    </row>
    <row r="661" spans="1:10" x14ac:dyDescent="0.35">
      <c r="A661">
        <v>322729</v>
      </c>
      <c r="B661" t="s">
        <v>20</v>
      </c>
      <c r="C661">
        <v>2015</v>
      </c>
      <c r="D661">
        <v>9</v>
      </c>
      <c r="E661" t="s">
        <v>42</v>
      </c>
      <c r="F661" t="s">
        <v>5</v>
      </c>
      <c r="G661" t="s">
        <v>5</v>
      </c>
      <c r="H661">
        <v>21141.38</v>
      </c>
      <c r="I661">
        <v>6226.37</v>
      </c>
      <c r="J661">
        <v>0</v>
      </c>
    </row>
    <row r="662" spans="1:10" x14ac:dyDescent="0.35">
      <c r="A662">
        <v>322735</v>
      </c>
      <c r="B662" t="s">
        <v>20</v>
      </c>
      <c r="C662">
        <v>2015</v>
      </c>
      <c r="D662">
        <v>9</v>
      </c>
      <c r="E662" t="s">
        <v>42</v>
      </c>
      <c r="F662" t="s">
        <v>5</v>
      </c>
      <c r="G662" t="s">
        <v>5</v>
      </c>
      <c r="H662">
        <v>38716.21</v>
      </c>
      <c r="I662">
        <v>26101.8</v>
      </c>
      <c r="J662">
        <v>0</v>
      </c>
    </row>
    <row r="663" spans="1:10" x14ac:dyDescent="0.35">
      <c r="A663">
        <v>322739</v>
      </c>
      <c r="B663" t="s">
        <v>20</v>
      </c>
      <c r="C663">
        <v>2015</v>
      </c>
      <c r="D663">
        <v>6</v>
      </c>
      <c r="E663" t="s">
        <v>43</v>
      </c>
      <c r="F663" t="s">
        <v>5</v>
      </c>
      <c r="G663" t="s">
        <v>5</v>
      </c>
      <c r="H663">
        <v>85682.4</v>
      </c>
      <c r="I663">
        <v>52568.89</v>
      </c>
      <c r="J663">
        <v>0</v>
      </c>
    </row>
    <row r="664" spans="1:10" x14ac:dyDescent="0.35">
      <c r="A664">
        <v>322747</v>
      </c>
      <c r="B664" t="s">
        <v>20</v>
      </c>
      <c r="C664">
        <v>2015</v>
      </c>
      <c r="D664">
        <v>6</v>
      </c>
      <c r="E664" t="s">
        <v>43</v>
      </c>
      <c r="F664" t="s">
        <v>5</v>
      </c>
      <c r="G664" t="s">
        <v>5</v>
      </c>
      <c r="H664">
        <v>21997.7</v>
      </c>
      <c r="I664">
        <v>5147.8900000000003</v>
      </c>
      <c r="J664">
        <v>0</v>
      </c>
    </row>
    <row r="665" spans="1:10" x14ac:dyDescent="0.35">
      <c r="A665">
        <v>322749</v>
      </c>
      <c r="B665" t="s">
        <v>20</v>
      </c>
      <c r="C665">
        <v>2015</v>
      </c>
      <c r="D665">
        <v>6</v>
      </c>
      <c r="E665" t="s">
        <v>43</v>
      </c>
      <c r="F665" t="s">
        <v>5</v>
      </c>
      <c r="G665" t="s">
        <v>5</v>
      </c>
      <c r="H665">
        <v>85460.42</v>
      </c>
      <c r="I665">
        <v>65491.73</v>
      </c>
      <c r="J665">
        <v>0</v>
      </c>
    </row>
    <row r="666" spans="1:10" x14ac:dyDescent="0.35">
      <c r="A666">
        <v>322750</v>
      </c>
      <c r="B666" t="s">
        <v>20</v>
      </c>
      <c r="C666">
        <v>2015</v>
      </c>
      <c r="D666">
        <v>9</v>
      </c>
      <c r="E666" t="s">
        <v>42</v>
      </c>
      <c r="F666" t="s">
        <v>5</v>
      </c>
      <c r="G666" t="s">
        <v>5</v>
      </c>
      <c r="H666">
        <v>19736.919999999998</v>
      </c>
      <c r="I666">
        <v>3719.17</v>
      </c>
      <c r="J666">
        <v>0</v>
      </c>
    </row>
    <row r="667" spans="1:10" x14ac:dyDescent="0.35">
      <c r="A667">
        <v>322754</v>
      </c>
      <c r="B667" t="s">
        <v>20</v>
      </c>
      <c r="C667">
        <v>2015</v>
      </c>
      <c r="D667">
        <v>9</v>
      </c>
      <c r="E667" t="s">
        <v>42</v>
      </c>
      <c r="F667" t="s">
        <v>5</v>
      </c>
      <c r="G667" t="s">
        <v>5</v>
      </c>
      <c r="H667">
        <v>32703.1</v>
      </c>
      <c r="I667">
        <v>8393.39</v>
      </c>
      <c r="J667">
        <v>0</v>
      </c>
    </row>
    <row r="668" spans="1:10" x14ac:dyDescent="0.35">
      <c r="A668">
        <v>322759</v>
      </c>
      <c r="B668" t="s">
        <v>20</v>
      </c>
      <c r="C668">
        <v>2015</v>
      </c>
      <c r="D668">
        <v>6</v>
      </c>
      <c r="E668" t="s">
        <v>43</v>
      </c>
      <c r="F668" t="s">
        <v>5</v>
      </c>
      <c r="G668" t="s">
        <v>5</v>
      </c>
      <c r="H668">
        <v>66545.56</v>
      </c>
      <c r="I668">
        <v>52362.27</v>
      </c>
      <c r="J668">
        <v>0</v>
      </c>
    </row>
    <row r="669" spans="1:10" x14ac:dyDescent="0.35">
      <c r="A669">
        <v>322772</v>
      </c>
      <c r="B669" t="s">
        <v>20</v>
      </c>
      <c r="C669">
        <v>2015</v>
      </c>
      <c r="D669">
        <v>9</v>
      </c>
      <c r="E669" t="s">
        <v>42</v>
      </c>
      <c r="F669" t="s">
        <v>5</v>
      </c>
      <c r="G669" t="s">
        <v>5</v>
      </c>
      <c r="H669">
        <v>15429.72</v>
      </c>
      <c r="I669">
        <v>3978.13</v>
      </c>
      <c r="J669">
        <v>0</v>
      </c>
    </row>
    <row r="670" spans="1:10" x14ac:dyDescent="0.35">
      <c r="A670">
        <v>322778</v>
      </c>
      <c r="B670" t="s">
        <v>20</v>
      </c>
      <c r="C670">
        <v>2015</v>
      </c>
      <c r="D670">
        <v>6</v>
      </c>
      <c r="E670" t="s">
        <v>43</v>
      </c>
      <c r="F670" t="s">
        <v>5</v>
      </c>
      <c r="G670" t="s">
        <v>5</v>
      </c>
      <c r="H670">
        <v>24108.12</v>
      </c>
      <c r="I670">
        <v>7555.41</v>
      </c>
      <c r="J670">
        <v>0</v>
      </c>
    </row>
    <row r="671" spans="1:10" x14ac:dyDescent="0.35">
      <c r="A671">
        <v>322782</v>
      </c>
      <c r="B671" t="s">
        <v>20</v>
      </c>
      <c r="C671">
        <v>2015</v>
      </c>
      <c r="D671">
        <v>6</v>
      </c>
      <c r="E671" t="s">
        <v>43</v>
      </c>
      <c r="F671" t="s">
        <v>5</v>
      </c>
      <c r="G671" t="s">
        <v>5</v>
      </c>
      <c r="H671">
        <v>16128.16</v>
      </c>
      <c r="I671">
        <v>4294.49</v>
      </c>
      <c r="J671">
        <v>0</v>
      </c>
    </row>
    <row r="672" spans="1:10" x14ac:dyDescent="0.35">
      <c r="A672">
        <v>322787</v>
      </c>
      <c r="B672" t="s">
        <v>20</v>
      </c>
      <c r="C672">
        <v>2015</v>
      </c>
      <c r="D672">
        <v>9</v>
      </c>
      <c r="E672" t="s">
        <v>42</v>
      </c>
      <c r="F672" t="s">
        <v>5</v>
      </c>
      <c r="G672" t="s">
        <v>5</v>
      </c>
      <c r="H672">
        <v>35136.720000000001</v>
      </c>
      <c r="I672">
        <v>19998.59</v>
      </c>
      <c r="J672">
        <v>0</v>
      </c>
    </row>
    <row r="673" spans="1:10" x14ac:dyDescent="0.35">
      <c r="A673">
        <v>322806</v>
      </c>
      <c r="B673" t="s">
        <v>20</v>
      </c>
      <c r="C673">
        <v>2015</v>
      </c>
      <c r="D673">
        <v>6</v>
      </c>
      <c r="E673" t="s">
        <v>43</v>
      </c>
      <c r="F673" t="s">
        <v>5</v>
      </c>
      <c r="G673" t="s">
        <v>5</v>
      </c>
      <c r="H673">
        <v>65211.29</v>
      </c>
      <c r="I673">
        <v>49410.09</v>
      </c>
      <c r="J673">
        <v>0</v>
      </c>
    </row>
    <row r="674" spans="1:10" x14ac:dyDescent="0.35">
      <c r="A674">
        <v>322811</v>
      </c>
      <c r="B674" t="s">
        <v>20</v>
      </c>
      <c r="C674">
        <v>2015</v>
      </c>
      <c r="D674">
        <v>9</v>
      </c>
      <c r="E674" t="s">
        <v>42</v>
      </c>
      <c r="F674" t="s">
        <v>5</v>
      </c>
      <c r="G674" t="s">
        <v>5</v>
      </c>
      <c r="H674">
        <v>34926.92</v>
      </c>
      <c r="I674">
        <v>11982.9</v>
      </c>
      <c r="J674">
        <v>0</v>
      </c>
    </row>
    <row r="675" spans="1:10" x14ac:dyDescent="0.35">
      <c r="A675">
        <v>322814</v>
      </c>
      <c r="B675" t="s">
        <v>20</v>
      </c>
      <c r="C675">
        <v>2015</v>
      </c>
      <c r="D675">
        <v>6</v>
      </c>
      <c r="E675" t="s">
        <v>43</v>
      </c>
      <c r="F675" t="s">
        <v>5</v>
      </c>
      <c r="G675" t="s">
        <v>5</v>
      </c>
      <c r="H675">
        <v>20100.060000000001</v>
      </c>
      <c r="I675">
        <v>5534.89</v>
      </c>
      <c r="J675">
        <v>0</v>
      </c>
    </row>
    <row r="676" spans="1:10" x14ac:dyDescent="0.35">
      <c r="A676">
        <v>322815</v>
      </c>
      <c r="B676" t="s">
        <v>20</v>
      </c>
      <c r="C676">
        <v>2015</v>
      </c>
      <c r="D676">
        <v>6</v>
      </c>
      <c r="E676" t="s">
        <v>43</v>
      </c>
      <c r="F676" t="s">
        <v>5</v>
      </c>
      <c r="G676" t="s">
        <v>5</v>
      </c>
      <c r="H676">
        <v>10704</v>
      </c>
      <c r="I676">
        <v>2959.39</v>
      </c>
      <c r="J676">
        <v>0</v>
      </c>
    </row>
    <row r="677" spans="1:10" x14ac:dyDescent="0.35">
      <c r="A677">
        <v>322816</v>
      </c>
      <c r="B677" t="s">
        <v>20</v>
      </c>
      <c r="C677">
        <v>2015</v>
      </c>
      <c r="D677">
        <v>6</v>
      </c>
      <c r="E677" t="s">
        <v>43</v>
      </c>
      <c r="F677" t="s">
        <v>5</v>
      </c>
      <c r="G677" t="s">
        <v>5</v>
      </c>
      <c r="H677">
        <v>20662.68</v>
      </c>
      <c r="I677">
        <v>6712.75</v>
      </c>
      <c r="J677">
        <v>0</v>
      </c>
    </row>
    <row r="678" spans="1:10" x14ac:dyDescent="0.35">
      <c r="A678">
        <v>322820</v>
      </c>
      <c r="B678" t="s">
        <v>20</v>
      </c>
      <c r="C678">
        <v>2015</v>
      </c>
      <c r="D678">
        <v>6</v>
      </c>
      <c r="E678" t="s">
        <v>43</v>
      </c>
      <c r="F678" t="s">
        <v>5</v>
      </c>
      <c r="G678" t="s">
        <v>5</v>
      </c>
      <c r="H678">
        <v>13446.12</v>
      </c>
      <c r="I678">
        <v>2447.08</v>
      </c>
      <c r="J678">
        <v>0</v>
      </c>
    </row>
    <row r="679" spans="1:10" x14ac:dyDescent="0.35">
      <c r="A679">
        <v>322821</v>
      </c>
      <c r="B679" t="s">
        <v>20</v>
      </c>
      <c r="C679">
        <v>2015</v>
      </c>
      <c r="D679">
        <v>6</v>
      </c>
      <c r="E679" t="s">
        <v>43</v>
      </c>
      <c r="F679" t="s">
        <v>5</v>
      </c>
      <c r="G679" t="s">
        <v>5</v>
      </c>
      <c r="H679">
        <v>62849.2</v>
      </c>
      <c r="I679">
        <v>42424.76</v>
      </c>
      <c r="J679">
        <v>0</v>
      </c>
    </row>
    <row r="680" spans="1:10" x14ac:dyDescent="0.35">
      <c r="A680">
        <v>322826</v>
      </c>
      <c r="B680" t="s">
        <v>20</v>
      </c>
      <c r="C680">
        <v>2015</v>
      </c>
      <c r="D680">
        <v>6</v>
      </c>
      <c r="E680" t="s">
        <v>43</v>
      </c>
      <c r="F680" t="s">
        <v>5</v>
      </c>
      <c r="G680" t="s">
        <v>5</v>
      </c>
      <c r="H680">
        <v>32660.1</v>
      </c>
      <c r="I680">
        <v>6735.37</v>
      </c>
      <c r="J680">
        <v>0</v>
      </c>
    </row>
    <row r="681" spans="1:10" x14ac:dyDescent="0.35">
      <c r="A681">
        <v>322842</v>
      </c>
      <c r="B681" t="s">
        <v>20</v>
      </c>
      <c r="C681">
        <v>2015</v>
      </c>
      <c r="D681">
        <v>9</v>
      </c>
      <c r="E681" t="s">
        <v>42</v>
      </c>
      <c r="F681" t="s">
        <v>5</v>
      </c>
      <c r="G681" t="s">
        <v>5</v>
      </c>
      <c r="H681">
        <v>21350.9</v>
      </c>
      <c r="I681">
        <v>8558.0400000000009</v>
      </c>
      <c r="J681">
        <v>0</v>
      </c>
    </row>
    <row r="682" spans="1:10" x14ac:dyDescent="0.35">
      <c r="A682">
        <v>322848</v>
      </c>
      <c r="B682" t="s">
        <v>20</v>
      </c>
      <c r="C682">
        <v>2015</v>
      </c>
      <c r="D682">
        <v>9</v>
      </c>
      <c r="E682" t="s">
        <v>42</v>
      </c>
      <c r="F682" t="s">
        <v>5</v>
      </c>
      <c r="G682" t="s">
        <v>5</v>
      </c>
      <c r="H682">
        <v>79877.78</v>
      </c>
      <c r="I682">
        <v>56499.94</v>
      </c>
      <c r="J682">
        <v>0</v>
      </c>
    </row>
    <row r="683" spans="1:10" x14ac:dyDescent="0.35">
      <c r="A683">
        <v>322852</v>
      </c>
      <c r="B683" t="s">
        <v>20</v>
      </c>
      <c r="C683">
        <v>2015</v>
      </c>
      <c r="D683">
        <v>6</v>
      </c>
      <c r="E683" t="s">
        <v>43</v>
      </c>
      <c r="F683" t="s">
        <v>5</v>
      </c>
      <c r="G683" t="s">
        <v>5</v>
      </c>
      <c r="H683">
        <v>11703.24</v>
      </c>
      <c r="I683">
        <v>3120.27</v>
      </c>
      <c r="J683">
        <v>0</v>
      </c>
    </row>
    <row r="684" spans="1:10" x14ac:dyDescent="0.35">
      <c r="A684">
        <v>322857</v>
      </c>
      <c r="B684" t="s">
        <v>20</v>
      </c>
      <c r="C684">
        <v>2015</v>
      </c>
      <c r="D684">
        <v>6</v>
      </c>
      <c r="E684" t="s">
        <v>43</v>
      </c>
      <c r="F684" t="s">
        <v>5</v>
      </c>
      <c r="G684" t="s">
        <v>5</v>
      </c>
      <c r="H684">
        <v>22654.58</v>
      </c>
      <c r="I684">
        <v>6281.62</v>
      </c>
      <c r="J684">
        <v>0</v>
      </c>
    </row>
    <row r="685" spans="1:10" x14ac:dyDescent="0.35">
      <c r="A685">
        <v>322865</v>
      </c>
      <c r="B685" t="s">
        <v>20</v>
      </c>
      <c r="C685">
        <v>2015</v>
      </c>
      <c r="D685">
        <v>9</v>
      </c>
      <c r="E685" t="s">
        <v>42</v>
      </c>
      <c r="F685" t="s">
        <v>5</v>
      </c>
      <c r="G685" t="s">
        <v>5</v>
      </c>
      <c r="H685">
        <v>28733.16</v>
      </c>
      <c r="I685">
        <v>7111.05</v>
      </c>
      <c r="J685">
        <v>0</v>
      </c>
    </row>
    <row r="686" spans="1:10" x14ac:dyDescent="0.35">
      <c r="A686">
        <v>322870</v>
      </c>
      <c r="B686" t="s">
        <v>20</v>
      </c>
      <c r="C686">
        <v>2015</v>
      </c>
      <c r="D686">
        <v>6</v>
      </c>
      <c r="E686" t="s">
        <v>43</v>
      </c>
      <c r="F686" t="s">
        <v>5</v>
      </c>
      <c r="G686" t="s">
        <v>5</v>
      </c>
      <c r="H686">
        <v>24596.44</v>
      </c>
      <c r="I686">
        <v>4266.1099999999997</v>
      </c>
      <c r="J686">
        <v>0</v>
      </c>
    </row>
    <row r="687" spans="1:10" x14ac:dyDescent="0.35">
      <c r="A687">
        <v>322871</v>
      </c>
      <c r="B687" t="s">
        <v>20</v>
      </c>
      <c r="C687">
        <v>2015</v>
      </c>
      <c r="D687">
        <v>9</v>
      </c>
      <c r="E687" t="s">
        <v>42</v>
      </c>
      <c r="F687" t="s">
        <v>5</v>
      </c>
      <c r="G687" t="s">
        <v>5</v>
      </c>
      <c r="H687">
        <v>9777.06</v>
      </c>
      <c r="I687">
        <v>2613.81</v>
      </c>
      <c r="J687">
        <v>0</v>
      </c>
    </row>
    <row r="688" spans="1:10" x14ac:dyDescent="0.35">
      <c r="A688">
        <v>322876</v>
      </c>
      <c r="B688" t="s">
        <v>20</v>
      </c>
      <c r="C688">
        <v>2015</v>
      </c>
      <c r="D688">
        <v>6</v>
      </c>
      <c r="E688" t="s">
        <v>43</v>
      </c>
      <c r="F688" t="s">
        <v>5</v>
      </c>
      <c r="G688" t="s">
        <v>5</v>
      </c>
      <c r="H688">
        <v>113488.76</v>
      </c>
      <c r="I688">
        <v>93340.27</v>
      </c>
      <c r="J688">
        <v>0</v>
      </c>
    </row>
    <row r="689" spans="1:10" x14ac:dyDescent="0.35">
      <c r="A689">
        <v>322878</v>
      </c>
      <c r="B689" t="s">
        <v>20</v>
      </c>
      <c r="C689">
        <v>2015</v>
      </c>
      <c r="D689">
        <v>9</v>
      </c>
      <c r="E689" t="s">
        <v>42</v>
      </c>
      <c r="F689" t="s">
        <v>5</v>
      </c>
      <c r="G689" t="s">
        <v>5</v>
      </c>
      <c r="H689">
        <v>14888</v>
      </c>
      <c r="I689">
        <v>4379.47</v>
      </c>
      <c r="J689">
        <v>0</v>
      </c>
    </row>
    <row r="690" spans="1:10" x14ac:dyDescent="0.35">
      <c r="A690">
        <v>322879</v>
      </c>
      <c r="B690" t="s">
        <v>20</v>
      </c>
      <c r="C690">
        <v>2015</v>
      </c>
      <c r="D690">
        <v>9</v>
      </c>
      <c r="E690" t="s">
        <v>42</v>
      </c>
      <c r="F690" t="s">
        <v>5</v>
      </c>
      <c r="G690" t="s">
        <v>5</v>
      </c>
      <c r="H690">
        <v>20472.68</v>
      </c>
      <c r="I690">
        <v>6651.07</v>
      </c>
      <c r="J690">
        <v>0</v>
      </c>
    </row>
    <row r="691" spans="1:10" x14ac:dyDescent="0.35">
      <c r="A691">
        <v>322890</v>
      </c>
      <c r="B691" t="s">
        <v>20</v>
      </c>
      <c r="C691">
        <v>2015</v>
      </c>
      <c r="D691">
        <v>9</v>
      </c>
      <c r="E691" t="s">
        <v>42</v>
      </c>
      <c r="F691" t="s">
        <v>5</v>
      </c>
      <c r="G691" t="s">
        <v>5</v>
      </c>
      <c r="H691">
        <v>12426.62</v>
      </c>
      <c r="I691">
        <v>2738.14</v>
      </c>
      <c r="J691">
        <v>0</v>
      </c>
    </row>
    <row r="692" spans="1:10" x14ac:dyDescent="0.35">
      <c r="A692">
        <v>322900</v>
      </c>
      <c r="B692" t="s">
        <v>20</v>
      </c>
      <c r="C692">
        <v>2015</v>
      </c>
      <c r="D692">
        <v>6</v>
      </c>
      <c r="E692" t="s">
        <v>43</v>
      </c>
      <c r="F692" t="s">
        <v>5</v>
      </c>
      <c r="G692" t="s">
        <v>5</v>
      </c>
      <c r="H692">
        <v>18371.72</v>
      </c>
      <c r="I692">
        <v>4656.05</v>
      </c>
      <c r="J692">
        <v>0</v>
      </c>
    </row>
    <row r="693" spans="1:10" x14ac:dyDescent="0.35">
      <c r="A693">
        <v>322902</v>
      </c>
      <c r="B693" t="s">
        <v>20</v>
      </c>
      <c r="C693">
        <v>2015</v>
      </c>
      <c r="D693">
        <v>6</v>
      </c>
      <c r="E693" t="s">
        <v>43</v>
      </c>
      <c r="F693" t="s">
        <v>5</v>
      </c>
      <c r="G693" t="s">
        <v>5</v>
      </c>
      <c r="H693">
        <v>74635.62</v>
      </c>
      <c r="I693">
        <v>55818.14</v>
      </c>
      <c r="J693">
        <v>0</v>
      </c>
    </row>
    <row r="694" spans="1:10" x14ac:dyDescent="0.35">
      <c r="A694">
        <v>322915</v>
      </c>
      <c r="B694" t="s">
        <v>20</v>
      </c>
      <c r="C694">
        <v>2015</v>
      </c>
      <c r="D694">
        <v>9</v>
      </c>
      <c r="E694" t="s">
        <v>42</v>
      </c>
      <c r="F694" t="s">
        <v>5</v>
      </c>
      <c r="G694" t="s">
        <v>5</v>
      </c>
      <c r="H694">
        <v>41961.3</v>
      </c>
      <c r="I694">
        <v>8542.98</v>
      </c>
      <c r="J694">
        <v>0</v>
      </c>
    </row>
    <row r="695" spans="1:10" x14ac:dyDescent="0.35">
      <c r="A695">
        <v>322919</v>
      </c>
      <c r="B695" t="s">
        <v>20</v>
      </c>
      <c r="C695">
        <v>2015</v>
      </c>
      <c r="D695">
        <v>6</v>
      </c>
      <c r="E695" t="s">
        <v>43</v>
      </c>
      <c r="F695" t="s">
        <v>5</v>
      </c>
      <c r="G695" t="s">
        <v>5</v>
      </c>
      <c r="H695">
        <v>31940.6</v>
      </c>
      <c r="I695">
        <v>7560.98</v>
      </c>
      <c r="J695">
        <v>0</v>
      </c>
    </row>
    <row r="696" spans="1:10" x14ac:dyDescent="0.35">
      <c r="A696">
        <v>322928</v>
      </c>
      <c r="B696" t="s">
        <v>20</v>
      </c>
      <c r="C696">
        <v>2015</v>
      </c>
      <c r="D696">
        <v>9</v>
      </c>
      <c r="E696" t="s">
        <v>42</v>
      </c>
      <c r="F696" t="s">
        <v>5</v>
      </c>
      <c r="G696" t="s">
        <v>5</v>
      </c>
      <c r="H696">
        <v>15781.82</v>
      </c>
      <c r="I696">
        <v>4606.42</v>
      </c>
      <c r="J696">
        <v>0</v>
      </c>
    </row>
    <row r="697" spans="1:10" x14ac:dyDescent="0.35">
      <c r="A697">
        <v>322933</v>
      </c>
      <c r="B697" t="s">
        <v>20</v>
      </c>
      <c r="C697">
        <v>2015</v>
      </c>
      <c r="D697">
        <v>9</v>
      </c>
      <c r="E697" t="s">
        <v>42</v>
      </c>
      <c r="F697" t="s">
        <v>5</v>
      </c>
      <c r="G697" t="s">
        <v>5</v>
      </c>
      <c r="H697">
        <v>29654.34</v>
      </c>
      <c r="I697">
        <v>12618.22</v>
      </c>
      <c r="J697">
        <v>0</v>
      </c>
    </row>
    <row r="698" spans="1:10" x14ac:dyDescent="0.35">
      <c r="A698">
        <v>322939</v>
      </c>
      <c r="B698" t="s">
        <v>20</v>
      </c>
      <c r="C698">
        <v>2015</v>
      </c>
      <c r="D698">
        <v>9</v>
      </c>
      <c r="E698" t="s">
        <v>42</v>
      </c>
      <c r="F698" t="s">
        <v>5</v>
      </c>
      <c r="G698" t="s">
        <v>5</v>
      </c>
      <c r="H698">
        <v>80343.740000000005</v>
      </c>
      <c r="I698">
        <v>42506.83</v>
      </c>
      <c r="J698">
        <v>0</v>
      </c>
    </row>
    <row r="699" spans="1:10" x14ac:dyDescent="0.35">
      <c r="A699">
        <v>322949</v>
      </c>
      <c r="B699" t="s">
        <v>20</v>
      </c>
      <c r="C699">
        <v>2015</v>
      </c>
      <c r="D699">
        <v>9</v>
      </c>
      <c r="E699" t="s">
        <v>42</v>
      </c>
      <c r="F699" t="s">
        <v>5</v>
      </c>
      <c r="G699" t="s">
        <v>5</v>
      </c>
      <c r="H699">
        <v>30043.56</v>
      </c>
      <c r="I699">
        <v>12783.04</v>
      </c>
      <c r="J699">
        <v>0</v>
      </c>
    </row>
    <row r="700" spans="1:10" x14ac:dyDescent="0.35">
      <c r="A700">
        <v>322956</v>
      </c>
      <c r="B700" t="s">
        <v>20</v>
      </c>
      <c r="C700">
        <v>2015</v>
      </c>
      <c r="D700">
        <v>9</v>
      </c>
      <c r="E700" t="s">
        <v>42</v>
      </c>
      <c r="F700" t="s">
        <v>5</v>
      </c>
      <c r="G700" t="s">
        <v>5</v>
      </c>
      <c r="H700">
        <v>63174.98</v>
      </c>
      <c r="I700">
        <v>46364.02</v>
      </c>
      <c r="J700">
        <v>0</v>
      </c>
    </row>
    <row r="701" spans="1:10" x14ac:dyDescent="0.35">
      <c r="A701">
        <v>322958</v>
      </c>
      <c r="B701" t="s">
        <v>20</v>
      </c>
      <c r="C701">
        <v>2015</v>
      </c>
      <c r="D701">
        <v>9</v>
      </c>
      <c r="E701" t="s">
        <v>42</v>
      </c>
      <c r="F701" t="s">
        <v>5</v>
      </c>
      <c r="G701" t="s">
        <v>5</v>
      </c>
      <c r="H701">
        <v>26300.720000000001</v>
      </c>
      <c r="I701">
        <v>7839.23</v>
      </c>
      <c r="J701">
        <v>0</v>
      </c>
    </row>
    <row r="702" spans="1:10" x14ac:dyDescent="0.35">
      <c r="A702">
        <v>322966</v>
      </c>
      <c r="B702" t="s">
        <v>20</v>
      </c>
      <c r="C702">
        <v>2015</v>
      </c>
      <c r="D702">
        <v>6</v>
      </c>
      <c r="E702" t="s">
        <v>43</v>
      </c>
      <c r="F702" t="s">
        <v>5</v>
      </c>
      <c r="G702" t="s">
        <v>5</v>
      </c>
      <c r="H702">
        <v>27963.74</v>
      </c>
      <c r="I702">
        <v>7876.71</v>
      </c>
      <c r="J702">
        <v>0</v>
      </c>
    </row>
    <row r="703" spans="1:10" x14ac:dyDescent="0.35">
      <c r="A703">
        <v>322972</v>
      </c>
      <c r="B703" t="s">
        <v>20</v>
      </c>
      <c r="C703">
        <v>2015</v>
      </c>
      <c r="D703">
        <v>9</v>
      </c>
      <c r="E703" t="s">
        <v>42</v>
      </c>
      <c r="F703" t="s">
        <v>5</v>
      </c>
      <c r="G703" t="s">
        <v>5</v>
      </c>
      <c r="H703">
        <v>116064.6</v>
      </c>
      <c r="I703">
        <v>100909.78</v>
      </c>
      <c r="J703">
        <v>0</v>
      </c>
    </row>
    <row r="704" spans="1:10" x14ac:dyDescent="0.35">
      <c r="A704">
        <v>322981</v>
      </c>
      <c r="B704" t="s">
        <v>20</v>
      </c>
      <c r="C704">
        <v>2015</v>
      </c>
      <c r="D704">
        <v>9</v>
      </c>
      <c r="E704" t="s">
        <v>42</v>
      </c>
      <c r="F704" t="s">
        <v>5</v>
      </c>
      <c r="G704" t="s">
        <v>5</v>
      </c>
      <c r="H704">
        <v>9949.16</v>
      </c>
      <c r="I704">
        <v>2749.49</v>
      </c>
      <c r="J704">
        <v>0</v>
      </c>
    </row>
    <row r="705" spans="1:10" x14ac:dyDescent="0.35">
      <c r="A705">
        <v>322983</v>
      </c>
      <c r="B705" t="s">
        <v>20</v>
      </c>
      <c r="C705">
        <v>2015</v>
      </c>
      <c r="D705">
        <v>6</v>
      </c>
      <c r="E705" t="s">
        <v>43</v>
      </c>
      <c r="F705" t="s">
        <v>5</v>
      </c>
      <c r="G705" t="s">
        <v>5</v>
      </c>
      <c r="H705">
        <v>28880</v>
      </c>
      <c r="I705">
        <v>12630.16</v>
      </c>
      <c r="J705">
        <v>0</v>
      </c>
    </row>
    <row r="706" spans="1:10" x14ac:dyDescent="0.35">
      <c r="A706">
        <v>322985</v>
      </c>
      <c r="B706" t="s">
        <v>20</v>
      </c>
      <c r="C706">
        <v>2015</v>
      </c>
      <c r="D706">
        <v>6</v>
      </c>
      <c r="E706" t="s">
        <v>43</v>
      </c>
      <c r="F706" t="s">
        <v>5</v>
      </c>
      <c r="G706" t="s">
        <v>5</v>
      </c>
      <c r="H706">
        <v>16029.58</v>
      </c>
      <c r="I706">
        <v>5052.3999999999996</v>
      </c>
      <c r="J706">
        <v>0</v>
      </c>
    </row>
    <row r="707" spans="1:10" x14ac:dyDescent="0.35">
      <c r="A707">
        <v>322986</v>
      </c>
      <c r="B707" t="s">
        <v>20</v>
      </c>
      <c r="C707">
        <v>2015</v>
      </c>
      <c r="D707">
        <v>6</v>
      </c>
      <c r="E707" t="s">
        <v>43</v>
      </c>
      <c r="F707" t="s">
        <v>5</v>
      </c>
      <c r="G707" t="s">
        <v>5</v>
      </c>
      <c r="H707">
        <v>11985.34</v>
      </c>
      <c r="I707">
        <v>3764.42</v>
      </c>
      <c r="J707">
        <v>0</v>
      </c>
    </row>
    <row r="708" spans="1:10" x14ac:dyDescent="0.35">
      <c r="A708">
        <v>322989</v>
      </c>
      <c r="B708" t="s">
        <v>20</v>
      </c>
      <c r="C708">
        <v>2015</v>
      </c>
      <c r="D708">
        <v>6</v>
      </c>
      <c r="E708" t="s">
        <v>43</v>
      </c>
      <c r="F708" t="s">
        <v>5</v>
      </c>
      <c r="G708" t="s">
        <v>5</v>
      </c>
      <c r="H708">
        <v>34660.589999999997</v>
      </c>
      <c r="I708">
        <v>19307.740000000002</v>
      </c>
      <c r="J708">
        <v>0</v>
      </c>
    </row>
    <row r="709" spans="1:10" x14ac:dyDescent="0.35">
      <c r="A709">
        <v>322995</v>
      </c>
      <c r="B709" t="s">
        <v>20</v>
      </c>
      <c r="C709">
        <v>2015</v>
      </c>
      <c r="D709">
        <v>6</v>
      </c>
      <c r="E709" t="s">
        <v>43</v>
      </c>
      <c r="F709" t="s">
        <v>5</v>
      </c>
      <c r="G709" t="s">
        <v>5</v>
      </c>
      <c r="H709">
        <v>20909.86</v>
      </c>
      <c r="I709">
        <v>5991.81</v>
      </c>
      <c r="J709">
        <v>0</v>
      </c>
    </row>
    <row r="710" spans="1:10" x14ac:dyDescent="0.35">
      <c r="A710">
        <v>322996</v>
      </c>
      <c r="B710" t="s">
        <v>20</v>
      </c>
      <c r="C710">
        <v>2015</v>
      </c>
      <c r="D710">
        <v>9</v>
      </c>
      <c r="E710" t="s">
        <v>42</v>
      </c>
      <c r="F710" t="s">
        <v>5</v>
      </c>
      <c r="G710" t="s">
        <v>5</v>
      </c>
      <c r="H710">
        <v>68015.66</v>
      </c>
      <c r="I710">
        <v>53729.65</v>
      </c>
      <c r="J710">
        <v>0</v>
      </c>
    </row>
    <row r="711" spans="1:10" x14ac:dyDescent="0.35">
      <c r="A711">
        <v>322999</v>
      </c>
      <c r="B711" t="s">
        <v>20</v>
      </c>
      <c r="C711">
        <v>2015</v>
      </c>
      <c r="D711">
        <v>6</v>
      </c>
      <c r="E711" t="s">
        <v>43</v>
      </c>
      <c r="F711" t="s">
        <v>5</v>
      </c>
      <c r="G711" t="s">
        <v>5</v>
      </c>
      <c r="H711">
        <v>61259.62</v>
      </c>
      <c r="I711">
        <v>20780.22</v>
      </c>
      <c r="J711">
        <v>0</v>
      </c>
    </row>
    <row r="712" spans="1:10" x14ac:dyDescent="0.35">
      <c r="A712">
        <v>323015</v>
      </c>
      <c r="B712" t="s">
        <v>20</v>
      </c>
      <c r="C712">
        <v>2015</v>
      </c>
      <c r="D712">
        <v>6</v>
      </c>
      <c r="E712" t="s">
        <v>43</v>
      </c>
      <c r="F712" t="s">
        <v>5</v>
      </c>
      <c r="G712" t="s">
        <v>5</v>
      </c>
      <c r="H712">
        <v>11834.4</v>
      </c>
      <c r="I712">
        <v>3223.01</v>
      </c>
      <c r="J712">
        <v>0</v>
      </c>
    </row>
    <row r="713" spans="1:10" x14ac:dyDescent="0.35">
      <c r="A713">
        <v>323021</v>
      </c>
      <c r="B713" t="s">
        <v>20</v>
      </c>
      <c r="C713">
        <v>2015</v>
      </c>
      <c r="D713">
        <v>6</v>
      </c>
      <c r="E713" t="s">
        <v>43</v>
      </c>
      <c r="F713" t="s">
        <v>5</v>
      </c>
      <c r="G713" t="s">
        <v>5</v>
      </c>
      <c r="H713">
        <v>16132.16</v>
      </c>
      <c r="I713">
        <v>4458.46</v>
      </c>
      <c r="J713">
        <v>0</v>
      </c>
    </row>
    <row r="714" spans="1:10" x14ac:dyDescent="0.35">
      <c r="A714">
        <v>323033</v>
      </c>
      <c r="B714" t="s">
        <v>20</v>
      </c>
      <c r="C714">
        <v>2015</v>
      </c>
      <c r="D714">
        <v>6</v>
      </c>
      <c r="E714" t="s">
        <v>43</v>
      </c>
      <c r="F714" t="s">
        <v>5</v>
      </c>
      <c r="G714" t="s">
        <v>5</v>
      </c>
      <c r="H714">
        <v>59332.6</v>
      </c>
      <c r="I714">
        <v>21600.79</v>
      </c>
      <c r="J714">
        <v>0</v>
      </c>
    </row>
    <row r="715" spans="1:10" x14ac:dyDescent="0.35">
      <c r="A715">
        <v>323063</v>
      </c>
      <c r="B715" t="s">
        <v>20</v>
      </c>
      <c r="C715">
        <v>2015</v>
      </c>
      <c r="D715">
        <v>9</v>
      </c>
      <c r="E715" t="s">
        <v>42</v>
      </c>
      <c r="F715" t="s">
        <v>5</v>
      </c>
      <c r="G715" t="s">
        <v>5</v>
      </c>
      <c r="H715">
        <v>18195.02</v>
      </c>
      <c r="I715">
        <v>6255.01</v>
      </c>
      <c r="J715">
        <v>0</v>
      </c>
    </row>
    <row r="716" spans="1:10" x14ac:dyDescent="0.35">
      <c r="A716">
        <v>323064</v>
      </c>
      <c r="B716" t="s">
        <v>20</v>
      </c>
      <c r="C716">
        <v>2015</v>
      </c>
      <c r="D716">
        <v>6</v>
      </c>
      <c r="E716" t="s">
        <v>43</v>
      </c>
      <c r="F716" t="s">
        <v>5</v>
      </c>
      <c r="G716" t="s">
        <v>5</v>
      </c>
      <c r="H716">
        <v>65840.78</v>
      </c>
      <c r="I716">
        <v>52275.14</v>
      </c>
      <c r="J716">
        <v>0</v>
      </c>
    </row>
    <row r="717" spans="1:10" x14ac:dyDescent="0.35">
      <c r="A717">
        <v>323069</v>
      </c>
      <c r="B717" t="s">
        <v>20</v>
      </c>
      <c r="C717">
        <v>2015</v>
      </c>
      <c r="D717">
        <v>9</v>
      </c>
      <c r="E717" t="s">
        <v>42</v>
      </c>
      <c r="F717" t="s">
        <v>5</v>
      </c>
      <c r="G717" t="s">
        <v>5</v>
      </c>
      <c r="H717">
        <v>86622.720000000001</v>
      </c>
      <c r="I717">
        <v>61325.4</v>
      </c>
      <c r="J717">
        <v>0</v>
      </c>
    </row>
    <row r="718" spans="1:10" x14ac:dyDescent="0.35">
      <c r="A718">
        <v>323076</v>
      </c>
      <c r="B718" t="s">
        <v>20</v>
      </c>
      <c r="C718">
        <v>2015</v>
      </c>
      <c r="D718">
        <v>6</v>
      </c>
      <c r="E718" t="s">
        <v>43</v>
      </c>
      <c r="F718" t="s">
        <v>5</v>
      </c>
      <c r="G718" t="s">
        <v>5</v>
      </c>
      <c r="H718">
        <v>24449.439999999999</v>
      </c>
      <c r="I718">
        <v>7802.71</v>
      </c>
      <c r="J718">
        <v>0</v>
      </c>
    </row>
    <row r="719" spans="1:10" x14ac:dyDescent="0.35">
      <c r="A719">
        <v>323084</v>
      </c>
      <c r="B719" t="s">
        <v>20</v>
      </c>
      <c r="C719">
        <v>2015</v>
      </c>
      <c r="D719">
        <v>6</v>
      </c>
      <c r="E719" t="s">
        <v>43</v>
      </c>
      <c r="F719" t="s">
        <v>5</v>
      </c>
      <c r="G719" t="s">
        <v>5</v>
      </c>
      <c r="H719">
        <v>39737.18</v>
      </c>
      <c r="I719">
        <v>10414.94</v>
      </c>
      <c r="J719">
        <v>0</v>
      </c>
    </row>
    <row r="720" spans="1:10" x14ac:dyDescent="0.35">
      <c r="A720">
        <v>323087</v>
      </c>
      <c r="B720" t="s">
        <v>20</v>
      </c>
      <c r="C720">
        <v>2015</v>
      </c>
      <c r="D720">
        <v>6</v>
      </c>
      <c r="E720" t="s">
        <v>43</v>
      </c>
      <c r="F720" t="s">
        <v>5</v>
      </c>
      <c r="G720" t="s">
        <v>5</v>
      </c>
      <c r="H720">
        <v>179022.36</v>
      </c>
      <c r="I720">
        <v>71947.91</v>
      </c>
      <c r="J720">
        <v>0</v>
      </c>
    </row>
    <row r="721" spans="1:10" x14ac:dyDescent="0.35">
      <c r="A721">
        <v>323095</v>
      </c>
      <c r="B721" t="s">
        <v>20</v>
      </c>
      <c r="C721">
        <v>2015</v>
      </c>
      <c r="D721">
        <v>6</v>
      </c>
      <c r="E721" t="s">
        <v>43</v>
      </c>
      <c r="F721" t="s">
        <v>5</v>
      </c>
      <c r="G721" t="s">
        <v>5</v>
      </c>
      <c r="H721">
        <v>59316.82</v>
      </c>
      <c r="I721">
        <v>41962.05</v>
      </c>
      <c r="J721">
        <v>0</v>
      </c>
    </row>
    <row r="722" spans="1:10" x14ac:dyDescent="0.35">
      <c r="A722">
        <v>323104</v>
      </c>
      <c r="B722" t="s">
        <v>20</v>
      </c>
      <c r="C722">
        <v>2015</v>
      </c>
      <c r="D722">
        <v>6</v>
      </c>
      <c r="E722" t="s">
        <v>43</v>
      </c>
      <c r="F722" t="s">
        <v>5</v>
      </c>
      <c r="G722" t="s">
        <v>5</v>
      </c>
      <c r="H722">
        <v>25635.06</v>
      </c>
      <c r="I722">
        <v>8441.58</v>
      </c>
      <c r="J722">
        <v>0</v>
      </c>
    </row>
    <row r="723" spans="1:10" x14ac:dyDescent="0.35">
      <c r="A723">
        <v>323115</v>
      </c>
      <c r="B723" t="s">
        <v>20</v>
      </c>
      <c r="C723">
        <v>2015</v>
      </c>
      <c r="D723">
        <v>9</v>
      </c>
      <c r="E723" t="s">
        <v>42</v>
      </c>
      <c r="F723" t="s">
        <v>5</v>
      </c>
      <c r="G723" t="s">
        <v>5</v>
      </c>
      <c r="H723">
        <v>42131.22</v>
      </c>
      <c r="I723">
        <v>10138.040000000001</v>
      </c>
      <c r="J723">
        <v>0</v>
      </c>
    </row>
    <row r="724" spans="1:10" x14ac:dyDescent="0.35">
      <c r="A724">
        <v>323139</v>
      </c>
      <c r="B724" t="s">
        <v>20</v>
      </c>
      <c r="C724">
        <v>2015</v>
      </c>
      <c r="D724">
        <v>9</v>
      </c>
      <c r="E724" t="s">
        <v>42</v>
      </c>
      <c r="F724" t="s">
        <v>5</v>
      </c>
      <c r="G724" t="s">
        <v>5</v>
      </c>
      <c r="H724">
        <v>67187.48</v>
      </c>
      <c r="I724">
        <v>52309.69</v>
      </c>
      <c r="J724">
        <v>0</v>
      </c>
    </row>
    <row r="725" spans="1:10" x14ac:dyDescent="0.35">
      <c r="A725">
        <v>323142</v>
      </c>
      <c r="B725" t="s">
        <v>20</v>
      </c>
      <c r="C725">
        <v>2015</v>
      </c>
      <c r="D725">
        <v>6</v>
      </c>
      <c r="E725" t="s">
        <v>43</v>
      </c>
      <c r="F725" t="s">
        <v>5</v>
      </c>
      <c r="G725" t="s">
        <v>5</v>
      </c>
      <c r="H725">
        <v>78733.22</v>
      </c>
      <c r="I725">
        <v>24802.04</v>
      </c>
      <c r="J725">
        <v>0</v>
      </c>
    </row>
    <row r="726" spans="1:10" x14ac:dyDescent="0.35">
      <c r="A726">
        <v>323143</v>
      </c>
      <c r="B726" t="s">
        <v>20</v>
      </c>
      <c r="C726">
        <v>2015</v>
      </c>
      <c r="D726">
        <v>9</v>
      </c>
      <c r="E726" t="s">
        <v>42</v>
      </c>
      <c r="F726" t="s">
        <v>5</v>
      </c>
      <c r="G726" t="s">
        <v>5</v>
      </c>
      <c r="H726">
        <v>26833.64</v>
      </c>
      <c r="I726">
        <v>7410.05</v>
      </c>
      <c r="J726">
        <v>0</v>
      </c>
    </row>
    <row r="727" spans="1:10" x14ac:dyDescent="0.35">
      <c r="A727">
        <v>323151</v>
      </c>
      <c r="B727" t="s">
        <v>20</v>
      </c>
      <c r="C727">
        <v>2015</v>
      </c>
      <c r="D727">
        <v>9</v>
      </c>
      <c r="E727" t="s">
        <v>42</v>
      </c>
      <c r="F727" t="s">
        <v>5</v>
      </c>
      <c r="G727" t="s">
        <v>5</v>
      </c>
      <c r="H727">
        <v>11058.98</v>
      </c>
      <c r="I727">
        <v>2732.9</v>
      </c>
      <c r="J727">
        <v>0</v>
      </c>
    </row>
    <row r="728" spans="1:10" x14ac:dyDescent="0.35">
      <c r="A728">
        <v>323162</v>
      </c>
      <c r="B728" t="s">
        <v>20</v>
      </c>
      <c r="C728">
        <v>2015</v>
      </c>
      <c r="D728">
        <v>9</v>
      </c>
      <c r="E728" t="s">
        <v>42</v>
      </c>
      <c r="F728" t="s">
        <v>5</v>
      </c>
      <c r="G728" t="s">
        <v>5</v>
      </c>
      <c r="H728">
        <v>45882.02</v>
      </c>
      <c r="I728">
        <v>27319.37</v>
      </c>
      <c r="J728">
        <v>0</v>
      </c>
    </row>
    <row r="729" spans="1:10" x14ac:dyDescent="0.35">
      <c r="A729">
        <v>323165</v>
      </c>
      <c r="B729" t="s">
        <v>20</v>
      </c>
      <c r="C729">
        <v>2015</v>
      </c>
      <c r="D729">
        <v>6</v>
      </c>
      <c r="E729" t="s">
        <v>43</v>
      </c>
      <c r="F729" t="s">
        <v>5</v>
      </c>
      <c r="G729" t="s">
        <v>5</v>
      </c>
      <c r="H729">
        <v>56102.64</v>
      </c>
      <c r="I729">
        <v>36252.080000000002</v>
      </c>
      <c r="J729">
        <v>0</v>
      </c>
    </row>
    <row r="730" spans="1:10" x14ac:dyDescent="0.35">
      <c r="A730">
        <v>323167</v>
      </c>
      <c r="B730" t="s">
        <v>20</v>
      </c>
      <c r="C730">
        <v>2015</v>
      </c>
      <c r="D730">
        <v>6</v>
      </c>
      <c r="E730" t="s">
        <v>43</v>
      </c>
      <c r="F730" t="s">
        <v>5</v>
      </c>
      <c r="G730" t="s">
        <v>5</v>
      </c>
      <c r="H730">
        <v>105594.8</v>
      </c>
      <c r="I730">
        <v>85098.94</v>
      </c>
      <c r="J730">
        <v>0</v>
      </c>
    </row>
    <row r="731" spans="1:10" x14ac:dyDescent="0.35">
      <c r="A731">
        <v>323170</v>
      </c>
      <c r="B731" t="s">
        <v>20</v>
      </c>
      <c r="C731">
        <v>2015</v>
      </c>
      <c r="D731">
        <v>9</v>
      </c>
      <c r="E731" t="s">
        <v>42</v>
      </c>
      <c r="F731" t="s">
        <v>5</v>
      </c>
      <c r="G731" t="s">
        <v>5</v>
      </c>
      <c r="H731">
        <v>12814.02</v>
      </c>
      <c r="I731">
        <v>3766.4</v>
      </c>
      <c r="J731">
        <v>0</v>
      </c>
    </row>
    <row r="732" spans="1:10" x14ac:dyDescent="0.35">
      <c r="A732">
        <v>323176</v>
      </c>
      <c r="B732" t="s">
        <v>20</v>
      </c>
      <c r="C732">
        <v>2015</v>
      </c>
      <c r="D732">
        <v>6</v>
      </c>
      <c r="E732" t="s">
        <v>43</v>
      </c>
      <c r="F732" t="s">
        <v>5</v>
      </c>
      <c r="G732" t="s">
        <v>5</v>
      </c>
      <c r="H732">
        <v>13017.24</v>
      </c>
      <c r="I732">
        <v>3394.64</v>
      </c>
      <c r="J732">
        <v>0</v>
      </c>
    </row>
    <row r="733" spans="1:10" x14ac:dyDescent="0.35">
      <c r="A733">
        <v>323182</v>
      </c>
      <c r="B733" t="s">
        <v>20</v>
      </c>
      <c r="C733">
        <v>2015</v>
      </c>
      <c r="D733">
        <v>6</v>
      </c>
      <c r="E733" t="s">
        <v>43</v>
      </c>
      <c r="F733" t="s">
        <v>5</v>
      </c>
      <c r="G733" t="s">
        <v>5</v>
      </c>
      <c r="H733">
        <v>61226.48</v>
      </c>
      <c r="I733">
        <v>14778.02</v>
      </c>
      <c r="J733">
        <v>0</v>
      </c>
    </row>
    <row r="734" spans="1:10" x14ac:dyDescent="0.35">
      <c r="A734">
        <v>323186</v>
      </c>
      <c r="B734" t="s">
        <v>20</v>
      </c>
      <c r="C734">
        <v>2015</v>
      </c>
      <c r="D734">
        <v>9</v>
      </c>
      <c r="E734" t="s">
        <v>42</v>
      </c>
      <c r="F734" t="s">
        <v>5</v>
      </c>
      <c r="G734" t="s">
        <v>5</v>
      </c>
      <c r="H734">
        <v>28923.7</v>
      </c>
      <c r="I734">
        <v>13975.36</v>
      </c>
      <c r="J734">
        <v>0</v>
      </c>
    </row>
    <row r="735" spans="1:10" x14ac:dyDescent="0.35">
      <c r="A735">
        <v>323192</v>
      </c>
      <c r="B735" t="s">
        <v>20</v>
      </c>
      <c r="C735">
        <v>2015</v>
      </c>
      <c r="D735">
        <v>9</v>
      </c>
      <c r="E735" t="s">
        <v>42</v>
      </c>
      <c r="F735" t="s">
        <v>5</v>
      </c>
      <c r="G735" t="s">
        <v>5</v>
      </c>
      <c r="H735">
        <v>36146.400000000001</v>
      </c>
      <c r="I735">
        <v>8559.3799999999992</v>
      </c>
      <c r="J735">
        <v>0</v>
      </c>
    </row>
    <row r="736" spans="1:10" x14ac:dyDescent="0.35">
      <c r="A736">
        <v>323198</v>
      </c>
      <c r="B736" t="s">
        <v>20</v>
      </c>
      <c r="C736">
        <v>2015</v>
      </c>
      <c r="D736">
        <v>6</v>
      </c>
      <c r="E736" t="s">
        <v>43</v>
      </c>
      <c r="F736" t="s">
        <v>5</v>
      </c>
      <c r="G736" t="s">
        <v>5</v>
      </c>
      <c r="H736">
        <v>12735.56</v>
      </c>
      <c r="I736">
        <v>3277.08</v>
      </c>
      <c r="J736">
        <v>0</v>
      </c>
    </row>
    <row r="737" spans="1:10" x14ac:dyDescent="0.35">
      <c r="A737">
        <v>323199</v>
      </c>
      <c r="B737" t="s">
        <v>20</v>
      </c>
      <c r="C737">
        <v>2015</v>
      </c>
      <c r="D737">
        <v>6</v>
      </c>
      <c r="E737" t="s">
        <v>43</v>
      </c>
      <c r="F737" t="s">
        <v>5</v>
      </c>
      <c r="G737" t="s">
        <v>5</v>
      </c>
      <c r="H737">
        <v>3970.72</v>
      </c>
      <c r="I737">
        <v>4734.7</v>
      </c>
      <c r="J737">
        <v>1</v>
      </c>
    </row>
    <row r="738" spans="1:10" x14ac:dyDescent="0.35">
      <c r="A738">
        <v>323201</v>
      </c>
      <c r="B738" t="s">
        <v>20</v>
      </c>
      <c r="C738">
        <v>2015</v>
      </c>
      <c r="D738">
        <v>6</v>
      </c>
      <c r="E738" t="s">
        <v>43</v>
      </c>
      <c r="F738" t="s">
        <v>5</v>
      </c>
      <c r="G738" t="s">
        <v>5</v>
      </c>
      <c r="H738">
        <v>87605.68</v>
      </c>
      <c r="I738">
        <v>56373.31</v>
      </c>
      <c r="J738">
        <v>0</v>
      </c>
    </row>
    <row r="739" spans="1:10" x14ac:dyDescent="0.35">
      <c r="A739">
        <v>323208</v>
      </c>
      <c r="B739" t="s">
        <v>20</v>
      </c>
      <c r="C739">
        <v>2015</v>
      </c>
      <c r="D739">
        <v>9</v>
      </c>
      <c r="E739" t="s">
        <v>42</v>
      </c>
      <c r="F739" t="s">
        <v>5</v>
      </c>
      <c r="G739" t="s">
        <v>5</v>
      </c>
      <c r="H739">
        <v>67933.16</v>
      </c>
      <c r="I739">
        <v>52824.13</v>
      </c>
      <c r="J739">
        <v>0</v>
      </c>
    </row>
    <row r="740" spans="1:10" x14ac:dyDescent="0.35">
      <c r="A740">
        <v>323216</v>
      </c>
      <c r="B740" t="s">
        <v>20</v>
      </c>
      <c r="C740">
        <v>2015</v>
      </c>
      <c r="D740">
        <v>6</v>
      </c>
      <c r="E740" t="s">
        <v>43</v>
      </c>
      <c r="F740" t="s">
        <v>5</v>
      </c>
      <c r="G740" t="s">
        <v>5</v>
      </c>
      <c r="H740">
        <v>36704.74</v>
      </c>
      <c r="I740">
        <v>20132.32</v>
      </c>
      <c r="J740">
        <v>0</v>
      </c>
    </row>
    <row r="741" spans="1:10" x14ac:dyDescent="0.35">
      <c r="A741">
        <v>323217</v>
      </c>
      <c r="B741" t="s">
        <v>20</v>
      </c>
      <c r="C741">
        <v>2015</v>
      </c>
      <c r="D741">
        <v>6</v>
      </c>
      <c r="E741" t="s">
        <v>43</v>
      </c>
      <c r="F741" t="s">
        <v>5</v>
      </c>
      <c r="G741" t="s">
        <v>5</v>
      </c>
      <c r="H741">
        <v>13982.44</v>
      </c>
      <c r="I741">
        <v>4020.04</v>
      </c>
      <c r="J741">
        <v>0</v>
      </c>
    </row>
    <row r="742" spans="1:10" x14ac:dyDescent="0.35">
      <c r="A742">
        <v>323218</v>
      </c>
      <c r="B742" t="s">
        <v>20</v>
      </c>
      <c r="C742">
        <v>2015</v>
      </c>
      <c r="D742">
        <v>9</v>
      </c>
      <c r="E742" t="s">
        <v>42</v>
      </c>
      <c r="F742" t="s">
        <v>5</v>
      </c>
      <c r="G742" t="s">
        <v>5</v>
      </c>
      <c r="H742">
        <v>29296.94</v>
      </c>
      <c r="I742">
        <v>5797.61</v>
      </c>
      <c r="J742">
        <v>0</v>
      </c>
    </row>
    <row r="743" spans="1:10" x14ac:dyDescent="0.35">
      <c r="A743">
        <v>323220</v>
      </c>
      <c r="B743" t="s">
        <v>20</v>
      </c>
      <c r="C743">
        <v>2015</v>
      </c>
      <c r="D743">
        <v>6</v>
      </c>
      <c r="E743" t="s">
        <v>43</v>
      </c>
      <c r="F743" t="s">
        <v>5</v>
      </c>
      <c r="G743" t="s">
        <v>5</v>
      </c>
      <c r="H743">
        <v>31020.22</v>
      </c>
      <c r="I743">
        <v>9188.3700000000008</v>
      </c>
      <c r="J743">
        <v>0</v>
      </c>
    </row>
    <row r="744" spans="1:10" x14ac:dyDescent="0.35">
      <c r="A744">
        <v>323222</v>
      </c>
      <c r="B744" t="s">
        <v>20</v>
      </c>
      <c r="C744">
        <v>2015</v>
      </c>
      <c r="D744">
        <v>6</v>
      </c>
      <c r="E744" t="s">
        <v>43</v>
      </c>
      <c r="F744" t="s">
        <v>5</v>
      </c>
      <c r="G744" t="s">
        <v>5</v>
      </c>
      <c r="H744">
        <v>24797.68</v>
      </c>
      <c r="I744">
        <v>6847.07</v>
      </c>
      <c r="J744">
        <v>0</v>
      </c>
    </row>
    <row r="745" spans="1:10" x14ac:dyDescent="0.35">
      <c r="A745">
        <v>323223</v>
      </c>
      <c r="B745" t="s">
        <v>20</v>
      </c>
      <c r="C745">
        <v>2015</v>
      </c>
      <c r="D745">
        <v>6</v>
      </c>
      <c r="E745" t="s">
        <v>43</v>
      </c>
      <c r="F745" t="s">
        <v>5</v>
      </c>
      <c r="G745" t="s">
        <v>5</v>
      </c>
      <c r="H745">
        <v>22153.72</v>
      </c>
      <c r="I745">
        <v>4743.6000000000004</v>
      </c>
      <c r="J745">
        <v>0</v>
      </c>
    </row>
    <row r="746" spans="1:10" x14ac:dyDescent="0.35">
      <c r="A746">
        <v>323228</v>
      </c>
      <c r="B746" t="s">
        <v>20</v>
      </c>
      <c r="C746">
        <v>2015</v>
      </c>
      <c r="D746">
        <v>9</v>
      </c>
      <c r="E746" t="s">
        <v>42</v>
      </c>
      <c r="F746" t="s">
        <v>5</v>
      </c>
      <c r="G746" t="s">
        <v>5</v>
      </c>
      <c r="H746">
        <v>64942.54</v>
      </c>
      <c r="I746">
        <v>48286.69</v>
      </c>
      <c r="J746">
        <v>0</v>
      </c>
    </row>
    <row r="747" spans="1:10" x14ac:dyDescent="0.35">
      <c r="A747">
        <v>323234</v>
      </c>
      <c r="B747" t="s">
        <v>20</v>
      </c>
      <c r="C747">
        <v>2015</v>
      </c>
      <c r="D747">
        <v>9</v>
      </c>
      <c r="E747" t="s">
        <v>42</v>
      </c>
      <c r="F747" t="s">
        <v>5</v>
      </c>
      <c r="G747" t="s">
        <v>5</v>
      </c>
      <c r="H747">
        <v>34099.199999999997</v>
      </c>
      <c r="I747">
        <v>13301.03</v>
      </c>
      <c r="J747">
        <v>0</v>
      </c>
    </row>
    <row r="748" spans="1:10" x14ac:dyDescent="0.35">
      <c r="A748">
        <v>323244</v>
      </c>
      <c r="B748" t="s">
        <v>20</v>
      </c>
      <c r="C748">
        <v>2015</v>
      </c>
      <c r="D748">
        <v>9</v>
      </c>
      <c r="E748" t="s">
        <v>42</v>
      </c>
      <c r="F748" t="s">
        <v>5</v>
      </c>
      <c r="G748" t="s">
        <v>5</v>
      </c>
      <c r="H748">
        <v>37049.300000000003</v>
      </c>
      <c r="I748">
        <v>10323.629999999999</v>
      </c>
      <c r="J748">
        <v>0</v>
      </c>
    </row>
    <row r="749" spans="1:10" x14ac:dyDescent="0.35">
      <c r="A749">
        <v>323245</v>
      </c>
      <c r="B749" t="s">
        <v>20</v>
      </c>
      <c r="C749">
        <v>2015</v>
      </c>
      <c r="D749">
        <v>9</v>
      </c>
      <c r="E749" t="s">
        <v>42</v>
      </c>
      <c r="F749" t="s">
        <v>5</v>
      </c>
      <c r="G749" t="s">
        <v>5</v>
      </c>
      <c r="H749">
        <v>43644</v>
      </c>
      <c r="I749">
        <v>13350.48</v>
      </c>
      <c r="J749">
        <v>0</v>
      </c>
    </row>
    <row r="750" spans="1:10" x14ac:dyDescent="0.35">
      <c r="A750">
        <v>323251</v>
      </c>
      <c r="B750" t="s">
        <v>20</v>
      </c>
      <c r="C750">
        <v>2015</v>
      </c>
      <c r="D750">
        <v>9</v>
      </c>
      <c r="E750" t="s">
        <v>42</v>
      </c>
      <c r="F750" t="s">
        <v>5</v>
      </c>
      <c r="G750" t="s">
        <v>5</v>
      </c>
      <c r="H750">
        <v>9507.94</v>
      </c>
      <c r="I750">
        <v>2605.42</v>
      </c>
      <c r="J750">
        <v>0</v>
      </c>
    </row>
    <row r="751" spans="1:10" x14ac:dyDescent="0.35">
      <c r="A751">
        <v>323263</v>
      </c>
      <c r="B751" t="s">
        <v>20</v>
      </c>
      <c r="C751">
        <v>2015</v>
      </c>
      <c r="D751">
        <v>9</v>
      </c>
      <c r="E751" t="s">
        <v>42</v>
      </c>
      <c r="F751" t="s">
        <v>5</v>
      </c>
      <c r="G751" t="s">
        <v>5</v>
      </c>
      <c r="H751">
        <v>23737.24</v>
      </c>
      <c r="I751">
        <v>5799.31</v>
      </c>
      <c r="J751">
        <v>0</v>
      </c>
    </row>
    <row r="752" spans="1:10" x14ac:dyDescent="0.35">
      <c r="A752">
        <v>323265</v>
      </c>
      <c r="B752" t="s">
        <v>20</v>
      </c>
      <c r="C752">
        <v>2015</v>
      </c>
      <c r="D752">
        <v>6</v>
      </c>
      <c r="E752" t="s">
        <v>43</v>
      </c>
      <c r="F752" t="s">
        <v>5</v>
      </c>
      <c r="G752" t="s">
        <v>5</v>
      </c>
      <c r="H752">
        <v>47242.86</v>
      </c>
      <c r="I752">
        <v>12153.63</v>
      </c>
      <c r="J752">
        <v>0</v>
      </c>
    </row>
    <row r="753" spans="1:10" x14ac:dyDescent="0.35">
      <c r="A753">
        <v>323268</v>
      </c>
      <c r="B753" t="s">
        <v>20</v>
      </c>
      <c r="C753">
        <v>2015</v>
      </c>
      <c r="D753">
        <v>9</v>
      </c>
      <c r="E753" t="s">
        <v>42</v>
      </c>
      <c r="F753" t="s">
        <v>5</v>
      </c>
      <c r="G753" t="s">
        <v>5</v>
      </c>
      <c r="H753">
        <v>16824.68</v>
      </c>
      <c r="I753">
        <v>2943.77</v>
      </c>
      <c r="J753">
        <v>0</v>
      </c>
    </row>
    <row r="754" spans="1:10" x14ac:dyDescent="0.35">
      <c r="A754">
        <v>323276</v>
      </c>
      <c r="B754" t="s">
        <v>20</v>
      </c>
      <c r="C754">
        <v>2015</v>
      </c>
      <c r="D754">
        <v>9</v>
      </c>
      <c r="E754" t="s">
        <v>42</v>
      </c>
      <c r="F754" t="s">
        <v>5</v>
      </c>
      <c r="G754" t="s">
        <v>5</v>
      </c>
      <c r="H754">
        <v>20787.52</v>
      </c>
      <c r="I754">
        <v>4831.34</v>
      </c>
      <c r="J754">
        <v>0</v>
      </c>
    </row>
    <row r="755" spans="1:10" x14ac:dyDescent="0.35">
      <c r="A755">
        <v>323278</v>
      </c>
      <c r="B755" t="s">
        <v>20</v>
      </c>
      <c r="C755">
        <v>2015</v>
      </c>
      <c r="D755">
        <v>9</v>
      </c>
      <c r="E755" t="s">
        <v>42</v>
      </c>
      <c r="F755" t="s">
        <v>5</v>
      </c>
      <c r="G755" t="s">
        <v>5</v>
      </c>
      <c r="H755">
        <v>22888.28</v>
      </c>
      <c r="I755">
        <v>8594.0400000000009</v>
      </c>
      <c r="J755">
        <v>0</v>
      </c>
    </row>
    <row r="756" spans="1:10" x14ac:dyDescent="0.35">
      <c r="A756">
        <v>323279</v>
      </c>
      <c r="B756" t="s">
        <v>20</v>
      </c>
      <c r="C756">
        <v>2015</v>
      </c>
      <c r="D756">
        <v>9</v>
      </c>
      <c r="E756" t="s">
        <v>42</v>
      </c>
      <c r="F756" t="s">
        <v>5</v>
      </c>
      <c r="G756" t="s">
        <v>5</v>
      </c>
      <c r="H756">
        <v>33371.08</v>
      </c>
      <c r="I756">
        <v>6863.82</v>
      </c>
      <c r="J756">
        <v>0</v>
      </c>
    </row>
    <row r="757" spans="1:10" x14ac:dyDescent="0.35">
      <c r="A757">
        <v>323282</v>
      </c>
      <c r="B757" t="s">
        <v>20</v>
      </c>
      <c r="C757">
        <v>2015</v>
      </c>
      <c r="D757">
        <v>6</v>
      </c>
      <c r="E757" t="s">
        <v>43</v>
      </c>
      <c r="F757" t="s">
        <v>5</v>
      </c>
      <c r="G757" t="s">
        <v>5</v>
      </c>
      <c r="H757">
        <v>11744.96</v>
      </c>
      <c r="I757">
        <v>3331.58</v>
      </c>
      <c r="J757">
        <v>0</v>
      </c>
    </row>
    <row r="758" spans="1:10" x14ac:dyDescent="0.35">
      <c r="A758">
        <v>323288</v>
      </c>
      <c r="B758" t="s">
        <v>20</v>
      </c>
      <c r="C758">
        <v>2015</v>
      </c>
      <c r="D758">
        <v>6</v>
      </c>
      <c r="E758" t="s">
        <v>43</v>
      </c>
      <c r="F758" t="s">
        <v>5</v>
      </c>
      <c r="G758" t="s">
        <v>5</v>
      </c>
      <c r="H758">
        <v>30211.84</v>
      </c>
      <c r="I758">
        <v>8421.26</v>
      </c>
      <c r="J758">
        <v>0</v>
      </c>
    </row>
    <row r="759" spans="1:10" x14ac:dyDescent="0.35">
      <c r="A759">
        <v>323293</v>
      </c>
      <c r="B759" t="s">
        <v>20</v>
      </c>
      <c r="C759">
        <v>2015</v>
      </c>
      <c r="D759">
        <v>9</v>
      </c>
      <c r="E759" t="s">
        <v>42</v>
      </c>
      <c r="F759" t="s">
        <v>5</v>
      </c>
      <c r="G759" t="s">
        <v>5</v>
      </c>
      <c r="H759">
        <v>62417.279999999999</v>
      </c>
      <c r="I759">
        <v>52412.01</v>
      </c>
      <c r="J759">
        <v>0</v>
      </c>
    </row>
    <row r="760" spans="1:10" x14ac:dyDescent="0.35">
      <c r="A760">
        <v>323299</v>
      </c>
      <c r="B760" t="s">
        <v>20</v>
      </c>
      <c r="C760">
        <v>2015</v>
      </c>
      <c r="D760">
        <v>9</v>
      </c>
      <c r="E760" t="s">
        <v>42</v>
      </c>
      <c r="F760" t="s">
        <v>5</v>
      </c>
      <c r="G760" t="s">
        <v>5</v>
      </c>
      <c r="H760">
        <v>80237.490000000005</v>
      </c>
      <c r="I760">
        <v>70060.56</v>
      </c>
      <c r="J760">
        <v>0</v>
      </c>
    </row>
    <row r="761" spans="1:10" x14ac:dyDescent="0.35">
      <c r="A761">
        <v>323305</v>
      </c>
      <c r="B761" t="s">
        <v>20</v>
      </c>
      <c r="C761">
        <v>2015</v>
      </c>
      <c r="D761">
        <v>6</v>
      </c>
      <c r="E761" t="s">
        <v>43</v>
      </c>
      <c r="F761" t="s">
        <v>5</v>
      </c>
      <c r="G761" t="s">
        <v>5</v>
      </c>
      <c r="H761">
        <v>20760.38</v>
      </c>
      <c r="I761">
        <v>2621.61</v>
      </c>
      <c r="J761">
        <v>0</v>
      </c>
    </row>
    <row r="762" spans="1:10" x14ac:dyDescent="0.35">
      <c r="A762">
        <v>323308</v>
      </c>
      <c r="B762" t="s">
        <v>20</v>
      </c>
      <c r="C762">
        <v>2015</v>
      </c>
      <c r="D762">
        <v>6</v>
      </c>
      <c r="E762" t="s">
        <v>43</v>
      </c>
      <c r="F762" t="s">
        <v>5</v>
      </c>
      <c r="G762" t="s">
        <v>5</v>
      </c>
      <c r="H762">
        <v>29411.919999999998</v>
      </c>
      <c r="I762">
        <v>10434.299999999999</v>
      </c>
      <c r="J762">
        <v>0</v>
      </c>
    </row>
    <row r="763" spans="1:10" x14ac:dyDescent="0.35">
      <c r="A763">
        <v>323311</v>
      </c>
      <c r="B763" t="s">
        <v>20</v>
      </c>
      <c r="C763">
        <v>2015</v>
      </c>
      <c r="D763">
        <v>9</v>
      </c>
      <c r="E763" t="s">
        <v>42</v>
      </c>
      <c r="F763" t="s">
        <v>5</v>
      </c>
      <c r="G763" t="s">
        <v>5</v>
      </c>
      <c r="H763">
        <v>37546.879999999997</v>
      </c>
      <c r="I763">
        <v>17557.580000000002</v>
      </c>
      <c r="J763">
        <v>0</v>
      </c>
    </row>
    <row r="764" spans="1:10" x14ac:dyDescent="0.35">
      <c r="A764">
        <v>323315</v>
      </c>
      <c r="B764" t="s">
        <v>20</v>
      </c>
      <c r="C764">
        <v>2015</v>
      </c>
      <c r="D764">
        <v>9</v>
      </c>
      <c r="E764" t="s">
        <v>42</v>
      </c>
      <c r="F764" t="s">
        <v>5</v>
      </c>
      <c r="G764" t="s">
        <v>5</v>
      </c>
      <c r="H764">
        <v>105084</v>
      </c>
      <c r="I764">
        <v>79416.33</v>
      </c>
      <c r="J764">
        <v>0</v>
      </c>
    </row>
    <row r="765" spans="1:10" x14ac:dyDescent="0.35">
      <c r="A765">
        <v>323330</v>
      </c>
      <c r="B765" t="s">
        <v>20</v>
      </c>
      <c r="C765">
        <v>2015</v>
      </c>
      <c r="D765">
        <v>6</v>
      </c>
      <c r="E765" t="s">
        <v>43</v>
      </c>
      <c r="F765" t="s">
        <v>5</v>
      </c>
      <c r="G765" t="s">
        <v>5</v>
      </c>
      <c r="H765">
        <v>9208.5</v>
      </c>
      <c r="I765">
        <v>2370.0500000000002</v>
      </c>
      <c r="J765">
        <v>0</v>
      </c>
    </row>
    <row r="766" spans="1:10" x14ac:dyDescent="0.35">
      <c r="A766">
        <v>323332</v>
      </c>
      <c r="B766" t="s">
        <v>20</v>
      </c>
      <c r="C766">
        <v>2015</v>
      </c>
      <c r="D766">
        <v>9</v>
      </c>
      <c r="E766" t="s">
        <v>42</v>
      </c>
      <c r="F766" t="s">
        <v>5</v>
      </c>
      <c r="G766" t="s">
        <v>5</v>
      </c>
      <c r="H766">
        <v>5872.84</v>
      </c>
      <c r="I766">
        <v>1746.59</v>
      </c>
      <c r="J766">
        <v>0</v>
      </c>
    </row>
    <row r="767" spans="1:10" x14ac:dyDescent="0.35">
      <c r="A767">
        <v>323336</v>
      </c>
      <c r="B767" t="s">
        <v>20</v>
      </c>
      <c r="C767">
        <v>2015</v>
      </c>
      <c r="D767">
        <v>6</v>
      </c>
      <c r="E767" t="s">
        <v>43</v>
      </c>
      <c r="F767" t="s">
        <v>5</v>
      </c>
      <c r="G767" t="s">
        <v>5</v>
      </c>
      <c r="H767">
        <v>5256.5</v>
      </c>
      <c r="I767">
        <v>6310.49</v>
      </c>
      <c r="J767">
        <v>1</v>
      </c>
    </row>
    <row r="768" spans="1:10" x14ac:dyDescent="0.35">
      <c r="A768">
        <v>323337</v>
      </c>
      <c r="B768" t="s">
        <v>20</v>
      </c>
      <c r="C768">
        <v>2015</v>
      </c>
      <c r="D768">
        <v>6</v>
      </c>
      <c r="E768" t="s">
        <v>43</v>
      </c>
      <c r="F768" t="s">
        <v>5</v>
      </c>
      <c r="G768" t="s">
        <v>5</v>
      </c>
      <c r="H768">
        <v>13569.7</v>
      </c>
      <c r="I768">
        <v>3928.24</v>
      </c>
      <c r="J768">
        <v>0</v>
      </c>
    </row>
    <row r="769" spans="1:10" x14ac:dyDescent="0.35">
      <c r="A769">
        <v>323338</v>
      </c>
      <c r="B769" t="s">
        <v>20</v>
      </c>
      <c r="C769">
        <v>2015</v>
      </c>
      <c r="D769">
        <v>9</v>
      </c>
      <c r="E769" t="s">
        <v>42</v>
      </c>
      <c r="F769" t="s">
        <v>5</v>
      </c>
      <c r="G769" t="s">
        <v>5</v>
      </c>
      <c r="H769">
        <v>66287.199999999997</v>
      </c>
      <c r="I769">
        <v>31431.37</v>
      </c>
      <c r="J769">
        <v>0</v>
      </c>
    </row>
    <row r="770" spans="1:10" x14ac:dyDescent="0.35">
      <c r="A770">
        <v>323344</v>
      </c>
      <c r="B770" t="s">
        <v>20</v>
      </c>
      <c r="C770">
        <v>2015</v>
      </c>
      <c r="D770">
        <v>6</v>
      </c>
      <c r="E770" t="s">
        <v>43</v>
      </c>
      <c r="F770" t="s">
        <v>5</v>
      </c>
      <c r="G770" t="s">
        <v>5</v>
      </c>
      <c r="H770">
        <v>8173.34</v>
      </c>
      <c r="I770">
        <v>2251.52</v>
      </c>
      <c r="J770">
        <v>0</v>
      </c>
    </row>
    <row r="771" spans="1:10" x14ac:dyDescent="0.35">
      <c r="A771">
        <v>323351</v>
      </c>
      <c r="B771" t="s">
        <v>20</v>
      </c>
      <c r="C771">
        <v>2015</v>
      </c>
      <c r="D771">
        <v>6</v>
      </c>
      <c r="E771" t="s">
        <v>43</v>
      </c>
      <c r="F771" t="s">
        <v>5</v>
      </c>
      <c r="G771" t="s">
        <v>5</v>
      </c>
      <c r="H771">
        <v>59420.6</v>
      </c>
      <c r="I771">
        <v>22231.38</v>
      </c>
      <c r="J771">
        <v>0</v>
      </c>
    </row>
    <row r="772" spans="1:10" x14ac:dyDescent="0.35">
      <c r="A772">
        <v>323352</v>
      </c>
      <c r="B772" t="s">
        <v>20</v>
      </c>
      <c r="C772">
        <v>2015</v>
      </c>
      <c r="D772">
        <v>6</v>
      </c>
      <c r="E772" t="s">
        <v>43</v>
      </c>
      <c r="F772" t="s">
        <v>5</v>
      </c>
      <c r="G772" t="s">
        <v>5</v>
      </c>
      <c r="H772">
        <v>38196.06</v>
      </c>
      <c r="I772">
        <v>12018.96</v>
      </c>
      <c r="J772">
        <v>0</v>
      </c>
    </row>
    <row r="773" spans="1:10" x14ac:dyDescent="0.35">
      <c r="A773">
        <v>323354</v>
      </c>
      <c r="B773" t="s">
        <v>20</v>
      </c>
      <c r="C773">
        <v>2015</v>
      </c>
      <c r="D773">
        <v>9</v>
      </c>
      <c r="E773" t="s">
        <v>42</v>
      </c>
      <c r="F773" t="s">
        <v>5</v>
      </c>
      <c r="G773" t="s">
        <v>5</v>
      </c>
      <c r="H773">
        <v>66926.880000000005</v>
      </c>
      <c r="I773">
        <v>49023.62</v>
      </c>
      <c r="J773">
        <v>0</v>
      </c>
    </row>
    <row r="774" spans="1:10" x14ac:dyDescent="0.35">
      <c r="A774">
        <v>323355</v>
      </c>
      <c r="B774" t="s">
        <v>20</v>
      </c>
      <c r="C774">
        <v>2015</v>
      </c>
      <c r="D774">
        <v>6</v>
      </c>
      <c r="E774" t="s">
        <v>43</v>
      </c>
      <c r="F774" t="s">
        <v>5</v>
      </c>
      <c r="G774" t="s">
        <v>5</v>
      </c>
      <c r="H774">
        <v>22001.94</v>
      </c>
      <c r="I774">
        <v>6513.11</v>
      </c>
      <c r="J774">
        <v>0</v>
      </c>
    </row>
    <row r="775" spans="1:10" x14ac:dyDescent="0.35">
      <c r="A775">
        <v>323363</v>
      </c>
      <c r="B775" t="s">
        <v>20</v>
      </c>
      <c r="C775">
        <v>2015</v>
      </c>
      <c r="D775">
        <v>9</v>
      </c>
      <c r="E775" t="s">
        <v>42</v>
      </c>
      <c r="F775" t="s">
        <v>5</v>
      </c>
      <c r="G775" t="s">
        <v>5</v>
      </c>
      <c r="H775">
        <v>59646.36</v>
      </c>
      <c r="I775">
        <v>44445.84</v>
      </c>
      <c r="J775">
        <v>0</v>
      </c>
    </row>
    <row r="776" spans="1:10" x14ac:dyDescent="0.35">
      <c r="A776">
        <v>323369</v>
      </c>
      <c r="B776" t="s">
        <v>20</v>
      </c>
      <c r="C776">
        <v>2015</v>
      </c>
      <c r="D776">
        <v>9</v>
      </c>
      <c r="E776" t="s">
        <v>42</v>
      </c>
      <c r="F776" t="s">
        <v>5</v>
      </c>
      <c r="G776" t="s">
        <v>5</v>
      </c>
      <c r="H776">
        <v>21319.56</v>
      </c>
      <c r="I776">
        <v>5591.78</v>
      </c>
      <c r="J776">
        <v>0</v>
      </c>
    </row>
    <row r="777" spans="1:10" x14ac:dyDescent="0.35">
      <c r="A777">
        <v>323373</v>
      </c>
      <c r="B777" t="s">
        <v>20</v>
      </c>
      <c r="C777">
        <v>2015</v>
      </c>
      <c r="D777">
        <v>6</v>
      </c>
      <c r="E777" t="s">
        <v>43</v>
      </c>
      <c r="F777" t="s">
        <v>5</v>
      </c>
      <c r="G777" t="s">
        <v>5</v>
      </c>
      <c r="H777">
        <v>16954.560000000001</v>
      </c>
      <c r="I777">
        <v>4781.41</v>
      </c>
      <c r="J777">
        <v>0</v>
      </c>
    </row>
    <row r="778" spans="1:10" x14ac:dyDescent="0.35">
      <c r="A778">
        <v>323381</v>
      </c>
      <c r="B778" t="s">
        <v>20</v>
      </c>
      <c r="C778">
        <v>2015</v>
      </c>
      <c r="D778">
        <v>9</v>
      </c>
      <c r="E778" t="s">
        <v>42</v>
      </c>
      <c r="F778" t="s">
        <v>5</v>
      </c>
      <c r="G778" t="s">
        <v>5</v>
      </c>
      <c r="H778">
        <v>20117.78</v>
      </c>
      <c r="I778">
        <v>7522.48</v>
      </c>
      <c r="J778">
        <v>0</v>
      </c>
    </row>
    <row r="779" spans="1:10" x14ac:dyDescent="0.35">
      <c r="A779">
        <v>323387</v>
      </c>
      <c r="B779" t="s">
        <v>20</v>
      </c>
      <c r="C779">
        <v>2015</v>
      </c>
      <c r="D779">
        <v>6</v>
      </c>
      <c r="E779" t="s">
        <v>43</v>
      </c>
      <c r="F779" t="s">
        <v>5</v>
      </c>
      <c r="G779" t="s">
        <v>5</v>
      </c>
      <c r="H779">
        <v>13408.26</v>
      </c>
      <c r="I779">
        <v>4241.34</v>
      </c>
      <c r="J779">
        <v>0</v>
      </c>
    </row>
    <row r="780" spans="1:10" x14ac:dyDescent="0.35">
      <c r="A780">
        <v>323390</v>
      </c>
      <c r="B780" t="s">
        <v>20</v>
      </c>
      <c r="C780">
        <v>2015</v>
      </c>
      <c r="D780">
        <v>6</v>
      </c>
      <c r="E780" t="s">
        <v>43</v>
      </c>
      <c r="F780" t="s">
        <v>5</v>
      </c>
      <c r="G780" t="s">
        <v>5</v>
      </c>
      <c r="H780">
        <v>37606.239999999998</v>
      </c>
      <c r="I780">
        <v>7595.31</v>
      </c>
      <c r="J780">
        <v>0</v>
      </c>
    </row>
    <row r="781" spans="1:10" x14ac:dyDescent="0.35">
      <c r="A781">
        <v>323392</v>
      </c>
      <c r="B781" t="s">
        <v>20</v>
      </c>
      <c r="C781">
        <v>2015</v>
      </c>
      <c r="D781">
        <v>6</v>
      </c>
      <c r="E781" t="s">
        <v>43</v>
      </c>
      <c r="F781" t="s">
        <v>5</v>
      </c>
      <c r="G781" t="s">
        <v>5</v>
      </c>
      <c r="H781">
        <v>11189.72</v>
      </c>
      <c r="I781">
        <v>2915.08</v>
      </c>
      <c r="J781">
        <v>0</v>
      </c>
    </row>
    <row r="782" spans="1:10" x14ac:dyDescent="0.35">
      <c r="A782">
        <v>323395</v>
      </c>
      <c r="B782" t="s">
        <v>20</v>
      </c>
      <c r="C782">
        <v>2015</v>
      </c>
      <c r="D782">
        <v>9</v>
      </c>
      <c r="E782" t="s">
        <v>42</v>
      </c>
      <c r="F782" t="s">
        <v>5</v>
      </c>
      <c r="G782" t="s">
        <v>5</v>
      </c>
      <c r="H782">
        <v>41557.42</v>
      </c>
      <c r="I782">
        <v>15402.43</v>
      </c>
      <c r="J782">
        <v>0</v>
      </c>
    </row>
    <row r="783" spans="1:10" x14ac:dyDescent="0.35">
      <c r="A783">
        <v>323397</v>
      </c>
      <c r="B783" t="s">
        <v>20</v>
      </c>
      <c r="C783">
        <v>2015</v>
      </c>
      <c r="D783">
        <v>6</v>
      </c>
      <c r="E783" t="s">
        <v>43</v>
      </c>
      <c r="F783" t="s">
        <v>5</v>
      </c>
      <c r="G783" t="s">
        <v>5</v>
      </c>
      <c r="H783">
        <v>38496.559999999998</v>
      </c>
      <c r="I783">
        <v>12593.26</v>
      </c>
      <c r="J783">
        <v>0</v>
      </c>
    </row>
    <row r="784" spans="1:10" x14ac:dyDescent="0.35">
      <c r="A784">
        <v>323399</v>
      </c>
      <c r="B784" t="s">
        <v>20</v>
      </c>
      <c r="C784">
        <v>2015</v>
      </c>
      <c r="D784">
        <v>9</v>
      </c>
      <c r="E784" t="s">
        <v>42</v>
      </c>
      <c r="F784" t="s">
        <v>5</v>
      </c>
      <c r="G784" t="s">
        <v>5</v>
      </c>
      <c r="H784">
        <v>4334</v>
      </c>
      <c r="I784">
        <v>1534.32</v>
      </c>
      <c r="J784">
        <v>0</v>
      </c>
    </row>
    <row r="785" spans="1:10" x14ac:dyDescent="0.35">
      <c r="A785">
        <v>323412</v>
      </c>
      <c r="B785" t="s">
        <v>20</v>
      </c>
      <c r="C785">
        <v>2015</v>
      </c>
      <c r="D785">
        <v>9</v>
      </c>
      <c r="E785" t="s">
        <v>42</v>
      </c>
      <c r="F785" t="s">
        <v>5</v>
      </c>
      <c r="G785" t="s">
        <v>5</v>
      </c>
      <c r="H785">
        <v>33022.76</v>
      </c>
      <c r="I785">
        <v>9554.0499999999993</v>
      </c>
      <c r="J785">
        <v>0</v>
      </c>
    </row>
    <row r="786" spans="1:10" x14ac:dyDescent="0.35">
      <c r="A786">
        <v>323414</v>
      </c>
      <c r="B786" t="s">
        <v>20</v>
      </c>
      <c r="C786">
        <v>2015</v>
      </c>
      <c r="D786">
        <v>6</v>
      </c>
      <c r="E786" t="s">
        <v>43</v>
      </c>
      <c r="F786" t="s">
        <v>5</v>
      </c>
      <c r="G786" t="s">
        <v>5</v>
      </c>
      <c r="H786">
        <v>32555.74</v>
      </c>
      <c r="I786">
        <v>9043.9</v>
      </c>
      <c r="J786">
        <v>0</v>
      </c>
    </row>
    <row r="787" spans="1:10" x14ac:dyDescent="0.35">
      <c r="A787">
        <v>323415</v>
      </c>
      <c r="B787" t="s">
        <v>20</v>
      </c>
      <c r="C787">
        <v>2015</v>
      </c>
      <c r="D787">
        <v>9</v>
      </c>
      <c r="E787" t="s">
        <v>42</v>
      </c>
      <c r="F787" t="s">
        <v>5</v>
      </c>
      <c r="G787" t="s">
        <v>5</v>
      </c>
      <c r="H787">
        <v>23755.16</v>
      </c>
      <c r="I787">
        <v>7163.54</v>
      </c>
      <c r="J787">
        <v>0</v>
      </c>
    </row>
    <row r="788" spans="1:10" x14ac:dyDescent="0.35">
      <c r="A788">
        <v>323416</v>
      </c>
      <c r="B788" t="s">
        <v>20</v>
      </c>
      <c r="C788">
        <v>2015</v>
      </c>
      <c r="D788">
        <v>6</v>
      </c>
      <c r="E788" t="s">
        <v>43</v>
      </c>
      <c r="F788" t="s">
        <v>5</v>
      </c>
      <c r="G788" t="s">
        <v>5</v>
      </c>
      <c r="H788">
        <v>38305.279999999999</v>
      </c>
      <c r="I788">
        <v>11311.11</v>
      </c>
      <c r="J788">
        <v>0</v>
      </c>
    </row>
    <row r="789" spans="1:10" x14ac:dyDescent="0.35">
      <c r="A789">
        <v>323419</v>
      </c>
      <c r="B789" t="s">
        <v>20</v>
      </c>
      <c r="C789">
        <v>2015</v>
      </c>
      <c r="D789">
        <v>6</v>
      </c>
      <c r="E789" t="s">
        <v>43</v>
      </c>
      <c r="F789" t="s">
        <v>5</v>
      </c>
      <c r="G789" t="s">
        <v>5</v>
      </c>
      <c r="H789">
        <v>12309.06</v>
      </c>
      <c r="I789">
        <v>3349.49</v>
      </c>
      <c r="J789">
        <v>0</v>
      </c>
    </row>
    <row r="790" spans="1:10" x14ac:dyDescent="0.35">
      <c r="A790">
        <v>323421</v>
      </c>
      <c r="B790" t="s">
        <v>20</v>
      </c>
      <c r="C790">
        <v>2015</v>
      </c>
      <c r="D790">
        <v>9</v>
      </c>
      <c r="E790" t="s">
        <v>42</v>
      </c>
      <c r="F790" t="s">
        <v>5</v>
      </c>
      <c r="G790" t="s">
        <v>5</v>
      </c>
      <c r="H790">
        <v>24841.1</v>
      </c>
      <c r="I790">
        <v>4679.07</v>
      </c>
      <c r="J790">
        <v>0</v>
      </c>
    </row>
    <row r="791" spans="1:10" x14ac:dyDescent="0.35">
      <c r="A791">
        <v>323429</v>
      </c>
      <c r="B791" t="s">
        <v>20</v>
      </c>
      <c r="C791">
        <v>2015</v>
      </c>
      <c r="D791">
        <v>6</v>
      </c>
      <c r="E791" t="s">
        <v>43</v>
      </c>
      <c r="F791" t="s">
        <v>5</v>
      </c>
      <c r="G791" t="s">
        <v>5</v>
      </c>
      <c r="H791">
        <v>25629.46</v>
      </c>
      <c r="I791">
        <v>7370.12</v>
      </c>
      <c r="J791">
        <v>0</v>
      </c>
    </row>
    <row r="792" spans="1:10" x14ac:dyDescent="0.35">
      <c r="A792">
        <v>323437</v>
      </c>
      <c r="B792" t="s">
        <v>20</v>
      </c>
      <c r="C792">
        <v>2015</v>
      </c>
      <c r="D792">
        <v>9</v>
      </c>
      <c r="E792" t="s">
        <v>42</v>
      </c>
      <c r="F792" t="s">
        <v>5</v>
      </c>
      <c r="G792" t="s">
        <v>5</v>
      </c>
      <c r="H792">
        <v>13978.96</v>
      </c>
      <c r="I792">
        <v>7038.94</v>
      </c>
      <c r="J792">
        <v>0</v>
      </c>
    </row>
    <row r="793" spans="1:10" x14ac:dyDescent="0.35">
      <c r="A793">
        <v>323442</v>
      </c>
      <c r="B793" t="s">
        <v>20</v>
      </c>
      <c r="C793">
        <v>2015</v>
      </c>
      <c r="D793">
        <v>6</v>
      </c>
      <c r="E793" t="s">
        <v>43</v>
      </c>
      <c r="F793" t="s">
        <v>5</v>
      </c>
      <c r="G793" t="s">
        <v>5</v>
      </c>
      <c r="H793">
        <v>40683.5</v>
      </c>
      <c r="I793">
        <v>11236.56</v>
      </c>
      <c r="J793">
        <v>0</v>
      </c>
    </row>
    <row r="794" spans="1:10" x14ac:dyDescent="0.35">
      <c r="A794">
        <v>323443</v>
      </c>
      <c r="B794" t="s">
        <v>20</v>
      </c>
      <c r="C794">
        <v>2015</v>
      </c>
      <c r="D794">
        <v>6</v>
      </c>
      <c r="E794" t="s">
        <v>43</v>
      </c>
      <c r="F794" t="s">
        <v>5</v>
      </c>
      <c r="G794" t="s">
        <v>5</v>
      </c>
      <c r="H794">
        <v>13730.4</v>
      </c>
      <c r="I794">
        <v>4023.3</v>
      </c>
      <c r="J794">
        <v>0</v>
      </c>
    </row>
    <row r="795" spans="1:10" x14ac:dyDescent="0.35">
      <c r="A795">
        <v>323457</v>
      </c>
      <c r="B795" t="s">
        <v>20</v>
      </c>
      <c r="C795">
        <v>2015</v>
      </c>
      <c r="D795">
        <v>9</v>
      </c>
      <c r="E795" t="s">
        <v>42</v>
      </c>
      <c r="F795" t="s">
        <v>5</v>
      </c>
      <c r="G795" t="s">
        <v>5</v>
      </c>
      <c r="H795">
        <v>15535.82</v>
      </c>
      <c r="I795">
        <v>3948.15</v>
      </c>
      <c r="J795">
        <v>0</v>
      </c>
    </row>
    <row r="796" spans="1:10" x14ac:dyDescent="0.35">
      <c r="A796">
        <v>323466</v>
      </c>
      <c r="B796" t="s">
        <v>20</v>
      </c>
      <c r="C796">
        <v>2015</v>
      </c>
      <c r="D796">
        <v>6</v>
      </c>
      <c r="E796" t="s">
        <v>43</v>
      </c>
      <c r="F796" t="s">
        <v>5</v>
      </c>
      <c r="G796" t="s">
        <v>5</v>
      </c>
      <c r="H796">
        <v>22383.72</v>
      </c>
      <c r="I796">
        <v>6135.15</v>
      </c>
      <c r="J796">
        <v>0</v>
      </c>
    </row>
    <row r="797" spans="1:10" x14ac:dyDescent="0.35">
      <c r="A797">
        <v>323472</v>
      </c>
      <c r="B797" t="s">
        <v>20</v>
      </c>
      <c r="C797">
        <v>2015</v>
      </c>
      <c r="D797">
        <v>6</v>
      </c>
      <c r="E797" t="s">
        <v>43</v>
      </c>
      <c r="F797" t="s">
        <v>5</v>
      </c>
      <c r="G797" t="s">
        <v>5</v>
      </c>
      <c r="H797">
        <v>87262.26</v>
      </c>
      <c r="I797">
        <v>32757.34</v>
      </c>
      <c r="J797">
        <v>0</v>
      </c>
    </row>
    <row r="798" spans="1:10" x14ac:dyDescent="0.35">
      <c r="A798">
        <v>323482</v>
      </c>
      <c r="B798" t="s">
        <v>20</v>
      </c>
      <c r="C798">
        <v>2015</v>
      </c>
      <c r="D798">
        <v>6</v>
      </c>
      <c r="E798" t="s">
        <v>43</v>
      </c>
      <c r="F798" t="s">
        <v>5</v>
      </c>
      <c r="G798" t="s">
        <v>5</v>
      </c>
      <c r="H798">
        <v>19539.52</v>
      </c>
      <c r="I798">
        <v>4854.88</v>
      </c>
      <c r="J798">
        <v>0</v>
      </c>
    </row>
    <row r="799" spans="1:10" x14ac:dyDescent="0.35">
      <c r="A799">
        <v>323484</v>
      </c>
      <c r="B799" t="s">
        <v>20</v>
      </c>
      <c r="C799">
        <v>2015</v>
      </c>
      <c r="D799">
        <v>9</v>
      </c>
      <c r="E799" t="s">
        <v>42</v>
      </c>
      <c r="F799" t="s">
        <v>5</v>
      </c>
      <c r="G799" t="s">
        <v>5</v>
      </c>
      <c r="H799">
        <v>52758.15</v>
      </c>
      <c r="I799">
        <v>19203.72</v>
      </c>
      <c r="J799">
        <v>0</v>
      </c>
    </row>
    <row r="800" spans="1:10" x14ac:dyDescent="0.35">
      <c r="A800">
        <v>323488</v>
      </c>
      <c r="B800" t="s">
        <v>20</v>
      </c>
      <c r="C800">
        <v>2015</v>
      </c>
      <c r="D800">
        <v>6</v>
      </c>
      <c r="E800" t="s">
        <v>43</v>
      </c>
      <c r="F800" t="s">
        <v>5</v>
      </c>
      <c r="G800" t="s">
        <v>5</v>
      </c>
      <c r="H800">
        <v>14092.82</v>
      </c>
      <c r="I800">
        <v>5845.99</v>
      </c>
      <c r="J800">
        <v>0</v>
      </c>
    </row>
    <row r="801" spans="1:10" x14ac:dyDescent="0.35">
      <c r="A801">
        <v>323490</v>
      </c>
      <c r="B801" t="s">
        <v>20</v>
      </c>
      <c r="C801">
        <v>2015</v>
      </c>
      <c r="D801">
        <v>6</v>
      </c>
      <c r="E801" t="s">
        <v>43</v>
      </c>
      <c r="F801" t="s">
        <v>5</v>
      </c>
      <c r="G801" t="s">
        <v>5</v>
      </c>
      <c r="H801">
        <v>14940.02</v>
      </c>
      <c r="I801">
        <v>4463.6099999999997</v>
      </c>
      <c r="J801">
        <v>0</v>
      </c>
    </row>
    <row r="802" spans="1:10" x14ac:dyDescent="0.35">
      <c r="A802">
        <v>323491</v>
      </c>
      <c r="B802" t="s">
        <v>20</v>
      </c>
      <c r="C802">
        <v>2015</v>
      </c>
      <c r="D802">
        <v>9</v>
      </c>
      <c r="E802" t="s">
        <v>42</v>
      </c>
      <c r="F802" t="s">
        <v>5</v>
      </c>
      <c r="G802" t="s">
        <v>5</v>
      </c>
      <c r="H802">
        <v>17110.7</v>
      </c>
      <c r="I802">
        <v>5001.95</v>
      </c>
      <c r="J802">
        <v>0</v>
      </c>
    </row>
    <row r="803" spans="1:10" x14ac:dyDescent="0.35">
      <c r="A803">
        <v>323506</v>
      </c>
      <c r="B803" t="s">
        <v>20</v>
      </c>
      <c r="C803">
        <v>2015</v>
      </c>
      <c r="D803">
        <v>6</v>
      </c>
      <c r="E803" t="s">
        <v>43</v>
      </c>
      <c r="F803" t="s">
        <v>5</v>
      </c>
      <c r="G803" t="s">
        <v>5</v>
      </c>
      <c r="H803">
        <v>35671.43</v>
      </c>
      <c r="I803">
        <v>20992.68</v>
      </c>
      <c r="J803">
        <v>0</v>
      </c>
    </row>
    <row r="804" spans="1:10" x14ac:dyDescent="0.35">
      <c r="A804">
        <v>323508</v>
      </c>
      <c r="B804" t="s">
        <v>20</v>
      </c>
      <c r="C804">
        <v>2015</v>
      </c>
      <c r="D804">
        <v>6</v>
      </c>
      <c r="E804" t="s">
        <v>43</v>
      </c>
      <c r="F804" t="s">
        <v>5</v>
      </c>
      <c r="G804" t="s">
        <v>5</v>
      </c>
      <c r="H804">
        <v>8184.98</v>
      </c>
      <c r="I804">
        <v>2254.7600000000002</v>
      </c>
      <c r="J804">
        <v>0</v>
      </c>
    </row>
    <row r="805" spans="1:10" x14ac:dyDescent="0.35">
      <c r="A805">
        <v>323512</v>
      </c>
      <c r="B805" t="s">
        <v>20</v>
      </c>
      <c r="C805">
        <v>2015</v>
      </c>
      <c r="D805">
        <v>6</v>
      </c>
      <c r="E805" t="s">
        <v>43</v>
      </c>
      <c r="F805" t="s">
        <v>5</v>
      </c>
      <c r="G805" t="s">
        <v>5</v>
      </c>
      <c r="H805">
        <v>12223.84</v>
      </c>
      <c r="I805">
        <v>3093.19</v>
      </c>
      <c r="J805">
        <v>0</v>
      </c>
    </row>
    <row r="806" spans="1:10" x14ac:dyDescent="0.35">
      <c r="A806">
        <v>323513</v>
      </c>
      <c r="B806" t="s">
        <v>20</v>
      </c>
      <c r="C806">
        <v>2015</v>
      </c>
      <c r="D806">
        <v>9</v>
      </c>
      <c r="E806" t="s">
        <v>42</v>
      </c>
      <c r="F806" t="s">
        <v>5</v>
      </c>
      <c r="G806" t="s">
        <v>5</v>
      </c>
      <c r="H806">
        <v>43367.1</v>
      </c>
      <c r="I806">
        <v>31405.38</v>
      </c>
      <c r="J806">
        <v>0</v>
      </c>
    </row>
    <row r="807" spans="1:10" x14ac:dyDescent="0.35">
      <c r="A807">
        <v>323514</v>
      </c>
      <c r="B807" t="s">
        <v>20</v>
      </c>
      <c r="C807">
        <v>2015</v>
      </c>
      <c r="D807">
        <v>6</v>
      </c>
      <c r="E807" t="s">
        <v>43</v>
      </c>
      <c r="F807" t="s">
        <v>5</v>
      </c>
      <c r="G807" t="s">
        <v>5</v>
      </c>
      <c r="H807">
        <v>25095.48</v>
      </c>
      <c r="I807">
        <v>9179.86</v>
      </c>
      <c r="J807">
        <v>0</v>
      </c>
    </row>
    <row r="808" spans="1:10" x14ac:dyDescent="0.35">
      <c r="A808">
        <v>323522</v>
      </c>
      <c r="B808" t="s">
        <v>20</v>
      </c>
      <c r="C808">
        <v>2015</v>
      </c>
      <c r="D808">
        <v>6</v>
      </c>
      <c r="E808" t="s">
        <v>43</v>
      </c>
      <c r="F808" t="s">
        <v>5</v>
      </c>
      <c r="G808" t="s">
        <v>5</v>
      </c>
      <c r="H808">
        <v>48735.72</v>
      </c>
      <c r="I808">
        <v>12918.36</v>
      </c>
      <c r="J808">
        <v>0</v>
      </c>
    </row>
    <row r="809" spans="1:10" x14ac:dyDescent="0.35">
      <c r="A809">
        <v>323530</v>
      </c>
      <c r="B809" t="s">
        <v>20</v>
      </c>
      <c r="C809">
        <v>2015</v>
      </c>
      <c r="D809">
        <v>9</v>
      </c>
      <c r="E809" t="s">
        <v>42</v>
      </c>
      <c r="F809" t="s">
        <v>5</v>
      </c>
      <c r="G809" t="s">
        <v>5</v>
      </c>
      <c r="H809">
        <v>35948.080000000002</v>
      </c>
      <c r="I809">
        <v>16546.62</v>
      </c>
      <c r="J809">
        <v>0</v>
      </c>
    </row>
    <row r="810" spans="1:10" x14ac:dyDescent="0.35">
      <c r="A810">
        <v>323532</v>
      </c>
      <c r="B810" t="s">
        <v>20</v>
      </c>
      <c r="C810">
        <v>2015</v>
      </c>
      <c r="D810">
        <v>6</v>
      </c>
      <c r="E810" t="s">
        <v>43</v>
      </c>
      <c r="F810" t="s">
        <v>5</v>
      </c>
      <c r="G810" t="s">
        <v>5</v>
      </c>
      <c r="H810">
        <v>35915.1</v>
      </c>
      <c r="I810">
        <v>9889.26</v>
      </c>
      <c r="J810">
        <v>0</v>
      </c>
    </row>
    <row r="811" spans="1:10" x14ac:dyDescent="0.35">
      <c r="A811">
        <v>323562</v>
      </c>
      <c r="B811" t="s">
        <v>20</v>
      </c>
      <c r="C811">
        <v>2015</v>
      </c>
      <c r="D811">
        <v>9</v>
      </c>
      <c r="E811" t="s">
        <v>42</v>
      </c>
      <c r="F811" t="s">
        <v>5</v>
      </c>
      <c r="G811" t="s">
        <v>5</v>
      </c>
      <c r="H811">
        <v>32972.86</v>
      </c>
      <c r="I811">
        <v>14911.94</v>
      </c>
      <c r="J811">
        <v>0</v>
      </c>
    </row>
    <row r="812" spans="1:10" x14ac:dyDescent="0.35">
      <c r="A812">
        <v>323564</v>
      </c>
      <c r="B812" t="s">
        <v>20</v>
      </c>
      <c r="C812">
        <v>2015</v>
      </c>
      <c r="D812">
        <v>9</v>
      </c>
      <c r="E812" t="s">
        <v>42</v>
      </c>
      <c r="F812" t="s">
        <v>5</v>
      </c>
      <c r="G812" t="s">
        <v>5</v>
      </c>
      <c r="H812">
        <v>13586.14</v>
      </c>
      <c r="I812">
        <v>2930.14</v>
      </c>
      <c r="J812">
        <v>0</v>
      </c>
    </row>
    <row r="813" spans="1:10" x14ac:dyDescent="0.35">
      <c r="A813">
        <v>323577</v>
      </c>
      <c r="B813" t="s">
        <v>20</v>
      </c>
      <c r="C813">
        <v>2015</v>
      </c>
      <c r="D813">
        <v>9</v>
      </c>
      <c r="E813" t="s">
        <v>42</v>
      </c>
      <c r="F813" t="s">
        <v>5</v>
      </c>
      <c r="G813" t="s">
        <v>5</v>
      </c>
      <c r="H813">
        <v>10535.64</v>
      </c>
      <c r="I813">
        <v>2346.4499999999998</v>
      </c>
      <c r="J813">
        <v>0</v>
      </c>
    </row>
    <row r="814" spans="1:10" x14ac:dyDescent="0.35">
      <c r="A814">
        <v>323580</v>
      </c>
      <c r="B814" t="s">
        <v>20</v>
      </c>
      <c r="C814">
        <v>2015</v>
      </c>
      <c r="D814">
        <v>6</v>
      </c>
      <c r="E814" t="s">
        <v>43</v>
      </c>
      <c r="F814" t="s">
        <v>5</v>
      </c>
      <c r="G814" t="s">
        <v>5</v>
      </c>
      <c r="H814">
        <v>33923.31</v>
      </c>
      <c r="I814">
        <v>19180.97</v>
      </c>
      <c r="J814">
        <v>0</v>
      </c>
    </row>
    <row r="815" spans="1:10" x14ac:dyDescent="0.35">
      <c r="A815">
        <v>323581</v>
      </c>
      <c r="B815" t="s">
        <v>20</v>
      </c>
      <c r="C815">
        <v>2015</v>
      </c>
      <c r="D815">
        <v>6</v>
      </c>
      <c r="E815" t="s">
        <v>43</v>
      </c>
      <c r="F815" t="s">
        <v>5</v>
      </c>
      <c r="G815" t="s">
        <v>5</v>
      </c>
      <c r="H815">
        <v>14583.62</v>
      </c>
      <c r="I815">
        <v>2572.14</v>
      </c>
      <c r="J815">
        <v>0</v>
      </c>
    </row>
    <row r="816" spans="1:10" x14ac:dyDescent="0.35">
      <c r="A816">
        <v>323584</v>
      </c>
      <c r="B816" t="s">
        <v>20</v>
      </c>
      <c r="C816">
        <v>2015</v>
      </c>
      <c r="D816">
        <v>6</v>
      </c>
      <c r="E816" t="s">
        <v>43</v>
      </c>
      <c r="F816" t="s">
        <v>5</v>
      </c>
      <c r="G816" t="s">
        <v>5</v>
      </c>
      <c r="H816">
        <v>15676.5</v>
      </c>
      <c r="I816">
        <v>4141.3999999999996</v>
      </c>
      <c r="J816">
        <v>0</v>
      </c>
    </row>
    <row r="817" spans="1:10" x14ac:dyDescent="0.35">
      <c r="A817">
        <v>323589</v>
      </c>
      <c r="B817" t="s">
        <v>20</v>
      </c>
      <c r="C817">
        <v>2015</v>
      </c>
      <c r="D817">
        <v>6</v>
      </c>
      <c r="E817" t="s">
        <v>43</v>
      </c>
      <c r="F817" t="s">
        <v>5</v>
      </c>
      <c r="G817" t="s">
        <v>5</v>
      </c>
      <c r="H817">
        <v>32549.25</v>
      </c>
      <c r="I817">
        <v>18724.810000000001</v>
      </c>
      <c r="J817">
        <v>0</v>
      </c>
    </row>
    <row r="818" spans="1:10" x14ac:dyDescent="0.35">
      <c r="A818">
        <v>323592</v>
      </c>
      <c r="B818" t="s">
        <v>20</v>
      </c>
      <c r="C818">
        <v>2015</v>
      </c>
      <c r="D818">
        <v>6</v>
      </c>
      <c r="E818" t="s">
        <v>43</v>
      </c>
      <c r="F818" t="s">
        <v>5</v>
      </c>
      <c r="G818" t="s">
        <v>5</v>
      </c>
      <c r="H818">
        <v>27892.86</v>
      </c>
      <c r="I818">
        <v>7872.1</v>
      </c>
      <c r="J818">
        <v>0</v>
      </c>
    </row>
    <row r="819" spans="1:10" x14ac:dyDescent="0.35">
      <c r="A819">
        <v>323602</v>
      </c>
      <c r="B819" t="s">
        <v>20</v>
      </c>
      <c r="C819">
        <v>2015</v>
      </c>
      <c r="D819">
        <v>9</v>
      </c>
      <c r="E819" t="s">
        <v>42</v>
      </c>
      <c r="F819" t="s">
        <v>5</v>
      </c>
      <c r="G819" t="s">
        <v>5</v>
      </c>
      <c r="H819">
        <v>24842.32</v>
      </c>
      <c r="I819">
        <v>11250.64</v>
      </c>
      <c r="J819">
        <v>0</v>
      </c>
    </row>
    <row r="820" spans="1:10" x14ac:dyDescent="0.35">
      <c r="A820">
        <v>323604</v>
      </c>
      <c r="B820" t="s">
        <v>20</v>
      </c>
      <c r="C820">
        <v>2015</v>
      </c>
      <c r="D820">
        <v>9</v>
      </c>
      <c r="E820" t="s">
        <v>42</v>
      </c>
      <c r="F820" t="s">
        <v>5</v>
      </c>
      <c r="G820" t="s">
        <v>5</v>
      </c>
      <c r="H820">
        <v>40466.879999999997</v>
      </c>
      <c r="I820">
        <v>11439.72</v>
      </c>
      <c r="J820">
        <v>0</v>
      </c>
    </row>
    <row r="821" spans="1:10" x14ac:dyDescent="0.35">
      <c r="A821">
        <v>323607</v>
      </c>
      <c r="B821" t="s">
        <v>20</v>
      </c>
      <c r="C821">
        <v>2015</v>
      </c>
      <c r="D821">
        <v>9</v>
      </c>
      <c r="E821" t="s">
        <v>42</v>
      </c>
      <c r="F821" t="s">
        <v>5</v>
      </c>
      <c r="G821" t="s">
        <v>5</v>
      </c>
      <c r="H821">
        <v>15135.08</v>
      </c>
      <c r="I821">
        <v>11108.34</v>
      </c>
      <c r="J821">
        <v>0</v>
      </c>
    </row>
    <row r="822" spans="1:10" x14ac:dyDescent="0.35">
      <c r="A822">
        <v>323613</v>
      </c>
      <c r="B822" t="s">
        <v>20</v>
      </c>
      <c r="C822">
        <v>2015</v>
      </c>
      <c r="D822">
        <v>6</v>
      </c>
      <c r="E822" t="s">
        <v>43</v>
      </c>
      <c r="F822" t="s">
        <v>5</v>
      </c>
      <c r="G822" t="s">
        <v>5</v>
      </c>
      <c r="H822">
        <v>44292.34</v>
      </c>
      <c r="I822">
        <v>11901.25</v>
      </c>
      <c r="J822">
        <v>0</v>
      </c>
    </row>
    <row r="823" spans="1:10" x14ac:dyDescent="0.35">
      <c r="A823">
        <v>323616</v>
      </c>
      <c r="B823" t="s">
        <v>20</v>
      </c>
      <c r="C823">
        <v>2015</v>
      </c>
      <c r="D823">
        <v>6</v>
      </c>
      <c r="E823" t="s">
        <v>43</v>
      </c>
      <c r="F823" t="s">
        <v>5</v>
      </c>
      <c r="G823" t="s">
        <v>5</v>
      </c>
      <c r="H823">
        <v>36077.32</v>
      </c>
      <c r="I823">
        <v>21223.72</v>
      </c>
      <c r="J823">
        <v>0</v>
      </c>
    </row>
    <row r="824" spans="1:10" x14ac:dyDescent="0.35">
      <c r="A824">
        <v>323620</v>
      </c>
      <c r="B824" t="s">
        <v>20</v>
      </c>
      <c r="C824">
        <v>2015</v>
      </c>
      <c r="D824">
        <v>6</v>
      </c>
      <c r="E824" t="s">
        <v>43</v>
      </c>
      <c r="F824" t="s">
        <v>5</v>
      </c>
      <c r="G824" t="s">
        <v>5</v>
      </c>
      <c r="H824">
        <v>12182.5</v>
      </c>
      <c r="I824">
        <v>3631.57</v>
      </c>
      <c r="J824">
        <v>0</v>
      </c>
    </row>
    <row r="825" spans="1:10" x14ac:dyDescent="0.35">
      <c r="A825">
        <v>323623</v>
      </c>
      <c r="B825" t="s">
        <v>20</v>
      </c>
      <c r="C825">
        <v>2015</v>
      </c>
      <c r="D825">
        <v>9</v>
      </c>
      <c r="E825" t="s">
        <v>42</v>
      </c>
      <c r="F825" t="s">
        <v>5</v>
      </c>
      <c r="G825" t="s">
        <v>5</v>
      </c>
      <c r="H825">
        <v>13194.06</v>
      </c>
      <c r="I825">
        <v>3994.88</v>
      </c>
      <c r="J825">
        <v>0</v>
      </c>
    </row>
    <row r="826" spans="1:10" x14ac:dyDescent="0.35">
      <c r="A826">
        <v>323629</v>
      </c>
      <c r="B826" t="s">
        <v>20</v>
      </c>
      <c r="C826">
        <v>2015</v>
      </c>
      <c r="D826">
        <v>9</v>
      </c>
      <c r="E826" t="s">
        <v>42</v>
      </c>
      <c r="F826" t="s">
        <v>5</v>
      </c>
      <c r="G826" t="s">
        <v>5</v>
      </c>
      <c r="H826">
        <v>10173.780000000001</v>
      </c>
      <c r="I826">
        <v>2249.96</v>
      </c>
      <c r="J826">
        <v>0</v>
      </c>
    </row>
    <row r="827" spans="1:10" x14ac:dyDescent="0.35">
      <c r="A827">
        <v>323631</v>
      </c>
      <c r="B827" t="s">
        <v>20</v>
      </c>
      <c r="C827">
        <v>2015</v>
      </c>
      <c r="D827">
        <v>9</v>
      </c>
      <c r="E827" t="s">
        <v>42</v>
      </c>
      <c r="F827" t="s">
        <v>5</v>
      </c>
      <c r="G827" t="s">
        <v>5</v>
      </c>
      <c r="H827">
        <v>9254.94</v>
      </c>
      <c r="I827">
        <v>2391.21</v>
      </c>
      <c r="J827">
        <v>0</v>
      </c>
    </row>
    <row r="828" spans="1:10" x14ac:dyDescent="0.35">
      <c r="A828">
        <v>323632</v>
      </c>
      <c r="B828" t="s">
        <v>20</v>
      </c>
      <c r="C828">
        <v>2015</v>
      </c>
      <c r="D828">
        <v>6</v>
      </c>
      <c r="E828" t="s">
        <v>43</v>
      </c>
      <c r="F828" t="s">
        <v>5</v>
      </c>
      <c r="G828" t="s">
        <v>5</v>
      </c>
      <c r="H828">
        <v>27075.24</v>
      </c>
      <c r="I828">
        <v>7711.3</v>
      </c>
      <c r="J828">
        <v>0</v>
      </c>
    </row>
    <row r="829" spans="1:10" x14ac:dyDescent="0.35">
      <c r="A829">
        <v>323637</v>
      </c>
      <c r="B829" t="s">
        <v>20</v>
      </c>
      <c r="C829">
        <v>2015</v>
      </c>
      <c r="D829">
        <v>6</v>
      </c>
      <c r="E829" t="s">
        <v>43</v>
      </c>
      <c r="F829" t="s">
        <v>5</v>
      </c>
      <c r="G829" t="s">
        <v>5</v>
      </c>
      <c r="H829">
        <v>45215.72</v>
      </c>
      <c r="I829">
        <v>19120.46</v>
      </c>
      <c r="J829">
        <v>0</v>
      </c>
    </row>
    <row r="830" spans="1:10" x14ac:dyDescent="0.35">
      <c r="A830">
        <v>323641</v>
      </c>
      <c r="B830" t="s">
        <v>20</v>
      </c>
      <c r="C830">
        <v>2015</v>
      </c>
      <c r="D830">
        <v>9</v>
      </c>
      <c r="E830" t="s">
        <v>42</v>
      </c>
      <c r="F830" t="s">
        <v>5</v>
      </c>
      <c r="G830" t="s">
        <v>5</v>
      </c>
      <c r="H830">
        <v>27061.74</v>
      </c>
      <c r="I830">
        <v>13357.69</v>
      </c>
      <c r="J830">
        <v>0</v>
      </c>
    </row>
    <row r="831" spans="1:10" x14ac:dyDescent="0.35">
      <c r="A831">
        <v>323653</v>
      </c>
      <c r="B831" t="s">
        <v>20</v>
      </c>
      <c r="C831">
        <v>2015</v>
      </c>
      <c r="D831">
        <v>9</v>
      </c>
      <c r="E831" t="s">
        <v>42</v>
      </c>
      <c r="F831" t="s">
        <v>5</v>
      </c>
      <c r="G831" t="s">
        <v>5</v>
      </c>
      <c r="H831">
        <v>8710.32</v>
      </c>
      <c r="I831">
        <v>2365.23</v>
      </c>
      <c r="J831">
        <v>0</v>
      </c>
    </row>
    <row r="832" spans="1:10" x14ac:dyDescent="0.35">
      <c r="A832">
        <v>323661</v>
      </c>
      <c r="B832" t="s">
        <v>20</v>
      </c>
      <c r="C832">
        <v>2015</v>
      </c>
      <c r="D832">
        <v>9</v>
      </c>
      <c r="E832" t="s">
        <v>42</v>
      </c>
      <c r="F832" t="s">
        <v>5</v>
      </c>
      <c r="G832" t="s">
        <v>5</v>
      </c>
      <c r="H832">
        <v>10298.84</v>
      </c>
      <c r="I832">
        <v>2838.45</v>
      </c>
      <c r="J832">
        <v>0</v>
      </c>
    </row>
    <row r="833" spans="1:10" x14ac:dyDescent="0.35">
      <c r="A833">
        <v>323662</v>
      </c>
      <c r="B833" t="s">
        <v>20</v>
      </c>
      <c r="C833">
        <v>2015</v>
      </c>
      <c r="D833">
        <v>9</v>
      </c>
      <c r="E833" t="s">
        <v>42</v>
      </c>
      <c r="F833" t="s">
        <v>5</v>
      </c>
      <c r="G833" t="s">
        <v>5</v>
      </c>
      <c r="H833">
        <v>11494.44</v>
      </c>
      <c r="I833">
        <v>2717.2</v>
      </c>
      <c r="J833">
        <v>0</v>
      </c>
    </row>
    <row r="834" spans="1:10" x14ac:dyDescent="0.35">
      <c r="A834">
        <v>323673</v>
      </c>
      <c r="B834" t="s">
        <v>20</v>
      </c>
      <c r="C834">
        <v>2015</v>
      </c>
      <c r="D834">
        <v>9</v>
      </c>
      <c r="E834" t="s">
        <v>42</v>
      </c>
      <c r="F834" t="s">
        <v>5</v>
      </c>
      <c r="G834" t="s">
        <v>5</v>
      </c>
      <c r="H834">
        <v>27057.34</v>
      </c>
      <c r="I834">
        <v>10691.45</v>
      </c>
      <c r="J834">
        <v>0</v>
      </c>
    </row>
    <row r="835" spans="1:10" x14ac:dyDescent="0.35">
      <c r="A835">
        <v>323681</v>
      </c>
      <c r="B835" t="s">
        <v>20</v>
      </c>
      <c r="C835">
        <v>2015</v>
      </c>
      <c r="D835">
        <v>9</v>
      </c>
      <c r="E835" t="s">
        <v>42</v>
      </c>
      <c r="F835" t="s">
        <v>5</v>
      </c>
      <c r="G835" t="s">
        <v>5</v>
      </c>
      <c r="H835">
        <v>17450.28</v>
      </c>
      <c r="I835">
        <v>5343.52</v>
      </c>
      <c r="J835">
        <v>0</v>
      </c>
    </row>
    <row r="836" spans="1:10" x14ac:dyDescent="0.35">
      <c r="A836">
        <v>323688</v>
      </c>
      <c r="B836" t="s">
        <v>20</v>
      </c>
      <c r="C836">
        <v>2015</v>
      </c>
      <c r="D836">
        <v>9</v>
      </c>
      <c r="E836" t="s">
        <v>42</v>
      </c>
      <c r="F836" t="s">
        <v>5</v>
      </c>
      <c r="G836" t="s">
        <v>5</v>
      </c>
      <c r="H836">
        <v>10329.34</v>
      </c>
      <c r="I836">
        <v>2350.21</v>
      </c>
      <c r="J836">
        <v>0</v>
      </c>
    </row>
    <row r="837" spans="1:10" x14ac:dyDescent="0.35">
      <c r="A837">
        <v>323698</v>
      </c>
      <c r="B837" t="s">
        <v>20</v>
      </c>
      <c r="C837">
        <v>2015</v>
      </c>
      <c r="D837">
        <v>6</v>
      </c>
      <c r="E837" t="s">
        <v>43</v>
      </c>
      <c r="F837" t="s">
        <v>5</v>
      </c>
      <c r="G837" t="s">
        <v>5</v>
      </c>
      <c r="H837">
        <v>28829.16</v>
      </c>
      <c r="I837">
        <v>9010.2199999999993</v>
      </c>
      <c r="J837">
        <v>0</v>
      </c>
    </row>
    <row r="838" spans="1:10" x14ac:dyDescent="0.35">
      <c r="A838">
        <v>323710</v>
      </c>
      <c r="B838" t="s">
        <v>20</v>
      </c>
      <c r="C838">
        <v>2015</v>
      </c>
      <c r="D838">
        <v>9</v>
      </c>
      <c r="E838" t="s">
        <v>42</v>
      </c>
      <c r="F838" t="s">
        <v>5</v>
      </c>
      <c r="G838" t="s">
        <v>5</v>
      </c>
      <c r="H838">
        <v>12300.88</v>
      </c>
      <c r="I838">
        <v>2125.9299999999998</v>
      </c>
      <c r="J838">
        <v>0</v>
      </c>
    </row>
    <row r="839" spans="1:10" x14ac:dyDescent="0.35">
      <c r="A839">
        <v>323711</v>
      </c>
      <c r="B839" t="s">
        <v>20</v>
      </c>
      <c r="C839">
        <v>2015</v>
      </c>
      <c r="D839">
        <v>6</v>
      </c>
      <c r="E839" t="s">
        <v>43</v>
      </c>
      <c r="F839" t="s">
        <v>5</v>
      </c>
      <c r="G839" t="s">
        <v>5</v>
      </c>
      <c r="H839">
        <v>41858.93</v>
      </c>
      <c r="I839">
        <v>24010.959999999999</v>
      </c>
      <c r="J839">
        <v>0</v>
      </c>
    </row>
    <row r="840" spans="1:10" x14ac:dyDescent="0.35">
      <c r="A840">
        <v>323716</v>
      </c>
      <c r="B840" t="s">
        <v>20</v>
      </c>
      <c r="C840">
        <v>2015</v>
      </c>
      <c r="D840">
        <v>6</v>
      </c>
      <c r="E840" t="s">
        <v>43</v>
      </c>
      <c r="F840" t="s">
        <v>5</v>
      </c>
      <c r="G840" t="s">
        <v>5</v>
      </c>
      <c r="H840">
        <v>80124.12</v>
      </c>
      <c r="I840">
        <v>28362.51</v>
      </c>
      <c r="J840">
        <v>0</v>
      </c>
    </row>
    <row r="841" spans="1:10" x14ac:dyDescent="0.35">
      <c r="A841">
        <v>323718</v>
      </c>
      <c r="B841" t="s">
        <v>20</v>
      </c>
      <c r="C841">
        <v>2015</v>
      </c>
      <c r="D841">
        <v>6</v>
      </c>
      <c r="E841" t="s">
        <v>43</v>
      </c>
      <c r="F841" t="s">
        <v>5</v>
      </c>
      <c r="G841" t="s">
        <v>5</v>
      </c>
      <c r="H841">
        <v>132520.24</v>
      </c>
      <c r="I841">
        <v>33076.83</v>
      </c>
      <c r="J841">
        <v>0</v>
      </c>
    </row>
    <row r="842" spans="1:10" x14ac:dyDescent="0.35">
      <c r="A842">
        <v>323732</v>
      </c>
      <c r="B842" t="s">
        <v>20</v>
      </c>
      <c r="C842">
        <v>2015</v>
      </c>
      <c r="D842">
        <v>9</v>
      </c>
      <c r="E842" t="s">
        <v>42</v>
      </c>
      <c r="F842" t="s">
        <v>5</v>
      </c>
      <c r="G842" t="s">
        <v>5</v>
      </c>
      <c r="H842">
        <v>37290.239999999998</v>
      </c>
      <c r="I842">
        <v>18135.07</v>
      </c>
      <c r="J842">
        <v>0</v>
      </c>
    </row>
    <row r="843" spans="1:10" x14ac:dyDescent="0.35">
      <c r="A843">
        <v>323734</v>
      </c>
      <c r="B843" t="s">
        <v>20</v>
      </c>
      <c r="C843">
        <v>2015</v>
      </c>
      <c r="D843">
        <v>9</v>
      </c>
      <c r="E843" t="s">
        <v>42</v>
      </c>
      <c r="F843" t="s">
        <v>5</v>
      </c>
      <c r="G843" t="s">
        <v>5</v>
      </c>
      <c r="H843">
        <v>63952.88</v>
      </c>
      <c r="I843">
        <v>47946.98</v>
      </c>
      <c r="J843">
        <v>0</v>
      </c>
    </row>
    <row r="844" spans="1:10" x14ac:dyDescent="0.35">
      <c r="A844">
        <v>323736</v>
      </c>
      <c r="B844" t="s">
        <v>20</v>
      </c>
      <c r="C844">
        <v>2015</v>
      </c>
      <c r="D844">
        <v>6</v>
      </c>
      <c r="E844" t="s">
        <v>43</v>
      </c>
      <c r="F844" t="s">
        <v>5</v>
      </c>
      <c r="G844" t="s">
        <v>5</v>
      </c>
      <c r="H844">
        <v>31235.8</v>
      </c>
      <c r="I844">
        <v>8226.07</v>
      </c>
      <c r="J844">
        <v>0</v>
      </c>
    </row>
    <row r="845" spans="1:10" x14ac:dyDescent="0.35">
      <c r="A845">
        <v>323745</v>
      </c>
      <c r="B845" t="s">
        <v>20</v>
      </c>
      <c r="C845">
        <v>2015</v>
      </c>
      <c r="D845">
        <v>9</v>
      </c>
      <c r="E845" t="s">
        <v>42</v>
      </c>
      <c r="F845" t="s">
        <v>5</v>
      </c>
      <c r="G845" t="s">
        <v>5</v>
      </c>
      <c r="H845">
        <v>36492.620000000003</v>
      </c>
      <c r="I845">
        <v>11603.8</v>
      </c>
      <c r="J845">
        <v>0</v>
      </c>
    </row>
    <row r="846" spans="1:10" x14ac:dyDescent="0.35">
      <c r="A846">
        <v>323747</v>
      </c>
      <c r="B846" t="s">
        <v>20</v>
      </c>
      <c r="C846">
        <v>2015</v>
      </c>
      <c r="D846">
        <v>9</v>
      </c>
      <c r="E846" t="s">
        <v>42</v>
      </c>
      <c r="F846" t="s">
        <v>5</v>
      </c>
      <c r="G846" t="s">
        <v>5</v>
      </c>
      <c r="H846">
        <v>24173.279999999999</v>
      </c>
      <c r="I846">
        <v>6561.49</v>
      </c>
      <c r="J846">
        <v>0</v>
      </c>
    </row>
    <row r="847" spans="1:10" x14ac:dyDescent="0.35">
      <c r="A847">
        <v>323750</v>
      </c>
      <c r="B847" t="s">
        <v>20</v>
      </c>
      <c r="C847">
        <v>2015</v>
      </c>
      <c r="D847">
        <v>9</v>
      </c>
      <c r="E847" t="s">
        <v>42</v>
      </c>
      <c r="F847" t="s">
        <v>5</v>
      </c>
      <c r="G847" t="s">
        <v>5</v>
      </c>
      <c r="H847">
        <v>28449.62</v>
      </c>
      <c r="I847">
        <v>8610.0499999999993</v>
      </c>
      <c r="J847">
        <v>0</v>
      </c>
    </row>
    <row r="848" spans="1:10" x14ac:dyDescent="0.35">
      <c r="A848">
        <v>323754</v>
      </c>
      <c r="B848" t="s">
        <v>20</v>
      </c>
      <c r="C848">
        <v>2015</v>
      </c>
      <c r="D848">
        <v>9</v>
      </c>
      <c r="E848" t="s">
        <v>42</v>
      </c>
      <c r="F848" t="s">
        <v>5</v>
      </c>
      <c r="G848" t="s">
        <v>5</v>
      </c>
      <c r="H848">
        <v>29186.68</v>
      </c>
      <c r="I848">
        <v>12708.95</v>
      </c>
      <c r="J848">
        <v>0</v>
      </c>
    </row>
    <row r="849" spans="1:10" x14ac:dyDescent="0.35">
      <c r="A849">
        <v>323756</v>
      </c>
      <c r="B849" t="s">
        <v>20</v>
      </c>
      <c r="C849">
        <v>2015</v>
      </c>
      <c r="D849">
        <v>9</v>
      </c>
      <c r="E849" t="s">
        <v>42</v>
      </c>
      <c r="F849" t="s">
        <v>5</v>
      </c>
      <c r="G849" t="s">
        <v>5</v>
      </c>
      <c r="H849">
        <v>16833.400000000001</v>
      </c>
      <c r="I849">
        <v>4163.32</v>
      </c>
      <c r="J849">
        <v>0</v>
      </c>
    </row>
    <row r="850" spans="1:10" x14ac:dyDescent="0.35">
      <c r="A850">
        <v>323759</v>
      </c>
      <c r="B850" t="s">
        <v>20</v>
      </c>
      <c r="C850">
        <v>2015</v>
      </c>
      <c r="D850">
        <v>9</v>
      </c>
      <c r="E850" t="s">
        <v>42</v>
      </c>
      <c r="F850" t="s">
        <v>5</v>
      </c>
      <c r="G850" t="s">
        <v>5</v>
      </c>
      <c r="H850">
        <v>9484.7999999999993</v>
      </c>
      <c r="I850">
        <v>2491.09</v>
      </c>
      <c r="J850">
        <v>0</v>
      </c>
    </row>
    <row r="851" spans="1:10" x14ac:dyDescent="0.35">
      <c r="A851">
        <v>323768</v>
      </c>
      <c r="B851" t="s">
        <v>20</v>
      </c>
      <c r="C851">
        <v>2015</v>
      </c>
      <c r="D851">
        <v>9</v>
      </c>
      <c r="E851" t="s">
        <v>42</v>
      </c>
      <c r="F851" t="s">
        <v>5</v>
      </c>
      <c r="G851" t="s">
        <v>5</v>
      </c>
      <c r="H851">
        <v>22383.040000000001</v>
      </c>
      <c r="I851">
        <v>5626.07</v>
      </c>
      <c r="J851">
        <v>0</v>
      </c>
    </row>
    <row r="852" spans="1:10" x14ac:dyDescent="0.35">
      <c r="A852">
        <v>323783</v>
      </c>
      <c r="B852" t="s">
        <v>20</v>
      </c>
      <c r="C852">
        <v>2015</v>
      </c>
      <c r="D852">
        <v>9</v>
      </c>
      <c r="E852" t="s">
        <v>42</v>
      </c>
      <c r="F852" t="s">
        <v>5</v>
      </c>
      <c r="G852" t="s">
        <v>5</v>
      </c>
      <c r="H852">
        <v>46026.16</v>
      </c>
      <c r="I852">
        <v>14041.68</v>
      </c>
      <c r="J852">
        <v>0</v>
      </c>
    </row>
    <row r="853" spans="1:10" x14ac:dyDescent="0.35">
      <c r="A853">
        <v>323791</v>
      </c>
      <c r="B853" t="s">
        <v>20</v>
      </c>
      <c r="C853">
        <v>2015</v>
      </c>
      <c r="D853">
        <v>9</v>
      </c>
      <c r="E853" t="s">
        <v>42</v>
      </c>
      <c r="F853" t="s">
        <v>5</v>
      </c>
      <c r="G853" t="s">
        <v>5</v>
      </c>
      <c r="H853">
        <v>20070</v>
      </c>
      <c r="I853">
        <v>5966.25</v>
      </c>
      <c r="J853">
        <v>0</v>
      </c>
    </row>
    <row r="854" spans="1:10" x14ac:dyDescent="0.35">
      <c r="A854">
        <v>323794</v>
      </c>
      <c r="B854" t="s">
        <v>20</v>
      </c>
      <c r="C854">
        <v>2015</v>
      </c>
      <c r="D854">
        <v>6</v>
      </c>
      <c r="E854" t="s">
        <v>43</v>
      </c>
      <c r="F854" t="s">
        <v>5</v>
      </c>
      <c r="G854" t="s">
        <v>5</v>
      </c>
      <c r="H854">
        <v>27228.92</v>
      </c>
      <c r="I854">
        <v>6672.35</v>
      </c>
      <c r="J854">
        <v>0</v>
      </c>
    </row>
    <row r="855" spans="1:10" x14ac:dyDescent="0.35">
      <c r="A855">
        <v>323795</v>
      </c>
      <c r="B855" t="s">
        <v>20</v>
      </c>
      <c r="C855">
        <v>2015</v>
      </c>
      <c r="D855">
        <v>6</v>
      </c>
      <c r="E855" t="s">
        <v>43</v>
      </c>
      <c r="F855" t="s">
        <v>5</v>
      </c>
      <c r="G855" t="s">
        <v>5</v>
      </c>
      <c r="H855">
        <v>62023.040000000001</v>
      </c>
      <c r="I855">
        <v>19099.02</v>
      </c>
      <c r="J855">
        <v>0</v>
      </c>
    </row>
    <row r="856" spans="1:10" x14ac:dyDescent="0.35">
      <c r="A856">
        <v>323797</v>
      </c>
      <c r="B856" t="s">
        <v>20</v>
      </c>
      <c r="C856">
        <v>2015</v>
      </c>
      <c r="D856">
        <v>9</v>
      </c>
      <c r="E856" t="s">
        <v>42</v>
      </c>
      <c r="F856" t="s">
        <v>5</v>
      </c>
      <c r="G856" t="s">
        <v>5</v>
      </c>
      <c r="H856">
        <v>8514.7199999999993</v>
      </c>
      <c r="I856">
        <v>2359.6</v>
      </c>
      <c r="J856">
        <v>0</v>
      </c>
    </row>
    <row r="857" spans="1:10" x14ac:dyDescent="0.35">
      <c r="A857">
        <v>323802</v>
      </c>
      <c r="B857" t="s">
        <v>20</v>
      </c>
      <c r="C857">
        <v>2015</v>
      </c>
      <c r="D857">
        <v>9</v>
      </c>
      <c r="E857" t="s">
        <v>42</v>
      </c>
      <c r="F857" t="s">
        <v>5</v>
      </c>
      <c r="G857" t="s">
        <v>5</v>
      </c>
      <c r="H857">
        <v>25574.880000000001</v>
      </c>
      <c r="I857">
        <v>9945.67</v>
      </c>
      <c r="J857">
        <v>0</v>
      </c>
    </row>
    <row r="858" spans="1:10" x14ac:dyDescent="0.35">
      <c r="A858">
        <v>323812</v>
      </c>
      <c r="B858" t="s">
        <v>20</v>
      </c>
      <c r="C858">
        <v>2015</v>
      </c>
      <c r="D858">
        <v>9</v>
      </c>
      <c r="E858" t="s">
        <v>42</v>
      </c>
      <c r="F858" t="s">
        <v>5</v>
      </c>
      <c r="G858" t="s">
        <v>5</v>
      </c>
      <c r="H858">
        <v>29155.1</v>
      </c>
      <c r="I858">
        <v>7558.79</v>
      </c>
      <c r="J858">
        <v>0</v>
      </c>
    </row>
    <row r="859" spans="1:10" x14ac:dyDescent="0.35">
      <c r="A859">
        <v>323813</v>
      </c>
      <c r="B859" t="s">
        <v>20</v>
      </c>
      <c r="C859">
        <v>2015</v>
      </c>
      <c r="D859">
        <v>6</v>
      </c>
      <c r="E859" t="s">
        <v>43</v>
      </c>
      <c r="F859" t="s">
        <v>5</v>
      </c>
      <c r="G859" t="s">
        <v>5</v>
      </c>
      <c r="H859">
        <v>9024.52</v>
      </c>
      <c r="I859">
        <v>2478.63</v>
      </c>
      <c r="J859">
        <v>0</v>
      </c>
    </row>
    <row r="860" spans="1:10" x14ac:dyDescent="0.35">
      <c r="A860">
        <v>323826</v>
      </c>
      <c r="B860" t="s">
        <v>20</v>
      </c>
      <c r="C860">
        <v>2015</v>
      </c>
      <c r="D860">
        <v>6</v>
      </c>
      <c r="E860" t="s">
        <v>43</v>
      </c>
      <c r="F860" t="s">
        <v>5</v>
      </c>
      <c r="G860" t="s">
        <v>5</v>
      </c>
      <c r="H860">
        <v>21296.36</v>
      </c>
      <c r="I860">
        <v>6388.87</v>
      </c>
      <c r="J860">
        <v>0</v>
      </c>
    </row>
    <row r="861" spans="1:10" x14ac:dyDescent="0.35">
      <c r="A861">
        <v>323833</v>
      </c>
      <c r="B861" t="s">
        <v>20</v>
      </c>
      <c r="C861">
        <v>2015</v>
      </c>
      <c r="D861">
        <v>6</v>
      </c>
      <c r="E861" t="s">
        <v>43</v>
      </c>
      <c r="F861" t="s">
        <v>5</v>
      </c>
      <c r="G861" t="s">
        <v>5</v>
      </c>
      <c r="H861">
        <v>49495.6</v>
      </c>
      <c r="I861">
        <v>14852.64</v>
      </c>
      <c r="J861">
        <v>0</v>
      </c>
    </row>
    <row r="862" spans="1:10" x14ac:dyDescent="0.35">
      <c r="A862">
        <v>323849</v>
      </c>
      <c r="B862" t="s">
        <v>20</v>
      </c>
      <c r="C862">
        <v>2015</v>
      </c>
      <c r="D862">
        <v>9</v>
      </c>
      <c r="E862" t="s">
        <v>42</v>
      </c>
      <c r="F862" t="s">
        <v>5</v>
      </c>
      <c r="G862" t="s">
        <v>5</v>
      </c>
      <c r="H862">
        <v>8285.74</v>
      </c>
      <c r="I862">
        <v>2389.94</v>
      </c>
      <c r="J862">
        <v>0</v>
      </c>
    </row>
    <row r="863" spans="1:10" x14ac:dyDescent="0.35">
      <c r="A863">
        <v>323853</v>
      </c>
      <c r="B863" t="s">
        <v>20</v>
      </c>
      <c r="C863">
        <v>2015</v>
      </c>
      <c r="D863">
        <v>9</v>
      </c>
      <c r="E863" t="s">
        <v>42</v>
      </c>
      <c r="F863" t="s">
        <v>5</v>
      </c>
      <c r="G863" t="s">
        <v>5</v>
      </c>
      <c r="H863">
        <v>14232.12</v>
      </c>
      <c r="I863">
        <v>4203.2700000000004</v>
      </c>
      <c r="J863">
        <v>0</v>
      </c>
    </row>
    <row r="864" spans="1:10" x14ac:dyDescent="0.35">
      <c r="A864">
        <v>323854</v>
      </c>
      <c r="B864" t="s">
        <v>20</v>
      </c>
      <c r="C864">
        <v>2015</v>
      </c>
      <c r="D864">
        <v>6</v>
      </c>
      <c r="E864" t="s">
        <v>43</v>
      </c>
      <c r="F864" t="s">
        <v>5</v>
      </c>
      <c r="G864" t="s">
        <v>5</v>
      </c>
      <c r="H864">
        <v>114547.12</v>
      </c>
      <c r="I864">
        <v>51273.96</v>
      </c>
      <c r="J864">
        <v>0</v>
      </c>
    </row>
    <row r="865" spans="1:10" x14ac:dyDescent="0.35">
      <c r="A865">
        <v>323855</v>
      </c>
      <c r="B865" t="s">
        <v>20</v>
      </c>
      <c r="C865">
        <v>2015</v>
      </c>
      <c r="D865">
        <v>9</v>
      </c>
      <c r="E865" t="s">
        <v>42</v>
      </c>
      <c r="F865" t="s">
        <v>5</v>
      </c>
      <c r="G865" t="s">
        <v>5</v>
      </c>
      <c r="H865">
        <v>17618.32</v>
      </c>
      <c r="I865">
        <v>8307.65</v>
      </c>
      <c r="J865">
        <v>0</v>
      </c>
    </row>
    <row r="866" spans="1:10" x14ac:dyDescent="0.35">
      <c r="A866">
        <v>323856</v>
      </c>
      <c r="B866" t="s">
        <v>20</v>
      </c>
      <c r="C866">
        <v>2015</v>
      </c>
      <c r="D866">
        <v>6</v>
      </c>
      <c r="E866" t="s">
        <v>43</v>
      </c>
      <c r="F866" t="s">
        <v>5</v>
      </c>
      <c r="G866" t="s">
        <v>5</v>
      </c>
      <c r="H866">
        <v>29143.22</v>
      </c>
      <c r="I866">
        <v>9194.76</v>
      </c>
      <c r="J866">
        <v>0</v>
      </c>
    </row>
    <row r="867" spans="1:10" x14ac:dyDescent="0.35">
      <c r="A867">
        <v>323858</v>
      </c>
      <c r="B867" t="s">
        <v>20</v>
      </c>
      <c r="C867">
        <v>2015</v>
      </c>
      <c r="D867">
        <v>9</v>
      </c>
      <c r="E867" t="s">
        <v>42</v>
      </c>
      <c r="F867" t="s">
        <v>5</v>
      </c>
      <c r="G867" t="s">
        <v>5</v>
      </c>
      <c r="H867">
        <v>81803.66</v>
      </c>
      <c r="I867">
        <v>33368.06</v>
      </c>
      <c r="J867">
        <v>0</v>
      </c>
    </row>
    <row r="868" spans="1:10" x14ac:dyDescent="0.35">
      <c r="A868">
        <v>323861</v>
      </c>
      <c r="B868" t="s">
        <v>20</v>
      </c>
      <c r="C868">
        <v>2015</v>
      </c>
      <c r="D868">
        <v>6</v>
      </c>
      <c r="E868" t="s">
        <v>43</v>
      </c>
      <c r="F868" t="s">
        <v>5</v>
      </c>
      <c r="G868" t="s">
        <v>5</v>
      </c>
      <c r="H868">
        <v>38780.42</v>
      </c>
      <c r="I868">
        <v>8192.64</v>
      </c>
      <c r="J868">
        <v>0</v>
      </c>
    </row>
    <row r="869" spans="1:10" x14ac:dyDescent="0.35">
      <c r="A869">
        <v>323864</v>
      </c>
      <c r="B869" t="s">
        <v>20</v>
      </c>
      <c r="C869">
        <v>2015</v>
      </c>
      <c r="D869">
        <v>6</v>
      </c>
      <c r="E869" t="s">
        <v>43</v>
      </c>
      <c r="F869" t="s">
        <v>5</v>
      </c>
      <c r="G869" t="s">
        <v>5</v>
      </c>
      <c r="H869">
        <v>28982.74</v>
      </c>
      <c r="I869">
        <v>10408.950000000001</v>
      </c>
      <c r="J869">
        <v>0</v>
      </c>
    </row>
    <row r="870" spans="1:10" x14ac:dyDescent="0.35">
      <c r="A870">
        <v>323871</v>
      </c>
      <c r="B870" t="s">
        <v>20</v>
      </c>
      <c r="C870">
        <v>2015</v>
      </c>
      <c r="D870">
        <v>9</v>
      </c>
      <c r="E870" t="s">
        <v>42</v>
      </c>
      <c r="F870" t="s">
        <v>5</v>
      </c>
      <c r="G870" t="s">
        <v>5</v>
      </c>
      <c r="H870">
        <v>37771.24</v>
      </c>
      <c r="I870">
        <v>9217.67</v>
      </c>
      <c r="J870">
        <v>0</v>
      </c>
    </row>
    <row r="871" spans="1:10" x14ac:dyDescent="0.35">
      <c r="A871">
        <v>323883</v>
      </c>
      <c r="B871" t="s">
        <v>20</v>
      </c>
      <c r="C871">
        <v>2015</v>
      </c>
      <c r="D871">
        <v>6</v>
      </c>
      <c r="E871" t="s">
        <v>43</v>
      </c>
      <c r="F871" t="s">
        <v>5</v>
      </c>
      <c r="G871" t="s">
        <v>5</v>
      </c>
      <c r="H871">
        <v>18760.54</v>
      </c>
      <c r="I871">
        <v>5886.56</v>
      </c>
      <c r="J871">
        <v>0</v>
      </c>
    </row>
    <row r="872" spans="1:10" x14ac:dyDescent="0.35">
      <c r="A872">
        <v>323896</v>
      </c>
      <c r="B872" t="s">
        <v>20</v>
      </c>
      <c r="C872">
        <v>2015</v>
      </c>
      <c r="D872">
        <v>6</v>
      </c>
      <c r="E872" t="s">
        <v>43</v>
      </c>
      <c r="F872" t="s">
        <v>5</v>
      </c>
      <c r="G872" t="s">
        <v>5</v>
      </c>
      <c r="H872">
        <v>40476.22</v>
      </c>
      <c r="I872">
        <v>11464.24</v>
      </c>
      <c r="J872">
        <v>0</v>
      </c>
    </row>
    <row r="873" spans="1:10" x14ac:dyDescent="0.35">
      <c r="A873">
        <v>323898</v>
      </c>
      <c r="B873" t="s">
        <v>20</v>
      </c>
      <c r="C873">
        <v>2015</v>
      </c>
      <c r="D873">
        <v>6</v>
      </c>
      <c r="E873" t="s">
        <v>43</v>
      </c>
      <c r="F873" t="s">
        <v>5</v>
      </c>
      <c r="G873" t="s">
        <v>5</v>
      </c>
      <c r="H873">
        <v>12305.02</v>
      </c>
      <c r="I873">
        <v>2957.04</v>
      </c>
      <c r="J873">
        <v>0</v>
      </c>
    </row>
    <row r="874" spans="1:10" x14ac:dyDescent="0.35">
      <c r="A874">
        <v>323905</v>
      </c>
      <c r="B874" t="s">
        <v>20</v>
      </c>
      <c r="C874">
        <v>2015</v>
      </c>
      <c r="D874">
        <v>9</v>
      </c>
      <c r="E874" t="s">
        <v>42</v>
      </c>
      <c r="F874" t="s">
        <v>5</v>
      </c>
      <c r="G874" t="s">
        <v>5</v>
      </c>
      <c r="H874">
        <v>19051.7</v>
      </c>
      <c r="I874">
        <v>5774.95</v>
      </c>
      <c r="J874">
        <v>0</v>
      </c>
    </row>
    <row r="875" spans="1:10" x14ac:dyDescent="0.35">
      <c r="A875">
        <v>323907</v>
      </c>
      <c r="B875" t="s">
        <v>20</v>
      </c>
      <c r="C875">
        <v>2015</v>
      </c>
      <c r="D875">
        <v>6</v>
      </c>
      <c r="E875" t="s">
        <v>43</v>
      </c>
      <c r="F875" t="s">
        <v>5</v>
      </c>
      <c r="G875" t="s">
        <v>5</v>
      </c>
      <c r="H875">
        <v>23518</v>
      </c>
      <c r="I875">
        <v>8146.41</v>
      </c>
      <c r="J875">
        <v>0</v>
      </c>
    </row>
    <row r="876" spans="1:10" x14ac:dyDescent="0.35">
      <c r="A876">
        <v>323908</v>
      </c>
      <c r="B876" t="s">
        <v>20</v>
      </c>
      <c r="C876">
        <v>2015</v>
      </c>
      <c r="D876">
        <v>9</v>
      </c>
      <c r="E876" t="s">
        <v>42</v>
      </c>
      <c r="F876" t="s">
        <v>5</v>
      </c>
      <c r="G876" t="s">
        <v>5</v>
      </c>
      <c r="H876">
        <v>32655.74</v>
      </c>
      <c r="I876">
        <v>8429.57</v>
      </c>
      <c r="J876">
        <v>0</v>
      </c>
    </row>
    <row r="877" spans="1:10" x14ac:dyDescent="0.35">
      <c r="A877">
        <v>323911</v>
      </c>
      <c r="B877" t="s">
        <v>20</v>
      </c>
      <c r="C877">
        <v>2015</v>
      </c>
      <c r="D877">
        <v>6</v>
      </c>
      <c r="E877" t="s">
        <v>43</v>
      </c>
      <c r="F877" t="s">
        <v>5</v>
      </c>
      <c r="G877" t="s">
        <v>5</v>
      </c>
      <c r="H877">
        <v>19341.98</v>
      </c>
      <c r="I877">
        <v>3858.31</v>
      </c>
      <c r="J877">
        <v>0</v>
      </c>
    </row>
    <row r="878" spans="1:10" x14ac:dyDescent="0.35">
      <c r="A878">
        <v>323918</v>
      </c>
      <c r="B878" t="s">
        <v>20</v>
      </c>
      <c r="C878">
        <v>2015</v>
      </c>
      <c r="D878">
        <v>6</v>
      </c>
      <c r="E878" t="s">
        <v>43</v>
      </c>
      <c r="F878" t="s">
        <v>5</v>
      </c>
      <c r="G878" t="s">
        <v>5</v>
      </c>
      <c r="H878">
        <v>28667.46</v>
      </c>
      <c r="I878">
        <v>8497.93</v>
      </c>
      <c r="J878">
        <v>0</v>
      </c>
    </row>
    <row r="879" spans="1:10" x14ac:dyDescent="0.35">
      <c r="A879">
        <v>323931</v>
      </c>
      <c r="B879" t="s">
        <v>20</v>
      </c>
      <c r="C879">
        <v>2015</v>
      </c>
      <c r="D879">
        <v>6</v>
      </c>
      <c r="E879" t="s">
        <v>43</v>
      </c>
      <c r="F879" t="s">
        <v>5</v>
      </c>
      <c r="G879" t="s">
        <v>5</v>
      </c>
      <c r="H879">
        <v>41198.78</v>
      </c>
      <c r="I879">
        <v>13631.62</v>
      </c>
      <c r="J879">
        <v>0</v>
      </c>
    </row>
    <row r="880" spans="1:10" x14ac:dyDescent="0.35">
      <c r="A880">
        <v>323934</v>
      </c>
      <c r="B880" t="s">
        <v>20</v>
      </c>
      <c r="C880">
        <v>2015</v>
      </c>
      <c r="D880">
        <v>6</v>
      </c>
      <c r="E880" t="s">
        <v>43</v>
      </c>
      <c r="F880" t="s">
        <v>5</v>
      </c>
      <c r="G880" t="s">
        <v>5</v>
      </c>
      <c r="H880">
        <v>18142.740000000002</v>
      </c>
      <c r="I880">
        <v>3025.35</v>
      </c>
      <c r="J880">
        <v>0</v>
      </c>
    </row>
    <row r="881" spans="1:10" x14ac:dyDescent="0.35">
      <c r="A881">
        <v>323941</v>
      </c>
      <c r="B881" t="s">
        <v>20</v>
      </c>
      <c r="C881">
        <v>2015</v>
      </c>
      <c r="D881">
        <v>9</v>
      </c>
      <c r="E881" t="s">
        <v>42</v>
      </c>
      <c r="F881" t="s">
        <v>5</v>
      </c>
      <c r="G881" t="s">
        <v>5</v>
      </c>
      <c r="H881">
        <v>13710.18</v>
      </c>
      <c r="I881">
        <v>3068.88</v>
      </c>
      <c r="J881">
        <v>0</v>
      </c>
    </row>
    <row r="882" spans="1:10" x14ac:dyDescent="0.35">
      <c r="A882">
        <v>323956</v>
      </c>
      <c r="B882" t="s">
        <v>20</v>
      </c>
      <c r="C882">
        <v>2015</v>
      </c>
      <c r="D882">
        <v>6</v>
      </c>
      <c r="E882" t="s">
        <v>43</v>
      </c>
      <c r="F882" t="s">
        <v>5</v>
      </c>
      <c r="G882" t="s">
        <v>5</v>
      </c>
      <c r="H882">
        <v>37133.980000000003</v>
      </c>
      <c r="I882">
        <v>10583.45</v>
      </c>
      <c r="J882">
        <v>0</v>
      </c>
    </row>
    <row r="883" spans="1:10" x14ac:dyDescent="0.35">
      <c r="A883">
        <v>323960</v>
      </c>
      <c r="B883" t="s">
        <v>20</v>
      </c>
      <c r="C883">
        <v>2015</v>
      </c>
      <c r="D883">
        <v>6</v>
      </c>
      <c r="E883" t="s">
        <v>43</v>
      </c>
      <c r="F883" t="s">
        <v>5</v>
      </c>
      <c r="G883" t="s">
        <v>5</v>
      </c>
      <c r="H883">
        <v>211512.98</v>
      </c>
      <c r="I883">
        <v>115627.21</v>
      </c>
      <c r="J883">
        <v>0</v>
      </c>
    </row>
    <row r="884" spans="1:10" x14ac:dyDescent="0.35">
      <c r="A884">
        <v>323969</v>
      </c>
      <c r="B884" t="s">
        <v>20</v>
      </c>
      <c r="C884">
        <v>2015</v>
      </c>
      <c r="D884">
        <v>6</v>
      </c>
      <c r="E884" t="s">
        <v>43</v>
      </c>
      <c r="F884" t="s">
        <v>5</v>
      </c>
      <c r="G884" t="s">
        <v>5</v>
      </c>
      <c r="H884">
        <v>21774.6</v>
      </c>
      <c r="I884">
        <v>5727.27</v>
      </c>
      <c r="J884">
        <v>0</v>
      </c>
    </row>
    <row r="885" spans="1:10" x14ac:dyDescent="0.35">
      <c r="A885">
        <v>323975</v>
      </c>
      <c r="B885" t="s">
        <v>20</v>
      </c>
      <c r="C885">
        <v>2015</v>
      </c>
      <c r="D885">
        <v>9</v>
      </c>
      <c r="E885" t="s">
        <v>42</v>
      </c>
      <c r="F885" t="s">
        <v>5</v>
      </c>
      <c r="G885" t="s">
        <v>5</v>
      </c>
      <c r="H885">
        <v>16446.740000000002</v>
      </c>
      <c r="I885">
        <v>4323.22</v>
      </c>
      <c r="J885">
        <v>0</v>
      </c>
    </row>
    <row r="886" spans="1:10" x14ac:dyDescent="0.35">
      <c r="A886">
        <v>323984</v>
      </c>
      <c r="B886" t="s">
        <v>20</v>
      </c>
      <c r="C886">
        <v>2015</v>
      </c>
      <c r="D886">
        <v>9</v>
      </c>
      <c r="E886" t="s">
        <v>42</v>
      </c>
      <c r="F886" t="s">
        <v>5</v>
      </c>
      <c r="G886" t="s">
        <v>5</v>
      </c>
      <c r="H886">
        <v>82315.58</v>
      </c>
      <c r="I886">
        <v>60374.04</v>
      </c>
      <c r="J886">
        <v>0</v>
      </c>
    </row>
    <row r="887" spans="1:10" x14ac:dyDescent="0.35">
      <c r="A887">
        <v>323988</v>
      </c>
      <c r="B887" t="s">
        <v>20</v>
      </c>
      <c r="C887">
        <v>2015</v>
      </c>
      <c r="D887">
        <v>6</v>
      </c>
      <c r="E887" t="s">
        <v>43</v>
      </c>
      <c r="F887" t="s">
        <v>5</v>
      </c>
      <c r="G887" t="s">
        <v>5</v>
      </c>
      <c r="H887">
        <v>21518.86</v>
      </c>
      <c r="I887">
        <v>8942.2199999999993</v>
      </c>
      <c r="J887">
        <v>0</v>
      </c>
    </row>
    <row r="888" spans="1:10" x14ac:dyDescent="0.35">
      <c r="A888">
        <v>323989</v>
      </c>
      <c r="B888" t="s">
        <v>20</v>
      </c>
      <c r="C888">
        <v>2015</v>
      </c>
      <c r="D888">
        <v>6</v>
      </c>
      <c r="E888" t="s">
        <v>43</v>
      </c>
      <c r="F888" t="s">
        <v>5</v>
      </c>
      <c r="G888" t="s">
        <v>5</v>
      </c>
      <c r="H888">
        <v>10989.08</v>
      </c>
      <c r="I888">
        <v>2869.57</v>
      </c>
      <c r="J888">
        <v>0</v>
      </c>
    </row>
    <row r="889" spans="1:10" x14ac:dyDescent="0.35">
      <c r="A889">
        <v>323992</v>
      </c>
      <c r="B889" t="s">
        <v>20</v>
      </c>
      <c r="C889">
        <v>2015</v>
      </c>
      <c r="D889">
        <v>6</v>
      </c>
      <c r="E889" t="s">
        <v>43</v>
      </c>
      <c r="F889" t="s">
        <v>5</v>
      </c>
      <c r="G889" t="s">
        <v>5</v>
      </c>
      <c r="H889">
        <v>44573.38</v>
      </c>
      <c r="I889">
        <v>10883.22</v>
      </c>
      <c r="J889">
        <v>0</v>
      </c>
    </row>
    <row r="890" spans="1:10" x14ac:dyDescent="0.35">
      <c r="A890">
        <v>323997</v>
      </c>
      <c r="B890" t="s">
        <v>20</v>
      </c>
      <c r="C890">
        <v>2015</v>
      </c>
      <c r="D890">
        <v>9</v>
      </c>
      <c r="E890" t="s">
        <v>42</v>
      </c>
      <c r="F890" t="s">
        <v>5</v>
      </c>
      <c r="G890" t="s">
        <v>5</v>
      </c>
      <c r="H890">
        <v>9942.9599999999991</v>
      </c>
      <c r="I890">
        <v>2262.9499999999998</v>
      </c>
      <c r="J890">
        <v>0</v>
      </c>
    </row>
    <row r="891" spans="1:10" x14ac:dyDescent="0.35">
      <c r="A891">
        <v>324002</v>
      </c>
      <c r="B891" t="s">
        <v>20</v>
      </c>
      <c r="C891">
        <v>2015</v>
      </c>
      <c r="D891">
        <v>6</v>
      </c>
      <c r="E891" t="s">
        <v>43</v>
      </c>
      <c r="F891" t="s">
        <v>5</v>
      </c>
      <c r="G891" t="s">
        <v>5</v>
      </c>
      <c r="H891">
        <v>27319.94</v>
      </c>
      <c r="I891">
        <v>6969.07</v>
      </c>
      <c r="J891">
        <v>0</v>
      </c>
    </row>
    <row r="892" spans="1:10" x14ac:dyDescent="0.35">
      <c r="A892">
        <v>324017</v>
      </c>
      <c r="B892" t="s">
        <v>20</v>
      </c>
      <c r="C892">
        <v>2015</v>
      </c>
      <c r="D892">
        <v>6</v>
      </c>
      <c r="E892" t="s">
        <v>43</v>
      </c>
      <c r="F892" t="s">
        <v>5</v>
      </c>
      <c r="G892" t="s">
        <v>5</v>
      </c>
      <c r="H892">
        <v>26959.24</v>
      </c>
      <c r="I892">
        <v>11232.12</v>
      </c>
      <c r="J892">
        <v>0</v>
      </c>
    </row>
    <row r="893" spans="1:10" x14ac:dyDescent="0.35">
      <c r="A893">
        <v>324021</v>
      </c>
      <c r="B893" t="s">
        <v>20</v>
      </c>
      <c r="C893">
        <v>2015</v>
      </c>
      <c r="D893">
        <v>9</v>
      </c>
      <c r="E893" t="s">
        <v>42</v>
      </c>
      <c r="F893" t="s">
        <v>5</v>
      </c>
      <c r="G893" t="s">
        <v>5</v>
      </c>
      <c r="H893">
        <v>9649.94</v>
      </c>
      <c r="I893">
        <v>2620.38</v>
      </c>
      <c r="J893">
        <v>0</v>
      </c>
    </row>
    <row r="894" spans="1:10" x14ac:dyDescent="0.35">
      <c r="A894">
        <v>324023</v>
      </c>
      <c r="B894" t="s">
        <v>20</v>
      </c>
      <c r="C894">
        <v>2015</v>
      </c>
      <c r="D894">
        <v>9</v>
      </c>
      <c r="E894" t="s">
        <v>42</v>
      </c>
      <c r="F894" t="s">
        <v>5</v>
      </c>
      <c r="G894" t="s">
        <v>5</v>
      </c>
      <c r="H894">
        <v>12703.1</v>
      </c>
      <c r="I894">
        <v>2773.25</v>
      </c>
      <c r="J894">
        <v>0</v>
      </c>
    </row>
    <row r="895" spans="1:10" x14ac:dyDescent="0.35">
      <c r="A895">
        <v>324027</v>
      </c>
      <c r="B895" t="s">
        <v>20</v>
      </c>
      <c r="C895">
        <v>2015</v>
      </c>
      <c r="D895">
        <v>9</v>
      </c>
      <c r="E895" t="s">
        <v>42</v>
      </c>
      <c r="F895" t="s">
        <v>5</v>
      </c>
      <c r="G895" t="s">
        <v>5</v>
      </c>
      <c r="H895">
        <v>27996.9</v>
      </c>
      <c r="I895">
        <v>8486.73</v>
      </c>
      <c r="J895">
        <v>0</v>
      </c>
    </row>
    <row r="896" spans="1:10" x14ac:dyDescent="0.35">
      <c r="A896">
        <v>324030</v>
      </c>
      <c r="B896" t="s">
        <v>20</v>
      </c>
      <c r="C896">
        <v>2015</v>
      </c>
      <c r="D896">
        <v>9</v>
      </c>
      <c r="E896" t="s">
        <v>42</v>
      </c>
      <c r="F896" t="s">
        <v>5</v>
      </c>
      <c r="G896" t="s">
        <v>5</v>
      </c>
      <c r="H896">
        <v>39787.879999999997</v>
      </c>
      <c r="I896">
        <v>12394.46</v>
      </c>
      <c r="J896">
        <v>0</v>
      </c>
    </row>
    <row r="897" spans="1:10" x14ac:dyDescent="0.35">
      <c r="A897">
        <v>324032</v>
      </c>
      <c r="B897" t="s">
        <v>20</v>
      </c>
      <c r="C897">
        <v>2015</v>
      </c>
      <c r="D897">
        <v>6</v>
      </c>
      <c r="E897" t="s">
        <v>43</v>
      </c>
      <c r="F897" t="s">
        <v>5</v>
      </c>
      <c r="G897" t="s">
        <v>5</v>
      </c>
      <c r="H897">
        <v>10913.34</v>
      </c>
      <c r="I897">
        <v>2887.32</v>
      </c>
      <c r="J897">
        <v>0</v>
      </c>
    </row>
    <row r="898" spans="1:10" x14ac:dyDescent="0.35">
      <c r="A898">
        <v>324038</v>
      </c>
      <c r="B898" t="s">
        <v>20</v>
      </c>
      <c r="C898">
        <v>2015</v>
      </c>
      <c r="D898">
        <v>9</v>
      </c>
      <c r="E898" t="s">
        <v>42</v>
      </c>
      <c r="F898" t="s">
        <v>5</v>
      </c>
      <c r="G898" t="s">
        <v>5</v>
      </c>
      <c r="H898">
        <v>43934.63</v>
      </c>
      <c r="I898">
        <v>14642.09</v>
      </c>
      <c r="J898">
        <v>0</v>
      </c>
    </row>
    <row r="899" spans="1:10" x14ac:dyDescent="0.35">
      <c r="A899">
        <v>324057</v>
      </c>
      <c r="B899" t="s">
        <v>20</v>
      </c>
      <c r="C899">
        <v>2015</v>
      </c>
      <c r="D899">
        <v>6</v>
      </c>
      <c r="E899" t="s">
        <v>43</v>
      </c>
      <c r="F899" t="s">
        <v>5</v>
      </c>
      <c r="G899" t="s">
        <v>5</v>
      </c>
      <c r="H899">
        <v>22212.9</v>
      </c>
      <c r="I899">
        <v>9464.74</v>
      </c>
      <c r="J899">
        <v>0</v>
      </c>
    </row>
    <row r="900" spans="1:10" x14ac:dyDescent="0.35">
      <c r="A900">
        <v>324061</v>
      </c>
      <c r="B900" t="s">
        <v>20</v>
      </c>
      <c r="C900">
        <v>2015</v>
      </c>
      <c r="D900">
        <v>9</v>
      </c>
      <c r="E900" t="s">
        <v>42</v>
      </c>
      <c r="F900" t="s">
        <v>5</v>
      </c>
      <c r="G900" t="s">
        <v>5</v>
      </c>
      <c r="H900">
        <v>30841.02</v>
      </c>
      <c r="I900">
        <v>11561.89</v>
      </c>
      <c r="J900">
        <v>0</v>
      </c>
    </row>
    <row r="901" spans="1:10" x14ac:dyDescent="0.35">
      <c r="A901">
        <v>324068</v>
      </c>
      <c r="B901" t="s">
        <v>20</v>
      </c>
      <c r="C901">
        <v>2015</v>
      </c>
      <c r="D901">
        <v>9</v>
      </c>
      <c r="E901" t="s">
        <v>42</v>
      </c>
      <c r="F901" t="s">
        <v>5</v>
      </c>
      <c r="G901" t="s">
        <v>5</v>
      </c>
      <c r="H901">
        <v>22990.38</v>
      </c>
      <c r="I901">
        <v>9599.11</v>
      </c>
      <c r="J901">
        <v>0</v>
      </c>
    </row>
    <row r="902" spans="1:10" x14ac:dyDescent="0.35">
      <c r="A902">
        <v>324069</v>
      </c>
      <c r="B902" t="s">
        <v>20</v>
      </c>
      <c r="C902">
        <v>2015</v>
      </c>
      <c r="D902">
        <v>6</v>
      </c>
      <c r="E902" t="s">
        <v>43</v>
      </c>
      <c r="F902" t="s">
        <v>5</v>
      </c>
      <c r="G902" t="s">
        <v>5</v>
      </c>
      <c r="H902">
        <v>8591.7800000000007</v>
      </c>
      <c r="I902">
        <v>2415.96</v>
      </c>
      <c r="J902">
        <v>0</v>
      </c>
    </row>
    <row r="903" spans="1:10" x14ac:dyDescent="0.35">
      <c r="A903">
        <v>324088</v>
      </c>
      <c r="B903" t="s">
        <v>20</v>
      </c>
      <c r="C903">
        <v>2015</v>
      </c>
      <c r="D903">
        <v>6</v>
      </c>
      <c r="E903" t="s">
        <v>43</v>
      </c>
      <c r="F903" t="s">
        <v>5</v>
      </c>
      <c r="G903" t="s">
        <v>5</v>
      </c>
      <c r="H903">
        <v>19180.52</v>
      </c>
      <c r="I903">
        <v>4787.55</v>
      </c>
      <c r="J903">
        <v>0</v>
      </c>
    </row>
    <row r="904" spans="1:10" x14ac:dyDescent="0.35">
      <c r="A904">
        <v>324092</v>
      </c>
      <c r="B904" t="s">
        <v>20</v>
      </c>
      <c r="C904">
        <v>2015</v>
      </c>
      <c r="D904">
        <v>9</v>
      </c>
      <c r="E904" t="s">
        <v>42</v>
      </c>
      <c r="F904" t="s">
        <v>5</v>
      </c>
      <c r="G904" t="s">
        <v>5</v>
      </c>
      <c r="H904">
        <v>41350.68</v>
      </c>
      <c r="I904">
        <v>19085.96</v>
      </c>
      <c r="J904">
        <v>0</v>
      </c>
    </row>
    <row r="905" spans="1:10" x14ac:dyDescent="0.35">
      <c r="A905">
        <v>324100</v>
      </c>
      <c r="B905" t="s">
        <v>20</v>
      </c>
      <c r="C905">
        <v>2015</v>
      </c>
      <c r="D905">
        <v>9</v>
      </c>
      <c r="E905" t="s">
        <v>42</v>
      </c>
      <c r="F905" t="s">
        <v>5</v>
      </c>
      <c r="G905" t="s">
        <v>5</v>
      </c>
      <c r="H905">
        <v>8774.18</v>
      </c>
      <c r="I905">
        <v>2317.6</v>
      </c>
      <c r="J905">
        <v>0</v>
      </c>
    </row>
    <row r="906" spans="1:10" x14ac:dyDescent="0.35">
      <c r="A906">
        <v>324101</v>
      </c>
      <c r="B906" t="s">
        <v>20</v>
      </c>
      <c r="C906">
        <v>2015</v>
      </c>
      <c r="D906">
        <v>6</v>
      </c>
      <c r="E906" t="s">
        <v>43</v>
      </c>
      <c r="F906" t="s">
        <v>5</v>
      </c>
      <c r="G906" t="s">
        <v>5</v>
      </c>
      <c r="H906">
        <v>23097.18</v>
      </c>
      <c r="I906">
        <v>8846.34</v>
      </c>
      <c r="J906">
        <v>0</v>
      </c>
    </row>
    <row r="907" spans="1:10" x14ac:dyDescent="0.35">
      <c r="A907">
        <v>324104</v>
      </c>
      <c r="B907" t="s">
        <v>20</v>
      </c>
      <c r="C907">
        <v>2015</v>
      </c>
      <c r="D907">
        <v>9</v>
      </c>
      <c r="E907" t="s">
        <v>42</v>
      </c>
      <c r="F907" t="s">
        <v>5</v>
      </c>
      <c r="G907" t="s">
        <v>5</v>
      </c>
      <c r="H907">
        <v>121406.1</v>
      </c>
      <c r="I907">
        <v>63438.29</v>
      </c>
      <c r="J907">
        <v>0</v>
      </c>
    </row>
    <row r="908" spans="1:10" x14ac:dyDescent="0.35">
      <c r="A908">
        <v>324106</v>
      </c>
      <c r="B908" t="s">
        <v>20</v>
      </c>
      <c r="C908">
        <v>2015</v>
      </c>
      <c r="D908">
        <v>9</v>
      </c>
      <c r="E908" t="s">
        <v>42</v>
      </c>
      <c r="F908" t="s">
        <v>5</v>
      </c>
      <c r="G908" t="s">
        <v>5</v>
      </c>
      <c r="H908">
        <v>24712.86</v>
      </c>
      <c r="I908">
        <v>7707.34</v>
      </c>
      <c r="J908">
        <v>0</v>
      </c>
    </row>
    <row r="909" spans="1:10" x14ac:dyDescent="0.35">
      <c r="A909">
        <v>324107</v>
      </c>
      <c r="B909" t="s">
        <v>20</v>
      </c>
      <c r="C909">
        <v>2015</v>
      </c>
      <c r="D909">
        <v>9</v>
      </c>
      <c r="E909" t="s">
        <v>42</v>
      </c>
      <c r="F909" t="s">
        <v>5</v>
      </c>
      <c r="G909" t="s">
        <v>5</v>
      </c>
      <c r="H909">
        <v>45527.6</v>
      </c>
      <c r="I909">
        <v>22435.040000000001</v>
      </c>
      <c r="J909">
        <v>0</v>
      </c>
    </row>
    <row r="910" spans="1:10" x14ac:dyDescent="0.35">
      <c r="A910">
        <v>324112</v>
      </c>
      <c r="B910" t="s">
        <v>20</v>
      </c>
      <c r="C910">
        <v>2015</v>
      </c>
      <c r="D910">
        <v>9</v>
      </c>
      <c r="E910" t="s">
        <v>42</v>
      </c>
      <c r="F910" t="s">
        <v>5</v>
      </c>
      <c r="G910" t="s">
        <v>5</v>
      </c>
      <c r="H910">
        <v>32631.7</v>
      </c>
      <c r="I910">
        <v>10306.76</v>
      </c>
      <c r="J910">
        <v>0</v>
      </c>
    </row>
    <row r="911" spans="1:10" x14ac:dyDescent="0.35">
      <c r="A911">
        <v>324116</v>
      </c>
      <c r="B911" t="s">
        <v>20</v>
      </c>
      <c r="C911">
        <v>2015</v>
      </c>
      <c r="D911">
        <v>6</v>
      </c>
      <c r="E911" t="s">
        <v>43</v>
      </c>
      <c r="F911" t="s">
        <v>5</v>
      </c>
      <c r="G911" t="s">
        <v>5</v>
      </c>
      <c r="H911">
        <v>25299.74</v>
      </c>
      <c r="I911">
        <v>10902.24</v>
      </c>
      <c r="J911">
        <v>0</v>
      </c>
    </row>
    <row r="912" spans="1:10" x14ac:dyDescent="0.35">
      <c r="A912">
        <v>324126</v>
      </c>
      <c r="B912" t="s">
        <v>20</v>
      </c>
      <c r="C912">
        <v>2015</v>
      </c>
      <c r="D912">
        <v>6</v>
      </c>
      <c r="E912" t="s">
        <v>43</v>
      </c>
      <c r="F912" t="s">
        <v>5</v>
      </c>
      <c r="G912" t="s">
        <v>5</v>
      </c>
      <c r="H912">
        <v>27939.78</v>
      </c>
      <c r="I912">
        <v>10091.93</v>
      </c>
      <c r="J912">
        <v>0</v>
      </c>
    </row>
    <row r="913" spans="1:10" x14ac:dyDescent="0.35">
      <c r="A913">
        <v>324128</v>
      </c>
      <c r="B913" t="s">
        <v>20</v>
      </c>
      <c r="C913">
        <v>2015</v>
      </c>
      <c r="D913">
        <v>6</v>
      </c>
      <c r="E913" t="s">
        <v>43</v>
      </c>
      <c r="F913" t="s">
        <v>5</v>
      </c>
      <c r="G913" t="s">
        <v>5</v>
      </c>
      <c r="H913">
        <v>35850.379999999997</v>
      </c>
      <c r="I913">
        <v>13088.54</v>
      </c>
      <c r="J913">
        <v>0</v>
      </c>
    </row>
    <row r="914" spans="1:10" x14ac:dyDescent="0.35">
      <c r="A914">
        <v>324133</v>
      </c>
      <c r="B914" t="s">
        <v>20</v>
      </c>
      <c r="C914">
        <v>2015</v>
      </c>
      <c r="D914">
        <v>6</v>
      </c>
      <c r="E914" t="s">
        <v>43</v>
      </c>
      <c r="F914" t="s">
        <v>5</v>
      </c>
      <c r="G914" t="s">
        <v>5</v>
      </c>
      <c r="H914">
        <v>16839.919999999998</v>
      </c>
      <c r="I914">
        <v>3236.08</v>
      </c>
      <c r="J914">
        <v>0</v>
      </c>
    </row>
    <row r="915" spans="1:10" x14ac:dyDescent="0.35">
      <c r="A915">
        <v>324138</v>
      </c>
      <c r="B915" t="s">
        <v>20</v>
      </c>
      <c r="C915">
        <v>2015</v>
      </c>
      <c r="D915">
        <v>6</v>
      </c>
      <c r="E915" t="s">
        <v>43</v>
      </c>
      <c r="F915" t="s">
        <v>5</v>
      </c>
      <c r="G915" t="s">
        <v>5</v>
      </c>
      <c r="H915">
        <v>55798.8</v>
      </c>
      <c r="I915">
        <v>30898.44</v>
      </c>
      <c r="J915">
        <v>0</v>
      </c>
    </row>
    <row r="916" spans="1:10" x14ac:dyDescent="0.35">
      <c r="A916">
        <v>324140</v>
      </c>
      <c r="B916" t="s">
        <v>20</v>
      </c>
      <c r="C916">
        <v>2015</v>
      </c>
      <c r="D916">
        <v>9</v>
      </c>
      <c r="E916" t="s">
        <v>42</v>
      </c>
      <c r="F916" t="s">
        <v>5</v>
      </c>
      <c r="G916" t="s">
        <v>5</v>
      </c>
      <c r="H916">
        <v>15374.34</v>
      </c>
      <c r="I916">
        <v>4578.28</v>
      </c>
      <c r="J916">
        <v>0</v>
      </c>
    </row>
    <row r="917" spans="1:10" x14ac:dyDescent="0.35">
      <c r="A917">
        <v>324150</v>
      </c>
      <c r="B917" t="s">
        <v>20</v>
      </c>
      <c r="C917">
        <v>2015</v>
      </c>
      <c r="D917">
        <v>6</v>
      </c>
      <c r="E917" t="s">
        <v>43</v>
      </c>
      <c r="F917" t="s">
        <v>5</v>
      </c>
      <c r="G917" t="s">
        <v>5</v>
      </c>
      <c r="H917">
        <v>26643.040000000001</v>
      </c>
      <c r="I917">
        <v>13357.3</v>
      </c>
      <c r="J917">
        <v>0</v>
      </c>
    </row>
    <row r="918" spans="1:10" x14ac:dyDescent="0.35">
      <c r="A918">
        <v>324152</v>
      </c>
      <c r="B918" t="s">
        <v>20</v>
      </c>
      <c r="C918">
        <v>2015</v>
      </c>
      <c r="D918">
        <v>9</v>
      </c>
      <c r="E918" t="s">
        <v>42</v>
      </c>
      <c r="F918" t="s">
        <v>5</v>
      </c>
      <c r="G918" t="s">
        <v>5</v>
      </c>
      <c r="H918">
        <v>22247.82</v>
      </c>
      <c r="I918">
        <v>9741.73</v>
      </c>
      <c r="J918">
        <v>0</v>
      </c>
    </row>
    <row r="919" spans="1:10" x14ac:dyDescent="0.35">
      <c r="A919">
        <v>324153</v>
      </c>
      <c r="B919" t="s">
        <v>20</v>
      </c>
      <c r="C919">
        <v>2015</v>
      </c>
      <c r="D919">
        <v>6</v>
      </c>
      <c r="E919" t="s">
        <v>43</v>
      </c>
      <c r="F919" t="s">
        <v>5</v>
      </c>
      <c r="G919" t="s">
        <v>5</v>
      </c>
      <c r="H919">
        <v>29692.799999999999</v>
      </c>
      <c r="I919">
        <v>8594.1</v>
      </c>
      <c r="J919">
        <v>0</v>
      </c>
    </row>
    <row r="920" spans="1:10" x14ac:dyDescent="0.35">
      <c r="A920">
        <v>324154</v>
      </c>
      <c r="B920" t="s">
        <v>20</v>
      </c>
      <c r="C920">
        <v>2015</v>
      </c>
      <c r="D920">
        <v>6</v>
      </c>
      <c r="E920" t="s">
        <v>43</v>
      </c>
      <c r="F920" t="s">
        <v>5</v>
      </c>
      <c r="G920" t="s">
        <v>5</v>
      </c>
      <c r="H920">
        <v>44486.84</v>
      </c>
      <c r="I920">
        <v>13315.67</v>
      </c>
      <c r="J920">
        <v>0</v>
      </c>
    </row>
    <row r="921" spans="1:10" x14ac:dyDescent="0.35">
      <c r="A921">
        <v>324158</v>
      </c>
      <c r="B921" t="s">
        <v>20</v>
      </c>
      <c r="C921">
        <v>2015</v>
      </c>
      <c r="D921">
        <v>6</v>
      </c>
      <c r="E921" t="s">
        <v>43</v>
      </c>
      <c r="F921" t="s">
        <v>5</v>
      </c>
      <c r="G921" t="s">
        <v>5</v>
      </c>
      <c r="H921">
        <v>10485.94</v>
      </c>
      <c r="I921">
        <v>2769.48</v>
      </c>
      <c r="J921">
        <v>0</v>
      </c>
    </row>
    <row r="922" spans="1:10" x14ac:dyDescent="0.35">
      <c r="A922">
        <v>324170</v>
      </c>
      <c r="B922" t="s">
        <v>20</v>
      </c>
      <c r="C922">
        <v>2015</v>
      </c>
      <c r="D922">
        <v>6</v>
      </c>
      <c r="E922" t="s">
        <v>43</v>
      </c>
      <c r="F922" t="s">
        <v>5</v>
      </c>
      <c r="G922" t="s">
        <v>5</v>
      </c>
      <c r="H922">
        <v>40848.959999999999</v>
      </c>
      <c r="I922">
        <v>13562.8</v>
      </c>
      <c r="J922">
        <v>0</v>
      </c>
    </row>
    <row r="923" spans="1:10" x14ac:dyDescent="0.35">
      <c r="A923">
        <v>324196</v>
      </c>
      <c r="B923" t="s">
        <v>20</v>
      </c>
      <c r="C923">
        <v>2015</v>
      </c>
      <c r="D923">
        <v>9</v>
      </c>
      <c r="E923" t="s">
        <v>42</v>
      </c>
      <c r="F923" t="s">
        <v>5</v>
      </c>
      <c r="G923" t="s">
        <v>5</v>
      </c>
      <c r="H923">
        <v>47429.36</v>
      </c>
      <c r="I923">
        <v>15010.67</v>
      </c>
      <c r="J923">
        <v>0</v>
      </c>
    </row>
    <row r="924" spans="1:10" x14ac:dyDescent="0.35">
      <c r="A924">
        <v>324201</v>
      </c>
      <c r="B924" t="s">
        <v>20</v>
      </c>
      <c r="C924">
        <v>2015</v>
      </c>
      <c r="D924">
        <v>6</v>
      </c>
      <c r="E924" t="s">
        <v>43</v>
      </c>
      <c r="F924" t="s">
        <v>5</v>
      </c>
      <c r="G924" t="s">
        <v>5</v>
      </c>
      <c r="H924">
        <v>9477.9</v>
      </c>
      <c r="I924">
        <v>2573.42</v>
      </c>
      <c r="J924">
        <v>0</v>
      </c>
    </row>
    <row r="925" spans="1:10" x14ac:dyDescent="0.35">
      <c r="A925">
        <v>324202</v>
      </c>
      <c r="B925" t="s">
        <v>20</v>
      </c>
      <c r="C925">
        <v>2015</v>
      </c>
      <c r="D925">
        <v>6</v>
      </c>
      <c r="E925" t="s">
        <v>43</v>
      </c>
      <c r="F925" t="s">
        <v>5</v>
      </c>
      <c r="G925" t="s">
        <v>5</v>
      </c>
      <c r="H925">
        <v>14533.88</v>
      </c>
      <c r="I925">
        <v>4385.84</v>
      </c>
      <c r="J925">
        <v>0</v>
      </c>
    </row>
    <row r="926" spans="1:10" x14ac:dyDescent="0.35">
      <c r="A926">
        <v>324203</v>
      </c>
      <c r="B926" t="s">
        <v>20</v>
      </c>
      <c r="C926">
        <v>2015</v>
      </c>
      <c r="D926">
        <v>9</v>
      </c>
      <c r="E926" t="s">
        <v>42</v>
      </c>
      <c r="F926" t="s">
        <v>5</v>
      </c>
      <c r="G926" t="s">
        <v>5</v>
      </c>
      <c r="H926">
        <v>18062.8</v>
      </c>
      <c r="I926">
        <v>5690.45</v>
      </c>
      <c r="J926">
        <v>0</v>
      </c>
    </row>
    <row r="927" spans="1:10" x14ac:dyDescent="0.35">
      <c r="A927">
        <v>324210</v>
      </c>
      <c r="B927" t="s">
        <v>20</v>
      </c>
      <c r="C927">
        <v>2015</v>
      </c>
      <c r="D927">
        <v>9</v>
      </c>
      <c r="E927" t="s">
        <v>42</v>
      </c>
      <c r="F927" t="s">
        <v>5</v>
      </c>
      <c r="G927" t="s">
        <v>5</v>
      </c>
      <c r="H927">
        <v>9738.68</v>
      </c>
      <c r="I927">
        <v>2483.6</v>
      </c>
      <c r="J927">
        <v>0</v>
      </c>
    </row>
    <row r="928" spans="1:10" x14ac:dyDescent="0.35">
      <c r="A928">
        <v>324211</v>
      </c>
      <c r="B928" t="s">
        <v>20</v>
      </c>
      <c r="C928">
        <v>2015</v>
      </c>
      <c r="D928">
        <v>9</v>
      </c>
      <c r="E928" t="s">
        <v>42</v>
      </c>
      <c r="F928" t="s">
        <v>5</v>
      </c>
      <c r="G928" t="s">
        <v>5</v>
      </c>
      <c r="H928">
        <v>22538.080000000002</v>
      </c>
      <c r="I928">
        <v>6513.7</v>
      </c>
      <c r="J928">
        <v>0</v>
      </c>
    </row>
    <row r="929" spans="1:10" x14ac:dyDescent="0.35">
      <c r="A929">
        <v>324212</v>
      </c>
      <c r="B929" t="s">
        <v>20</v>
      </c>
      <c r="C929">
        <v>2015</v>
      </c>
      <c r="D929">
        <v>6</v>
      </c>
      <c r="E929" t="s">
        <v>43</v>
      </c>
      <c r="F929" t="s">
        <v>5</v>
      </c>
      <c r="G929" t="s">
        <v>5</v>
      </c>
      <c r="H929">
        <v>13220.9</v>
      </c>
      <c r="I929">
        <v>3942.36</v>
      </c>
      <c r="J929">
        <v>0</v>
      </c>
    </row>
    <row r="930" spans="1:10" x14ac:dyDescent="0.35">
      <c r="A930">
        <v>324216</v>
      </c>
      <c r="B930" t="s">
        <v>20</v>
      </c>
      <c r="C930">
        <v>2015</v>
      </c>
      <c r="D930">
        <v>9</v>
      </c>
      <c r="E930" t="s">
        <v>42</v>
      </c>
      <c r="F930" t="s">
        <v>5</v>
      </c>
      <c r="G930" t="s">
        <v>5</v>
      </c>
      <c r="H930">
        <v>13925.52</v>
      </c>
      <c r="I930">
        <v>3364.38</v>
      </c>
      <c r="J930">
        <v>0</v>
      </c>
    </row>
    <row r="931" spans="1:10" x14ac:dyDescent="0.35">
      <c r="A931">
        <v>324226</v>
      </c>
      <c r="B931" t="s">
        <v>20</v>
      </c>
      <c r="C931">
        <v>2015</v>
      </c>
      <c r="D931">
        <v>6</v>
      </c>
      <c r="E931" t="s">
        <v>43</v>
      </c>
      <c r="F931" t="s">
        <v>5</v>
      </c>
      <c r="G931" t="s">
        <v>5</v>
      </c>
      <c r="H931">
        <v>15048.34</v>
      </c>
      <c r="I931">
        <v>4487.7700000000004</v>
      </c>
      <c r="J931">
        <v>0</v>
      </c>
    </row>
    <row r="932" spans="1:10" x14ac:dyDescent="0.35">
      <c r="A932">
        <v>324230</v>
      </c>
      <c r="B932" t="s">
        <v>20</v>
      </c>
      <c r="C932">
        <v>2015</v>
      </c>
      <c r="D932">
        <v>6</v>
      </c>
      <c r="E932" t="s">
        <v>43</v>
      </c>
      <c r="F932" t="s">
        <v>5</v>
      </c>
      <c r="G932" t="s">
        <v>5</v>
      </c>
      <c r="H932">
        <v>18236.18</v>
      </c>
      <c r="I932">
        <v>3424.01</v>
      </c>
      <c r="J932">
        <v>0</v>
      </c>
    </row>
    <row r="933" spans="1:10" x14ac:dyDescent="0.35">
      <c r="A933">
        <v>324245</v>
      </c>
      <c r="B933" t="s">
        <v>20</v>
      </c>
      <c r="C933">
        <v>2015</v>
      </c>
      <c r="D933">
        <v>9</v>
      </c>
      <c r="E933" t="s">
        <v>42</v>
      </c>
      <c r="F933" t="s">
        <v>5</v>
      </c>
      <c r="G933" t="s">
        <v>5</v>
      </c>
      <c r="H933">
        <v>27572.080000000002</v>
      </c>
      <c r="I933">
        <v>6737.16</v>
      </c>
      <c r="J933">
        <v>0</v>
      </c>
    </row>
    <row r="934" spans="1:10" x14ac:dyDescent="0.35">
      <c r="A934">
        <v>324247</v>
      </c>
      <c r="B934" t="s">
        <v>20</v>
      </c>
      <c r="C934">
        <v>2015</v>
      </c>
      <c r="D934">
        <v>6</v>
      </c>
      <c r="E934" t="s">
        <v>43</v>
      </c>
      <c r="F934" t="s">
        <v>5</v>
      </c>
      <c r="G934" t="s">
        <v>5</v>
      </c>
      <c r="H934">
        <v>11758.98</v>
      </c>
      <c r="I934">
        <v>2622.98</v>
      </c>
      <c r="J934">
        <v>0</v>
      </c>
    </row>
    <row r="935" spans="1:10" x14ac:dyDescent="0.35">
      <c r="A935">
        <v>324250</v>
      </c>
      <c r="B935" t="s">
        <v>20</v>
      </c>
      <c r="C935">
        <v>2015</v>
      </c>
      <c r="D935">
        <v>9</v>
      </c>
      <c r="E935" t="s">
        <v>42</v>
      </c>
      <c r="F935" t="s">
        <v>5</v>
      </c>
      <c r="G935" t="s">
        <v>5</v>
      </c>
      <c r="H935">
        <v>30333.06</v>
      </c>
      <c r="I935">
        <v>7586.41</v>
      </c>
      <c r="J935">
        <v>0</v>
      </c>
    </row>
    <row r="936" spans="1:10" x14ac:dyDescent="0.35">
      <c r="A936">
        <v>324263</v>
      </c>
      <c r="B936" t="s">
        <v>20</v>
      </c>
      <c r="C936">
        <v>2015</v>
      </c>
      <c r="D936">
        <v>6</v>
      </c>
      <c r="E936" t="s">
        <v>43</v>
      </c>
      <c r="F936" t="s">
        <v>5</v>
      </c>
      <c r="G936" t="s">
        <v>5</v>
      </c>
      <c r="H936">
        <v>22177.06</v>
      </c>
      <c r="I936">
        <v>7064.35</v>
      </c>
      <c r="J936">
        <v>0</v>
      </c>
    </row>
    <row r="937" spans="1:10" x14ac:dyDescent="0.35">
      <c r="A937">
        <v>324266</v>
      </c>
      <c r="B937" t="s">
        <v>20</v>
      </c>
      <c r="C937">
        <v>2015</v>
      </c>
      <c r="D937">
        <v>9</v>
      </c>
      <c r="E937" t="s">
        <v>42</v>
      </c>
      <c r="F937" t="s">
        <v>5</v>
      </c>
      <c r="G937" t="s">
        <v>5</v>
      </c>
      <c r="H937">
        <v>26426.240000000002</v>
      </c>
      <c r="I937">
        <v>4937.04</v>
      </c>
      <c r="J937">
        <v>0</v>
      </c>
    </row>
    <row r="938" spans="1:10" x14ac:dyDescent="0.35">
      <c r="A938">
        <v>324269</v>
      </c>
      <c r="B938" t="s">
        <v>20</v>
      </c>
      <c r="C938">
        <v>2015</v>
      </c>
      <c r="D938">
        <v>9</v>
      </c>
      <c r="E938" t="s">
        <v>42</v>
      </c>
      <c r="F938" t="s">
        <v>5</v>
      </c>
      <c r="G938" t="s">
        <v>5</v>
      </c>
      <c r="H938">
        <v>29547.34</v>
      </c>
      <c r="I938">
        <v>9210.6</v>
      </c>
      <c r="J938">
        <v>0</v>
      </c>
    </row>
    <row r="939" spans="1:10" x14ac:dyDescent="0.35">
      <c r="A939">
        <v>324271</v>
      </c>
      <c r="B939" t="s">
        <v>20</v>
      </c>
      <c r="C939">
        <v>2015</v>
      </c>
      <c r="D939">
        <v>9</v>
      </c>
      <c r="E939" t="s">
        <v>42</v>
      </c>
      <c r="F939" t="s">
        <v>5</v>
      </c>
      <c r="G939" t="s">
        <v>5</v>
      </c>
      <c r="H939">
        <v>29289</v>
      </c>
      <c r="I939">
        <v>17558.259999999998</v>
      </c>
      <c r="J939">
        <v>0</v>
      </c>
    </row>
    <row r="940" spans="1:10" x14ac:dyDescent="0.35">
      <c r="A940">
        <v>324284</v>
      </c>
      <c r="B940" t="s">
        <v>20</v>
      </c>
      <c r="C940">
        <v>2015</v>
      </c>
      <c r="D940">
        <v>6</v>
      </c>
      <c r="E940" t="s">
        <v>43</v>
      </c>
      <c r="F940" t="s">
        <v>5</v>
      </c>
      <c r="G940" t="s">
        <v>5</v>
      </c>
      <c r="H940">
        <v>34054.22</v>
      </c>
      <c r="I940">
        <v>6152.36</v>
      </c>
      <c r="J940">
        <v>0</v>
      </c>
    </row>
    <row r="941" spans="1:10" x14ac:dyDescent="0.35">
      <c r="A941">
        <v>324288</v>
      </c>
      <c r="B941" t="s">
        <v>20</v>
      </c>
      <c r="C941">
        <v>2015</v>
      </c>
      <c r="D941">
        <v>6</v>
      </c>
      <c r="E941" t="s">
        <v>43</v>
      </c>
      <c r="F941" t="s">
        <v>5</v>
      </c>
      <c r="G941" t="s">
        <v>5</v>
      </c>
      <c r="H941">
        <v>123843.3</v>
      </c>
      <c r="I941">
        <v>59553.54</v>
      </c>
      <c r="J941">
        <v>0</v>
      </c>
    </row>
    <row r="942" spans="1:10" x14ac:dyDescent="0.35">
      <c r="A942">
        <v>324290</v>
      </c>
      <c r="B942" t="s">
        <v>20</v>
      </c>
      <c r="C942">
        <v>2015</v>
      </c>
      <c r="D942">
        <v>9</v>
      </c>
      <c r="E942" t="s">
        <v>42</v>
      </c>
      <c r="F942" t="s">
        <v>5</v>
      </c>
      <c r="G942" t="s">
        <v>5</v>
      </c>
      <c r="H942">
        <v>54262.85</v>
      </c>
      <c r="I942">
        <v>23132.23</v>
      </c>
      <c r="J942">
        <v>0</v>
      </c>
    </row>
    <row r="943" spans="1:10" x14ac:dyDescent="0.35">
      <c r="A943">
        <v>324299</v>
      </c>
      <c r="B943" t="s">
        <v>20</v>
      </c>
      <c r="C943">
        <v>2015</v>
      </c>
      <c r="D943">
        <v>9</v>
      </c>
      <c r="E943" t="s">
        <v>42</v>
      </c>
      <c r="F943" t="s">
        <v>5</v>
      </c>
      <c r="G943" t="s">
        <v>5</v>
      </c>
      <c r="H943">
        <v>37719.919999999998</v>
      </c>
      <c r="I943">
        <v>9878.4699999999993</v>
      </c>
      <c r="J943">
        <v>0</v>
      </c>
    </row>
    <row r="944" spans="1:10" x14ac:dyDescent="0.35">
      <c r="A944">
        <v>324300</v>
      </c>
      <c r="B944" t="s">
        <v>20</v>
      </c>
      <c r="C944">
        <v>2015</v>
      </c>
      <c r="D944">
        <v>9</v>
      </c>
      <c r="E944" t="s">
        <v>42</v>
      </c>
      <c r="F944" t="s">
        <v>5</v>
      </c>
      <c r="G944" t="s">
        <v>5</v>
      </c>
      <c r="H944">
        <v>32172.52</v>
      </c>
      <c r="I944">
        <v>9567.35</v>
      </c>
      <c r="J944">
        <v>0</v>
      </c>
    </row>
    <row r="945" spans="1:10" x14ac:dyDescent="0.35">
      <c r="A945">
        <v>324309</v>
      </c>
      <c r="B945" t="s">
        <v>20</v>
      </c>
      <c r="C945">
        <v>2015</v>
      </c>
      <c r="D945">
        <v>9</v>
      </c>
      <c r="E945" t="s">
        <v>42</v>
      </c>
      <c r="F945" t="s">
        <v>5</v>
      </c>
      <c r="G945" t="s">
        <v>5</v>
      </c>
      <c r="H945">
        <v>24831.78</v>
      </c>
      <c r="I945">
        <v>7570.32</v>
      </c>
      <c r="J945">
        <v>0</v>
      </c>
    </row>
    <row r="946" spans="1:10" x14ac:dyDescent="0.35">
      <c r="A946">
        <v>324310</v>
      </c>
      <c r="B946" t="s">
        <v>20</v>
      </c>
      <c r="C946">
        <v>2015</v>
      </c>
      <c r="D946">
        <v>6</v>
      </c>
      <c r="E946" t="s">
        <v>43</v>
      </c>
      <c r="F946" t="s">
        <v>5</v>
      </c>
      <c r="G946" t="s">
        <v>5</v>
      </c>
      <c r="H946">
        <v>57112.26</v>
      </c>
      <c r="I946">
        <v>17312.71</v>
      </c>
      <c r="J946">
        <v>0</v>
      </c>
    </row>
    <row r="947" spans="1:10" x14ac:dyDescent="0.35">
      <c r="A947">
        <v>324312</v>
      </c>
      <c r="B947" t="s">
        <v>20</v>
      </c>
      <c r="C947">
        <v>2015</v>
      </c>
      <c r="D947">
        <v>9</v>
      </c>
      <c r="E947" t="s">
        <v>42</v>
      </c>
      <c r="F947" t="s">
        <v>5</v>
      </c>
      <c r="G947" t="s">
        <v>5</v>
      </c>
      <c r="H947">
        <v>60282.58</v>
      </c>
      <c r="I947">
        <v>18149.37</v>
      </c>
      <c r="J947">
        <v>0</v>
      </c>
    </row>
    <row r="948" spans="1:10" x14ac:dyDescent="0.35">
      <c r="A948">
        <v>324331</v>
      </c>
      <c r="B948" t="s">
        <v>20</v>
      </c>
      <c r="C948">
        <v>2015</v>
      </c>
      <c r="D948">
        <v>9</v>
      </c>
      <c r="E948" t="s">
        <v>42</v>
      </c>
      <c r="F948" t="s">
        <v>5</v>
      </c>
      <c r="G948" t="s">
        <v>5</v>
      </c>
      <c r="H948">
        <v>158430.78</v>
      </c>
      <c r="I948">
        <v>62275.01</v>
      </c>
      <c r="J948">
        <v>0</v>
      </c>
    </row>
    <row r="949" spans="1:10" x14ac:dyDescent="0.35">
      <c r="A949">
        <v>324332</v>
      </c>
      <c r="B949" t="s">
        <v>20</v>
      </c>
      <c r="C949">
        <v>2015</v>
      </c>
      <c r="D949">
        <v>9</v>
      </c>
      <c r="E949" t="s">
        <v>42</v>
      </c>
      <c r="F949" t="s">
        <v>5</v>
      </c>
      <c r="G949" t="s">
        <v>5</v>
      </c>
      <c r="H949">
        <v>26693.68</v>
      </c>
      <c r="I949">
        <v>13978.23</v>
      </c>
      <c r="J949">
        <v>0</v>
      </c>
    </row>
    <row r="950" spans="1:10" x14ac:dyDescent="0.35">
      <c r="A950">
        <v>324339</v>
      </c>
      <c r="B950" t="s">
        <v>20</v>
      </c>
      <c r="C950">
        <v>2015</v>
      </c>
      <c r="D950">
        <v>6</v>
      </c>
      <c r="E950" t="s">
        <v>43</v>
      </c>
      <c r="F950" t="s">
        <v>5</v>
      </c>
      <c r="G950" t="s">
        <v>5</v>
      </c>
      <c r="H950">
        <v>31683.599999999999</v>
      </c>
      <c r="I950">
        <v>8406.19</v>
      </c>
      <c r="J950">
        <v>0</v>
      </c>
    </row>
    <row r="951" spans="1:10" x14ac:dyDescent="0.35">
      <c r="A951">
        <v>324350</v>
      </c>
      <c r="B951" t="s">
        <v>20</v>
      </c>
      <c r="C951">
        <v>2015</v>
      </c>
      <c r="D951">
        <v>6</v>
      </c>
      <c r="E951" t="s">
        <v>43</v>
      </c>
      <c r="F951" t="s">
        <v>5</v>
      </c>
      <c r="G951" t="s">
        <v>5</v>
      </c>
      <c r="H951">
        <v>26428.74</v>
      </c>
      <c r="I951">
        <v>9864.92</v>
      </c>
      <c r="J951">
        <v>0</v>
      </c>
    </row>
    <row r="952" spans="1:10" x14ac:dyDescent="0.35">
      <c r="A952">
        <v>324356</v>
      </c>
      <c r="B952" t="s">
        <v>20</v>
      </c>
      <c r="C952">
        <v>2015</v>
      </c>
      <c r="D952">
        <v>9</v>
      </c>
      <c r="E952" t="s">
        <v>42</v>
      </c>
      <c r="F952" t="s">
        <v>5</v>
      </c>
      <c r="G952" t="s">
        <v>5</v>
      </c>
      <c r="H952">
        <v>29066.48</v>
      </c>
      <c r="I952">
        <v>8215.92</v>
      </c>
      <c r="J952">
        <v>0</v>
      </c>
    </row>
    <row r="953" spans="1:10" x14ac:dyDescent="0.35">
      <c r="A953">
        <v>324358</v>
      </c>
      <c r="B953" t="s">
        <v>20</v>
      </c>
      <c r="C953">
        <v>2015</v>
      </c>
      <c r="D953">
        <v>6</v>
      </c>
      <c r="E953" t="s">
        <v>43</v>
      </c>
      <c r="F953" t="s">
        <v>5</v>
      </c>
      <c r="G953" t="s">
        <v>5</v>
      </c>
      <c r="H953">
        <v>20628.68</v>
      </c>
      <c r="I953">
        <v>6292.28</v>
      </c>
      <c r="J953">
        <v>0</v>
      </c>
    </row>
    <row r="954" spans="1:10" x14ac:dyDescent="0.35">
      <c r="A954">
        <v>324366</v>
      </c>
      <c r="B954" t="s">
        <v>20</v>
      </c>
      <c r="C954">
        <v>2015</v>
      </c>
      <c r="D954">
        <v>6</v>
      </c>
      <c r="E954" t="s">
        <v>43</v>
      </c>
      <c r="F954" t="s">
        <v>5</v>
      </c>
      <c r="G954" t="s">
        <v>5</v>
      </c>
      <c r="H954">
        <v>12823.78</v>
      </c>
      <c r="I954">
        <v>2767.1</v>
      </c>
      <c r="J954">
        <v>0</v>
      </c>
    </row>
    <row r="955" spans="1:10" x14ac:dyDescent="0.35">
      <c r="A955">
        <v>324377</v>
      </c>
      <c r="B955" t="s">
        <v>20</v>
      </c>
      <c r="C955">
        <v>2015</v>
      </c>
      <c r="D955">
        <v>9</v>
      </c>
      <c r="E955" t="s">
        <v>42</v>
      </c>
      <c r="F955" t="s">
        <v>5</v>
      </c>
      <c r="G955" t="s">
        <v>5</v>
      </c>
      <c r="H955">
        <v>12393.72</v>
      </c>
      <c r="I955">
        <v>3299.75</v>
      </c>
      <c r="J955">
        <v>0</v>
      </c>
    </row>
    <row r="956" spans="1:10" x14ac:dyDescent="0.35">
      <c r="A956">
        <v>324387</v>
      </c>
      <c r="B956" t="s">
        <v>20</v>
      </c>
      <c r="C956">
        <v>2015</v>
      </c>
      <c r="D956">
        <v>9</v>
      </c>
      <c r="E956" t="s">
        <v>42</v>
      </c>
      <c r="F956" t="s">
        <v>5</v>
      </c>
      <c r="G956" t="s">
        <v>5</v>
      </c>
      <c r="H956">
        <v>28655.200000000001</v>
      </c>
      <c r="I956">
        <v>13604.33</v>
      </c>
      <c r="J956">
        <v>0</v>
      </c>
    </row>
    <row r="957" spans="1:10" x14ac:dyDescent="0.35">
      <c r="A957">
        <v>324397</v>
      </c>
      <c r="B957" t="s">
        <v>20</v>
      </c>
      <c r="C957">
        <v>2015</v>
      </c>
      <c r="D957">
        <v>9</v>
      </c>
      <c r="E957" t="s">
        <v>42</v>
      </c>
      <c r="F957" t="s">
        <v>5</v>
      </c>
      <c r="G957" t="s">
        <v>5</v>
      </c>
      <c r="H957">
        <v>47369.3</v>
      </c>
      <c r="I957">
        <v>14661.72</v>
      </c>
      <c r="J957">
        <v>0</v>
      </c>
    </row>
    <row r="958" spans="1:10" x14ac:dyDescent="0.35">
      <c r="A958">
        <v>324400</v>
      </c>
      <c r="B958" t="s">
        <v>20</v>
      </c>
      <c r="C958">
        <v>2015</v>
      </c>
      <c r="D958">
        <v>9</v>
      </c>
      <c r="E958" t="s">
        <v>42</v>
      </c>
      <c r="F958" t="s">
        <v>5</v>
      </c>
      <c r="G958" t="s">
        <v>5</v>
      </c>
      <c r="H958">
        <v>19765.2</v>
      </c>
      <c r="I958">
        <v>4802.3599999999997</v>
      </c>
      <c r="J958">
        <v>0</v>
      </c>
    </row>
    <row r="959" spans="1:10" x14ac:dyDescent="0.35">
      <c r="A959">
        <v>324401</v>
      </c>
      <c r="B959" t="s">
        <v>20</v>
      </c>
      <c r="C959">
        <v>2015</v>
      </c>
      <c r="D959">
        <v>9</v>
      </c>
      <c r="E959" t="s">
        <v>42</v>
      </c>
      <c r="F959" t="s">
        <v>5</v>
      </c>
      <c r="G959" t="s">
        <v>5</v>
      </c>
      <c r="H959">
        <v>76432.86</v>
      </c>
      <c r="I959">
        <v>36822.370000000003</v>
      </c>
      <c r="J959">
        <v>0</v>
      </c>
    </row>
    <row r="960" spans="1:10" x14ac:dyDescent="0.35">
      <c r="A960">
        <v>324402</v>
      </c>
      <c r="B960" t="s">
        <v>20</v>
      </c>
      <c r="C960">
        <v>2015</v>
      </c>
      <c r="D960">
        <v>6</v>
      </c>
      <c r="E960" t="s">
        <v>43</v>
      </c>
      <c r="F960" t="s">
        <v>5</v>
      </c>
      <c r="G960" t="s">
        <v>5</v>
      </c>
      <c r="H960">
        <v>15556.74</v>
      </c>
      <c r="I960">
        <v>4062</v>
      </c>
      <c r="J960">
        <v>0</v>
      </c>
    </row>
    <row r="961" spans="1:10" x14ac:dyDescent="0.35">
      <c r="A961">
        <v>324404</v>
      </c>
      <c r="B961" t="s">
        <v>20</v>
      </c>
      <c r="C961">
        <v>2015</v>
      </c>
      <c r="D961">
        <v>6</v>
      </c>
      <c r="E961" t="s">
        <v>43</v>
      </c>
      <c r="F961" t="s">
        <v>5</v>
      </c>
      <c r="G961" t="s">
        <v>5</v>
      </c>
      <c r="H961">
        <v>12683.04</v>
      </c>
      <c r="I961">
        <v>3664.64</v>
      </c>
      <c r="J961">
        <v>0</v>
      </c>
    </row>
    <row r="962" spans="1:10" x14ac:dyDescent="0.35">
      <c r="A962">
        <v>324422</v>
      </c>
      <c r="B962" t="s">
        <v>20</v>
      </c>
      <c r="C962">
        <v>2015</v>
      </c>
      <c r="D962">
        <v>9</v>
      </c>
      <c r="E962" t="s">
        <v>42</v>
      </c>
      <c r="F962" t="s">
        <v>5</v>
      </c>
      <c r="G962" t="s">
        <v>5</v>
      </c>
      <c r="H962">
        <v>35307.379999999997</v>
      </c>
      <c r="I962">
        <v>10750.24</v>
      </c>
      <c r="J962">
        <v>0</v>
      </c>
    </row>
    <row r="963" spans="1:10" x14ac:dyDescent="0.35">
      <c r="A963">
        <v>324424</v>
      </c>
      <c r="B963" t="s">
        <v>20</v>
      </c>
      <c r="C963">
        <v>2015</v>
      </c>
      <c r="D963">
        <v>9</v>
      </c>
      <c r="E963" t="s">
        <v>42</v>
      </c>
      <c r="F963" t="s">
        <v>5</v>
      </c>
      <c r="G963" t="s">
        <v>5</v>
      </c>
      <c r="H963">
        <v>11009.34</v>
      </c>
      <c r="I963">
        <v>2743.5</v>
      </c>
      <c r="J963">
        <v>0</v>
      </c>
    </row>
    <row r="964" spans="1:10" x14ac:dyDescent="0.35">
      <c r="A964">
        <v>324429</v>
      </c>
      <c r="B964" t="s">
        <v>20</v>
      </c>
      <c r="C964">
        <v>2015</v>
      </c>
      <c r="D964">
        <v>9</v>
      </c>
      <c r="E964" t="s">
        <v>42</v>
      </c>
      <c r="F964" t="s">
        <v>5</v>
      </c>
      <c r="G964" t="s">
        <v>5</v>
      </c>
      <c r="H964">
        <v>8344.6</v>
      </c>
      <c r="I964">
        <v>2299.88</v>
      </c>
      <c r="J964">
        <v>0</v>
      </c>
    </row>
    <row r="965" spans="1:10" x14ac:dyDescent="0.35">
      <c r="A965">
        <v>324441</v>
      </c>
      <c r="B965" t="s">
        <v>20</v>
      </c>
      <c r="C965">
        <v>2015</v>
      </c>
      <c r="D965">
        <v>6</v>
      </c>
      <c r="E965" t="s">
        <v>43</v>
      </c>
      <c r="F965" t="s">
        <v>5</v>
      </c>
      <c r="G965" t="s">
        <v>5</v>
      </c>
      <c r="H965">
        <v>21414.560000000001</v>
      </c>
      <c r="I965">
        <v>4016.53</v>
      </c>
      <c r="J965">
        <v>0</v>
      </c>
    </row>
    <row r="966" spans="1:10" x14ac:dyDescent="0.35">
      <c r="A966">
        <v>324449</v>
      </c>
      <c r="B966" t="s">
        <v>20</v>
      </c>
      <c r="C966">
        <v>2015</v>
      </c>
      <c r="D966">
        <v>9</v>
      </c>
      <c r="E966" t="s">
        <v>42</v>
      </c>
      <c r="F966" t="s">
        <v>5</v>
      </c>
      <c r="G966" t="s">
        <v>5</v>
      </c>
      <c r="H966">
        <v>17128.099999999999</v>
      </c>
      <c r="I966">
        <v>4389.87</v>
      </c>
      <c r="J966">
        <v>0</v>
      </c>
    </row>
    <row r="967" spans="1:10" x14ac:dyDescent="0.35">
      <c r="A967">
        <v>324450</v>
      </c>
      <c r="B967" t="s">
        <v>20</v>
      </c>
      <c r="C967">
        <v>2015</v>
      </c>
      <c r="D967">
        <v>6</v>
      </c>
      <c r="E967" t="s">
        <v>43</v>
      </c>
      <c r="F967" t="s">
        <v>5</v>
      </c>
      <c r="G967" t="s">
        <v>5</v>
      </c>
      <c r="H967">
        <v>12719.88</v>
      </c>
      <c r="I967">
        <v>3203.21</v>
      </c>
      <c r="J967">
        <v>0</v>
      </c>
    </row>
    <row r="968" spans="1:10" x14ac:dyDescent="0.35">
      <c r="A968">
        <v>324454</v>
      </c>
      <c r="B968" t="s">
        <v>20</v>
      </c>
      <c r="C968">
        <v>2015</v>
      </c>
      <c r="D968">
        <v>9</v>
      </c>
      <c r="E968" t="s">
        <v>42</v>
      </c>
      <c r="F968" t="s">
        <v>5</v>
      </c>
      <c r="G968" t="s">
        <v>5</v>
      </c>
      <c r="H968">
        <v>28915.32</v>
      </c>
      <c r="I968">
        <v>10766.32</v>
      </c>
      <c r="J968">
        <v>0</v>
      </c>
    </row>
    <row r="969" spans="1:10" x14ac:dyDescent="0.35">
      <c r="A969">
        <v>324460</v>
      </c>
      <c r="B969" t="s">
        <v>20</v>
      </c>
      <c r="C969">
        <v>2015</v>
      </c>
      <c r="D969">
        <v>9</v>
      </c>
      <c r="E969" t="s">
        <v>42</v>
      </c>
      <c r="F969" t="s">
        <v>5</v>
      </c>
      <c r="G969" t="s">
        <v>5</v>
      </c>
      <c r="H969">
        <v>28570.080000000002</v>
      </c>
      <c r="I969">
        <v>7515.37</v>
      </c>
      <c r="J969">
        <v>0</v>
      </c>
    </row>
    <row r="970" spans="1:10" x14ac:dyDescent="0.35">
      <c r="A970">
        <v>324464</v>
      </c>
      <c r="B970" t="s">
        <v>20</v>
      </c>
      <c r="C970">
        <v>2015</v>
      </c>
      <c r="D970">
        <v>6</v>
      </c>
      <c r="E970" t="s">
        <v>43</v>
      </c>
      <c r="F970" t="s">
        <v>5</v>
      </c>
      <c r="G970" t="s">
        <v>5</v>
      </c>
      <c r="H970">
        <v>24242.42</v>
      </c>
      <c r="I970">
        <v>7034.86</v>
      </c>
      <c r="J970">
        <v>0</v>
      </c>
    </row>
    <row r="971" spans="1:10" x14ac:dyDescent="0.35">
      <c r="A971">
        <v>324467</v>
      </c>
      <c r="B971" t="s">
        <v>20</v>
      </c>
      <c r="C971">
        <v>2015</v>
      </c>
      <c r="D971">
        <v>6</v>
      </c>
      <c r="E971" t="s">
        <v>43</v>
      </c>
      <c r="F971" t="s">
        <v>5</v>
      </c>
      <c r="G971" t="s">
        <v>5</v>
      </c>
      <c r="H971">
        <v>8802.48</v>
      </c>
      <c r="I971">
        <v>2425.83</v>
      </c>
      <c r="J971">
        <v>0</v>
      </c>
    </row>
    <row r="972" spans="1:10" x14ac:dyDescent="0.35">
      <c r="A972">
        <v>324475</v>
      </c>
      <c r="B972" t="s">
        <v>20</v>
      </c>
      <c r="C972">
        <v>2015</v>
      </c>
      <c r="D972">
        <v>9</v>
      </c>
      <c r="E972" t="s">
        <v>42</v>
      </c>
      <c r="F972" t="s">
        <v>5</v>
      </c>
      <c r="G972" t="s">
        <v>5</v>
      </c>
      <c r="H972">
        <v>27413.94</v>
      </c>
      <c r="I972">
        <v>8980.2999999999993</v>
      </c>
      <c r="J972">
        <v>0</v>
      </c>
    </row>
    <row r="973" spans="1:10" x14ac:dyDescent="0.35">
      <c r="A973">
        <v>324492</v>
      </c>
      <c r="B973" t="s">
        <v>20</v>
      </c>
      <c r="C973">
        <v>2015</v>
      </c>
      <c r="D973">
        <v>6</v>
      </c>
      <c r="E973" t="s">
        <v>43</v>
      </c>
      <c r="F973" t="s">
        <v>5</v>
      </c>
      <c r="G973" t="s">
        <v>5</v>
      </c>
      <c r="H973">
        <v>16265.54</v>
      </c>
      <c r="I973">
        <v>4569.2</v>
      </c>
      <c r="J973">
        <v>0</v>
      </c>
    </row>
    <row r="974" spans="1:10" x14ac:dyDescent="0.35">
      <c r="A974">
        <v>324503</v>
      </c>
      <c r="B974" t="s">
        <v>20</v>
      </c>
      <c r="C974">
        <v>2015</v>
      </c>
      <c r="D974">
        <v>6</v>
      </c>
      <c r="E974" t="s">
        <v>43</v>
      </c>
      <c r="F974" t="s">
        <v>5</v>
      </c>
      <c r="G974" t="s">
        <v>5</v>
      </c>
      <c r="H974">
        <v>21026.3</v>
      </c>
      <c r="I974">
        <v>5175.17</v>
      </c>
      <c r="J974">
        <v>0</v>
      </c>
    </row>
    <row r="975" spans="1:10" x14ac:dyDescent="0.35">
      <c r="A975">
        <v>324504</v>
      </c>
      <c r="B975" t="s">
        <v>20</v>
      </c>
      <c r="C975">
        <v>2015</v>
      </c>
      <c r="D975">
        <v>6</v>
      </c>
      <c r="E975" t="s">
        <v>43</v>
      </c>
      <c r="F975" t="s">
        <v>5</v>
      </c>
      <c r="G975" t="s">
        <v>5</v>
      </c>
      <c r="H975">
        <v>28445.26</v>
      </c>
      <c r="I975">
        <v>7390.82</v>
      </c>
      <c r="J975">
        <v>0</v>
      </c>
    </row>
    <row r="976" spans="1:10" x14ac:dyDescent="0.35">
      <c r="A976">
        <v>324511</v>
      </c>
      <c r="B976" t="s">
        <v>20</v>
      </c>
      <c r="C976">
        <v>2015</v>
      </c>
      <c r="D976">
        <v>9</v>
      </c>
      <c r="E976" t="s">
        <v>42</v>
      </c>
      <c r="F976" t="s">
        <v>5</v>
      </c>
      <c r="G976" t="s">
        <v>5</v>
      </c>
      <c r="H976">
        <v>41292.82</v>
      </c>
      <c r="I976">
        <v>13513.5</v>
      </c>
      <c r="J976">
        <v>0</v>
      </c>
    </row>
    <row r="977" spans="1:10" x14ac:dyDescent="0.35">
      <c r="A977">
        <v>324521</v>
      </c>
      <c r="B977" t="s">
        <v>20</v>
      </c>
      <c r="C977">
        <v>2015</v>
      </c>
      <c r="D977">
        <v>6</v>
      </c>
      <c r="E977" t="s">
        <v>43</v>
      </c>
      <c r="F977" t="s">
        <v>5</v>
      </c>
      <c r="G977" t="s">
        <v>5</v>
      </c>
      <c r="H977">
        <v>29385.8</v>
      </c>
      <c r="I977">
        <v>10584</v>
      </c>
      <c r="J977">
        <v>0</v>
      </c>
    </row>
    <row r="978" spans="1:10" x14ac:dyDescent="0.35">
      <c r="A978">
        <v>324522</v>
      </c>
      <c r="B978" t="s">
        <v>20</v>
      </c>
      <c r="C978">
        <v>2015</v>
      </c>
      <c r="D978">
        <v>6</v>
      </c>
      <c r="E978" t="s">
        <v>43</v>
      </c>
      <c r="F978" t="s">
        <v>5</v>
      </c>
      <c r="G978" t="s">
        <v>5</v>
      </c>
      <c r="H978">
        <v>18719.72</v>
      </c>
      <c r="I978">
        <v>4951.68</v>
      </c>
      <c r="J978">
        <v>0</v>
      </c>
    </row>
    <row r="979" spans="1:10" x14ac:dyDescent="0.35">
      <c r="A979">
        <v>324524</v>
      </c>
      <c r="B979" t="s">
        <v>20</v>
      </c>
      <c r="C979">
        <v>2015</v>
      </c>
      <c r="D979">
        <v>6</v>
      </c>
      <c r="E979" t="s">
        <v>43</v>
      </c>
      <c r="F979" t="s">
        <v>5</v>
      </c>
      <c r="G979" t="s">
        <v>5</v>
      </c>
      <c r="H979">
        <v>9067.7000000000007</v>
      </c>
      <c r="I979">
        <v>2421.31</v>
      </c>
      <c r="J979">
        <v>0</v>
      </c>
    </row>
    <row r="980" spans="1:10" x14ac:dyDescent="0.35">
      <c r="A980">
        <v>324525</v>
      </c>
      <c r="B980" t="s">
        <v>20</v>
      </c>
      <c r="C980">
        <v>2015</v>
      </c>
      <c r="D980">
        <v>9</v>
      </c>
      <c r="E980" t="s">
        <v>42</v>
      </c>
      <c r="F980" t="s">
        <v>5</v>
      </c>
      <c r="G980" t="s">
        <v>5</v>
      </c>
      <c r="H980">
        <v>24032.38</v>
      </c>
      <c r="I980">
        <v>5186.79</v>
      </c>
      <c r="J980">
        <v>0</v>
      </c>
    </row>
    <row r="981" spans="1:10" x14ac:dyDescent="0.35">
      <c r="A981">
        <v>324539</v>
      </c>
      <c r="B981" t="s">
        <v>20</v>
      </c>
      <c r="C981">
        <v>2015</v>
      </c>
      <c r="D981">
        <v>6</v>
      </c>
      <c r="E981" t="s">
        <v>43</v>
      </c>
      <c r="F981" t="s">
        <v>5</v>
      </c>
      <c r="G981" t="s">
        <v>5</v>
      </c>
      <c r="H981">
        <v>27455.62</v>
      </c>
      <c r="I981">
        <v>13631.27</v>
      </c>
      <c r="J981">
        <v>0</v>
      </c>
    </row>
    <row r="982" spans="1:10" x14ac:dyDescent="0.35">
      <c r="A982">
        <v>324544</v>
      </c>
      <c r="B982" t="s">
        <v>20</v>
      </c>
      <c r="C982">
        <v>2015</v>
      </c>
      <c r="D982">
        <v>6</v>
      </c>
      <c r="E982" t="s">
        <v>43</v>
      </c>
      <c r="F982" t="s">
        <v>5</v>
      </c>
      <c r="G982" t="s">
        <v>5</v>
      </c>
      <c r="H982">
        <v>22783.18</v>
      </c>
      <c r="I982">
        <v>8068.46</v>
      </c>
      <c r="J982">
        <v>0</v>
      </c>
    </row>
    <row r="983" spans="1:10" x14ac:dyDescent="0.35">
      <c r="A983">
        <v>324568</v>
      </c>
      <c r="B983" t="s">
        <v>20</v>
      </c>
      <c r="C983">
        <v>2015</v>
      </c>
      <c r="D983">
        <v>9</v>
      </c>
      <c r="E983" t="s">
        <v>42</v>
      </c>
      <c r="F983" t="s">
        <v>5</v>
      </c>
      <c r="G983" t="s">
        <v>5</v>
      </c>
      <c r="H983">
        <v>17384.919999999998</v>
      </c>
      <c r="I983">
        <v>5079.3999999999996</v>
      </c>
      <c r="J983">
        <v>0</v>
      </c>
    </row>
    <row r="984" spans="1:10" x14ac:dyDescent="0.35">
      <c r="A984">
        <v>324594</v>
      </c>
      <c r="B984" t="s">
        <v>20</v>
      </c>
      <c r="C984">
        <v>2015</v>
      </c>
      <c r="D984">
        <v>6</v>
      </c>
      <c r="E984" t="s">
        <v>43</v>
      </c>
      <c r="F984" t="s">
        <v>5</v>
      </c>
      <c r="G984" t="s">
        <v>5</v>
      </c>
      <c r="H984">
        <v>18520.8</v>
      </c>
      <c r="I984">
        <v>3699.16</v>
      </c>
      <c r="J984">
        <v>0</v>
      </c>
    </row>
    <row r="985" spans="1:10" x14ac:dyDescent="0.35">
      <c r="A985">
        <v>324595</v>
      </c>
      <c r="B985" t="s">
        <v>20</v>
      </c>
      <c r="C985">
        <v>2015</v>
      </c>
      <c r="D985">
        <v>6</v>
      </c>
      <c r="E985" t="s">
        <v>43</v>
      </c>
      <c r="F985" t="s">
        <v>5</v>
      </c>
      <c r="G985" t="s">
        <v>5</v>
      </c>
      <c r="H985">
        <v>28395.06</v>
      </c>
      <c r="I985">
        <v>8090.44</v>
      </c>
      <c r="J985">
        <v>0</v>
      </c>
    </row>
    <row r="986" spans="1:10" x14ac:dyDescent="0.35">
      <c r="A986">
        <v>324605</v>
      </c>
      <c r="B986" t="s">
        <v>20</v>
      </c>
      <c r="C986">
        <v>2015</v>
      </c>
      <c r="D986">
        <v>9</v>
      </c>
      <c r="E986" t="s">
        <v>42</v>
      </c>
      <c r="F986" t="s">
        <v>5</v>
      </c>
      <c r="G986" t="s">
        <v>5</v>
      </c>
      <c r="H986">
        <v>38567.839999999997</v>
      </c>
      <c r="I986">
        <v>12696.99</v>
      </c>
      <c r="J986">
        <v>0</v>
      </c>
    </row>
    <row r="987" spans="1:10" x14ac:dyDescent="0.35">
      <c r="A987">
        <v>324606</v>
      </c>
      <c r="B987" t="s">
        <v>20</v>
      </c>
      <c r="C987">
        <v>2015</v>
      </c>
      <c r="D987">
        <v>6</v>
      </c>
      <c r="E987" t="s">
        <v>43</v>
      </c>
      <c r="F987" t="s">
        <v>5</v>
      </c>
      <c r="G987" t="s">
        <v>5</v>
      </c>
      <c r="H987">
        <v>17401.72</v>
      </c>
      <c r="I987">
        <v>3332.86</v>
      </c>
      <c r="J987">
        <v>0</v>
      </c>
    </row>
    <row r="988" spans="1:10" x14ac:dyDescent="0.35">
      <c r="A988">
        <v>324612</v>
      </c>
      <c r="B988" t="s">
        <v>20</v>
      </c>
      <c r="C988">
        <v>2015</v>
      </c>
      <c r="D988">
        <v>6</v>
      </c>
      <c r="E988" t="s">
        <v>43</v>
      </c>
      <c r="F988" t="s">
        <v>5</v>
      </c>
      <c r="G988" t="s">
        <v>5</v>
      </c>
      <c r="H988">
        <v>34597.760000000002</v>
      </c>
      <c r="I988">
        <v>16325.21</v>
      </c>
      <c r="J988">
        <v>0</v>
      </c>
    </row>
    <row r="989" spans="1:10" x14ac:dyDescent="0.35">
      <c r="A989">
        <v>324619</v>
      </c>
      <c r="B989" t="s">
        <v>20</v>
      </c>
      <c r="C989">
        <v>2015</v>
      </c>
      <c r="D989">
        <v>6</v>
      </c>
      <c r="E989" t="s">
        <v>43</v>
      </c>
      <c r="F989" t="s">
        <v>5</v>
      </c>
      <c r="G989" t="s">
        <v>5</v>
      </c>
      <c r="H989">
        <v>42222.04</v>
      </c>
      <c r="I989">
        <v>24941.4</v>
      </c>
      <c r="J989">
        <v>0</v>
      </c>
    </row>
    <row r="990" spans="1:10" x14ac:dyDescent="0.35">
      <c r="A990">
        <v>324620</v>
      </c>
      <c r="B990" t="s">
        <v>20</v>
      </c>
      <c r="C990">
        <v>2015</v>
      </c>
      <c r="D990">
        <v>6</v>
      </c>
      <c r="E990" t="s">
        <v>43</v>
      </c>
      <c r="F990" t="s">
        <v>5</v>
      </c>
      <c r="G990" t="s">
        <v>5</v>
      </c>
      <c r="H990">
        <v>12474.78</v>
      </c>
      <c r="I990">
        <v>3630.79</v>
      </c>
      <c r="J990">
        <v>0</v>
      </c>
    </row>
    <row r="991" spans="1:10" x14ac:dyDescent="0.35">
      <c r="A991">
        <v>324624</v>
      </c>
      <c r="B991" t="s">
        <v>20</v>
      </c>
      <c r="C991">
        <v>2015</v>
      </c>
      <c r="D991">
        <v>9</v>
      </c>
      <c r="E991" t="s">
        <v>42</v>
      </c>
      <c r="F991" t="s">
        <v>5</v>
      </c>
      <c r="G991" t="s">
        <v>5</v>
      </c>
      <c r="H991">
        <v>12594.88</v>
      </c>
      <c r="I991">
        <v>3039.32</v>
      </c>
      <c r="J991">
        <v>0</v>
      </c>
    </row>
    <row r="992" spans="1:10" x14ac:dyDescent="0.35">
      <c r="A992">
        <v>324625</v>
      </c>
      <c r="B992" t="s">
        <v>20</v>
      </c>
      <c r="C992">
        <v>2015</v>
      </c>
      <c r="D992">
        <v>6</v>
      </c>
      <c r="E992" t="s">
        <v>43</v>
      </c>
      <c r="F992" t="s">
        <v>5</v>
      </c>
      <c r="G992" t="s">
        <v>5</v>
      </c>
      <c r="H992">
        <v>23945.200000000001</v>
      </c>
      <c r="I992">
        <v>6468.24</v>
      </c>
      <c r="J992">
        <v>0</v>
      </c>
    </row>
    <row r="993" spans="1:10" x14ac:dyDescent="0.35">
      <c r="A993">
        <v>324626</v>
      </c>
      <c r="B993" t="s">
        <v>20</v>
      </c>
      <c r="C993">
        <v>2015</v>
      </c>
      <c r="D993">
        <v>9</v>
      </c>
      <c r="E993" t="s">
        <v>42</v>
      </c>
      <c r="F993" t="s">
        <v>5</v>
      </c>
      <c r="G993" t="s">
        <v>5</v>
      </c>
      <c r="H993">
        <v>19058.8</v>
      </c>
      <c r="I993">
        <v>7188.56</v>
      </c>
      <c r="J993">
        <v>0</v>
      </c>
    </row>
    <row r="994" spans="1:10" x14ac:dyDescent="0.35">
      <c r="A994">
        <v>324633</v>
      </c>
      <c r="B994" t="s">
        <v>20</v>
      </c>
      <c r="C994">
        <v>2015</v>
      </c>
      <c r="D994">
        <v>6</v>
      </c>
      <c r="E994" t="s">
        <v>43</v>
      </c>
      <c r="F994" t="s">
        <v>5</v>
      </c>
      <c r="G994" t="s">
        <v>5</v>
      </c>
      <c r="H994">
        <v>10690.12</v>
      </c>
      <c r="I994">
        <v>2462.6</v>
      </c>
      <c r="J994">
        <v>0</v>
      </c>
    </row>
    <row r="995" spans="1:10" x14ac:dyDescent="0.35">
      <c r="A995">
        <v>324634</v>
      </c>
      <c r="B995" t="s">
        <v>20</v>
      </c>
      <c r="C995">
        <v>2015</v>
      </c>
      <c r="D995">
        <v>9</v>
      </c>
      <c r="E995" t="s">
        <v>42</v>
      </c>
      <c r="F995" t="s">
        <v>5</v>
      </c>
      <c r="G995" t="s">
        <v>5</v>
      </c>
      <c r="H995">
        <v>17628.86</v>
      </c>
      <c r="I995">
        <v>4065.01</v>
      </c>
      <c r="J995">
        <v>0</v>
      </c>
    </row>
    <row r="996" spans="1:10" x14ac:dyDescent="0.35">
      <c r="A996">
        <v>324642</v>
      </c>
      <c r="B996" t="s">
        <v>20</v>
      </c>
      <c r="C996">
        <v>2015</v>
      </c>
      <c r="D996">
        <v>9</v>
      </c>
      <c r="E996" t="s">
        <v>42</v>
      </c>
      <c r="F996" t="s">
        <v>5</v>
      </c>
      <c r="G996" t="s">
        <v>5</v>
      </c>
      <c r="H996">
        <v>27187.040000000001</v>
      </c>
      <c r="I996">
        <v>6774.62</v>
      </c>
      <c r="J996">
        <v>0</v>
      </c>
    </row>
    <row r="997" spans="1:10" x14ac:dyDescent="0.35">
      <c r="A997">
        <v>324647</v>
      </c>
      <c r="B997" t="s">
        <v>20</v>
      </c>
      <c r="C997">
        <v>2015</v>
      </c>
      <c r="D997">
        <v>9</v>
      </c>
      <c r="E997" t="s">
        <v>42</v>
      </c>
      <c r="F997" t="s">
        <v>5</v>
      </c>
      <c r="G997" t="s">
        <v>5</v>
      </c>
      <c r="H997">
        <v>15599.06</v>
      </c>
      <c r="I997">
        <v>3700.49</v>
      </c>
      <c r="J997">
        <v>0</v>
      </c>
    </row>
    <row r="998" spans="1:10" x14ac:dyDescent="0.35">
      <c r="A998">
        <v>324651</v>
      </c>
      <c r="B998" t="s">
        <v>20</v>
      </c>
      <c r="C998">
        <v>2015</v>
      </c>
      <c r="D998">
        <v>6</v>
      </c>
      <c r="E998" t="s">
        <v>43</v>
      </c>
      <c r="F998" t="s">
        <v>5</v>
      </c>
      <c r="G998" t="s">
        <v>5</v>
      </c>
      <c r="H998">
        <v>11104.82</v>
      </c>
      <c r="I998">
        <v>2645.68</v>
      </c>
      <c r="J998">
        <v>0</v>
      </c>
    </row>
    <row r="999" spans="1:10" x14ac:dyDescent="0.35">
      <c r="A999">
        <v>324652</v>
      </c>
      <c r="B999" t="s">
        <v>20</v>
      </c>
      <c r="C999">
        <v>2015</v>
      </c>
      <c r="D999">
        <v>9</v>
      </c>
      <c r="E999" t="s">
        <v>42</v>
      </c>
      <c r="F999" t="s">
        <v>5</v>
      </c>
      <c r="G999" t="s">
        <v>5</v>
      </c>
      <c r="H999">
        <v>30969.24</v>
      </c>
      <c r="I999">
        <v>8591.85</v>
      </c>
      <c r="J999">
        <v>0</v>
      </c>
    </row>
    <row r="1000" spans="1:10" x14ac:dyDescent="0.35">
      <c r="A1000">
        <v>324657</v>
      </c>
      <c r="B1000" t="s">
        <v>20</v>
      </c>
      <c r="C1000">
        <v>2015</v>
      </c>
      <c r="D1000">
        <v>6</v>
      </c>
      <c r="E1000" t="s">
        <v>43</v>
      </c>
      <c r="F1000" t="s">
        <v>5</v>
      </c>
      <c r="G1000" t="s">
        <v>5</v>
      </c>
      <c r="H1000">
        <v>23536.5</v>
      </c>
      <c r="I1000">
        <v>7285.27</v>
      </c>
      <c r="J1000">
        <v>0</v>
      </c>
    </row>
    <row r="1001" spans="1:10" x14ac:dyDescent="0.35">
      <c r="A1001">
        <v>324661</v>
      </c>
      <c r="B1001" t="s">
        <v>20</v>
      </c>
      <c r="C1001">
        <v>2015</v>
      </c>
      <c r="D1001">
        <v>9</v>
      </c>
      <c r="E1001" t="s">
        <v>42</v>
      </c>
      <c r="F1001" t="s">
        <v>5</v>
      </c>
      <c r="G1001" t="s">
        <v>5</v>
      </c>
      <c r="H1001">
        <v>33967.699999999997</v>
      </c>
      <c r="I1001">
        <v>9856.2099999999991</v>
      </c>
      <c r="J1001">
        <v>0</v>
      </c>
    </row>
    <row r="1002" spans="1:10" x14ac:dyDescent="0.35">
      <c r="A1002">
        <v>324665</v>
      </c>
      <c r="B1002" t="s">
        <v>20</v>
      </c>
      <c r="C1002">
        <v>2015</v>
      </c>
      <c r="D1002">
        <v>9</v>
      </c>
      <c r="E1002" t="s">
        <v>42</v>
      </c>
      <c r="F1002" t="s">
        <v>5</v>
      </c>
      <c r="G1002" t="s">
        <v>5</v>
      </c>
      <c r="H1002">
        <v>143113.01999999999</v>
      </c>
      <c r="I1002">
        <v>36366.879999999997</v>
      </c>
      <c r="J1002">
        <v>0</v>
      </c>
    </row>
    <row r="1003" spans="1:10" x14ac:dyDescent="0.35">
      <c r="A1003">
        <v>324676</v>
      </c>
      <c r="B1003" t="s">
        <v>20</v>
      </c>
      <c r="C1003">
        <v>2015</v>
      </c>
      <c r="D1003">
        <v>6</v>
      </c>
      <c r="E1003" t="s">
        <v>43</v>
      </c>
      <c r="F1003" t="s">
        <v>5</v>
      </c>
      <c r="G1003" t="s">
        <v>5</v>
      </c>
      <c r="H1003">
        <v>24567.279999999999</v>
      </c>
      <c r="I1003">
        <v>6496.35</v>
      </c>
      <c r="J1003">
        <v>0</v>
      </c>
    </row>
    <row r="1004" spans="1:10" x14ac:dyDescent="0.35">
      <c r="A1004">
        <v>324680</v>
      </c>
      <c r="B1004" t="s">
        <v>20</v>
      </c>
      <c r="C1004">
        <v>2015</v>
      </c>
      <c r="D1004">
        <v>9</v>
      </c>
      <c r="E1004" t="s">
        <v>42</v>
      </c>
      <c r="F1004" t="s">
        <v>5</v>
      </c>
      <c r="G1004" t="s">
        <v>5</v>
      </c>
      <c r="H1004">
        <v>55429.26</v>
      </c>
      <c r="I1004">
        <v>36489.360000000001</v>
      </c>
      <c r="J1004">
        <v>0</v>
      </c>
    </row>
    <row r="1005" spans="1:10" x14ac:dyDescent="0.35">
      <c r="A1005">
        <v>324684</v>
      </c>
      <c r="B1005" t="s">
        <v>20</v>
      </c>
      <c r="C1005">
        <v>2015</v>
      </c>
      <c r="D1005">
        <v>6</v>
      </c>
      <c r="E1005" t="s">
        <v>43</v>
      </c>
      <c r="F1005" t="s">
        <v>5</v>
      </c>
      <c r="G1005" t="s">
        <v>5</v>
      </c>
      <c r="H1005">
        <v>26583.24</v>
      </c>
      <c r="I1005">
        <v>13817.13</v>
      </c>
      <c r="J1005">
        <v>0</v>
      </c>
    </row>
    <row r="1006" spans="1:10" x14ac:dyDescent="0.35">
      <c r="A1006">
        <v>324686</v>
      </c>
      <c r="B1006" t="s">
        <v>20</v>
      </c>
      <c r="C1006">
        <v>2015</v>
      </c>
      <c r="D1006">
        <v>9</v>
      </c>
      <c r="E1006" t="s">
        <v>42</v>
      </c>
      <c r="F1006" t="s">
        <v>5</v>
      </c>
      <c r="G1006" t="s">
        <v>5</v>
      </c>
      <c r="H1006">
        <v>27022.18</v>
      </c>
      <c r="I1006">
        <v>7769.47</v>
      </c>
      <c r="J1006">
        <v>0</v>
      </c>
    </row>
    <row r="1007" spans="1:10" x14ac:dyDescent="0.35">
      <c r="A1007">
        <v>324687</v>
      </c>
      <c r="B1007" t="s">
        <v>20</v>
      </c>
      <c r="C1007">
        <v>2015</v>
      </c>
      <c r="D1007">
        <v>9</v>
      </c>
      <c r="E1007" t="s">
        <v>42</v>
      </c>
      <c r="F1007" t="s">
        <v>5</v>
      </c>
      <c r="G1007" t="s">
        <v>5</v>
      </c>
      <c r="H1007">
        <v>21516.46</v>
      </c>
      <c r="I1007">
        <v>5696</v>
      </c>
      <c r="J1007">
        <v>0</v>
      </c>
    </row>
    <row r="1008" spans="1:10" x14ac:dyDescent="0.35">
      <c r="A1008">
        <v>324690</v>
      </c>
      <c r="B1008" t="s">
        <v>20</v>
      </c>
      <c r="C1008">
        <v>2015</v>
      </c>
      <c r="D1008">
        <v>9</v>
      </c>
      <c r="E1008" t="s">
        <v>42</v>
      </c>
      <c r="F1008" t="s">
        <v>5</v>
      </c>
      <c r="G1008" t="s">
        <v>5</v>
      </c>
      <c r="H1008">
        <v>15980.64</v>
      </c>
      <c r="I1008">
        <v>2476.52</v>
      </c>
      <c r="J1008">
        <v>0</v>
      </c>
    </row>
    <row r="1009" spans="1:10" x14ac:dyDescent="0.35">
      <c r="A1009">
        <v>324703</v>
      </c>
      <c r="B1009" t="s">
        <v>20</v>
      </c>
      <c r="C1009">
        <v>2015</v>
      </c>
      <c r="D1009">
        <v>6</v>
      </c>
      <c r="E1009" t="s">
        <v>43</v>
      </c>
      <c r="F1009" t="s">
        <v>5</v>
      </c>
      <c r="G1009" t="s">
        <v>5</v>
      </c>
      <c r="H1009">
        <v>16809.3</v>
      </c>
      <c r="I1009">
        <v>4276.46</v>
      </c>
      <c r="J1009">
        <v>0</v>
      </c>
    </row>
    <row r="1010" spans="1:10" x14ac:dyDescent="0.35">
      <c r="A1010">
        <v>324705</v>
      </c>
      <c r="B1010" t="s">
        <v>20</v>
      </c>
      <c r="C1010">
        <v>2015</v>
      </c>
      <c r="D1010">
        <v>9</v>
      </c>
      <c r="E1010" t="s">
        <v>42</v>
      </c>
      <c r="F1010" t="s">
        <v>5</v>
      </c>
      <c r="G1010" t="s">
        <v>5</v>
      </c>
      <c r="H1010">
        <v>30293.14</v>
      </c>
      <c r="I1010">
        <v>8387.01</v>
      </c>
      <c r="J1010">
        <v>0</v>
      </c>
    </row>
    <row r="1011" spans="1:10" x14ac:dyDescent="0.35">
      <c r="A1011">
        <v>324715</v>
      </c>
      <c r="B1011" t="s">
        <v>20</v>
      </c>
      <c r="C1011">
        <v>2015</v>
      </c>
      <c r="D1011">
        <v>9</v>
      </c>
      <c r="E1011" t="s">
        <v>42</v>
      </c>
      <c r="F1011" t="s">
        <v>5</v>
      </c>
      <c r="G1011" t="s">
        <v>5</v>
      </c>
      <c r="H1011">
        <v>17190.72</v>
      </c>
      <c r="I1011">
        <v>4398.18</v>
      </c>
      <c r="J1011">
        <v>0</v>
      </c>
    </row>
    <row r="1012" spans="1:10" x14ac:dyDescent="0.35">
      <c r="A1012">
        <v>324723</v>
      </c>
      <c r="B1012" t="s">
        <v>20</v>
      </c>
      <c r="C1012">
        <v>2015</v>
      </c>
      <c r="D1012">
        <v>9</v>
      </c>
      <c r="E1012" t="s">
        <v>42</v>
      </c>
      <c r="F1012" t="s">
        <v>5</v>
      </c>
      <c r="G1012" t="s">
        <v>5</v>
      </c>
      <c r="H1012">
        <v>56490.22</v>
      </c>
      <c r="I1012">
        <v>11273.95</v>
      </c>
      <c r="J1012">
        <v>0</v>
      </c>
    </row>
    <row r="1013" spans="1:10" x14ac:dyDescent="0.35">
      <c r="A1013">
        <v>324728</v>
      </c>
      <c r="B1013" t="s">
        <v>20</v>
      </c>
      <c r="C1013">
        <v>2015</v>
      </c>
      <c r="D1013">
        <v>6</v>
      </c>
      <c r="E1013" t="s">
        <v>43</v>
      </c>
      <c r="F1013" t="s">
        <v>5</v>
      </c>
      <c r="G1013" t="s">
        <v>5</v>
      </c>
      <c r="H1013">
        <v>20542.900000000001</v>
      </c>
      <c r="I1013">
        <v>6082.72</v>
      </c>
      <c r="J1013">
        <v>0</v>
      </c>
    </row>
    <row r="1014" spans="1:10" x14ac:dyDescent="0.35">
      <c r="A1014">
        <v>324729</v>
      </c>
      <c r="B1014" t="s">
        <v>20</v>
      </c>
      <c r="C1014">
        <v>2015</v>
      </c>
      <c r="D1014">
        <v>9</v>
      </c>
      <c r="E1014" t="s">
        <v>42</v>
      </c>
      <c r="F1014" t="s">
        <v>5</v>
      </c>
      <c r="G1014" t="s">
        <v>5</v>
      </c>
      <c r="H1014">
        <v>42089.599999999999</v>
      </c>
      <c r="I1014">
        <v>12977.27</v>
      </c>
      <c r="J1014">
        <v>0</v>
      </c>
    </row>
    <row r="1015" spans="1:10" x14ac:dyDescent="0.35">
      <c r="A1015">
        <v>324731</v>
      </c>
      <c r="B1015" t="s">
        <v>20</v>
      </c>
      <c r="C1015">
        <v>2015</v>
      </c>
      <c r="D1015">
        <v>9</v>
      </c>
      <c r="E1015" t="s">
        <v>42</v>
      </c>
      <c r="F1015" t="s">
        <v>5</v>
      </c>
      <c r="G1015" t="s">
        <v>5</v>
      </c>
      <c r="H1015">
        <v>11741.94</v>
      </c>
      <c r="I1015">
        <v>2772.71</v>
      </c>
      <c r="J1015">
        <v>0</v>
      </c>
    </row>
    <row r="1016" spans="1:10" x14ac:dyDescent="0.35">
      <c r="A1016">
        <v>324736</v>
      </c>
      <c r="B1016" t="s">
        <v>20</v>
      </c>
      <c r="C1016">
        <v>2015</v>
      </c>
      <c r="D1016">
        <v>9</v>
      </c>
      <c r="E1016" t="s">
        <v>42</v>
      </c>
      <c r="F1016" t="s">
        <v>5</v>
      </c>
      <c r="G1016" t="s">
        <v>5</v>
      </c>
      <c r="H1016">
        <v>17230.82</v>
      </c>
      <c r="I1016">
        <v>3791.06</v>
      </c>
      <c r="J1016">
        <v>0</v>
      </c>
    </row>
    <row r="1017" spans="1:10" x14ac:dyDescent="0.35">
      <c r="A1017">
        <v>324744</v>
      </c>
      <c r="B1017" t="s">
        <v>20</v>
      </c>
      <c r="C1017">
        <v>2015</v>
      </c>
      <c r="D1017">
        <v>6</v>
      </c>
      <c r="E1017" t="s">
        <v>43</v>
      </c>
      <c r="F1017" t="s">
        <v>5</v>
      </c>
      <c r="G1017" t="s">
        <v>5</v>
      </c>
      <c r="H1017">
        <v>20682.54</v>
      </c>
      <c r="I1017">
        <v>6154.16</v>
      </c>
      <c r="J1017">
        <v>0</v>
      </c>
    </row>
    <row r="1018" spans="1:10" x14ac:dyDescent="0.35">
      <c r="A1018">
        <v>324751</v>
      </c>
      <c r="B1018" t="s">
        <v>20</v>
      </c>
      <c r="C1018">
        <v>2015</v>
      </c>
      <c r="D1018">
        <v>9</v>
      </c>
      <c r="E1018" t="s">
        <v>42</v>
      </c>
      <c r="F1018" t="s">
        <v>5</v>
      </c>
      <c r="G1018" t="s">
        <v>5</v>
      </c>
      <c r="H1018">
        <v>19331.32</v>
      </c>
      <c r="I1018">
        <v>5380.68</v>
      </c>
      <c r="J1018">
        <v>0</v>
      </c>
    </row>
    <row r="1019" spans="1:10" x14ac:dyDescent="0.35">
      <c r="A1019">
        <v>324760</v>
      </c>
      <c r="B1019" t="s">
        <v>20</v>
      </c>
      <c r="C1019">
        <v>2015</v>
      </c>
      <c r="D1019">
        <v>6</v>
      </c>
      <c r="E1019" t="s">
        <v>43</v>
      </c>
      <c r="F1019" t="s">
        <v>5</v>
      </c>
      <c r="G1019" t="s">
        <v>5</v>
      </c>
      <c r="H1019">
        <v>14927.9</v>
      </c>
      <c r="I1019">
        <v>4378.88</v>
      </c>
      <c r="J1019">
        <v>0</v>
      </c>
    </row>
    <row r="1020" spans="1:10" x14ac:dyDescent="0.35">
      <c r="A1020">
        <v>324761</v>
      </c>
      <c r="B1020" t="s">
        <v>20</v>
      </c>
      <c r="C1020">
        <v>2015</v>
      </c>
      <c r="D1020">
        <v>6</v>
      </c>
      <c r="E1020" t="s">
        <v>43</v>
      </c>
      <c r="F1020" t="s">
        <v>5</v>
      </c>
      <c r="G1020" t="s">
        <v>5</v>
      </c>
      <c r="H1020">
        <v>13592.3</v>
      </c>
      <c r="I1020">
        <v>4100.34</v>
      </c>
      <c r="J1020">
        <v>0</v>
      </c>
    </row>
    <row r="1021" spans="1:10" x14ac:dyDescent="0.35">
      <c r="A1021">
        <v>324762</v>
      </c>
      <c r="B1021" t="s">
        <v>20</v>
      </c>
      <c r="C1021">
        <v>2015</v>
      </c>
      <c r="D1021">
        <v>9</v>
      </c>
      <c r="E1021" t="s">
        <v>42</v>
      </c>
      <c r="F1021" t="s">
        <v>5</v>
      </c>
      <c r="G1021" t="s">
        <v>5</v>
      </c>
      <c r="H1021">
        <v>47796.6</v>
      </c>
      <c r="I1021">
        <v>11483.63</v>
      </c>
      <c r="J1021">
        <v>0</v>
      </c>
    </row>
    <row r="1022" spans="1:10" x14ac:dyDescent="0.35">
      <c r="A1022">
        <v>324764</v>
      </c>
      <c r="B1022" t="s">
        <v>20</v>
      </c>
      <c r="C1022">
        <v>2015</v>
      </c>
      <c r="D1022">
        <v>9</v>
      </c>
      <c r="E1022" t="s">
        <v>42</v>
      </c>
      <c r="F1022" t="s">
        <v>5</v>
      </c>
      <c r="G1022" t="s">
        <v>5</v>
      </c>
      <c r="H1022">
        <v>10072.26</v>
      </c>
      <c r="I1022">
        <v>2861.53</v>
      </c>
      <c r="J1022">
        <v>0</v>
      </c>
    </row>
    <row r="1023" spans="1:10" x14ac:dyDescent="0.35">
      <c r="A1023">
        <v>324777</v>
      </c>
      <c r="B1023" t="s">
        <v>20</v>
      </c>
      <c r="C1023">
        <v>2015</v>
      </c>
      <c r="D1023">
        <v>6</v>
      </c>
      <c r="E1023" t="s">
        <v>43</v>
      </c>
      <c r="F1023" t="s">
        <v>5</v>
      </c>
      <c r="G1023" t="s">
        <v>5</v>
      </c>
      <c r="H1023">
        <v>13339.24</v>
      </c>
      <c r="I1023">
        <v>2834.05</v>
      </c>
      <c r="J1023">
        <v>0</v>
      </c>
    </row>
    <row r="1024" spans="1:10" x14ac:dyDescent="0.35">
      <c r="A1024">
        <v>324778</v>
      </c>
      <c r="B1024" t="s">
        <v>20</v>
      </c>
      <c r="C1024">
        <v>2015</v>
      </c>
      <c r="D1024">
        <v>6</v>
      </c>
      <c r="E1024" t="s">
        <v>43</v>
      </c>
      <c r="F1024" t="s">
        <v>5</v>
      </c>
      <c r="G1024" t="s">
        <v>5</v>
      </c>
      <c r="H1024">
        <v>39377.58</v>
      </c>
      <c r="I1024">
        <v>12055.01</v>
      </c>
      <c r="J1024">
        <v>0</v>
      </c>
    </row>
    <row r="1025" spans="1:10" x14ac:dyDescent="0.35">
      <c r="A1025">
        <v>324791</v>
      </c>
      <c r="B1025" t="s">
        <v>20</v>
      </c>
      <c r="C1025">
        <v>2015</v>
      </c>
      <c r="D1025">
        <v>9</v>
      </c>
      <c r="E1025" t="s">
        <v>42</v>
      </c>
      <c r="F1025" t="s">
        <v>5</v>
      </c>
      <c r="G1025" t="s">
        <v>5</v>
      </c>
      <c r="H1025">
        <v>9852.3799999999992</v>
      </c>
      <c r="I1025">
        <v>2579.96</v>
      </c>
      <c r="J1025">
        <v>0</v>
      </c>
    </row>
    <row r="1026" spans="1:10" x14ac:dyDescent="0.35">
      <c r="A1026">
        <v>324792</v>
      </c>
      <c r="B1026" t="s">
        <v>20</v>
      </c>
      <c r="C1026">
        <v>2015</v>
      </c>
      <c r="D1026">
        <v>9</v>
      </c>
      <c r="E1026" t="s">
        <v>42</v>
      </c>
      <c r="F1026" t="s">
        <v>5</v>
      </c>
      <c r="G1026" t="s">
        <v>5</v>
      </c>
      <c r="H1026">
        <v>11995</v>
      </c>
      <c r="I1026">
        <v>3239.79</v>
      </c>
      <c r="J1026">
        <v>0</v>
      </c>
    </row>
    <row r="1027" spans="1:10" x14ac:dyDescent="0.35">
      <c r="A1027">
        <v>324798</v>
      </c>
      <c r="B1027" t="s">
        <v>20</v>
      </c>
      <c r="C1027">
        <v>2015</v>
      </c>
      <c r="D1027">
        <v>6</v>
      </c>
      <c r="E1027" t="s">
        <v>43</v>
      </c>
      <c r="F1027" t="s">
        <v>5</v>
      </c>
      <c r="G1027" t="s">
        <v>5</v>
      </c>
      <c r="H1027">
        <v>21499.56</v>
      </c>
      <c r="I1027">
        <v>5374</v>
      </c>
      <c r="J1027">
        <v>0</v>
      </c>
    </row>
    <row r="1028" spans="1:10" x14ac:dyDescent="0.35">
      <c r="A1028">
        <v>324800</v>
      </c>
      <c r="B1028" t="s">
        <v>20</v>
      </c>
      <c r="C1028">
        <v>2015</v>
      </c>
      <c r="D1028">
        <v>6</v>
      </c>
      <c r="E1028" t="s">
        <v>43</v>
      </c>
      <c r="F1028" t="s">
        <v>5</v>
      </c>
      <c r="G1028" t="s">
        <v>5</v>
      </c>
      <c r="H1028">
        <v>16492.759999999998</v>
      </c>
      <c r="I1028">
        <v>4977.28</v>
      </c>
      <c r="J1028">
        <v>0</v>
      </c>
    </row>
    <row r="1029" spans="1:10" x14ac:dyDescent="0.35">
      <c r="A1029">
        <v>324805</v>
      </c>
      <c r="B1029" t="s">
        <v>20</v>
      </c>
      <c r="C1029">
        <v>2015</v>
      </c>
      <c r="D1029">
        <v>9</v>
      </c>
      <c r="E1029" t="s">
        <v>42</v>
      </c>
      <c r="F1029" t="s">
        <v>5</v>
      </c>
      <c r="G1029" t="s">
        <v>5</v>
      </c>
      <c r="H1029">
        <v>67487.839999999997</v>
      </c>
      <c r="I1029">
        <v>19393.68</v>
      </c>
      <c r="J1029">
        <v>0</v>
      </c>
    </row>
    <row r="1030" spans="1:10" x14ac:dyDescent="0.35">
      <c r="A1030">
        <v>324810</v>
      </c>
      <c r="B1030" t="s">
        <v>20</v>
      </c>
      <c r="C1030">
        <v>2015</v>
      </c>
      <c r="D1030">
        <v>6</v>
      </c>
      <c r="E1030" t="s">
        <v>43</v>
      </c>
      <c r="F1030" t="s">
        <v>5</v>
      </c>
      <c r="G1030" t="s">
        <v>5</v>
      </c>
      <c r="H1030">
        <v>26521.38</v>
      </c>
      <c r="I1030">
        <v>13893.99</v>
      </c>
      <c r="J1030">
        <v>0</v>
      </c>
    </row>
    <row r="1031" spans="1:10" x14ac:dyDescent="0.35">
      <c r="A1031">
        <v>324835</v>
      </c>
      <c r="B1031" t="s">
        <v>20</v>
      </c>
      <c r="C1031">
        <v>2015</v>
      </c>
      <c r="D1031">
        <v>9</v>
      </c>
      <c r="E1031" t="s">
        <v>42</v>
      </c>
      <c r="F1031" t="s">
        <v>5</v>
      </c>
      <c r="G1031" t="s">
        <v>5</v>
      </c>
      <c r="H1031">
        <v>62869.2</v>
      </c>
      <c r="I1031">
        <v>27029.96</v>
      </c>
      <c r="J1031">
        <v>0</v>
      </c>
    </row>
    <row r="1032" spans="1:10" x14ac:dyDescent="0.35">
      <c r="A1032">
        <v>324842</v>
      </c>
      <c r="B1032" t="s">
        <v>20</v>
      </c>
      <c r="C1032">
        <v>2015</v>
      </c>
      <c r="D1032">
        <v>9</v>
      </c>
      <c r="E1032" t="s">
        <v>42</v>
      </c>
      <c r="F1032" t="s">
        <v>5</v>
      </c>
      <c r="G1032" t="s">
        <v>5</v>
      </c>
      <c r="H1032">
        <v>31491.54</v>
      </c>
      <c r="I1032">
        <v>9440.52</v>
      </c>
      <c r="J1032">
        <v>0</v>
      </c>
    </row>
    <row r="1033" spans="1:10" x14ac:dyDescent="0.35">
      <c r="A1033">
        <v>324851</v>
      </c>
      <c r="B1033" t="s">
        <v>20</v>
      </c>
      <c r="C1033">
        <v>2015</v>
      </c>
      <c r="D1033">
        <v>9</v>
      </c>
      <c r="E1033" t="s">
        <v>42</v>
      </c>
      <c r="F1033" t="s">
        <v>5</v>
      </c>
      <c r="G1033" t="s">
        <v>5</v>
      </c>
      <c r="H1033">
        <v>36037.699999999997</v>
      </c>
      <c r="I1033">
        <v>17874.18</v>
      </c>
      <c r="J1033">
        <v>0</v>
      </c>
    </row>
    <row r="1034" spans="1:10" x14ac:dyDescent="0.35">
      <c r="A1034">
        <v>324853</v>
      </c>
      <c r="B1034" t="s">
        <v>20</v>
      </c>
      <c r="C1034">
        <v>2015</v>
      </c>
      <c r="D1034">
        <v>6</v>
      </c>
      <c r="E1034" t="s">
        <v>43</v>
      </c>
      <c r="F1034" t="s">
        <v>5</v>
      </c>
      <c r="G1034" t="s">
        <v>5</v>
      </c>
      <c r="H1034">
        <v>16056.6</v>
      </c>
      <c r="I1034">
        <v>2888.37</v>
      </c>
      <c r="J1034">
        <v>0</v>
      </c>
    </row>
    <row r="1035" spans="1:10" x14ac:dyDescent="0.35">
      <c r="A1035">
        <v>324869</v>
      </c>
      <c r="B1035" t="s">
        <v>20</v>
      </c>
      <c r="C1035">
        <v>2015</v>
      </c>
      <c r="D1035">
        <v>6</v>
      </c>
      <c r="E1035" t="s">
        <v>43</v>
      </c>
      <c r="F1035" t="s">
        <v>5</v>
      </c>
      <c r="G1035" t="s">
        <v>5</v>
      </c>
      <c r="H1035">
        <v>86944.46</v>
      </c>
      <c r="I1035">
        <v>33895.1</v>
      </c>
      <c r="J1035">
        <v>0</v>
      </c>
    </row>
    <row r="1036" spans="1:10" x14ac:dyDescent="0.35">
      <c r="A1036">
        <v>324874</v>
      </c>
      <c r="B1036" t="s">
        <v>20</v>
      </c>
      <c r="C1036">
        <v>2015</v>
      </c>
      <c r="D1036">
        <v>9</v>
      </c>
      <c r="E1036" t="s">
        <v>42</v>
      </c>
      <c r="F1036" t="s">
        <v>5</v>
      </c>
      <c r="G1036" t="s">
        <v>5</v>
      </c>
      <c r="H1036">
        <v>18282.16</v>
      </c>
      <c r="I1036">
        <v>5197.1499999999996</v>
      </c>
      <c r="J1036">
        <v>0</v>
      </c>
    </row>
    <row r="1037" spans="1:10" x14ac:dyDescent="0.35">
      <c r="A1037">
        <v>324876</v>
      </c>
      <c r="B1037" t="s">
        <v>20</v>
      </c>
      <c r="C1037">
        <v>2015</v>
      </c>
      <c r="D1037">
        <v>6</v>
      </c>
      <c r="E1037" t="s">
        <v>43</v>
      </c>
      <c r="F1037" t="s">
        <v>5</v>
      </c>
      <c r="G1037" t="s">
        <v>5</v>
      </c>
      <c r="H1037">
        <v>12600.1</v>
      </c>
      <c r="I1037">
        <v>3581.29</v>
      </c>
      <c r="J1037">
        <v>0</v>
      </c>
    </row>
    <row r="1038" spans="1:10" x14ac:dyDescent="0.35">
      <c r="A1038">
        <v>324880</v>
      </c>
      <c r="B1038" t="s">
        <v>20</v>
      </c>
      <c r="C1038">
        <v>2015</v>
      </c>
      <c r="D1038">
        <v>9</v>
      </c>
      <c r="E1038" t="s">
        <v>42</v>
      </c>
      <c r="F1038" t="s">
        <v>5</v>
      </c>
      <c r="G1038" t="s">
        <v>5</v>
      </c>
      <c r="H1038">
        <v>28101.68</v>
      </c>
      <c r="I1038">
        <v>13857.82</v>
      </c>
      <c r="J1038">
        <v>0</v>
      </c>
    </row>
    <row r="1039" spans="1:10" x14ac:dyDescent="0.35">
      <c r="A1039">
        <v>324886</v>
      </c>
      <c r="B1039" t="s">
        <v>20</v>
      </c>
      <c r="C1039">
        <v>2015</v>
      </c>
      <c r="D1039">
        <v>9</v>
      </c>
      <c r="E1039" t="s">
        <v>42</v>
      </c>
      <c r="F1039" t="s">
        <v>5</v>
      </c>
      <c r="G1039" t="s">
        <v>5</v>
      </c>
      <c r="H1039">
        <v>28344.62</v>
      </c>
      <c r="I1039">
        <v>6592.02</v>
      </c>
      <c r="J1039">
        <v>0</v>
      </c>
    </row>
    <row r="1040" spans="1:10" x14ac:dyDescent="0.35">
      <c r="A1040">
        <v>324888</v>
      </c>
      <c r="B1040" t="s">
        <v>20</v>
      </c>
      <c r="C1040">
        <v>2015</v>
      </c>
      <c r="D1040">
        <v>6</v>
      </c>
      <c r="E1040" t="s">
        <v>43</v>
      </c>
      <c r="F1040" t="s">
        <v>5</v>
      </c>
      <c r="G1040" t="s">
        <v>5</v>
      </c>
      <c r="H1040">
        <v>19251.060000000001</v>
      </c>
      <c r="I1040">
        <v>4017.25</v>
      </c>
      <c r="J1040">
        <v>0</v>
      </c>
    </row>
    <row r="1041" spans="1:10" x14ac:dyDescent="0.35">
      <c r="A1041">
        <v>324901</v>
      </c>
      <c r="B1041" t="s">
        <v>20</v>
      </c>
      <c r="C1041">
        <v>2015</v>
      </c>
      <c r="D1041">
        <v>6</v>
      </c>
      <c r="E1041" t="s">
        <v>43</v>
      </c>
      <c r="F1041" t="s">
        <v>5</v>
      </c>
      <c r="G1041" t="s">
        <v>5</v>
      </c>
      <c r="H1041">
        <v>70867.520000000004</v>
      </c>
      <c r="I1041">
        <v>20783.689999999999</v>
      </c>
      <c r="J1041">
        <v>0</v>
      </c>
    </row>
    <row r="1042" spans="1:10" x14ac:dyDescent="0.35">
      <c r="A1042">
        <v>324907</v>
      </c>
      <c r="B1042" t="s">
        <v>20</v>
      </c>
      <c r="C1042">
        <v>2015</v>
      </c>
      <c r="D1042">
        <v>6</v>
      </c>
      <c r="E1042" t="s">
        <v>43</v>
      </c>
      <c r="F1042" t="s">
        <v>5</v>
      </c>
      <c r="G1042" t="s">
        <v>5</v>
      </c>
      <c r="H1042">
        <v>167465.46</v>
      </c>
      <c r="I1042">
        <v>59129.58</v>
      </c>
      <c r="J1042">
        <v>0</v>
      </c>
    </row>
    <row r="1043" spans="1:10" x14ac:dyDescent="0.35">
      <c r="A1043">
        <v>324915</v>
      </c>
      <c r="B1043" t="s">
        <v>20</v>
      </c>
      <c r="C1043">
        <v>2015</v>
      </c>
      <c r="D1043">
        <v>9</v>
      </c>
      <c r="E1043" t="s">
        <v>42</v>
      </c>
      <c r="F1043" t="s">
        <v>5</v>
      </c>
      <c r="G1043" t="s">
        <v>5</v>
      </c>
      <c r="H1043">
        <v>38341.1</v>
      </c>
      <c r="I1043">
        <v>9507.14</v>
      </c>
      <c r="J1043">
        <v>0</v>
      </c>
    </row>
    <row r="1044" spans="1:10" x14ac:dyDescent="0.35">
      <c r="A1044">
        <v>324921</v>
      </c>
      <c r="B1044" t="s">
        <v>20</v>
      </c>
      <c r="C1044">
        <v>2015</v>
      </c>
      <c r="D1044">
        <v>6</v>
      </c>
      <c r="E1044" t="s">
        <v>43</v>
      </c>
      <c r="F1044" t="s">
        <v>5</v>
      </c>
      <c r="G1044" t="s">
        <v>5</v>
      </c>
      <c r="H1044">
        <v>19899.599999999999</v>
      </c>
      <c r="I1044">
        <v>6113.56</v>
      </c>
      <c r="J1044">
        <v>0</v>
      </c>
    </row>
    <row r="1045" spans="1:10" x14ac:dyDescent="0.35">
      <c r="A1045">
        <v>324927</v>
      </c>
      <c r="B1045" t="s">
        <v>20</v>
      </c>
      <c r="C1045">
        <v>2015</v>
      </c>
      <c r="D1045">
        <v>9</v>
      </c>
      <c r="E1045" t="s">
        <v>42</v>
      </c>
      <c r="F1045" t="s">
        <v>5</v>
      </c>
      <c r="G1045" t="s">
        <v>5</v>
      </c>
      <c r="H1045">
        <v>33102.46</v>
      </c>
      <c r="I1045">
        <v>8064.59</v>
      </c>
      <c r="J1045">
        <v>0</v>
      </c>
    </row>
    <row r="1046" spans="1:10" x14ac:dyDescent="0.35">
      <c r="A1046">
        <v>324932</v>
      </c>
      <c r="B1046" t="s">
        <v>20</v>
      </c>
      <c r="C1046">
        <v>2015</v>
      </c>
      <c r="D1046">
        <v>9</v>
      </c>
      <c r="E1046" t="s">
        <v>42</v>
      </c>
      <c r="F1046" t="s">
        <v>5</v>
      </c>
      <c r="G1046" t="s">
        <v>5</v>
      </c>
      <c r="H1046">
        <v>23544.240000000002</v>
      </c>
      <c r="I1046">
        <v>7373.9</v>
      </c>
      <c r="J1046">
        <v>0</v>
      </c>
    </row>
    <row r="1047" spans="1:10" x14ac:dyDescent="0.35">
      <c r="A1047">
        <v>324936</v>
      </c>
      <c r="B1047" t="s">
        <v>20</v>
      </c>
      <c r="C1047">
        <v>2015</v>
      </c>
      <c r="D1047">
        <v>6</v>
      </c>
      <c r="E1047" t="s">
        <v>43</v>
      </c>
      <c r="F1047" t="s">
        <v>5</v>
      </c>
      <c r="G1047" t="s">
        <v>5</v>
      </c>
      <c r="H1047">
        <v>33327.440000000002</v>
      </c>
      <c r="I1047">
        <v>16239.52</v>
      </c>
      <c r="J1047">
        <v>0</v>
      </c>
    </row>
    <row r="1048" spans="1:10" x14ac:dyDescent="0.35">
      <c r="A1048">
        <v>324944</v>
      </c>
      <c r="B1048" t="s">
        <v>20</v>
      </c>
      <c r="C1048">
        <v>2015</v>
      </c>
      <c r="D1048">
        <v>9</v>
      </c>
      <c r="E1048" t="s">
        <v>42</v>
      </c>
      <c r="F1048" t="s">
        <v>5</v>
      </c>
      <c r="G1048" t="s">
        <v>5</v>
      </c>
      <c r="H1048">
        <v>15339.6</v>
      </c>
      <c r="I1048">
        <v>3165.69</v>
      </c>
      <c r="J1048">
        <v>0</v>
      </c>
    </row>
    <row r="1049" spans="1:10" x14ac:dyDescent="0.35">
      <c r="A1049">
        <v>324945</v>
      </c>
      <c r="B1049" t="s">
        <v>20</v>
      </c>
      <c r="C1049">
        <v>2015</v>
      </c>
      <c r="D1049">
        <v>9</v>
      </c>
      <c r="E1049" t="s">
        <v>42</v>
      </c>
      <c r="F1049" t="s">
        <v>5</v>
      </c>
      <c r="G1049" t="s">
        <v>5</v>
      </c>
      <c r="H1049">
        <v>8442.5</v>
      </c>
      <c r="I1049">
        <v>2341.0300000000002</v>
      </c>
      <c r="J1049">
        <v>0</v>
      </c>
    </row>
    <row r="1050" spans="1:10" x14ac:dyDescent="0.35">
      <c r="A1050">
        <v>324955</v>
      </c>
      <c r="B1050" t="s">
        <v>20</v>
      </c>
      <c r="C1050">
        <v>2015</v>
      </c>
      <c r="D1050">
        <v>9</v>
      </c>
      <c r="E1050" t="s">
        <v>42</v>
      </c>
      <c r="F1050" t="s">
        <v>5</v>
      </c>
      <c r="G1050" t="s">
        <v>5</v>
      </c>
      <c r="H1050">
        <v>55668.800000000003</v>
      </c>
      <c r="I1050">
        <v>16518.080000000002</v>
      </c>
      <c r="J1050">
        <v>0</v>
      </c>
    </row>
    <row r="1051" spans="1:10" x14ac:dyDescent="0.35">
      <c r="A1051">
        <v>324958</v>
      </c>
      <c r="B1051" t="s">
        <v>20</v>
      </c>
      <c r="C1051">
        <v>2015</v>
      </c>
      <c r="D1051">
        <v>9</v>
      </c>
      <c r="E1051" t="s">
        <v>42</v>
      </c>
      <c r="F1051" t="s">
        <v>5</v>
      </c>
      <c r="G1051" t="s">
        <v>5</v>
      </c>
      <c r="H1051">
        <v>31569.82</v>
      </c>
      <c r="I1051">
        <v>8314.18</v>
      </c>
      <c r="J1051">
        <v>0</v>
      </c>
    </row>
    <row r="1052" spans="1:10" x14ac:dyDescent="0.35">
      <c r="A1052">
        <v>324963</v>
      </c>
      <c r="B1052" t="s">
        <v>20</v>
      </c>
      <c r="C1052">
        <v>2015</v>
      </c>
      <c r="D1052">
        <v>9</v>
      </c>
      <c r="E1052" t="s">
        <v>42</v>
      </c>
      <c r="F1052" t="s">
        <v>5</v>
      </c>
      <c r="G1052" t="s">
        <v>5</v>
      </c>
      <c r="H1052">
        <v>21657.98</v>
      </c>
      <c r="I1052">
        <v>5609.06</v>
      </c>
      <c r="J1052">
        <v>0</v>
      </c>
    </row>
    <row r="1053" spans="1:10" x14ac:dyDescent="0.35">
      <c r="A1053">
        <v>324965</v>
      </c>
      <c r="B1053" t="s">
        <v>20</v>
      </c>
      <c r="C1053">
        <v>2015</v>
      </c>
      <c r="D1053">
        <v>9</v>
      </c>
      <c r="E1053" t="s">
        <v>42</v>
      </c>
      <c r="F1053" t="s">
        <v>5</v>
      </c>
      <c r="G1053" t="s">
        <v>5</v>
      </c>
      <c r="H1053">
        <v>14473.3</v>
      </c>
      <c r="I1053">
        <v>4582.96</v>
      </c>
      <c r="J1053">
        <v>0</v>
      </c>
    </row>
    <row r="1054" spans="1:10" x14ac:dyDescent="0.35">
      <c r="A1054">
        <v>324967</v>
      </c>
      <c r="B1054" t="s">
        <v>20</v>
      </c>
      <c r="C1054">
        <v>2015</v>
      </c>
      <c r="D1054">
        <v>9</v>
      </c>
      <c r="E1054" t="s">
        <v>42</v>
      </c>
      <c r="F1054" t="s">
        <v>5</v>
      </c>
      <c r="G1054" t="s">
        <v>5</v>
      </c>
      <c r="H1054">
        <v>14807.16</v>
      </c>
      <c r="I1054">
        <v>3882.72</v>
      </c>
      <c r="J1054">
        <v>0</v>
      </c>
    </row>
    <row r="1055" spans="1:10" x14ac:dyDescent="0.35">
      <c r="A1055">
        <v>324975</v>
      </c>
      <c r="B1055" t="s">
        <v>20</v>
      </c>
      <c r="C1055">
        <v>2015</v>
      </c>
      <c r="D1055">
        <v>9</v>
      </c>
      <c r="E1055" t="s">
        <v>42</v>
      </c>
      <c r="F1055" t="s">
        <v>5</v>
      </c>
      <c r="G1055" t="s">
        <v>5</v>
      </c>
      <c r="H1055">
        <v>17012.5</v>
      </c>
      <c r="I1055">
        <v>3325.78</v>
      </c>
      <c r="J1055">
        <v>0</v>
      </c>
    </row>
    <row r="1056" spans="1:10" x14ac:dyDescent="0.35">
      <c r="A1056">
        <v>324978</v>
      </c>
      <c r="B1056" t="s">
        <v>20</v>
      </c>
      <c r="C1056">
        <v>2015</v>
      </c>
      <c r="D1056">
        <v>6</v>
      </c>
      <c r="E1056" t="s">
        <v>43</v>
      </c>
      <c r="F1056" t="s">
        <v>5</v>
      </c>
      <c r="G1056" t="s">
        <v>5</v>
      </c>
      <c r="H1056">
        <v>21442.720000000001</v>
      </c>
      <c r="I1056">
        <v>7464.82</v>
      </c>
      <c r="J1056">
        <v>0</v>
      </c>
    </row>
    <row r="1057" spans="1:10" x14ac:dyDescent="0.35">
      <c r="A1057">
        <v>324983</v>
      </c>
      <c r="B1057" t="s">
        <v>20</v>
      </c>
      <c r="C1057">
        <v>2015</v>
      </c>
      <c r="D1057">
        <v>9</v>
      </c>
      <c r="E1057" t="s">
        <v>42</v>
      </c>
      <c r="F1057" t="s">
        <v>5</v>
      </c>
      <c r="G1057" t="s">
        <v>5</v>
      </c>
      <c r="H1057">
        <v>21438.22</v>
      </c>
      <c r="I1057">
        <v>6453.47</v>
      </c>
      <c r="J1057">
        <v>0</v>
      </c>
    </row>
    <row r="1058" spans="1:10" x14ac:dyDescent="0.35">
      <c r="A1058">
        <v>324995</v>
      </c>
      <c r="B1058" t="s">
        <v>20</v>
      </c>
      <c r="C1058">
        <v>2015</v>
      </c>
      <c r="D1058">
        <v>9</v>
      </c>
      <c r="E1058" t="s">
        <v>42</v>
      </c>
      <c r="F1058" t="s">
        <v>5</v>
      </c>
      <c r="G1058" t="s">
        <v>5</v>
      </c>
      <c r="H1058">
        <v>30596.639999999999</v>
      </c>
      <c r="I1058">
        <v>10174.129999999999</v>
      </c>
      <c r="J1058">
        <v>0</v>
      </c>
    </row>
    <row r="1059" spans="1:10" x14ac:dyDescent="0.35">
      <c r="A1059">
        <v>324998</v>
      </c>
      <c r="B1059" t="s">
        <v>20</v>
      </c>
      <c r="C1059">
        <v>2015</v>
      </c>
      <c r="D1059">
        <v>9</v>
      </c>
      <c r="E1059" t="s">
        <v>42</v>
      </c>
      <c r="F1059" t="s">
        <v>5</v>
      </c>
      <c r="G1059" t="s">
        <v>5</v>
      </c>
      <c r="H1059">
        <v>24546.880000000001</v>
      </c>
      <c r="I1059">
        <v>6216.2</v>
      </c>
      <c r="J1059">
        <v>0</v>
      </c>
    </row>
    <row r="1060" spans="1:10" x14ac:dyDescent="0.35">
      <c r="A1060">
        <v>325000</v>
      </c>
      <c r="B1060" t="s">
        <v>20</v>
      </c>
      <c r="C1060">
        <v>2015</v>
      </c>
      <c r="D1060">
        <v>9</v>
      </c>
      <c r="E1060" t="s">
        <v>42</v>
      </c>
      <c r="F1060" t="s">
        <v>5</v>
      </c>
      <c r="G1060" t="s">
        <v>5</v>
      </c>
      <c r="H1060">
        <v>33129.040000000001</v>
      </c>
      <c r="I1060">
        <v>8385.6299999999992</v>
      </c>
      <c r="J1060">
        <v>0</v>
      </c>
    </row>
    <row r="1061" spans="1:10" x14ac:dyDescent="0.35">
      <c r="A1061">
        <v>325008</v>
      </c>
      <c r="B1061" t="s">
        <v>20</v>
      </c>
      <c r="C1061">
        <v>2015</v>
      </c>
      <c r="D1061">
        <v>9</v>
      </c>
      <c r="E1061" t="s">
        <v>42</v>
      </c>
      <c r="F1061" t="s">
        <v>5</v>
      </c>
      <c r="G1061" t="s">
        <v>5</v>
      </c>
      <c r="H1061">
        <v>10050.06</v>
      </c>
      <c r="I1061">
        <v>2709.58</v>
      </c>
      <c r="J1061">
        <v>0</v>
      </c>
    </row>
    <row r="1062" spans="1:10" x14ac:dyDescent="0.35">
      <c r="A1062">
        <v>325012</v>
      </c>
      <c r="B1062" t="s">
        <v>20</v>
      </c>
      <c r="C1062">
        <v>2015</v>
      </c>
      <c r="D1062">
        <v>9</v>
      </c>
      <c r="E1062" t="s">
        <v>42</v>
      </c>
      <c r="F1062" t="s">
        <v>5</v>
      </c>
      <c r="G1062" t="s">
        <v>5</v>
      </c>
      <c r="H1062">
        <v>13419.4</v>
      </c>
      <c r="I1062">
        <v>2631.86</v>
      </c>
      <c r="J1062">
        <v>0</v>
      </c>
    </row>
    <row r="1063" spans="1:10" x14ac:dyDescent="0.35">
      <c r="A1063">
        <v>325013</v>
      </c>
      <c r="B1063" t="s">
        <v>20</v>
      </c>
      <c r="C1063">
        <v>2015</v>
      </c>
      <c r="D1063">
        <v>6</v>
      </c>
      <c r="E1063" t="s">
        <v>43</v>
      </c>
      <c r="F1063" t="s">
        <v>5</v>
      </c>
      <c r="G1063" t="s">
        <v>5</v>
      </c>
      <c r="H1063">
        <v>17773.46</v>
      </c>
      <c r="I1063">
        <v>11581.36</v>
      </c>
      <c r="J1063">
        <v>0</v>
      </c>
    </row>
    <row r="1064" spans="1:10" x14ac:dyDescent="0.35">
      <c r="A1064">
        <v>325014</v>
      </c>
      <c r="B1064" t="s">
        <v>20</v>
      </c>
      <c r="C1064">
        <v>2015</v>
      </c>
      <c r="D1064">
        <v>6</v>
      </c>
      <c r="E1064" t="s">
        <v>43</v>
      </c>
      <c r="F1064" t="s">
        <v>5</v>
      </c>
      <c r="G1064" t="s">
        <v>5</v>
      </c>
      <c r="H1064">
        <v>46337.2</v>
      </c>
      <c r="I1064">
        <v>13899.61</v>
      </c>
      <c r="J1064">
        <v>0</v>
      </c>
    </row>
    <row r="1065" spans="1:10" x14ac:dyDescent="0.35">
      <c r="A1065">
        <v>325023</v>
      </c>
      <c r="B1065" t="s">
        <v>20</v>
      </c>
      <c r="C1065">
        <v>2015</v>
      </c>
      <c r="D1065">
        <v>6</v>
      </c>
      <c r="E1065" t="s">
        <v>43</v>
      </c>
      <c r="F1065" t="s">
        <v>5</v>
      </c>
      <c r="G1065" t="s">
        <v>5</v>
      </c>
      <c r="H1065">
        <v>24595.439999999999</v>
      </c>
      <c r="I1065">
        <v>7233.12</v>
      </c>
      <c r="J1065">
        <v>0</v>
      </c>
    </row>
    <row r="1066" spans="1:10" x14ac:dyDescent="0.35">
      <c r="A1066">
        <v>325024</v>
      </c>
      <c r="B1066" t="s">
        <v>20</v>
      </c>
      <c r="C1066">
        <v>2015</v>
      </c>
      <c r="D1066">
        <v>9</v>
      </c>
      <c r="E1066" t="s">
        <v>42</v>
      </c>
      <c r="F1066" t="s">
        <v>5</v>
      </c>
      <c r="G1066" t="s">
        <v>5</v>
      </c>
      <c r="H1066">
        <v>19629.560000000001</v>
      </c>
      <c r="I1066">
        <v>8304.48</v>
      </c>
      <c r="J1066">
        <v>0</v>
      </c>
    </row>
    <row r="1067" spans="1:10" x14ac:dyDescent="0.35">
      <c r="A1067">
        <v>325031</v>
      </c>
      <c r="B1067" t="s">
        <v>20</v>
      </c>
      <c r="C1067">
        <v>2015</v>
      </c>
      <c r="D1067">
        <v>6</v>
      </c>
      <c r="E1067" t="s">
        <v>43</v>
      </c>
      <c r="F1067" t="s">
        <v>5</v>
      </c>
      <c r="G1067" t="s">
        <v>5</v>
      </c>
      <c r="H1067">
        <v>26205.96</v>
      </c>
      <c r="I1067">
        <v>10773.51</v>
      </c>
      <c r="J1067">
        <v>0</v>
      </c>
    </row>
    <row r="1068" spans="1:10" x14ac:dyDescent="0.35">
      <c r="A1068">
        <v>325044</v>
      </c>
      <c r="B1068" t="s">
        <v>20</v>
      </c>
      <c r="C1068">
        <v>2015</v>
      </c>
      <c r="D1068">
        <v>9</v>
      </c>
      <c r="E1068" t="s">
        <v>42</v>
      </c>
      <c r="F1068" t="s">
        <v>5</v>
      </c>
      <c r="G1068" t="s">
        <v>5</v>
      </c>
      <c r="H1068">
        <v>40877.339999999997</v>
      </c>
      <c r="I1068">
        <v>11924.55</v>
      </c>
      <c r="J1068">
        <v>0</v>
      </c>
    </row>
    <row r="1069" spans="1:10" x14ac:dyDescent="0.35">
      <c r="A1069">
        <v>325053</v>
      </c>
      <c r="B1069" t="s">
        <v>20</v>
      </c>
      <c r="C1069">
        <v>2015</v>
      </c>
      <c r="D1069">
        <v>6</v>
      </c>
      <c r="E1069" t="s">
        <v>43</v>
      </c>
      <c r="F1069" t="s">
        <v>5</v>
      </c>
      <c r="G1069" t="s">
        <v>5</v>
      </c>
      <c r="H1069">
        <v>138016.94</v>
      </c>
      <c r="I1069">
        <v>62626.81</v>
      </c>
      <c r="J1069">
        <v>0</v>
      </c>
    </row>
    <row r="1070" spans="1:10" x14ac:dyDescent="0.35">
      <c r="A1070">
        <v>325054</v>
      </c>
      <c r="B1070" t="s">
        <v>20</v>
      </c>
      <c r="C1070">
        <v>2015</v>
      </c>
      <c r="D1070">
        <v>6</v>
      </c>
      <c r="E1070" t="s">
        <v>43</v>
      </c>
      <c r="F1070" t="s">
        <v>5</v>
      </c>
      <c r="G1070" t="s">
        <v>5</v>
      </c>
      <c r="H1070">
        <v>25442.44</v>
      </c>
      <c r="I1070">
        <v>10196.93</v>
      </c>
      <c r="J1070">
        <v>0</v>
      </c>
    </row>
    <row r="1071" spans="1:10" x14ac:dyDescent="0.35">
      <c r="A1071">
        <v>325055</v>
      </c>
      <c r="B1071" t="s">
        <v>20</v>
      </c>
      <c r="C1071">
        <v>2015</v>
      </c>
      <c r="D1071">
        <v>6</v>
      </c>
      <c r="E1071" t="s">
        <v>43</v>
      </c>
      <c r="F1071" t="s">
        <v>5</v>
      </c>
      <c r="G1071" t="s">
        <v>5</v>
      </c>
      <c r="H1071">
        <v>38043.120000000003</v>
      </c>
      <c r="I1071">
        <v>10724.88</v>
      </c>
      <c r="J1071">
        <v>0</v>
      </c>
    </row>
    <row r="1072" spans="1:10" x14ac:dyDescent="0.35">
      <c r="A1072">
        <v>325056</v>
      </c>
      <c r="B1072" t="s">
        <v>20</v>
      </c>
      <c r="C1072">
        <v>2015</v>
      </c>
      <c r="D1072">
        <v>9</v>
      </c>
      <c r="E1072" t="s">
        <v>42</v>
      </c>
      <c r="F1072" t="s">
        <v>5</v>
      </c>
      <c r="G1072" t="s">
        <v>5</v>
      </c>
      <c r="H1072">
        <v>9583.4</v>
      </c>
      <c r="I1072">
        <v>2618.44</v>
      </c>
      <c r="J1072">
        <v>0</v>
      </c>
    </row>
    <row r="1073" spans="1:10" x14ac:dyDescent="0.35">
      <c r="A1073">
        <v>325062</v>
      </c>
      <c r="B1073" t="s">
        <v>20</v>
      </c>
      <c r="C1073">
        <v>2015</v>
      </c>
      <c r="D1073">
        <v>6</v>
      </c>
      <c r="E1073" t="s">
        <v>43</v>
      </c>
      <c r="F1073" t="s">
        <v>5</v>
      </c>
      <c r="G1073" t="s">
        <v>5</v>
      </c>
      <c r="H1073">
        <v>16785.16</v>
      </c>
      <c r="I1073">
        <v>4287.45</v>
      </c>
      <c r="J1073">
        <v>0</v>
      </c>
    </row>
    <row r="1074" spans="1:10" x14ac:dyDescent="0.35">
      <c r="A1074">
        <v>325075</v>
      </c>
      <c r="B1074" t="s">
        <v>20</v>
      </c>
      <c r="C1074">
        <v>2015</v>
      </c>
      <c r="D1074">
        <v>9</v>
      </c>
      <c r="E1074" t="s">
        <v>42</v>
      </c>
      <c r="F1074" t="s">
        <v>5</v>
      </c>
      <c r="G1074" t="s">
        <v>5</v>
      </c>
      <c r="H1074">
        <v>26747.15</v>
      </c>
      <c r="I1074">
        <v>16790.32</v>
      </c>
      <c r="J1074">
        <v>0</v>
      </c>
    </row>
    <row r="1075" spans="1:10" x14ac:dyDescent="0.35">
      <c r="A1075">
        <v>325083</v>
      </c>
      <c r="B1075" t="s">
        <v>20</v>
      </c>
      <c r="C1075">
        <v>2015</v>
      </c>
      <c r="D1075">
        <v>6</v>
      </c>
      <c r="E1075" t="s">
        <v>43</v>
      </c>
      <c r="F1075" t="s">
        <v>5</v>
      </c>
      <c r="G1075" t="s">
        <v>5</v>
      </c>
      <c r="H1075">
        <v>12489.04</v>
      </c>
      <c r="I1075">
        <v>3277.93</v>
      </c>
      <c r="J1075">
        <v>0</v>
      </c>
    </row>
    <row r="1076" spans="1:10" x14ac:dyDescent="0.35">
      <c r="A1076">
        <v>325092</v>
      </c>
      <c r="B1076" t="s">
        <v>20</v>
      </c>
      <c r="C1076">
        <v>2015</v>
      </c>
      <c r="D1076">
        <v>9</v>
      </c>
      <c r="E1076" t="s">
        <v>42</v>
      </c>
      <c r="F1076" t="s">
        <v>5</v>
      </c>
      <c r="G1076" t="s">
        <v>5</v>
      </c>
      <c r="H1076">
        <v>51982.720000000001</v>
      </c>
      <c r="I1076">
        <v>16573.13</v>
      </c>
      <c r="J1076">
        <v>0</v>
      </c>
    </row>
    <row r="1077" spans="1:10" x14ac:dyDescent="0.35">
      <c r="A1077">
        <v>325100</v>
      </c>
      <c r="B1077" t="s">
        <v>20</v>
      </c>
      <c r="C1077">
        <v>2015</v>
      </c>
      <c r="D1077">
        <v>9</v>
      </c>
      <c r="E1077" t="s">
        <v>42</v>
      </c>
      <c r="F1077" t="s">
        <v>5</v>
      </c>
      <c r="G1077" t="s">
        <v>5</v>
      </c>
      <c r="H1077">
        <v>15953.84</v>
      </c>
      <c r="I1077">
        <v>4658.82</v>
      </c>
      <c r="J1077">
        <v>0</v>
      </c>
    </row>
    <row r="1078" spans="1:10" x14ac:dyDescent="0.35">
      <c r="A1078">
        <v>325104</v>
      </c>
      <c r="B1078" t="s">
        <v>20</v>
      </c>
      <c r="C1078">
        <v>2015</v>
      </c>
      <c r="D1078">
        <v>6</v>
      </c>
      <c r="E1078" t="s">
        <v>43</v>
      </c>
      <c r="F1078" t="s">
        <v>5</v>
      </c>
      <c r="G1078" t="s">
        <v>5</v>
      </c>
      <c r="H1078">
        <v>95450.4</v>
      </c>
      <c r="I1078">
        <v>30639.48</v>
      </c>
      <c r="J1078">
        <v>0</v>
      </c>
    </row>
    <row r="1079" spans="1:10" x14ac:dyDescent="0.35">
      <c r="A1079">
        <v>325107</v>
      </c>
      <c r="B1079" t="s">
        <v>20</v>
      </c>
      <c r="C1079">
        <v>2015</v>
      </c>
      <c r="D1079">
        <v>6</v>
      </c>
      <c r="E1079" t="s">
        <v>43</v>
      </c>
      <c r="F1079" t="s">
        <v>5</v>
      </c>
      <c r="G1079" t="s">
        <v>5</v>
      </c>
      <c r="H1079">
        <v>21565.119999999999</v>
      </c>
      <c r="I1079">
        <v>9504.02</v>
      </c>
      <c r="J1079">
        <v>0</v>
      </c>
    </row>
    <row r="1080" spans="1:10" x14ac:dyDescent="0.35">
      <c r="A1080">
        <v>325110</v>
      </c>
      <c r="B1080" t="s">
        <v>20</v>
      </c>
      <c r="C1080">
        <v>2015</v>
      </c>
      <c r="D1080">
        <v>9</v>
      </c>
      <c r="E1080" t="s">
        <v>42</v>
      </c>
      <c r="F1080" t="s">
        <v>5</v>
      </c>
      <c r="G1080" t="s">
        <v>5</v>
      </c>
      <c r="H1080">
        <v>10035.02</v>
      </c>
      <c r="I1080">
        <v>2854.05</v>
      </c>
      <c r="J1080">
        <v>0</v>
      </c>
    </row>
    <row r="1081" spans="1:10" x14ac:dyDescent="0.35">
      <c r="A1081">
        <v>325115</v>
      </c>
      <c r="B1081" t="s">
        <v>20</v>
      </c>
      <c r="C1081">
        <v>2015</v>
      </c>
      <c r="D1081">
        <v>9</v>
      </c>
      <c r="E1081" t="s">
        <v>42</v>
      </c>
      <c r="F1081" t="s">
        <v>5</v>
      </c>
      <c r="G1081" t="s">
        <v>5</v>
      </c>
      <c r="H1081">
        <v>24101.279999999999</v>
      </c>
      <c r="I1081">
        <v>5263.44</v>
      </c>
      <c r="J1081">
        <v>0</v>
      </c>
    </row>
    <row r="1082" spans="1:10" x14ac:dyDescent="0.35">
      <c r="A1082">
        <v>325116</v>
      </c>
      <c r="B1082" t="s">
        <v>20</v>
      </c>
      <c r="C1082">
        <v>2015</v>
      </c>
      <c r="D1082">
        <v>9</v>
      </c>
      <c r="E1082" t="s">
        <v>42</v>
      </c>
      <c r="F1082" t="s">
        <v>5</v>
      </c>
      <c r="G1082" t="s">
        <v>5</v>
      </c>
      <c r="H1082">
        <v>16829.439999999999</v>
      </c>
      <c r="I1082">
        <v>4290.8500000000004</v>
      </c>
      <c r="J1082">
        <v>0</v>
      </c>
    </row>
    <row r="1083" spans="1:10" x14ac:dyDescent="0.35">
      <c r="A1083">
        <v>325121</v>
      </c>
      <c r="B1083" t="s">
        <v>20</v>
      </c>
      <c r="C1083">
        <v>2015</v>
      </c>
      <c r="D1083">
        <v>6</v>
      </c>
      <c r="E1083" t="s">
        <v>43</v>
      </c>
      <c r="F1083" t="s">
        <v>5</v>
      </c>
      <c r="G1083" t="s">
        <v>5</v>
      </c>
      <c r="H1083">
        <v>8346.7999999999993</v>
      </c>
      <c r="I1083">
        <v>2214.19</v>
      </c>
      <c r="J1083">
        <v>0</v>
      </c>
    </row>
    <row r="1084" spans="1:10" x14ac:dyDescent="0.35">
      <c r="A1084">
        <v>325125</v>
      </c>
      <c r="B1084" t="s">
        <v>20</v>
      </c>
      <c r="C1084">
        <v>2015</v>
      </c>
      <c r="D1084">
        <v>6</v>
      </c>
      <c r="E1084" t="s">
        <v>43</v>
      </c>
      <c r="F1084" t="s">
        <v>5</v>
      </c>
      <c r="G1084" t="s">
        <v>5</v>
      </c>
      <c r="H1084">
        <v>35340.9</v>
      </c>
      <c r="I1084">
        <v>9637.17</v>
      </c>
      <c r="J1084">
        <v>0</v>
      </c>
    </row>
    <row r="1085" spans="1:10" x14ac:dyDescent="0.35">
      <c r="A1085">
        <v>325126</v>
      </c>
      <c r="B1085" t="s">
        <v>20</v>
      </c>
      <c r="C1085">
        <v>2015</v>
      </c>
      <c r="D1085">
        <v>6</v>
      </c>
      <c r="E1085" t="s">
        <v>43</v>
      </c>
      <c r="F1085" t="s">
        <v>5</v>
      </c>
      <c r="G1085" t="s">
        <v>5</v>
      </c>
      <c r="H1085">
        <v>47382.68</v>
      </c>
      <c r="I1085">
        <v>14192.1</v>
      </c>
      <c r="J1085">
        <v>0</v>
      </c>
    </row>
    <row r="1086" spans="1:10" x14ac:dyDescent="0.35">
      <c r="A1086">
        <v>325131</v>
      </c>
      <c r="B1086" t="s">
        <v>20</v>
      </c>
      <c r="C1086">
        <v>2015</v>
      </c>
      <c r="D1086">
        <v>6</v>
      </c>
      <c r="E1086" t="s">
        <v>43</v>
      </c>
      <c r="F1086" t="s">
        <v>5</v>
      </c>
      <c r="G1086" t="s">
        <v>5</v>
      </c>
      <c r="H1086">
        <v>39705.5</v>
      </c>
      <c r="I1086">
        <v>10637.43</v>
      </c>
      <c r="J1086">
        <v>0</v>
      </c>
    </row>
    <row r="1087" spans="1:10" x14ac:dyDescent="0.35">
      <c r="A1087">
        <v>325134</v>
      </c>
      <c r="B1087" t="s">
        <v>20</v>
      </c>
      <c r="C1087">
        <v>2015</v>
      </c>
      <c r="D1087">
        <v>6</v>
      </c>
      <c r="E1087" t="s">
        <v>43</v>
      </c>
      <c r="F1087" t="s">
        <v>5</v>
      </c>
      <c r="G1087" t="s">
        <v>5</v>
      </c>
      <c r="H1087">
        <v>16499.28</v>
      </c>
      <c r="I1087">
        <v>4626.83</v>
      </c>
      <c r="J1087">
        <v>0</v>
      </c>
    </row>
    <row r="1088" spans="1:10" x14ac:dyDescent="0.35">
      <c r="A1088">
        <v>325151</v>
      </c>
      <c r="B1088" t="s">
        <v>20</v>
      </c>
      <c r="C1088">
        <v>2015</v>
      </c>
      <c r="D1088">
        <v>9</v>
      </c>
      <c r="E1088" t="s">
        <v>42</v>
      </c>
      <c r="F1088" t="s">
        <v>5</v>
      </c>
      <c r="G1088" t="s">
        <v>5</v>
      </c>
      <c r="H1088">
        <v>35024.94</v>
      </c>
      <c r="I1088">
        <v>10181.959999999999</v>
      </c>
      <c r="J1088">
        <v>0</v>
      </c>
    </row>
    <row r="1089" spans="1:10" x14ac:dyDescent="0.35">
      <c r="A1089">
        <v>325153</v>
      </c>
      <c r="B1089" t="s">
        <v>20</v>
      </c>
      <c r="C1089">
        <v>2015</v>
      </c>
      <c r="D1089">
        <v>6</v>
      </c>
      <c r="E1089" t="s">
        <v>43</v>
      </c>
      <c r="F1089" t="s">
        <v>5</v>
      </c>
      <c r="G1089" t="s">
        <v>5</v>
      </c>
      <c r="H1089">
        <v>22710.7</v>
      </c>
      <c r="I1089">
        <v>7065.55</v>
      </c>
      <c r="J1089">
        <v>0</v>
      </c>
    </row>
    <row r="1090" spans="1:10" x14ac:dyDescent="0.35">
      <c r="A1090">
        <v>325154</v>
      </c>
      <c r="B1090" t="s">
        <v>20</v>
      </c>
      <c r="C1090">
        <v>2015</v>
      </c>
      <c r="D1090">
        <v>9</v>
      </c>
      <c r="E1090" t="s">
        <v>42</v>
      </c>
      <c r="F1090" t="s">
        <v>5</v>
      </c>
      <c r="G1090" t="s">
        <v>5</v>
      </c>
      <c r="H1090">
        <v>12050.6</v>
      </c>
      <c r="I1090">
        <v>2529.54</v>
      </c>
      <c r="J1090">
        <v>0</v>
      </c>
    </row>
    <row r="1091" spans="1:10" x14ac:dyDescent="0.35">
      <c r="A1091">
        <v>325161</v>
      </c>
      <c r="B1091" t="s">
        <v>20</v>
      </c>
      <c r="C1091">
        <v>2015</v>
      </c>
      <c r="D1091">
        <v>6</v>
      </c>
      <c r="E1091" t="s">
        <v>43</v>
      </c>
      <c r="F1091" t="s">
        <v>5</v>
      </c>
      <c r="G1091" t="s">
        <v>5</v>
      </c>
      <c r="H1091">
        <v>21761.200000000001</v>
      </c>
      <c r="I1091">
        <v>6470.91</v>
      </c>
      <c r="J1091">
        <v>0</v>
      </c>
    </row>
    <row r="1092" spans="1:10" x14ac:dyDescent="0.35">
      <c r="A1092">
        <v>325172</v>
      </c>
      <c r="B1092" t="s">
        <v>20</v>
      </c>
      <c r="C1092">
        <v>2015</v>
      </c>
      <c r="D1092">
        <v>6</v>
      </c>
      <c r="E1092" t="s">
        <v>43</v>
      </c>
      <c r="F1092" t="s">
        <v>5</v>
      </c>
      <c r="G1092" t="s">
        <v>5</v>
      </c>
      <c r="H1092">
        <v>59218.14</v>
      </c>
      <c r="I1092">
        <v>48393.78</v>
      </c>
      <c r="J1092">
        <v>0</v>
      </c>
    </row>
    <row r="1093" spans="1:10" x14ac:dyDescent="0.35">
      <c r="A1093">
        <v>325175</v>
      </c>
      <c r="B1093" t="s">
        <v>20</v>
      </c>
      <c r="C1093">
        <v>2015</v>
      </c>
      <c r="D1093">
        <v>6</v>
      </c>
      <c r="E1093" t="s">
        <v>43</v>
      </c>
      <c r="F1093" t="s">
        <v>5</v>
      </c>
      <c r="G1093" t="s">
        <v>5</v>
      </c>
      <c r="H1093">
        <v>22044.720000000001</v>
      </c>
      <c r="I1093">
        <v>6133.96</v>
      </c>
      <c r="J1093">
        <v>0</v>
      </c>
    </row>
    <row r="1094" spans="1:10" x14ac:dyDescent="0.35">
      <c r="A1094">
        <v>325176</v>
      </c>
      <c r="B1094" t="s">
        <v>20</v>
      </c>
      <c r="C1094">
        <v>2015</v>
      </c>
      <c r="D1094">
        <v>9</v>
      </c>
      <c r="E1094" t="s">
        <v>42</v>
      </c>
      <c r="F1094" t="s">
        <v>5</v>
      </c>
      <c r="G1094" t="s">
        <v>5</v>
      </c>
      <c r="H1094">
        <v>17882.62</v>
      </c>
      <c r="I1094">
        <v>5071.28</v>
      </c>
      <c r="J1094">
        <v>0</v>
      </c>
    </row>
    <row r="1095" spans="1:10" x14ac:dyDescent="0.35">
      <c r="A1095">
        <v>325177</v>
      </c>
      <c r="B1095" t="s">
        <v>20</v>
      </c>
      <c r="C1095">
        <v>2015</v>
      </c>
      <c r="D1095">
        <v>6</v>
      </c>
      <c r="E1095" t="s">
        <v>43</v>
      </c>
      <c r="F1095" t="s">
        <v>5</v>
      </c>
      <c r="G1095" t="s">
        <v>5</v>
      </c>
      <c r="H1095">
        <v>19432.3</v>
      </c>
      <c r="I1095">
        <v>8679.94</v>
      </c>
      <c r="J1095">
        <v>0</v>
      </c>
    </row>
    <row r="1096" spans="1:10" x14ac:dyDescent="0.35">
      <c r="A1096">
        <v>325180</v>
      </c>
      <c r="B1096" t="s">
        <v>20</v>
      </c>
      <c r="C1096">
        <v>2015</v>
      </c>
      <c r="D1096">
        <v>9</v>
      </c>
      <c r="E1096" t="s">
        <v>42</v>
      </c>
      <c r="F1096" t="s">
        <v>5</v>
      </c>
      <c r="G1096" t="s">
        <v>5</v>
      </c>
      <c r="H1096">
        <v>17217.32</v>
      </c>
      <c r="I1096">
        <v>3688.49</v>
      </c>
      <c r="J1096">
        <v>0</v>
      </c>
    </row>
    <row r="1097" spans="1:10" x14ac:dyDescent="0.35">
      <c r="A1097">
        <v>325183</v>
      </c>
      <c r="B1097" t="s">
        <v>20</v>
      </c>
      <c r="C1097">
        <v>2015</v>
      </c>
      <c r="D1097">
        <v>9</v>
      </c>
      <c r="E1097" t="s">
        <v>42</v>
      </c>
      <c r="F1097" t="s">
        <v>5</v>
      </c>
      <c r="G1097" t="s">
        <v>5</v>
      </c>
      <c r="H1097">
        <v>11943.02</v>
      </c>
      <c r="I1097">
        <v>3873.73</v>
      </c>
      <c r="J1097">
        <v>0</v>
      </c>
    </row>
    <row r="1098" spans="1:10" x14ac:dyDescent="0.35">
      <c r="A1098">
        <v>325187</v>
      </c>
      <c r="B1098" t="s">
        <v>20</v>
      </c>
      <c r="C1098">
        <v>2015</v>
      </c>
      <c r="D1098">
        <v>6</v>
      </c>
      <c r="E1098" t="s">
        <v>43</v>
      </c>
      <c r="F1098" t="s">
        <v>5</v>
      </c>
      <c r="G1098" t="s">
        <v>5</v>
      </c>
      <c r="H1098">
        <v>24973.86</v>
      </c>
      <c r="I1098">
        <v>7340.49</v>
      </c>
      <c r="J1098">
        <v>0</v>
      </c>
    </row>
    <row r="1099" spans="1:10" x14ac:dyDescent="0.35">
      <c r="A1099">
        <v>325193</v>
      </c>
      <c r="B1099" t="s">
        <v>20</v>
      </c>
      <c r="C1099">
        <v>2015</v>
      </c>
      <c r="D1099">
        <v>6</v>
      </c>
      <c r="E1099" t="s">
        <v>43</v>
      </c>
      <c r="F1099" t="s">
        <v>5</v>
      </c>
      <c r="G1099" t="s">
        <v>5</v>
      </c>
      <c r="H1099">
        <v>27600.240000000002</v>
      </c>
      <c r="I1099">
        <v>8001.86</v>
      </c>
      <c r="J1099">
        <v>0</v>
      </c>
    </row>
    <row r="1100" spans="1:10" x14ac:dyDescent="0.35">
      <c r="A1100">
        <v>325198</v>
      </c>
      <c r="B1100" t="s">
        <v>20</v>
      </c>
      <c r="C1100">
        <v>2015</v>
      </c>
      <c r="D1100">
        <v>9</v>
      </c>
      <c r="E1100" t="s">
        <v>42</v>
      </c>
      <c r="F1100" t="s">
        <v>5</v>
      </c>
      <c r="G1100" t="s">
        <v>5</v>
      </c>
      <c r="H1100">
        <v>11438.34</v>
      </c>
      <c r="I1100">
        <v>2465.41</v>
      </c>
      <c r="J1100">
        <v>0</v>
      </c>
    </row>
    <row r="1101" spans="1:10" x14ac:dyDescent="0.35">
      <c r="A1101">
        <v>325199</v>
      </c>
      <c r="B1101" t="s">
        <v>20</v>
      </c>
      <c r="C1101">
        <v>2015</v>
      </c>
      <c r="D1101">
        <v>6</v>
      </c>
      <c r="E1101" t="s">
        <v>43</v>
      </c>
      <c r="F1101" t="s">
        <v>5</v>
      </c>
      <c r="G1101" t="s">
        <v>5</v>
      </c>
      <c r="H1101">
        <v>21307.06</v>
      </c>
      <c r="I1101">
        <v>6111.54</v>
      </c>
      <c r="J1101">
        <v>0</v>
      </c>
    </row>
    <row r="1102" spans="1:10" x14ac:dyDescent="0.35">
      <c r="A1102">
        <v>325208</v>
      </c>
      <c r="B1102" t="s">
        <v>20</v>
      </c>
      <c r="C1102">
        <v>2015</v>
      </c>
      <c r="D1102">
        <v>6</v>
      </c>
      <c r="E1102" t="s">
        <v>43</v>
      </c>
      <c r="F1102" t="s">
        <v>5</v>
      </c>
      <c r="G1102" t="s">
        <v>5</v>
      </c>
      <c r="H1102">
        <v>35123.699999999997</v>
      </c>
      <c r="I1102">
        <v>12926.26</v>
      </c>
      <c r="J1102">
        <v>0</v>
      </c>
    </row>
    <row r="1103" spans="1:10" x14ac:dyDescent="0.35">
      <c r="A1103">
        <v>325211</v>
      </c>
      <c r="B1103" t="s">
        <v>20</v>
      </c>
      <c r="C1103">
        <v>2015</v>
      </c>
      <c r="D1103">
        <v>6</v>
      </c>
      <c r="E1103" t="s">
        <v>43</v>
      </c>
      <c r="F1103" t="s">
        <v>5</v>
      </c>
      <c r="G1103" t="s">
        <v>5</v>
      </c>
      <c r="H1103">
        <v>28124.76</v>
      </c>
      <c r="I1103">
        <v>8500.2800000000007</v>
      </c>
      <c r="J1103">
        <v>0</v>
      </c>
    </row>
    <row r="1104" spans="1:10" x14ac:dyDescent="0.35">
      <c r="A1104">
        <v>325217</v>
      </c>
      <c r="B1104" t="s">
        <v>20</v>
      </c>
      <c r="C1104">
        <v>2015</v>
      </c>
      <c r="D1104">
        <v>6</v>
      </c>
      <c r="E1104" t="s">
        <v>43</v>
      </c>
      <c r="F1104" t="s">
        <v>5</v>
      </c>
      <c r="G1104" t="s">
        <v>5</v>
      </c>
      <c r="H1104">
        <v>105594.28</v>
      </c>
      <c r="I1104">
        <v>31248.560000000001</v>
      </c>
      <c r="J1104">
        <v>0</v>
      </c>
    </row>
    <row r="1105" spans="1:10" x14ac:dyDescent="0.35">
      <c r="A1105">
        <v>325219</v>
      </c>
      <c r="B1105" t="s">
        <v>20</v>
      </c>
      <c r="C1105">
        <v>2015</v>
      </c>
      <c r="D1105">
        <v>6</v>
      </c>
      <c r="E1105" t="s">
        <v>43</v>
      </c>
      <c r="F1105" t="s">
        <v>5</v>
      </c>
      <c r="G1105" t="s">
        <v>5</v>
      </c>
      <c r="H1105">
        <v>25406.74</v>
      </c>
      <c r="I1105">
        <v>7708.87</v>
      </c>
      <c r="J1105">
        <v>0</v>
      </c>
    </row>
    <row r="1106" spans="1:10" x14ac:dyDescent="0.35">
      <c r="A1106">
        <v>325222</v>
      </c>
      <c r="B1106" t="s">
        <v>20</v>
      </c>
      <c r="C1106">
        <v>2015</v>
      </c>
      <c r="D1106">
        <v>6</v>
      </c>
      <c r="E1106" t="s">
        <v>43</v>
      </c>
      <c r="F1106" t="s">
        <v>5</v>
      </c>
      <c r="G1106" t="s">
        <v>5</v>
      </c>
      <c r="H1106">
        <v>17721.32</v>
      </c>
      <c r="I1106">
        <v>4536.0600000000004</v>
      </c>
      <c r="J1106">
        <v>0</v>
      </c>
    </row>
    <row r="1107" spans="1:10" x14ac:dyDescent="0.35">
      <c r="A1107">
        <v>325224</v>
      </c>
      <c r="B1107" t="s">
        <v>20</v>
      </c>
      <c r="C1107">
        <v>2015</v>
      </c>
      <c r="D1107">
        <v>6</v>
      </c>
      <c r="E1107" t="s">
        <v>43</v>
      </c>
      <c r="F1107" t="s">
        <v>5</v>
      </c>
      <c r="G1107" t="s">
        <v>5</v>
      </c>
      <c r="H1107">
        <v>55014.62</v>
      </c>
      <c r="I1107">
        <v>30339.759999999998</v>
      </c>
      <c r="J1107">
        <v>0</v>
      </c>
    </row>
    <row r="1108" spans="1:10" x14ac:dyDescent="0.35">
      <c r="A1108">
        <v>325229</v>
      </c>
      <c r="B1108" t="s">
        <v>20</v>
      </c>
      <c r="C1108">
        <v>2015</v>
      </c>
      <c r="D1108">
        <v>6</v>
      </c>
      <c r="E1108" t="s">
        <v>43</v>
      </c>
      <c r="F1108" t="s">
        <v>5</v>
      </c>
      <c r="G1108" t="s">
        <v>5</v>
      </c>
      <c r="H1108">
        <v>20364.66</v>
      </c>
      <c r="I1108">
        <v>4993.29</v>
      </c>
      <c r="J1108">
        <v>0</v>
      </c>
    </row>
    <row r="1109" spans="1:10" x14ac:dyDescent="0.35">
      <c r="A1109">
        <v>325244</v>
      </c>
      <c r="B1109" t="s">
        <v>20</v>
      </c>
      <c r="C1109">
        <v>2015</v>
      </c>
      <c r="D1109">
        <v>9</v>
      </c>
      <c r="E1109" t="s">
        <v>42</v>
      </c>
      <c r="F1109" t="s">
        <v>5</v>
      </c>
      <c r="G1109" t="s">
        <v>5</v>
      </c>
      <c r="H1109">
        <v>14698.72</v>
      </c>
      <c r="I1109">
        <v>3161.92</v>
      </c>
      <c r="J1109">
        <v>0</v>
      </c>
    </row>
    <row r="1110" spans="1:10" x14ac:dyDescent="0.35">
      <c r="A1110">
        <v>325252</v>
      </c>
      <c r="B1110" t="s">
        <v>20</v>
      </c>
      <c r="C1110">
        <v>2015</v>
      </c>
      <c r="D1110">
        <v>9</v>
      </c>
      <c r="E1110" t="s">
        <v>42</v>
      </c>
      <c r="F1110" t="s">
        <v>5</v>
      </c>
      <c r="G1110" t="s">
        <v>5</v>
      </c>
      <c r="H1110">
        <v>22427.52</v>
      </c>
      <c r="I1110">
        <v>8579.74</v>
      </c>
      <c r="J1110">
        <v>0</v>
      </c>
    </row>
    <row r="1111" spans="1:10" x14ac:dyDescent="0.35">
      <c r="A1111">
        <v>325259</v>
      </c>
      <c r="B1111" t="s">
        <v>20</v>
      </c>
      <c r="C1111">
        <v>2015</v>
      </c>
      <c r="D1111">
        <v>9</v>
      </c>
      <c r="E1111" t="s">
        <v>42</v>
      </c>
      <c r="F1111" t="s">
        <v>5</v>
      </c>
      <c r="G1111" t="s">
        <v>5</v>
      </c>
      <c r="H1111">
        <v>46592.2</v>
      </c>
      <c r="I1111">
        <v>13844.55</v>
      </c>
      <c r="J1111">
        <v>0</v>
      </c>
    </row>
    <row r="1112" spans="1:10" x14ac:dyDescent="0.35">
      <c r="A1112">
        <v>325260</v>
      </c>
      <c r="B1112" t="s">
        <v>20</v>
      </c>
      <c r="C1112">
        <v>2015</v>
      </c>
      <c r="D1112">
        <v>6</v>
      </c>
      <c r="E1112" t="s">
        <v>43</v>
      </c>
      <c r="F1112" t="s">
        <v>5</v>
      </c>
      <c r="G1112" t="s">
        <v>5</v>
      </c>
      <c r="H1112">
        <v>18405.759999999998</v>
      </c>
      <c r="I1112">
        <v>4612.87</v>
      </c>
      <c r="J1112">
        <v>0</v>
      </c>
    </row>
    <row r="1113" spans="1:10" x14ac:dyDescent="0.35">
      <c r="A1113">
        <v>325267</v>
      </c>
      <c r="B1113" t="s">
        <v>20</v>
      </c>
      <c r="C1113">
        <v>2015</v>
      </c>
      <c r="D1113">
        <v>6</v>
      </c>
      <c r="E1113" t="s">
        <v>43</v>
      </c>
      <c r="F1113" t="s">
        <v>5</v>
      </c>
      <c r="G1113" t="s">
        <v>5</v>
      </c>
      <c r="H1113">
        <v>13777.2</v>
      </c>
      <c r="I1113">
        <v>4071.64</v>
      </c>
      <c r="J1113">
        <v>0</v>
      </c>
    </row>
    <row r="1114" spans="1:10" x14ac:dyDescent="0.35">
      <c r="A1114">
        <v>325268</v>
      </c>
      <c r="B1114" t="s">
        <v>20</v>
      </c>
      <c r="C1114">
        <v>2015</v>
      </c>
      <c r="D1114">
        <v>6</v>
      </c>
      <c r="E1114" t="s">
        <v>43</v>
      </c>
      <c r="F1114" t="s">
        <v>5</v>
      </c>
      <c r="G1114" t="s">
        <v>5</v>
      </c>
      <c r="H1114">
        <v>69909.7</v>
      </c>
      <c r="I1114">
        <v>21277.86</v>
      </c>
      <c r="J1114">
        <v>0</v>
      </c>
    </row>
    <row r="1115" spans="1:10" x14ac:dyDescent="0.35">
      <c r="A1115">
        <v>325279</v>
      </c>
      <c r="B1115" t="s">
        <v>20</v>
      </c>
      <c r="C1115">
        <v>2015</v>
      </c>
      <c r="D1115">
        <v>9</v>
      </c>
      <c r="E1115" t="s">
        <v>42</v>
      </c>
      <c r="F1115" t="s">
        <v>5</v>
      </c>
      <c r="G1115" t="s">
        <v>5</v>
      </c>
      <c r="H1115">
        <v>21343.86</v>
      </c>
      <c r="I1115">
        <v>8649.48</v>
      </c>
      <c r="J1115">
        <v>0</v>
      </c>
    </row>
    <row r="1116" spans="1:10" x14ac:dyDescent="0.35">
      <c r="A1116">
        <v>325288</v>
      </c>
      <c r="B1116" t="s">
        <v>20</v>
      </c>
      <c r="C1116">
        <v>2015</v>
      </c>
      <c r="D1116">
        <v>6</v>
      </c>
      <c r="E1116" t="s">
        <v>43</v>
      </c>
      <c r="F1116" t="s">
        <v>5</v>
      </c>
      <c r="G1116" t="s">
        <v>5</v>
      </c>
      <c r="H1116">
        <v>30220.94</v>
      </c>
      <c r="I1116">
        <v>5689.24</v>
      </c>
      <c r="J1116">
        <v>0</v>
      </c>
    </row>
    <row r="1117" spans="1:10" x14ac:dyDescent="0.35">
      <c r="A1117">
        <v>325292</v>
      </c>
      <c r="B1117" t="s">
        <v>20</v>
      </c>
      <c r="C1117">
        <v>2015</v>
      </c>
      <c r="D1117">
        <v>6</v>
      </c>
      <c r="E1117" t="s">
        <v>43</v>
      </c>
      <c r="F1117" t="s">
        <v>5</v>
      </c>
      <c r="G1117" t="s">
        <v>5</v>
      </c>
      <c r="H1117">
        <v>26348.32</v>
      </c>
      <c r="I1117">
        <v>8558.8799999999992</v>
      </c>
      <c r="J1117">
        <v>0</v>
      </c>
    </row>
    <row r="1118" spans="1:10" x14ac:dyDescent="0.35">
      <c r="A1118">
        <v>325296</v>
      </c>
      <c r="B1118" t="s">
        <v>20</v>
      </c>
      <c r="C1118">
        <v>2015</v>
      </c>
      <c r="D1118">
        <v>9</v>
      </c>
      <c r="E1118" t="s">
        <v>42</v>
      </c>
      <c r="F1118" t="s">
        <v>5</v>
      </c>
      <c r="G1118" t="s">
        <v>5</v>
      </c>
      <c r="H1118">
        <v>46711.26</v>
      </c>
      <c r="I1118">
        <v>18749.45</v>
      </c>
      <c r="J1118">
        <v>0</v>
      </c>
    </row>
    <row r="1119" spans="1:10" x14ac:dyDescent="0.35">
      <c r="A1119">
        <v>325299</v>
      </c>
      <c r="B1119" t="s">
        <v>20</v>
      </c>
      <c r="C1119">
        <v>2015</v>
      </c>
      <c r="D1119">
        <v>9</v>
      </c>
      <c r="E1119" t="s">
        <v>42</v>
      </c>
      <c r="F1119" t="s">
        <v>5</v>
      </c>
      <c r="G1119" t="s">
        <v>5</v>
      </c>
      <c r="H1119">
        <v>21053.42</v>
      </c>
      <c r="I1119">
        <v>6297.28</v>
      </c>
      <c r="J1119">
        <v>0</v>
      </c>
    </row>
    <row r="1120" spans="1:10" x14ac:dyDescent="0.35">
      <c r="A1120">
        <v>325313</v>
      </c>
      <c r="B1120" t="s">
        <v>20</v>
      </c>
      <c r="C1120">
        <v>2015</v>
      </c>
      <c r="D1120">
        <v>6</v>
      </c>
      <c r="E1120" t="s">
        <v>43</v>
      </c>
      <c r="F1120" t="s">
        <v>5</v>
      </c>
      <c r="G1120" t="s">
        <v>5</v>
      </c>
      <c r="H1120">
        <v>14545.58</v>
      </c>
      <c r="I1120">
        <v>3248.3</v>
      </c>
      <c r="J1120">
        <v>0</v>
      </c>
    </row>
    <row r="1121" spans="1:10" x14ac:dyDescent="0.35">
      <c r="A1121">
        <v>325319</v>
      </c>
      <c r="B1121" t="s">
        <v>20</v>
      </c>
      <c r="C1121">
        <v>2015</v>
      </c>
      <c r="D1121">
        <v>6</v>
      </c>
      <c r="E1121" t="s">
        <v>43</v>
      </c>
      <c r="F1121" t="s">
        <v>5</v>
      </c>
      <c r="G1121" t="s">
        <v>5</v>
      </c>
      <c r="H1121">
        <v>20401.060000000001</v>
      </c>
      <c r="I1121">
        <v>5407.84</v>
      </c>
      <c r="J1121">
        <v>0</v>
      </c>
    </row>
    <row r="1122" spans="1:10" x14ac:dyDescent="0.35">
      <c r="A1122">
        <v>325324</v>
      </c>
      <c r="B1122" t="s">
        <v>20</v>
      </c>
      <c r="C1122">
        <v>2015</v>
      </c>
      <c r="D1122">
        <v>9</v>
      </c>
      <c r="E1122" t="s">
        <v>42</v>
      </c>
      <c r="F1122" t="s">
        <v>5</v>
      </c>
      <c r="G1122" t="s">
        <v>5</v>
      </c>
      <c r="H1122">
        <v>32829.58</v>
      </c>
      <c r="I1122">
        <v>8583.34</v>
      </c>
      <c r="J1122">
        <v>0</v>
      </c>
    </row>
    <row r="1123" spans="1:10" x14ac:dyDescent="0.35">
      <c r="A1123">
        <v>325338</v>
      </c>
      <c r="B1123" t="s">
        <v>20</v>
      </c>
      <c r="C1123">
        <v>2015</v>
      </c>
      <c r="D1123">
        <v>9</v>
      </c>
      <c r="E1123" t="s">
        <v>42</v>
      </c>
      <c r="F1123" t="s">
        <v>5</v>
      </c>
      <c r="G1123" t="s">
        <v>5</v>
      </c>
      <c r="H1123">
        <v>35881.18</v>
      </c>
      <c r="I1123">
        <v>13139.61</v>
      </c>
      <c r="J1123">
        <v>0</v>
      </c>
    </row>
    <row r="1124" spans="1:10" x14ac:dyDescent="0.35">
      <c r="A1124">
        <v>325339</v>
      </c>
      <c r="B1124" t="s">
        <v>20</v>
      </c>
      <c r="C1124">
        <v>2015</v>
      </c>
      <c r="D1124">
        <v>6</v>
      </c>
      <c r="E1124" t="s">
        <v>43</v>
      </c>
      <c r="F1124" t="s">
        <v>5</v>
      </c>
      <c r="G1124" t="s">
        <v>5</v>
      </c>
      <c r="H1124">
        <v>15898.66</v>
      </c>
      <c r="I1124">
        <v>3364.63</v>
      </c>
      <c r="J1124">
        <v>0</v>
      </c>
    </row>
    <row r="1125" spans="1:10" x14ac:dyDescent="0.35">
      <c r="A1125">
        <v>325341</v>
      </c>
      <c r="B1125" t="s">
        <v>20</v>
      </c>
      <c r="C1125">
        <v>2015</v>
      </c>
      <c r="D1125">
        <v>6</v>
      </c>
      <c r="E1125" t="s">
        <v>43</v>
      </c>
      <c r="F1125" t="s">
        <v>5</v>
      </c>
      <c r="G1125" t="s">
        <v>5</v>
      </c>
      <c r="H1125">
        <v>22479.3</v>
      </c>
      <c r="I1125">
        <v>10742.45</v>
      </c>
      <c r="J1125">
        <v>0</v>
      </c>
    </row>
    <row r="1126" spans="1:10" x14ac:dyDescent="0.35">
      <c r="A1126">
        <v>325346</v>
      </c>
      <c r="B1126" t="s">
        <v>20</v>
      </c>
      <c r="C1126">
        <v>2015</v>
      </c>
      <c r="D1126">
        <v>9</v>
      </c>
      <c r="E1126" t="s">
        <v>42</v>
      </c>
      <c r="F1126" t="s">
        <v>5</v>
      </c>
      <c r="G1126" t="s">
        <v>5</v>
      </c>
      <c r="H1126">
        <v>28200.400000000001</v>
      </c>
      <c r="I1126">
        <v>9047.26</v>
      </c>
      <c r="J1126">
        <v>0</v>
      </c>
    </row>
    <row r="1127" spans="1:10" x14ac:dyDescent="0.35">
      <c r="A1127">
        <v>325349</v>
      </c>
      <c r="B1127" t="s">
        <v>20</v>
      </c>
      <c r="C1127">
        <v>2015</v>
      </c>
      <c r="D1127">
        <v>6</v>
      </c>
      <c r="E1127" t="s">
        <v>43</v>
      </c>
      <c r="F1127" t="s">
        <v>5</v>
      </c>
      <c r="G1127" t="s">
        <v>5</v>
      </c>
      <c r="H1127">
        <v>24646.68</v>
      </c>
      <c r="I1127">
        <v>6633.27</v>
      </c>
      <c r="J1127">
        <v>0</v>
      </c>
    </row>
    <row r="1128" spans="1:10" x14ac:dyDescent="0.35">
      <c r="A1128">
        <v>325350</v>
      </c>
      <c r="B1128" t="s">
        <v>20</v>
      </c>
      <c r="C1128">
        <v>2015</v>
      </c>
      <c r="D1128">
        <v>6</v>
      </c>
      <c r="E1128" t="s">
        <v>43</v>
      </c>
      <c r="F1128" t="s">
        <v>5</v>
      </c>
      <c r="G1128" t="s">
        <v>5</v>
      </c>
      <c r="H1128">
        <v>69067.08</v>
      </c>
      <c r="I1128">
        <v>21460.83</v>
      </c>
      <c r="J1128">
        <v>0</v>
      </c>
    </row>
    <row r="1129" spans="1:10" x14ac:dyDescent="0.35">
      <c r="A1129">
        <v>325355</v>
      </c>
      <c r="B1129" t="s">
        <v>20</v>
      </c>
      <c r="C1129">
        <v>2015</v>
      </c>
      <c r="D1129">
        <v>6</v>
      </c>
      <c r="E1129" t="s">
        <v>43</v>
      </c>
      <c r="F1129" t="s">
        <v>5</v>
      </c>
      <c r="G1129" t="s">
        <v>5</v>
      </c>
      <c r="H1129">
        <v>39196.519999999997</v>
      </c>
      <c r="I1129">
        <v>11596.02</v>
      </c>
      <c r="J1129">
        <v>0</v>
      </c>
    </row>
    <row r="1130" spans="1:10" x14ac:dyDescent="0.35">
      <c r="A1130">
        <v>325360</v>
      </c>
      <c r="B1130" t="s">
        <v>20</v>
      </c>
      <c r="C1130">
        <v>2015</v>
      </c>
      <c r="D1130">
        <v>6</v>
      </c>
      <c r="E1130" t="s">
        <v>43</v>
      </c>
      <c r="F1130" t="s">
        <v>5</v>
      </c>
      <c r="G1130" t="s">
        <v>5</v>
      </c>
      <c r="H1130">
        <v>30294.84</v>
      </c>
      <c r="I1130">
        <v>8324.2900000000009</v>
      </c>
      <c r="J1130">
        <v>0</v>
      </c>
    </row>
    <row r="1131" spans="1:10" x14ac:dyDescent="0.35">
      <c r="A1131">
        <v>325362</v>
      </c>
      <c r="B1131" t="s">
        <v>20</v>
      </c>
      <c r="C1131">
        <v>2015</v>
      </c>
      <c r="D1131">
        <v>9</v>
      </c>
      <c r="E1131" t="s">
        <v>42</v>
      </c>
      <c r="F1131" t="s">
        <v>5</v>
      </c>
      <c r="G1131" t="s">
        <v>5</v>
      </c>
      <c r="H1131">
        <v>41677.86</v>
      </c>
      <c r="I1131">
        <v>11756.24</v>
      </c>
      <c r="J1131">
        <v>0</v>
      </c>
    </row>
    <row r="1132" spans="1:10" x14ac:dyDescent="0.35">
      <c r="A1132">
        <v>325364</v>
      </c>
      <c r="B1132" t="s">
        <v>20</v>
      </c>
      <c r="C1132">
        <v>2015</v>
      </c>
      <c r="D1132">
        <v>6</v>
      </c>
      <c r="E1132" t="s">
        <v>43</v>
      </c>
      <c r="F1132" t="s">
        <v>5</v>
      </c>
      <c r="G1132" t="s">
        <v>5</v>
      </c>
      <c r="H1132">
        <v>10685.98</v>
      </c>
      <c r="I1132">
        <v>2397.13</v>
      </c>
      <c r="J1132">
        <v>0</v>
      </c>
    </row>
    <row r="1133" spans="1:10" x14ac:dyDescent="0.35">
      <c r="A1133">
        <v>325370</v>
      </c>
      <c r="B1133" t="s">
        <v>20</v>
      </c>
      <c r="C1133">
        <v>2015</v>
      </c>
      <c r="D1133">
        <v>9</v>
      </c>
      <c r="E1133" t="s">
        <v>42</v>
      </c>
      <c r="F1133" t="s">
        <v>5</v>
      </c>
      <c r="G1133" t="s">
        <v>5</v>
      </c>
      <c r="H1133">
        <v>26523.24</v>
      </c>
      <c r="I1133">
        <v>11199.61</v>
      </c>
      <c r="J1133">
        <v>0</v>
      </c>
    </row>
    <row r="1134" spans="1:10" x14ac:dyDescent="0.35">
      <c r="A1134">
        <v>325373</v>
      </c>
      <c r="B1134" t="s">
        <v>20</v>
      </c>
      <c r="C1134">
        <v>2015</v>
      </c>
      <c r="D1134">
        <v>6</v>
      </c>
      <c r="E1134" t="s">
        <v>43</v>
      </c>
      <c r="F1134" t="s">
        <v>5</v>
      </c>
      <c r="G1134" t="s">
        <v>5</v>
      </c>
      <c r="H1134">
        <v>20528.34</v>
      </c>
      <c r="I1134">
        <v>7739.24</v>
      </c>
      <c r="J1134">
        <v>0</v>
      </c>
    </row>
    <row r="1135" spans="1:10" x14ac:dyDescent="0.35">
      <c r="A1135">
        <v>325375</v>
      </c>
      <c r="B1135" t="s">
        <v>20</v>
      </c>
      <c r="C1135">
        <v>2015</v>
      </c>
      <c r="D1135">
        <v>6</v>
      </c>
      <c r="E1135" t="s">
        <v>43</v>
      </c>
      <c r="F1135" t="s">
        <v>5</v>
      </c>
      <c r="G1135" t="s">
        <v>5</v>
      </c>
      <c r="H1135">
        <v>9010.6</v>
      </c>
      <c r="I1135">
        <v>2486.21</v>
      </c>
      <c r="J1135">
        <v>0</v>
      </c>
    </row>
    <row r="1136" spans="1:10" x14ac:dyDescent="0.35">
      <c r="A1136">
        <v>325377</v>
      </c>
      <c r="B1136" t="s">
        <v>20</v>
      </c>
      <c r="C1136">
        <v>2015</v>
      </c>
      <c r="D1136">
        <v>6</v>
      </c>
      <c r="E1136" t="s">
        <v>43</v>
      </c>
      <c r="F1136" t="s">
        <v>5</v>
      </c>
      <c r="G1136" t="s">
        <v>5</v>
      </c>
      <c r="H1136">
        <v>23199.279999999999</v>
      </c>
      <c r="I1136">
        <v>10116.700000000001</v>
      </c>
      <c r="J1136">
        <v>0</v>
      </c>
    </row>
    <row r="1137" spans="1:10" x14ac:dyDescent="0.35">
      <c r="A1137">
        <v>325378</v>
      </c>
      <c r="B1137" t="s">
        <v>20</v>
      </c>
      <c r="C1137">
        <v>2015</v>
      </c>
      <c r="D1137">
        <v>6</v>
      </c>
      <c r="E1137" t="s">
        <v>43</v>
      </c>
      <c r="F1137" t="s">
        <v>5</v>
      </c>
      <c r="G1137" t="s">
        <v>5</v>
      </c>
      <c r="H1137">
        <v>17299.099999999999</v>
      </c>
      <c r="I1137">
        <v>4411.28</v>
      </c>
      <c r="J1137">
        <v>0</v>
      </c>
    </row>
    <row r="1138" spans="1:10" x14ac:dyDescent="0.35">
      <c r="A1138">
        <v>325381</v>
      </c>
      <c r="B1138" t="s">
        <v>20</v>
      </c>
      <c r="C1138">
        <v>2015</v>
      </c>
      <c r="D1138">
        <v>9</v>
      </c>
      <c r="E1138" t="s">
        <v>42</v>
      </c>
      <c r="F1138" t="s">
        <v>5</v>
      </c>
      <c r="G1138" t="s">
        <v>5</v>
      </c>
      <c r="H1138">
        <v>169303.37</v>
      </c>
      <c r="I1138">
        <v>70430.789999999994</v>
      </c>
      <c r="J1138">
        <v>0</v>
      </c>
    </row>
    <row r="1139" spans="1:10" x14ac:dyDescent="0.35">
      <c r="A1139">
        <v>325385</v>
      </c>
      <c r="B1139" t="s">
        <v>20</v>
      </c>
      <c r="C1139">
        <v>2015</v>
      </c>
      <c r="D1139">
        <v>9</v>
      </c>
      <c r="E1139" t="s">
        <v>42</v>
      </c>
      <c r="F1139" t="s">
        <v>5</v>
      </c>
      <c r="G1139" t="s">
        <v>5</v>
      </c>
      <c r="H1139">
        <v>76015.62</v>
      </c>
      <c r="I1139">
        <v>28590.83</v>
      </c>
      <c r="J1139">
        <v>0</v>
      </c>
    </row>
    <row r="1140" spans="1:10" x14ac:dyDescent="0.35">
      <c r="A1140">
        <v>325390</v>
      </c>
      <c r="B1140" t="s">
        <v>20</v>
      </c>
      <c r="C1140">
        <v>2015</v>
      </c>
      <c r="D1140">
        <v>9</v>
      </c>
      <c r="E1140" t="s">
        <v>42</v>
      </c>
      <c r="F1140" t="s">
        <v>5</v>
      </c>
      <c r="G1140" t="s">
        <v>5</v>
      </c>
      <c r="H1140">
        <v>35534.42</v>
      </c>
      <c r="I1140">
        <v>10774.63</v>
      </c>
      <c r="J1140">
        <v>0</v>
      </c>
    </row>
    <row r="1141" spans="1:10" x14ac:dyDescent="0.35">
      <c r="A1141">
        <v>325393</v>
      </c>
      <c r="B1141" t="s">
        <v>20</v>
      </c>
      <c r="C1141">
        <v>2015</v>
      </c>
      <c r="D1141">
        <v>9</v>
      </c>
      <c r="E1141" t="s">
        <v>42</v>
      </c>
      <c r="F1141" t="s">
        <v>5</v>
      </c>
      <c r="G1141" t="s">
        <v>5</v>
      </c>
      <c r="H1141">
        <v>28987.48</v>
      </c>
      <c r="I1141">
        <v>11062.38</v>
      </c>
      <c r="J1141">
        <v>0</v>
      </c>
    </row>
    <row r="1142" spans="1:10" x14ac:dyDescent="0.35">
      <c r="A1142">
        <v>325408</v>
      </c>
      <c r="B1142" t="s">
        <v>20</v>
      </c>
      <c r="C1142">
        <v>2015</v>
      </c>
      <c r="D1142">
        <v>6</v>
      </c>
      <c r="E1142" t="s">
        <v>43</v>
      </c>
      <c r="F1142" t="s">
        <v>5</v>
      </c>
      <c r="G1142" t="s">
        <v>5</v>
      </c>
      <c r="H1142">
        <v>15044.08</v>
      </c>
      <c r="I1142">
        <v>3880.88</v>
      </c>
      <c r="J1142">
        <v>0</v>
      </c>
    </row>
    <row r="1143" spans="1:10" x14ac:dyDescent="0.35">
      <c r="A1143">
        <v>325411</v>
      </c>
      <c r="B1143" t="s">
        <v>20</v>
      </c>
      <c r="C1143">
        <v>2015</v>
      </c>
      <c r="D1143">
        <v>9</v>
      </c>
      <c r="E1143" t="s">
        <v>42</v>
      </c>
      <c r="F1143" t="s">
        <v>5</v>
      </c>
      <c r="G1143" t="s">
        <v>5</v>
      </c>
      <c r="H1143">
        <v>21115.360000000001</v>
      </c>
      <c r="I1143">
        <v>4816.8100000000004</v>
      </c>
      <c r="J1143">
        <v>0</v>
      </c>
    </row>
    <row r="1144" spans="1:10" x14ac:dyDescent="0.35">
      <c r="A1144">
        <v>325413</v>
      </c>
      <c r="B1144" t="s">
        <v>20</v>
      </c>
      <c r="C1144">
        <v>2015</v>
      </c>
      <c r="D1144">
        <v>6</v>
      </c>
      <c r="E1144" t="s">
        <v>43</v>
      </c>
      <c r="F1144" t="s">
        <v>5</v>
      </c>
      <c r="G1144" t="s">
        <v>5</v>
      </c>
      <c r="H1144">
        <v>26643.58</v>
      </c>
      <c r="I1144">
        <v>7166.37</v>
      </c>
      <c r="J1144">
        <v>0</v>
      </c>
    </row>
    <row r="1145" spans="1:10" x14ac:dyDescent="0.35">
      <c r="A1145">
        <v>325414</v>
      </c>
      <c r="B1145" t="s">
        <v>20</v>
      </c>
      <c r="C1145">
        <v>2015</v>
      </c>
      <c r="D1145">
        <v>6</v>
      </c>
      <c r="E1145" t="s">
        <v>43</v>
      </c>
      <c r="F1145" t="s">
        <v>5</v>
      </c>
      <c r="G1145" t="s">
        <v>5</v>
      </c>
      <c r="H1145">
        <v>12328.5</v>
      </c>
      <c r="I1145">
        <v>3901.59</v>
      </c>
      <c r="J1145">
        <v>0</v>
      </c>
    </row>
    <row r="1146" spans="1:10" x14ac:dyDescent="0.35">
      <c r="A1146">
        <v>325420</v>
      </c>
      <c r="B1146" t="s">
        <v>20</v>
      </c>
      <c r="C1146">
        <v>2015</v>
      </c>
      <c r="D1146">
        <v>9</v>
      </c>
      <c r="E1146" t="s">
        <v>42</v>
      </c>
      <c r="F1146" t="s">
        <v>5</v>
      </c>
      <c r="G1146" t="s">
        <v>5</v>
      </c>
      <c r="H1146">
        <v>26487.8</v>
      </c>
      <c r="I1146">
        <v>7579.98</v>
      </c>
      <c r="J1146">
        <v>0</v>
      </c>
    </row>
    <row r="1147" spans="1:10" x14ac:dyDescent="0.35">
      <c r="A1147">
        <v>325424</v>
      </c>
      <c r="B1147" t="s">
        <v>20</v>
      </c>
      <c r="C1147">
        <v>2015</v>
      </c>
      <c r="D1147">
        <v>6</v>
      </c>
      <c r="E1147" t="s">
        <v>43</v>
      </c>
      <c r="F1147" t="s">
        <v>5</v>
      </c>
      <c r="G1147" t="s">
        <v>5</v>
      </c>
      <c r="H1147">
        <v>21995.42</v>
      </c>
      <c r="I1147">
        <v>8895.18</v>
      </c>
      <c r="J1147">
        <v>0</v>
      </c>
    </row>
    <row r="1148" spans="1:10" x14ac:dyDescent="0.35">
      <c r="A1148">
        <v>325425</v>
      </c>
      <c r="B1148" t="s">
        <v>20</v>
      </c>
      <c r="C1148">
        <v>2015</v>
      </c>
      <c r="D1148">
        <v>9</v>
      </c>
      <c r="E1148" t="s">
        <v>42</v>
      </c>
      <c r="F1148" t="s">
        <v>5</v>
      </c>
      <c r="G1148" t="s">
        <v>5</v>
      </c>
      <c r="H1148">
        <v>18681.62</v>
      </c>
      <c r="I1148">
        <v>4929.96</v>
      </c>
      <c r="J1148">
        <v>0</v>
      </c>
    </row>
    <row r="1149" spans="1:10" x14ac:dyDescent="0.35">
      <c r="A1149">
        <v>325435</v>
      </c>
      <c r="B1149" t="s">
        <v>20</v>
      </c>
      <c r="C1149">
        <v>2015</v>
      </c>
      <c r="D1149">
        <v>9</v>
      </c>
      <c r="E1149" t="s">
        <v>42</v>
      </c>
      <c r="F1149" t="s">
        <v>5</v>
      </c>
      <c r="G1149" t="s">
        <v>5</v>
      </c>
      <c r="H1149">
        <v>29338.52</v>
      </c>
      <c r="I1149">
        <v>8340.44</v>
      </c>
      <c r="J1149">
        <v>0</v>
      </c>
    </row>
    <row r="1150" spans="1:10" x14ac:dyDescent="0.35">
      <c r="A1150">
        <v>325452</v>
      </c>
      <c r="B1150" t="s">
        <v>20</v>
      </c>
      <c r="C1150">
        <v>2015</v>
      </c>
      <c r="D1150">
        <v>9</v>
      </c>
      <c r="E1150" t="s">
        <v>42</v>
      </c>
      <c r="F1150" t="s">
        <v>5</v>
      </c>
      <c r="G1150" t="s">
        <v>5</v>
      </c>
      <c r="H1150">
        <v>22638.38</v>
      </c>
      <c r="I1150">
        <v>3614.44</v>
      </c>
      <c r="J1150">
        <v>0</v>
      </c>
    </row>
    <row r="1151" spans="1:10" x14ac:dyDescent="0.35">
      <c r="A1151">
        <v>325463</v>
      </c>
      <c r="B1151" t="s">
        <v>20</v>
      </c>
      <c r="C1151">
        <v>2015</v>
      </c>
      <c r="D1151">
        <v>9</v>
      </c>
      <c r="E1151" t="s">
        <v>42</v>
      </c>
      <c r="F1151" t="s">
        <v>5</v>
      </c>
      <c r="G1151" t="s">
        <v>5</v>
      </c>
      <c r="H1151">
        <v>15942.44</v>
      </c>
      <c r="I1151">
        <v>3100.04</v>
      </c>
      <c r="J1151">
        <v>0</v>
      </c>
    </row>
    <row r="1152" spans="1:10" x14ac:dyDescent="0.35">
      <c r="A1152">
        <v>325466</v>
      </c>
      <c r="B1152" t="s">
        <v>20</v>
      </c>
      <c r="C1152">
        <v>2015</v>
      </c>
      <c r="D1152">
        <v>9</v>
      </c>
      <c r="E1152" t="s">
        <v>42</v>
      </c>
      <c r="F1152" t="s">
        <v>5</v>
      </c>
      <c r="G1152" t="s">
        <v>5</v>
      </c>
      <c r="H1152">
        <v>71563.14</v>
      </c>
      <c r="I1152">
        <v>30251.96</v>
      </c>
      <c r="J1152">
        <v>0</v>
      </c>
    </row>
    <row r="1153" spans="1:10" x14ac:dyDescent="0.35">
      <c r="A1153">
        <v>325492</v>
      </c>
      <c r="B1153" t="s">
        <v>20</v>
      </c>
      <c r="C1153">
        <v>2015</v>
      </c>
      <c r="D1153">
        <v>6</v>
      </c>
      <c r="E1153" t="s">
        <v>43</v>
      </c>
      <c r="F1153" t="s">
        <v>5</v>
      </c>
      <c r="G1153" t="s">
        <v>5</v>
      </c>
      <c r="H1153">
        <v>10693.14</v>
      </c>
      <c r="I1153">
        <v>2462.56</v>
      </c>
      <c r="J1153">
        <v>0</v>
      </c>
    </row>
    <row r="1154" spans="1:10" x14ac:dyDescent="0.35">
      <c r="A1154">
        <v>325502</v>
      </c>
      <c r="B1154" t="s">
        <v>20</v>
      </c>
      <c r="C1154">
        <v>2015</v>
      </c>
      <c r="D1154">
        <v>6</v>
      </c>
      <c r="E1154" t="s">
        <v>43</v>
      </c>
      <c r="F1154" t="s">
        <v>5</v>
      </c>
      <c r="G1154" t="s">
        <v>5</v>
      </c>
      <c r="H1154">
        <v>28123.279999999999</v>
      </c>
      <c r="I1154">
        <v>14405.44</v>
      </c>
      <c r="J1154">
        <v>0</v>
      </c>
    </row>
    <row r="1155" spans="1:10" x14ac:dyDescent="0.35">
      <c r="A1155">
        <v>325503</v>
      </c>
      <c r="B1155" t="s">
        <v>20</v>
      </c>
      <c r="C1155">
        <v>2015</v>
      </c>
      <c r="D1155">
        <v>9</v>
      </c>
      <c r="E1155" t="s">
        <v>42</v>
      </c>
      <c r="F1155" t="s">
        <v>5</v>
      </c>
      <c r="G1155" t="s">
        <v>5</v>
      </c>
      <c r="H1155">
        <v>13506.4</v>
      </c>
      <c r="I1155">
        <v>2358.9899999999998</v>
      </c>
      <c r="J1155">
        <v>0</v>
      </c>
    </row>
    <row r="1156" spans="1:10" x14ac:dyDescent="0.35">
      <c r="A1156">
        <v>325508</v>
      </c>
      <c r="B1156" t="s">
        <v>20</v>
      </c>
      <c r="C1156">
        <v>2015</v>
      </c>
      <c r="D1156">
        <v>9</v>
      </c>
      <c r="E1156" t="s">
        <v>42</v>
      </c>
      <c r="F1156" t="s">
        <v>5</v>
      </c>
      <c r="G1156" t="s">
        <v>5</v>
      </c>
      <c r="H1156">
        <v>81009.679999999993</v>
      </c>
      <c r="I1156">
        <v>41016.51</v>
      </c>
      <c r="J1156">
        <v>0</v>
      </c>
    </row>
    <row r="1157" spans="1:10" x14ac:dyDescent="0.35">
      <c r="A1157">
        <v>325529</v>
      </c>
      <c r="B1157" t="s">
        <v>20</v>
      </c>
      <c r="C1157">
        <v>2015</v>
      </c>
      <c r="D1157">
        <v>9</v>
      </c>
      <c r="E1157" t="s">
        <v>42</v>
      </c>
      <c r="F1157" t="s">
        <v>5</v>
      </c>
      <c r="G1157" t="s">
        <v>5</v>
      </c>
      <c r="H1157">
        <v>16926.68</v>
      </c>
      <c r="I1157">
        <v>3298.2</v>
      </c>
      <c r="J1157">
        <v>0</v>
      </c>
    </row>
    <row r="1158" spans="1:10" x14ac:dyDescent="0.35">
      <c r="A1158">
        <v>325538</v>
      </c>
      <c r="B1158" t="s">
        <v>20</v>
      </c>
      <c r="C1158">
        <v>2015</v>
      </c>
      <c r="D1158">
        <v>6</v>
      </c>
      <c r="E1158" t="s">
        <v>43</v>
      </c>
      <c r="F1158" t="s">
        <v>5</v>
      </c>
      <c r="G1158" t="s">
        <v>5</v>
      </c>
      <c r="H1158">
        <v>20134.080000000002</v>
      </c>
      <c r="I1158">
        <v>5774.32</v>
      </c>
      <c r="J1158">
        <v>0</v>
      </c>
    </row>
    <row r="1159" spans="1:10" x14ac:dyDescent="0.35">
      <c r="A1159">
        <v>325539</v>
      </c>
      <c r="B1159" t="s">
        <v>20</v>
      </c>
      <c r="C1159">
        <v>2015</v>
      </c>
      <c r="D1159">
        <v>6</v>
      </c>
      <c r="E1159" t="s">
        <v>43</v>
      </c>
      <c r="F1159" t="s">
        <v>5</v>
      </c>
      <c r="G1159" t="s">
        <v>5</v>
      </c>
      <c r="H1159">
        <v>15037.46</v>
      </c>
      <c r="I1159">
        <v>4380.28</v>
      </c>
      <c r="J1159">
        <v>0</v>
      </c>
    </row>
    <row r="1160" spans="1:10" x14ac:dyDescent="0.35">
      <c r="A1160">
        <v>325543</v>
      </c>
      <c r="B1160" t="s">
        <v>20</v>
      </c>
      <c r="C1160">
        <v>2015</v>
      </c>
      <c r="D1160">
        <v>6</v>
      </c>
      <c r="E1160" t="s">
        <v>43</v>
      </c>
      <c r="F1160" t="s">
        <v>5</v>
      </c>
      <c r="G1160" t="s">
        <v>5</v>
      </c>
      <c r="H1160">
        <v>29391.02</v>
      </c>
      <c r="I1160">
        <v>18802.45</v>
      </c>
      <c r="J1160">
        <v>0</v>
      </c>
    </row>
    <row r="1161" spans="1:10" x14ac:dyDescent="0.35">
      <c r="A1161">
        <v>325558</v>
      </c>
      <c r="B1161" t="s">
        <v>20</v>
      </c>
      <c r="C1161">
        <v>2015</v>
      </c>
      <c r="D1161">
        <v>9</v>
      </c>
      <c r="E1161" t="s">
        <v>42</v>
      </c>
      <c r="F1161" t="s">
        <v>5</v>
      </c>
      <c r="G1161" t="s">
        <v>5</v>
      </c>
      <c r="H1161">
        <v>26184.54</v>
      </c>
      <c r="I1161">
        <v>16926.45</v>
      </c>
      <c r="J1161">
        <v>0</v>
      </c>
    </row>
    <row r="1162" spans="1:10" x14ac:dyDescent="0.35">
      <c r="A1162">
        <v>325559</v>
      </c>
      <c r="B1162" t="s">
        <v>20</v>
      </c>
      <c r="C1162">
        <v>2015</v>
      </c>
      <c r="D1162">
        <v>6</v>
      </c>
      <c r="E1162" t="s">
        <v>43</v>
      </c>
      <c r="F1162" t="s">
        <v>5</v>
      </c>
      <c r="G1162" t="s">
        <v>5</v>
      </c>
      <c r="H1162">
        <v>21784.98</v>
      </c>
      <c r="I1162">
        <v>3090.35</v>
      </c>
      <c r="J1162">
        <v>0</v>
      </c>
    </row>
    <row r="1163" spans="1:10" x14ac:dyDescent="0.35">
      <c r="A1163">
        <v>325563</v>
      </c>
      <c r="B1163" t="s">
        <v>20</v>
      </c>
      <c r="C1163">
        <v>2015</v>
      </c>
      <c r="D1163">
        <v>6</v>
      </c>
      <c r="E1163" t="s">
        <v>43</v>
      </c>
      <c r="F1163" t="s">
        <v>5</v>
      </c>
      <c r="G1163" t="s">
        <v>5</v>
      </c>
      <c r="H1163">
        <v>61353.120000000003</v>
      </c>
      <c r="I1163">
        <v>17235.68</v>
      </c>
      <c r="J1163">
        <v>0</v>
      </c>
    </row>
    <row r="1164" spans="1:10" x14ac:dyDescent="0.35">
      <c r="A1164">
        <v>325568</v>
      </c>
      <c r="B1164" t="s">
        <v>20</v>
      </c>
      <c r="C1164">
        <v>2015</v>
      </c>
      <c r="D1164">
        <v>6</v>
      </c>
      <c r="E1164" t="s">
        <v>43</v>
      </c>
      <c r="F1164" t="s">
        <v>5</v>
      </c>
      <c r="G1164" t="s">
        <v>5</v>
      </c>
      <c r="H1164">
        <v>50561.32</v>
      </c>
      <c r="I1164">
        <v>20312.57</v>
      </c>
      <c r="J1164">
        <v>0</v>
      </c>
    </row>
    <row r="1165" spans="1:10" x14ac:dyDescent="0.35">
      <c r="A1165">
        <v>325569</v>
      </c>
      <c r="B1165" t="s">
        <v>20</v>
      </c>
      <c r="C1165">
        <v>2015</v>
      </c>
      <c r="D1165">
        <v>6</v>
      </c>
      <c r="E1165" t="s">
        <v>43</v>
      </c>
      <c r="F1165" t="s">
        <v>5</v>
      </c>
      <c r="G1165" t="s">
        <v>5</v>
      </c>
      <c r="H1165">
        <v>12059.08</v>
      </c>
      <c r="I1165">
        <v>2692.27</v>
      </c>
      <c r="J1165">
        <v>0</v>
      </c>
    </row>
    <row r="1166" spans="1:10" x14ac:dyDescent="0.35">
      <c r="A1166">
        <v>325573</v>
      </c>
      <c r="B1166" t="s">
        <v>20</v>
      </c>
      <c r="C1166">
        <v>2015</v>
      </c>
      <c r="D1166">
        <v>9</v>
      </c>
      <c r="E1166" t="s">
        <v>42</v>
      </c>
      <c r="F1166" t="s">
        <v>5</v>
      </c>
      <c r="G1166" t="s">
        <v>5</v>
      </c>
      <c r="H1166">
        <v>14236.28</v>
      </c>
      <c r="I1166">
        <v>3674.75</v>
      </c>
      <c r="J1166">
        <v>0</v>
      </c>
    </row>
    <row r="1167" spans="1:10" x14ac:dyDescent="0.35">
      <c r="A1167">
        <v>325602</v>
      </c>
      <c r="B1167" t="s">
        <v>20</v>
      </c>
      <c r="C1167">
        <v>2015</v>
      </c>
      <c r="D1167">
        <v>6</v>
      </c>
      <c r="E1167" t="s">
        <v>43</v>
      </c>
      <c r="F1167" t="s">
        <v>5</v>
      </c>
      <c r="G1167" t="s">
        <v>5</v>
      </c>
      <c r="H1167">
        <v>52182.46</v>
      </c>
      <c r="I1167">
        <v>12348.76</v>
      </c>
      <c r="J1167">
        <v>0</v>
      </c>
    </row>
    <row r="1168" spans="1:10" x14ac:dyDescent="0.35">
      <c r="A1168">
        <v>325609</v>
      </c>
      <c r="B1168" t="s">
        <v>20</v>
      </c>
      <c r="C1168">
        <v>2015</v>
      </c>
      <c r="D1168">
        <v>6</v>
      </c>
      <c r="E1168" t="s">
        <v>43</v>
      </c>
      <c r="F1168" t="s">
        <v>5</v>
      </c>
      <c r="G1168" t="s">
        <v>5</v>
      </c>
      <c r="H1168">
        <v>16211.8</v>
      </c>
      <c r="I1168">
        <v>4767.4799999999996</v>
      </c>
      <c r="J1168">
        <v>0</v>
      </c>
    </row>
    <row r="1169" spans="1:10" x14ac:dyDescent="0.35">
      <c r="A1169">
        <v>325612</v>
      </c>
      <c r="B1169" t="s">
        <v>20</v>
      </c>
      <c r="C1169">
        <v>2015</v>
      </c>
      <c r="D1169">
        <v>9</v>
      </c>
      <c r="E1169" t="s">
        <v>42</v>
      </c>
      <c r="F1169" t="s">
        <v>5</v>
      </c>
      <c r="G1169" t="s">
        <v>5</v>
      </c>
      <c r="H1169">
        <v>46025.22</v>
      </c>
      <c r="I1169">
        <v>14178.81</v>
      </c>
      <c r="J1169">
        <v>0</v>
      </c>
    </row>
    <row r="1170" spans="1:10" x14ac:dyDescent="0.35">
      <c r="A1170">
        <v>325614</v>
      </c>
      <c r="B1170" t="s">
        <v>20</v>
      </c>
      <c r="C1170">
        <v>2015</v>
      </c>
      <c r="D1170">
        <v>6</v>
      </c>
      <c r="E1170" t="s">
        <v>43</v>
      </c>
      <c r="F1170" t="s">
        <v>5</v>
      </c>
      <c r="G1170" t="s">
        <v>5</v>
      </c>
      <c r="H1170">
        <v>27167.82</v>
      </c>
      <c r="I1170">
        <v>4907.43</v>
      </c>
      <c r="J1170">
        <v>0</v>
      </c>
    </row>
    <row r="1171" spans="1:10" x14ac:dyDescent="0.35">
      <c r="A1171">
        <v>325615</v>
      </c>
      <c r="B1171" t="s">
        <v>20</v>
      </c>
      <c r="C1171">
        <v>2015</v>
      </c>
      <c r="D1171">
        <v>6</v>
      </c>
      <c r="E1171" t="s">
        <v>43</v>
      </c>
      <c r="F1171" t="s">
        <v>5</v>
      </c>
      <c r="G1171" t="s">
        <v>5</v>
      </c>
      <c r="H1171">
        <v>43067.3</v>
      </c>
      <c r="I1171">
        <v>18077.419999999998</v>
      </c>
      <c r="J1171">
        <v>0</v>
      </c>
    </row>
    <row r="1172" spans="1:10" x14ac:dyDescent="0.35">
      <c r="A1172">
        <v>325616</v>
      </c>
      <c r="B1172" t="s">
        <v>20</v>
      </c>
      <c r="C1172">
        <v>2015</v>
      </c>
      <c r="D1172">
        <v>9</v>
      </c>
      <c r="E1172" t="s">
        <v>42</v>
      </c>
      <c r="F1172" t="s">
        <v>5</v>
      </c>
      <c r="G1172" t="s">
        <v>5</v>
      </c>
      <c r="H1172">
        <v>17872.7</v>
      </c>
      <c r="I1172">
        <v>3322.11</v>
      </c>
      <c r="J1172">
        <v>0</v>
      </c>
    </row>
    <row r="1173" spans="1:10" x14ac:dyDescent="0.35">
      <c r="A1173">
        <v>325623</v>
      </c>
      <c r="B1173" t="s">
        <v>20</v>
      </c>
      <c r="C1173">
        <v>2015</v>
      </c>
      <c r="D1173">
        <v>6</v>
      </c>
      <c r="E1173" t="s">
        <v>43</v>
      </c>
      <c r="F1173" t="s">
        <v>5</v>
      </c>
      <c r="G1173" t="s">
        <v>5</v>
      </c>
      <c r="H1173">
        <v>27372.66</v>
      </c>
      <c r="I1173">
        <v>8354.84</v>
      </c>
      <c r="J1173">
        <v>0</v>
      </c>
    </row>
    <row r="1174" spans="1:10" x14ac:dyDescent="0.35">
      <c r="A1174">
        <v>325629</v>
      </c>
      <c r="B1174" t="s">
        <v>20</v>
      </c>
      <c r="C1174">
        <v>2015</v>
      </c>
      <c r="D1174">
        <v>9</v>
      </c>
      <c r="E1174" t="s">
        <v>42</v>
      </c>
      <c r="F1174" t="s">
        <v>5</v>
      </c>
      <c r="G1174" t="s">
        <v>5</v>
      </c>
      <c r="H1174">
        <v>16723.02</v>
      </c>
      <c r="I1174">
        <v>4723.07</v>
      </c>
      <c r="J1174">
        <v>0</v>
      </c>
    </row>
    <row r="1175" spans="1:10" x14ac:dyDescent="0.35">
      <c r="A1175">
        <v>325638</v>
      </c>
      <c r="B1175" t="s">
        <v>20</v>
      </c>
      <c r="C1175">
        <v>2015</v>
      </c>
      <c r="D1175">
        <v>6</v>
      </c>
      <c r="E1175" t="s">
        <v>43</v>
      </c>
      <c r="F1175" t="s">
        <v>5</v>
      </c>
      <c r="G1175" t="s">
        <v>5</v>
      </c>
      <c r="H1175">
        <v>55403.28</v>
      </c>
      <c r="I1175">
        <v>18768.7</v>
      </c>
      <c r="J1175">
        <v>0</v>
      </c>
    </row>
    <row r="1176" spans="1:10" x14ac:dyDescent="0.35">
      <c r="A1176">
        <v>325641</v>
      </c>
      <c r="B1176" t="s">
        <v>20</v>
      </c>
      <c r="C1176">
        <v>2015</v>
      </c>
      <c r="D1176">
        <v>6</v>
      </c>
      <c r="E1176" t="s">
        <v>43</v>
      </c>
      <c r="F1176" t="s">
        <v>5</v>
      </c>
      <c r="G1176" t="s">
        <v>5</v>
      </c>
      <c r="H1176">
        <v>21384.68</v>
      </c>
      <c r="I1176">
        <v>5906.59</v>
      </c>
      <c r="J1176">
        <v>0</v>
      </c>
    </row>
    <row r="1177" spans="1:10" x14ac:dyDescent="0.35">
      <c r="A1177">
        <v>325650</v>
      </c>
      <c r="B1177" t="s">
        <v>20</v>
      </c>
      <c r="C1177">
        <v>2015</v>
      </c>
      <c r="D1177">
        <v>9</v>
      </c>
      <c r="E1177" t="s">
        <v>42</v>
      </c>
      <c r="F1177" t="s">
        <v>5</v>
      </c>
      <c r="G1177" t="s">
        <v>5</v>
      </c>
      <c r="H1177">
        <v>19436.080000000002</v>
      </c>
      <c r="I1177">
        <v>5650.85</v>
      </c>
      <c r="J1177">
        <v>0</v>
      </c>
    </row>
    <row r="1178" spans="1:10" x14ac:dyDescent="0.35">
      <c r="A1178">
        <v>325651</v>
      </c>
      <c r="B1178" t="s">
        <v>20</v>
      </c>
      <c r="C1178">
        <v>2015</v>
      </c>
      <c r="D1178">
        <v>6</v>
      </c>
      <c r="E1178" t="s">
        <v>43</v>
      </c>
      <c r="F1178" t="s">
        <v>5</v>
      </c>
      <c r="G1178" t="s">
        <v>5</v>
      </c>
      <c r="H1178">
        <v>24708.86</v>
      </c>
      <c r="I1178">
        <v>7816.14</v>
      </c>
      <c r="J1178">
        <v>0</v>
      </c>
    </row>
    <row r="1179" spans="1:10" x14ac:dyDescent="0.35">
      <c r="A1179">
        <v>325658</v>
      </c>
      <c r="B1179" t="s">
        <v>20</v>
      </c>
      <c r="C1179">
        <v>2015</v>
      </c>
      <c r="D1179">
        <v>9</v>
      </c>
      <c r="E1179" t="s">
        <v>42</v>
      </c>
      <c r="F1179" t="s">
        <v>5</v>
      </c>
      <c r="G1179" t="s">
        <v>5</v>
      </c>
      <c r="H1179">
        <v>21257.4</v>
      </c>
      <c r="I1179">
        <v>4279.66</v>
      </c>
      <c r="J1179">
        <v>0</v>
      </c>
    </row>
    <row r="1180" spans="1:10" x14ac:dyDescent="0.35">
      <c r="A1180">
        <v>325663</v>
      </c>
      <c r="B1180" t="s">
        <v>20</v>
      </c>
      <c r="C1180">
        <v>2015</v>
      </c>
      <c r="D1180">
        <v>9</v>
      </c>
      <c r="E1180" t="s">
        <v>42</v>
      </c>
      <c r="F1180" t="s">
        <v>5</v>
      </c>
      <c r="G1180" t="s">
        <v>5</v>
      </c>
      <c r="H1180">
        <v>66925.179999999993</v>
      </c>
      <c r="I1180">
        <v>28272.03</v>
      </c>
      <c r="J1180">
        <v>0</v>
      </c>
    </row>
    <row r="1181" spans="1:10" x14ac:dyDescent="0.35">
      <c r="A1181">
        <v>325669</v>
      </c>
      <c r="B1181" t="s">
        <v>20</v>
      </c>
      <c r="C1181">
        <v>2015</v>
      </c>
      <c r="D1181">
        <v>9</v>
      </c>
      <c r="E1181" t="s">
        <v>42</v>
      </c>
      <c r="F1181" t="s">
        <v>5</v>
      </c>
      <c r="G1181" t="s">
        <v>5</v>
      </c>
      <c r="H1181">
        <v>61680.14</v>
      </c>
      <c r="I1181">
        <v>19424.55</v>
      </c>
      <c r="J1181">
        <v>0</v>
      </c>
    </row>
    <row r="1182" spans="1:10" x14ac:dyDescent="0.35">
      <c r="A1182">
        <v>325671</v>
      </c>
      <c r="B1182" t="s">
        <v>20</v>
      </c>
      <c r="C1182">
        <v>2015</v>
      </c>
      <c r="D1182">
        <v>9</v>
      </c>
      <c r="E1182" t="s">
        <v>42</v>
      </c>
      <c r="F1182" t="s">
        <v>5</v>
      </c>
      <c r="G1182" t="s">
        <v>5</v>
      </c>
      <c r="H1182">
        <v>28969.56</v>
      </c>
      <c r="I1182">
        <v>7773.73</v>
      </c>
      <c r="J1182">
        <v>0</v>
      </c>
    </row>
    <row r="1183" spans="1:10" x14ac:dyDescent="0.35">
      <c r="A1183">
        <v>325675</v>
      </c>
      <c r="B1183" t="s">
        <v>20</v>
      </c>
      <c r="C1183">
        <v>2015</v>
      </c>
      <c r="D1183">
        <v>6</v>
      </c>
      <c r="E1183" t="s">
        <v>43</v>
      </c>
      <c r="F1183" t="s">
        <v>5</v>
      </c>
      <c r="G1183" t="s">
        <v>5</v>
      </c>
      <c r="H1183">
        <v>17258.28</v>
      </c>
      <c r="I1183">
        <v>4427.9399999999996</v>
      </c>
      <c r="J1183">
        <v>0</v>
      </c>
    </row>
    <row r="1184" spans="1:10" x14ac:dyDescent="0.35">
      <c r="A1184">
        <v>325676</v>
      </c>
      <c r="B1184" t="s">
        <v>20</v>
      </c>
      <c r="C1184">
        <v>2015</v>
      </c>
      <c r="D1184">
        <v>6</v>
      </c>
      <c r="E1184" t="s">
        <v>43</v>
      </c>
      <c r="F1184" t="s">
        <v>5</v>
      </c>
      <c r="G1184" t="s">
        <v>5</v>
      </c>
      <c r="H1184">
        <v>20571.18</v>
      </c>
      <c r="I1184">
        <v>8696.9</v>
      </c>
      <c r="J1184">
        <v>0</v>
      </c>
    </row>
    <row r="1185" spans="1:10" x14ac:dyDescent="0.35">
      <c r="A1185">
        <v>325683</v>
      </c>
      <c r="B1185" t="s">
        <v>20</v>
      </c>
      <c r="C1185">
        <v>2015</v>
      </c>
      <c r="D1185">
        <v>6</v>
      </c>
      <c r="E1185" t="s">
        <v>43</v>
      </c>
      <c r="F1185" t="s">
        <v>5</v>
      </c>
      <c r="G1185" t="s">
        <v>5</v>
      </c>
      <c r="H1185">
        <v>21510.18</v>
      </c>
      <c r="I1185">
        <v>9862.73</v>
      </c>
      <c r="J1185">
        <v>0</v>
      </c>
    </row>
    <row r="1186" spans="1:10" x14ac:dyDescent="0.35">
      <c r="A1186">
        <v>325692</v>
      </c>
      <c r="B1186" t="s">
        <v>20</v>
      </c>
      <c r="C1186">
        <v>2015</v>
      </c>
      <c r="D1186">
        <v>9</v>
      </c>
      <c r="E1186" t="s">
        <v>42</v>
      </c>
      <c r="F1186" t="s">
        <v>5</v>
      </c>
      <c r="G1186" t="s">
        <v>5</v>
      </c>
      <c r="H1186">
        <v>26159.74</v>
      </c>
      <c r="I1186">
        <v>8417.19</v>
      </c>
      <c r="J1186">
        <v>0</v>
      </c>
    </row>
    <row r="1187" spans="1:10" x14ac:dyDescent="0.35">
      <c r="A1187">
        <v>325694</v>
      </c>
      <c r="B1187" t="s">
        <v>20</v>
      </c>
      <c r="C1187">
        <v>2015</v>
      </c>
      <c r="D1187">
        <v>6</v>
      </c>
      <c r="E1187" t="s">
        <v>43</v>
      </c>
      <c r="F1187" t="s">
        <v>5</v>
      </c>
      <c r="G1187" t="s">
        <v>5</v>
      </c>
      <c r="H1187">
        <v>12627.66</v>
      </c>
      <c r="I1187">
        <v>3284.83</v>
      </c>
      <c r="J1187">
        <v>0</v>
      </c>
    </row>
    <row r="1188" spans="1:10" x14ac:dyDescent="0.35">
      <c r="A1188">
        <v>325697</v>
      </c>
      <c r="B1188" t="s">
        <v>20</v>
      </c>
      <c r="C1188">
        <v>2015</v>
      </c>
      <c r="D1188">
        <v>9</v>
      </c>
      <c r="E1188" t="s">
        <v>42</v>
      </c>
      <c r="F1188" t="s">
        <v>5</v>
      </c>
      <c r="G1188" t="s">
        <v>5</v>
      </c>
      <c r="H1188">
        <v>14177.34</v>
      </c>
      <c r="I1188">
        <v>3142.48</v>
      </c>
      <c r="J1188">
        <v>0</v>
      </c>
    </row>
    <row r="1189" spans="1:10" x14ac:dyDescent="0.35">
      <c r="A1189">
        <v>325698</v>
      </c>
      <c r="B1189" t="s">
        <v>20</v>
      </c>
      <c r="C1189">
        <v>2015</v>
      </c>
      <c r="D1189">
        <v>6</v>
      </c>
      <c r="E1189" t="s">
        <v>43</v>
      </c>
      <c r="F1189" t="s">
        <v>5</v>
      </c>
      <c r="G1189" t="s">
        <v>5</v>
      </c>
      <c r="H1189">
        <v>48376.3</v>
      </c>
      <c r="I1189">
        <v>17904.45</v>
      </c>
      <c r="J1189">
        <v>0</v>
      </c>
    </row>
    <row r="1190" spans="1:10" x14ac:dyDescent="0.35">
      <c r="A1190">
        <v>325699</v>
      </c>
      <c r="B1190" t="s">
        <v>20</v>
      </c>
      <c r="C1190">
        <v>2015</v>
      </c>
      <c r="D1190">
        <v>6</v>
      </c>
      <c r="E1190" t="s">
        <v>43</v>
      </c>
      <c r="F1190" t="s">
        <v>5</v>
      </c>
      <c r="G1190" t="s">
        <v>5</v>
      </c>
      <c r="H1190">
        <v>16621.88</v>
      </c>
      <c r="I1190">
        <v>4989.8599999999997</v>
      </c>
      <c r="J1190">
        <v>0</v>
      </c>
    </row>
    <row r="1191" spans="1:10" x14ac:dyDescent="0.35">
      <c r="A1191">
        <v>325706</v>
      </c>
      <c r="B1191" t="s">
        <v>20</v>
      </c>
      <c r="C1191">
        <v>2015</v>
      </c>
      <c r="D1191">
        <v>6</v>
      </c>
      <c r="E1191" t="s">
        <v>43</v>
      </c>
      <c r="F1191" t="s">
        <v>5</v>
      </c>
      <c r="G1191" t="s">
        <v>5</v>
      </c>
      <c r="H1191">
        <v>13701.2</v>
      </c>
      <c r="I1191">
        <v>3195.48</v>
      </c>
      <c r="J1191">
        <v>0</v>
      </c>
    </row>
    <row r="1192" spans="1:10" x14ac:dyDescent="0.35">
      <c r="A1192">
        <v>325709</v>
      </c>
      <c r="B1192" t="s">
        <v>20</v>
      </c>
      <c r="C1192">
        <v>2015</v>
      </c>
      <c r="D1192">
        <v>9</v>
      </c>
      <c r="E1192" t="s">
        <v>42</v>
      </c>
      <c r="F1192" t="s">
        <v>5</v>
      </c>
      <c r="G1192" t="s">
        <v>5</v>
      </c>
      <c r="H1192">
        <v>20189.8</v>
      </c>
      <c r="I1192">
        <v>3200.94</v>
      </c>
      <c r="J1192">
        <v>0</v>
      </c>
    </row>
    <row r="1193" spans="1:10" x14ac:dyDescent="0.35">
      <c r="A1193">
        <v>325713</v>
      </c>
      <c r="B1193" t="s">
        <v>20</v>
      </c>
      <c r="C1193">
        <v>2015</v>
      </c>
      <c r="D1193">
        <v>6</v>
      </c>
      <c r="E1193" t="s">
        <v>43</v>
      </c>
      <c r="F1193" t="s">
        <v>5</v>
      </c>
      <c r="G1193" t="s">
        <v>5</v>
      </c>
      <c r="H1193">
        <v>51424.84</v>
      </c>
      <c r="I1193">
        <v>32334.41</v>
      </c>
      <c r="J1193">
        <v>0</v>
      </c>
    </row>
    <row r="1194" spans="1:10" x14ac:dyDescent="0.35">
      <c r="A1194">
        <v>325715</v>
      </c>
      <c r="B1194" t="s">
        <v>20</v>
      </c>
      <c r="C1194">
        <v>2015</v>
      </c>
      <c r="D1194">
        <v>9</v>
      </c>
      <c r="E1194" t="s">
        <v>42</v>
      </c>
      <c r="F1194" t="s">
        <v>5</v>
      </c>
      <c r="G1194" t="s">
        <v>5</v>
      </c>
      <c r="H1194">
        <v>10204.32</v>
      </c>
      <c r="I1194">
        <v>2792.34</v>
      </c>
      <c r="J1194">
        <v>0</v>
      </c>
    </row>
    <row r="1195" spans="1:10" x14ac:dyDescent="0.35">
      <c r="A1195">
        <v>325716</v>
      </c>
      <c r="B1195" t="s">
        <v>20</v>
      </c>
      <c r="C1195">
        <v>2015</v>
      </c>
      <c r="D1195">
        <v>9</v>
      </c>
      <c r="E1195" t="s">
        <v>42</v>
      </c>
      <c r="F1195" t="s">
        <v>5</v>
      </c>
      <c r="G1195" t="s">
        <v>5</v>
      </c>
      <c r="H1195">
        <v>17535.38</v>
      </c>
      <c r="I1195">
        <v>4827.79</v>
      </c>
      <c r="J1195">
        <v>0</v>
      </c>
    </row>
    <row r="1196" spans="1:10" x14ac:dyDescent="0.35">
      <c r="A1196">
        <v>325718</v>
      </c>
      <c r="B1196" t="s">
        <v>20</v>
      </c>
      <c r="C1196">
        <v>2015</v>
      </c>
      <c r="D1196">
        <v>9</v>
      </c>
      <c r="E1196" t="s">
        <v>42</v>
      </c>
      <c r="F1196" t="s">
        <v>5</v>
      </c>
      <c r="G1196" t="s">
        <v>5</v>
      </c>
      <c r="H1196">
        <v>29849.54</v>
      </c>
      <c r="I1196">
        <v>12161.11</v>
      </c>
      <c r="J1196">
        <v>0</v>
      </c>
    </row>
    <row r="1197" spans="1:10" x14ac:dyDescent="0.35">
      <c r="A1197">
        <v>325722</v>
      </c>
      <c r="B1197" t="s">
        <v>20</v>
      </c>
      <c r="C1197">
        <v>2015</v>
      </c>
      <c r="D1197">
        <v>9</v>
      </c>
      <c r="E1197" t="s">
        <v>42</v>
      </c>
      <c r="F1197" t="s">
        <v>5</v>
      </c>
      <c r="G1197" t="s">
        <v>5</v>
      </c>
      <c r="H1197">
        <v>19975.84</v>
      </c>
      <c r="I1197">
        <v>3434.69</v>
      </c>
      <c r="J1197">
        <v>0</v>
      </c>
    </row>
    <row r="1198" spans="1:10" x14ac:dyDescent="0.35">
      <c r="A1198">
        <v>325736</v>
      </c>
      <c r="B1198" t="s">
        <v>20</v>
      </c>
      <c r="C1198">
        <v>2015</v>
      </c>
      <c r="D1198">
        <v>6</v>
      </c>
      <c r="E1198" t="s">
        <v>43</v>
      </c>
      <c r="F1198" t="s">
        <v>5</v>
      </c>
      <c r="G1198" t="s">
        <v>5</v>
      </c>
      <c r="H1198">
        <v>33588.76</v>
      </c>
      <c r="I1198">
        <v>10287.629999999999</v>
      </c>
      <c r="J1198">
        <v>0</v>
      </c>
    </row>
    <row r="1199" spans="1:10" x14ac:dyDescent="0.35">
      <c r="A1199">
        <v>325738</v>
      </c>
      <c r="B1199" t="s">
        <v>20</v>
      </c>
      <c r="C1199">
        <v>2015</v>
      </c>
      <c r="D1199">
        <v>6</v>
      </c>
      <c r="E1199" t="s">
        <v>43</v>
      </c>
      <c r="F1199" t="s">
        <v>5</v>
      </c>
      <c r="G1199" t="s">
        <v>5</v>
      </c>
      <c r="H1199">
        <v>23323.72</v>
      </c>
      <c r="I1199">
        <v>5238.08</v>
      </c>
      <c r="J1199">
        <v>0</v>
      </c>
    </row>
    <row r="1200" spans="1:10" x14ac:dyDescent="0.35">
      <c r="A1200">
        <v>325742</v>
      </c>
      <c r="B1200" t="s">
        <v>20</v>
      </c>
      <c r="C1200">
        <v>2015</v>
      </c>
      <c r="D1200">
        <v>9</v>
      </c>
      <c r="E1200" t="s">
        <v>42</v>
      </c>
      <c r="F1200" t="s">
        <v>5</v>
      </c>
      <c r="G1200" t="s">
        <v>5</v>
      </c>
      <c r="H1200">
        <v>8235.52</v>
      </c>
      <c r="I1200">
        <v>2389.5</v>
      </c>
      <c r="J1200">
        <v>0</v>
      </c>
    </row>
    <row r="1201" spans="1:10" x14ac:dyDescent="0.35">
      <c r="A1201">
        <v>325743</v>
      </c>
      <c r="B1201" t="s">
        <v>20</v>
      </c>
      <c r="C1201">
        <v>2015</v>
      </c>
      <c r="D1201">
        <v>9</v>
      </c>
      <c r="E1201" t="s">
        <v>42</v>
      </c>
      <c r="F1201" t="s">
        <v>5</v>
      </c>
      <c r="G1201" t="s">
        <v>5</v>
      </c>
      <c r="H1201">
        <v>24877.360000000001</v>
      </c>
      <c r="I1201">
        <v>9199.11</v>
      </c>
      <c r="J1201">
        <v>0</v>
      </c>
    </row>
    <row r="1202" spans="1:10" x14ac:dyDescent="0.35">
      <c r="A1202">
        <v>325748</v>
      </c>
      <c r="B1202" t="s">
        <v>20</v>
      </c>
      <c r="C1202">
        <v>2015</v>
      </c>
      <c r="D1202">
        <v>9</v>
      </c>
      <c r="E1202" t="s">
        <v>42</v>
      </c>
      <c r="F1202" t="s">
        <v>5</v>
      </c>
      <c r="G1202" t="s">
        <v>5</v>
      </c>
      <c r="H1202">
        <v>29684.52</v>
      </c>
      <c r="I1202">
        <v>8835.17</v>
      </c>
      <c r="J1202">
        <v>0</v>
      </c>
    </row>
    <row r="1203" spans="1:10" x14ac:dyDescent="0.35">
      <c r="A1203">
        <v>325760</v>
      </c>
      <c r="B1203" t="s">
        <v>20</v>
      </c>
      <c r="C1203">
        <v>2015</v>
      </c>
      <c r="D1203">
        <v>9</v>
      </c>
      <c r="E1203" t="s">
        <v>42</v>
      </c>
      <c r="F1203" t="s">
        <v>5</v>
      </c>
      <c r="G1203" t="s">
        <v>5</v>
      </c>
      <c r="H1203">
        <v>34013.22</v>
      </c>
      <c r="I1203">
        <v>9863.2999999999993</v>
      </c>
      <c r="J1203">
        <v>0</v>
      </c>
    </row>
    <row r="1204" spans="1:10" x14ac:dyDescent="0.35">
      <c r="A1204">
        <v>325764</v>
      </c>
      <c r="B1204" t="s">
        <v>20</v>
      </c>
      <c r="C1204">
        <v>2015</v>
      </c>
      <c r="D1204">
        <v>9</v>
      </c>
      <c r="E1204" t="s">
        <v>42</v>
      </c>
      <c r="F1204" t="s">
        <v>5</v>
      </c>
      <c r="G1204" t="s">
        <v>5</v>
      </c>
      <c r="H1204">
        <v>60649.58</v>
      </c>
      <c r="I1204">
        <v>17707.509999999998</v>
      </c>
      <c r="J1204">
        <v>0</v>
      </c>
    </row>
    <row r="1205" spans="1:10" x14ac:dyDescent="0.35">
      <c r="A1205">
        <v>325766</v>
      </c>
      <c r="B1205" t="s">
        <v>20</v>
      </c>
      <c r="C1205">
        <v>2015</v>
      </c>
      <c r="D1205">
        <v>9</v>
      </c>
      <c r="E1205" t="s">
        <v>42</v>
      </c>
      <c r="F1205" t="s">
        <v>5</v>
      </c>
      <c r="G1205" t="s">
        <v>5</v>
      </c>
      <c r="H1205">
        <v>16853.62</v>
      </c>
      <c r="I1205">
        <v>3175.04</v>
      </c>
      <c r="J1205">
        <v>0</v>
      </c>
    </row>
    <row r="1206" spans="1:10" x14ac:dyDescent="0.35">
      <c r="A1206">
        <v>325768</v>
      </c>
      <c r="B1206" t="s">
        <v>20</v>
      </c>
      <c r="C1206">
        <v>2015</v>
      </c>
      <c r="D1206">
        <v>9</v>
      </c>
      <c r="E1206" t="s">
        <v>42</v>
      </c>
      <c r="F1206" t="s">
        <v>5</v>
      </c>
      <c r="G1206" t="s">
        <v>5</v>
      </c>
      <c r="H1206">
        <v>11300.28</v>
      </c>
      <c r="I1206">
        <v>3020.26</v>
      </c>
      <c r="J1206">
        <v>0</v>
      </c>
    </row>
    <row r="1207" spans="1:10" x14ac:dyDescent="0.35">
      <c r="A1207">
        <v>325778</v>
      </c>
      <c r="B1207" t="s">
        <v>20</v>
      </c>
      <c r="C1207">
        <v>2015</v>
      </c>
      <c r="D1207">
        <v>6</v>
      </c>
      <c r="E1207" t="s">
        <v>43</v>
      </c>
      <c r="F1207" t="s">
        <v>5</v>
      </c>
      <c r="G1207" t="s">
        <v>5</v>
      </c>
      <c r="H1207">
        <v>11670.78</v>
      </c>
      <c r="I1207">
        <v>3042.14</v>
      </c>
      <c r="J1207">
        <v>0</v>
      </c>
    </row>
    <row r="1208" spans="1:10" x14ac:dyDescent="0.35">
      <c r="A1208">
        <v>325787</v>
      </c>
      <c r="B1208" t="s">
        <v>20</v>
      </c>
      <c r="C1208">
        <v>2015</v>
      </c>
      <c r="D1208">
        <v>9</v>
      </c>
      <c r="E1208" t="s">
        <v>42</v>
      </c>
      <c r="F1208" t="s">
        <v>5</v>
      </c>
      <c r="G1208" t="s">
        <v>5</v>
      </c>
      <c r="H1208">
        <v>10484.120000000001</v>
      </c>
      <c r="I1208">
        <v>2834.01</v>
      </c>
      <c r="J1208">
        <v>0</v>
      </c>
    </row>
    <row r="1209" spans="1:10" x14ac:dyDescent="0.35">
      <c r="A1209">
        <v>325789</v>
      </c>
      <c r="B1209" t="s">
        <v>20</v>
      </c>
      <c r="C1209">
        <v>2015</v>
      </c>
      <c r="D1209">
        <v>6</v>
      </c>
      <c r="E1209" t="s">
        <v>43</v>
      </c>
      <c r="F1209" t="s">
        <v>5</v>
      </c>
      <c r="G1209" t="s">
        <v>5</v>
      </c>
      <c r="H1209">
        <v>9591.84</v>
      </c>
      <c r="I1209">
        <v>2772.09</v>
      </c>
      <c r="J1209">
        <v>0</v>
      </c>
    </row>
    <row r="1210" spans="1:10" x14ac:dyDescent="0.35">
      <c r="A1210">
        <v>325790</v>
      </c>
      <c r="B1210" t="s">
        <v>20</v>
      </c>
      <c r="C1210">
        <v>2015</v>
      </c>
      <c r="D1210">
        <v>9</v>
      </c>
      <c r="E1210" t="s">
        <v>42</v>
      </c>
      <c r="F1210" t="s">
        <v>5</v>
      </c>
      <c r="G1210" t="s">
        <v>5</v>
      </c>
      <c r="H1210">
        <v>32211.8</v>
      </c>
      <c r="I1210">
        <v>12509.78</v>
      </c>
      <c r="J1210">
        <v>0</v>
      </c>
    </row>
    <row r="1211" spans="1:10" x14ac:dyDescent="0.35">
      <c r="A1211">
        <v>325795</v>
      </c>
      <c r="B1211" t="s">
        <v>20</v>
      </c>
      <c r="C1211">
        <v>2015</v>
      </c>
      <c r="D1211">
        <v>9</v>
      </c>
      <c r="E1211" t="s">
        <v>42</v>
      </c>
      <c r="F1211" t="s">
        <v>5</v>
      </c>
      <c r="G1211" t="s">
        <v>5</v>
      </c>
      <c r="H1211">
        <v>28185.9</v>
      </c>
      <c r="I1211">
        <v>11152.24</v>
      </c>
      <c r="J1211">
        <v>0</v>
      </c>
    </row>
    <row r="1212" spans="1:10" x14ac:dyDescent="0.35">
      <c r="A1212">
        <v>325797</v>
      </c>
      <c r="B1212" t="s">
        <v>20</v>
      </c>
      <c r="C1212">
        <v>2015</v>
      </c>
      <c r="D1212">
        <v>6</v>
      </c>
      <c r="E1212" t="s">
        <v>43</v>
      </c>
      <c r="F1212" t="s">
        <v>5</v>
      </c>
      <c r="G1212" t="s">
        <v>5</v>
      </c>
      <c r="H1212">
        <v>24828.799999999999</v>
      </c>
      <c r="I1212">
        <v>9960.5499999999993</v>
      </c>
      <c r="J1212">
        <v>0</v>
      </c>
    </row>
    <row r="1213" spans="1:10" x14ac:dyDescent="0.35">
      <c r="A1213">
        <v>325798</v>
      </c>
      <c r="B1213" t="s">
        <v>20</v>
      </c>
      <c r="C1213">
        <v>2015</v>
      </c>
      <c r="D1213">
        <v>6</v>
      </c>
      <c r="E1213" t="s">
        <v>43</v>
      </c>
      <c r="F1213" t="s">
        <v>5</v>
      </c>
      <c r="G1213" t="s">
        <v>5</v>
      </c>
      <c r="H1213">
        <v>22698.78</v>
      </c>
      <c r="I1213">
        <v>7181.68</v>
      </c>
      <c r="J1213">
        <v>0</v>
      </c>
    </row>
    <row r="1214" spans="1:10" x14ac:dyDescent="0.35">
      <c r="A1214">
        <v>325803</v>
      </c>
      <c r="B1214" t="s">
        <v>20</v>
      </c>
      <c r="C1214">
        <v>2015</v>
      </c>
      <c r="D1214">
        <v>6</v>
      </c>
      <c r="E1214" t="s">
        <v>43</v>
      </c>
      <c r="F1214" t="s">
        <v>5</v>
      </c>
      <c r="G1214" t="s">
        <v>5</v>
      </c>
      <c r="H1214">
        <v>31776.38</v>
      </c>
      <c r="I1214">
        <v>9402.09</v>
      </c>
      <c r="J1214">
        <v>0</v>
      </c>
    </row>
    <row r="1215" spans="1:10" x14ac:dyDescent="0.35">
      <c r="A1215">
        <v>325808</v>
      </c>
      <c r="B1215" t="s">
        <v>20</v>
      </c>
      <c r="C1215">
        <v>2015</v>
      </c>
      <c r="D1215">
        <v>6</v>
      </c>
      <c r="E1215" t="s">
        <v>43</v>
      </c>
      <c r="F1215" t="s">
        <v>5</v>
      </c>
      <c r="G1215" t="s">
        <v>5</v>
      </c>
      <c r="H1215">
        <v>7467.58</v>
      </c>
      <c r="I1215">
        <v>2075.9299999999998</v>
      </c>
      <c r="J1215">
        <v>0</v>
      </c>
    </row>
    <row r="1216" spans="1:10" x14ac:dyDescent="0.35">
      <c r="A1216">
        <v>325827</v>
      </c>
      <c r="B1216" t="s">
        <v>20</v>
      </c>
      <c r="C1216">
        <v>2015</v>
      </c>
      <c r="D1216">
        <v>6</v>
      </c>
      <c r="E1216" t="s">
        <v>43</v>
      </c>
      <c r="F1216" t="s">
        <v>5</v>
      </c>
      <c r="G1216" t="s">
        <v>5</v>
      </c>
      <c r="H1216">
        <v>29524.54</v>
      </c>
      <c r="I1216">
        <v>14317.49</v>
      </c>
      <c r="J1216">
        <v>0</v>
      </c>
    </row>
    <row r="1217" spans="1:10" x14ac:dyDescent="0.35">
      <c r="A1217">
        <v>325828</v>
      </c>
      <c r="B1217" t="s">
        <v>20</v>
      </c>
      <c r="C1217">
        <v>2015</v>
      </c>
      <c r="D1217">
        <v>9</v>
      </c>
      <c r="E1217" t="s">
        <v>42</v>
      </c>
      <c r="F1217" t="s">
        <v>5</v>
      </c>
      <c r="G1217" t="s">
        <v>5</v>
      </c>
      <c r="H1217">
        <v>15832.7</v>
      </c>
      <c r="I1217">
        <v>2985.32</v>
      </c>
      <c r="J1217">
        <v>0</v>
      </c>
    </row>
    <row r="1218" spans="1:10" x14ac:dyDescent="0.35">
      <c r="A1218">
        <v>325830</v>
      </c>
      <c r="B1218" t="s">
        <v>20</v>
      </c>
      <c r="C1218">
        <v>2015</v>
      </c>
      <c r="D1218">
        <v>6</v>
      </c>
      <c r="E1218" t="s">
        <v>43</v>
      </c>
      <c r="F1218" t="s">
        <v>5</v>
      </c>
      <c r="G1218" t="s">
        <v>5</v>
      </c>
      <c r="H1218">
        <v>9275.02</v>
      </c>
      <c r="I1218">
        <v>2472.33</v>
      </c>
      <c r="J1218">
        <v>0</v>
      </c>
    </row>
    <row r="1219" spans="1:10" x14ac:dyDescent="0.35">
      <c r="A1219">
        <v>325836</v>
      </c>
      <c r="B1219" t="s">
        <v>20</v>
      </c>
      <c r="C1219">
        <v>2015</v>
      </c>
      <c r="D1219">
        <v>6</v>
      </c>
      <c r="E1219" t="s">
        <v>43</v>
      </c>
      <c r="F1219" t="s">
        <v>5</v>
      </c>
      <c r="G1219" t="s">
        <v>5</v>
      </c>
      <c r="H1219">
        <v>23532.58</v>
      </c>
      <c r="I1219">
        <v>9723.7199999999993</v>
      </c>
      <c r="J1219">
        <v>0</v>
      </c>
    </row>
    <row r="1220" spans="1:10" x14ac:dyDescent="0.35">
      <c r="A1220">
        <v>325840</v>
      </c>
      <c r="B1220" t="s">
        <v>20</v>
      </c>
      <c r="C1220">
        <v>2015</v>
      </c>
      <c r="D1220">
        <v>9</v>
      </c>
      <c r="E1220" t="s">
        <v>42</v>
      </c>
      <c r="F1220" t="s">
        <v>5</v>
      </c>
      <c r="G1220" t="s">
        <v>5</v>
      </c>
      <c r="H1220">
        <v>41637.54</v>
      </c>
      <c r="I1220">
        <v>16293.52</v>
      </c>
      <c r="J1220">
        <v>0</v>
      </c>
    </row>
    <row r="1221" spans="1:10" x14ac:dyDescent="0.35">
      <c r="A1221">
        <v>325853</v>
      </c>
      <c r="B1221" t="s">
        <v>20</v>
      </c>
      <c r="C1221">
        <v>2015</v>
      </c>
      <c r="D1221">
        <v>6</v>
      </c>
      <c r="E1221" t="s">
        <v>43</v>
      </c>
      <c r="F1221" t="s">
        <v>5</v>
      </c>
      <c r="G1221" t="s">
        <v>5</v>
      </c>
      <c r="H1221">
        <v>16414.28</v>
      </c>
      <c r="I1221">
        <v>4664.66</v>
      </c>
      <c r="J1221">
        <v>0</v>
      </c>
    </row>
    <row r="1222" spans="1:10" x14ac:dyDescent="0.35">
      <c r="A1222">
        <v>325854</v>
      </c>
      <c r="B1222" t="s">
        <v>20</v>
      </c>
      <c r="C1222">
        <v>2015</v>
      </c>
      <c r="D1222">
        <v>9</v>
      </c>
      <c r="E1222" t="s">
        <v>42</v>
      </c>
      <c r="F1222" t="s">
        <v>5</v>
      </c>
      <c r="G1222" t="s">
        <v>5</v>
      </c>
      <c r="H1222">
        <v>41283.699999999997</v>
      </c>
      <c r="I1222">
        <v>14283.27</v>
      </c>
      <c r="J1222">
        <v>0</v>
      </c>
    </row>
    <row r="1223" spans="1:10" x14ac:dyDescent="0.35">
      <c r="A1223">
        <v>325857</v>
      </c>
      <c r="B1223" t="s">
        <v>20</v>
      </c>
      <c r="C1223">
        <v>2015</v>
      </c>
      <c r="D1223">
        <v>9</v>
      </c>
      <c r="E1223" t="s">
        <v>42</v>
      </c>
      <c r="F1223" t="s">
        <v>5</v>
      </c>
      <c r="G1223" t="s">
        <v>5</v>
      </c>
      <c r="H1223">
        <v>67092.479999999996</v>
      </c>
      <c r="I1223">
        <v>27493.63</v>
      </c>
      <c r="J1223">
        <v>0</v>
      </c>
    </row>
    <row r="1224" spans="1:10" x14ac:dyDescent="0.35">
      <c r="A1224">
        <v>325858</v>
      </c>
      <c r="B1224" t="s">
        <v>20</v>
      </c>
      <c r="C1224">
        <v>2015</v>
      </c>
      <c r="D1224">
        <v>9</v>
      </c>
      <c r="E1224" t="s">
        <v>42</v>
      </c>
      <c r="F1224" t="s">
        <v>5</v>
      </c>
      <c r="G1224" t="s">
        <v>5</v>
      </c>
      <c r="H1224">
        <v>67968.5</v>
      </c>
      <c r="I1224">
        <v>24405.51</v>
      </c>
      <c r="J1224">
        <v>0</v>
      </c>
    </row>
    <row r="1225" spans="1:10" x14ac:dyDescent="0.35">
      <c r="A1225">
        <v>325864</v>
      </c>
      <c r="B1225" t="s">
        <v>20</v>
      </c>
      <c r="C1225">
        <v>2015</v>
      </c>
      <c r="D1225">
        <v>9</v>
      </c>
      <c r="E1225" t="s">
        <v>42</v>
      </c>
      <c r="F1225" t="s">
        <v>5</v>
      </c>
      <c r="G1225" t="s">
        <v>5</v>
      </c>
      <c r="H1225">
        <v>194895.24</v>
      </c>
      <c r="I1225">
        <v>161849.5</v>
      </c>
      <c r="J1225">
        <v>0</v>
      </c>
    </row>
    <row r="1226" spans="1:10" x14ac:dyDescent="0.35">
      <c r="A1226">
        <v>325873</v>
      </c>
      <c r="B1226" t="s">
        <v>20</v>
      </c>
      <c r="C1226">
        <v>2015</v>
      </c>
      <c r="D1226">
        <v>6</v>
      </c>
      <c r="E1226" t="s">
        <v>43</v>
      </c>
      <c r="F1226" t="s">
        <v>5</v>
      </c>
      <c r="G1226" t="s">
        <v>5</v>
      </c>
      <c r="H1226">
        <v>128908.38</v>
      </c>
      <c r="I1226">
        <v>50027.01</v>
      </c>
      <c r="J1226">
        <v>0</v>
      </c>
    </row>
    <row r="1227" spans="1:10" x14ac:dyDescent="0.35">
      <c r="A1227">
        <v>325874</v>
      </c>
      <c r="B1227" t="s">
        <v>20</v>
      </c>
      <c r="C1227">
        <v>2015</v>
      </c>
      <c r="D1227">
        <v>6</v>
      </c>
      <c r="E1227" t="s">
        <v>43</v>
      </c>
      <c r="F1227" t="s">
        <v>5</v>
      </c>
      <c r="G1227" t="s">
        <v>5</v>
      </c>
      <c r="H1227">
        <v>10726</v>
      </c>
      <c r="I1227">
        <v>3320.16</v>
      </c>
      <c r="J1227">
        <v>0</v>
      </c>
    </row>
    <row r="1228" spans="1:10" x14ac:dyDescent="0.35">
      <c r="A1228">
        <v>325883</v>
      </c>
      <c r="B1228" t="s">
        <v>20</v>
      </c>
      <c r="C1228">
        <v>2015</v>
      </c>
      <c r="D1228">
        <v>9</v>
      </c>
      <c r="E1228" t="s">
        <v>42</v>
      </c>
      <c r="F1228" t="s">
        <v>5</v>
      </c>
      <c r="G1228" t="s">
        <v>5</v>
      </c>
      <c r="H1228">
        <v>41905.120000000003</v>
      </c>
      <c r="I1228">
        <v>21473.88</v>
      </c>
      <c r="J1228">
        <v>0</v>
      </c>
    </row>
    <row r="1229" spans="1:10" x14ac:dyDescent="0.35">
      <c r="A1229">
        <v>325892</v>
      </c>
      <c r="B1229" t="s">
        <v>20</v>
      </c>
      <c r="C1229">
        <v>2015</v>
      </c>
      <c r="D1229">
        <v>6</v>
      </c>
      <c r="E1229" t="s">
        <v>43</v>
      </c>
      <c r="F1229" t="s">
        <v>5</v>
      </c>
      <c r="G1229" t="s">
        <v>5</v>
      </c>
      <c r="H1229">
        <v>15956.78</v>
      </c>
      <c r="I1229">
        <v>6033.5</v>
      </c>
      <c r="J1229">
        <v>0</v>
      </c>
    </row>
    <row r="1230" spans="1:10" x14ac:dyDescent="0.35">
      <c r="A1230">
        <v>325899</v>
      </c>
      <c r="B1230" t="s">
        <v>20</v>
      </c>
      <c r="C1230">
        <v>2015</v>
      </c>
      <c r="D1230">
        <v>6</v>
      </c>
      <c r="E1230" t="s">
        <v>43</v>
      </c>
      <c r="F1230" t="s">
        <v>5</v>
      </c>
      <c r="G1230" t="s">
        <v>5</v>
      </c>
      <c r="H1230">
        <v>32061.82</v>
      </c>
      <c r="I1230">
        <v>15196.17</v>
      </c>
      <c r="J1230">
        <v>0</v>
      </c>
    </row>
    <row r="1231" spans="1:10" x14ac:dyDescent="0.35">
      <c r="A1231">
        <v>325905</v>
      </c>
      <c r="B1231" t="s">
        <v>20</v>
      </c>
      <c r="C1231">
        <v>2015</v>
      </c>
      <c r="D1231">
        <v>6</v>
      </c>
      <c r="E1231" t="s">
        <v>43</v>
      </c>
      <c r="F1231" t="s">
        <v>5</v>
      </c>
      <c r="G1231" t="s">
        <v>5</v>
      </c>
      <c r="H1231">
        <v>10608.94</v>
      </c>
      <c r="I1231">
        <v>3067.57</v>
      </c>
      <c r="J1231">
        <v>0</v>
      </c>
    </row>
    <row r="1232" spans="1:10" x14ac:dyDescent="0.35">
      <c r="A1232">
        <v>325908</v>
      </c>
      <c r="B1232" t="s">
        <v>20</v>
      </c>
      <c r="C1232">
        <v>2015</v>
      </c>
      <c r="D1232">
        <v>9</v>
      </c>
      <c r="E1232" t="s">
        <v>42</v>
      </c>
      <c r="F1232" t="s">
        <v>5</v>
      </c>
      <c r="G1232" t="s">
        <v>5</v>
      </c>
      <c r="H1232">
        <v>39132.699999999997</v>
      </c>
      <c r="I1232">
        <v>10850.19</v>
      </c>
      <c r="J1232">
        <v>0</v>
      </c>
    </row>
    <row r="1233" spans="1:10" x14ac:dyDescent="0.35">
      <c r="A1233">
        <v>325910</v>
      </c>
      <c r="B1233" t="s">
        <v>20</v>
      </c>
      <c r="C1233">
        <v>2015</v>
      </c>
      <c r="D1233">
        <v>9</v>
      </c>
      <c r="E1233" t="s">
        <v>42</v>
      </c>
      <c r="F1233" t="s">
        <v>5</v>
      </c>
      <c r="G1233" t="s">
        <v>5</v>
      </c>
      <c r="H1233">
        <v>17148.060000000001</v>
      </c>
      <c r="I1233">
        <v>3660.5</v>
      </c>
      <c r="J1233">
        <v>0</v>
      </c>
    </row>
    <row r="1234" spans="1:10" x14ac:dyDescent="0.35">
      <c r="A1234">
        <v>325911</v>
      </c>
      <c r="B1234" t="s">
        <v>20</v>
      </c>
      <c r="C1234">
        <v>2015</v>
      </c>
      <c r="D1234">
        <v>9</v>
      </c>
      <c r="E1234" t="s">
        <v>42</v>
      </c>
      <c r="F1234" t="s">
        <v>5</v>
      </c>
      <c r="G1234" t="s">
        <v>5</v>
      </c>
      <c r="H1234">
        <v>23617.119999999999</v>
      </c>
      <c r="I1234">
        <v>7189.29</v>
      </c>
      <c r="J1234">
        <v>0</v>
      </c>
    </row>
    <row r="1235" spans="1:10" x14ac:dyDescent="0.35">
      <c r="A1235">
        <v>325912</v>
      </c>
      <c r="B1235" t="s">
        <v>20</v>
      </c>
      <c r="C1235">
        <v>2015</v>
      </c>
      <c r="D1235">
        <v>6</v>
      </c>
      <c r="E1235" t="s">
        <v>43</v>
      </c>
      <c r="F1235" t="s">
        <v>5</v>
      </c>
      <c r="G1235" t="s">
        <v>5</v>
      </c>
      <c r="H1235">
        <v>15355.98</v>
      </c>
      <c r="I1235">
        <v>5056.43</v>
      </c>
      <c r="J1235">
        <v>0</v>
      </c>
    </row>
    <row r="1236" spans="1:10" x14ac:dyDescent="0.35">
      <c r="A1236">
        <v>325916</v>
      </c>
      <c r="B1236" t="s">
        <v>20</v>
      </c>
      <c r="C1236">
        <v>2015</v>
      </c>
      <c r="D1236">
        <v>6</v>
      </c>
      <c r="E1236" t="s">
        <v>43</v>
      </c>
      <c r="F1236" t="s">
        <v>5</v>
      </c>
      <c r="G1236" t="s">
        <v>5</v>
      </c>
      <c r="H1236">
        <v>17997.7</v>
      </c>
      <c r="I1236">
        <v>5271.18</v>
      </c>
      <c r="J1236">
        <v>0</v>
      </c>
    </row>
    <row r="1237" spans="1:10" x14ac:dyDescent="0.35">
      <c r="A1237">
        <v>325928</v>
      </c>
      <c r="B1237" t="s">
        <v>20</v>
      </c>
      <c r="C1237">
        <v>2015</v>
      </c>
      <c r="D1237">
        <v>6</v>
      </c>
      <c r="E1237" t="s">
        <v>43</v>
      </c>
      <c r="F1237" t="s">
        <v>5</v>
      </c>
      <c r="G1237" t="s">
        <v>5</v>
      </c>
      <c r="H1237">
        <v>53930.96</v>
      </c>
      <c r="I1237">
        <v>31194.84</v>
      </c>
      <c r="J1237">
        <v>0</v>
      </c>
    </row>
    <row r="1238" spans="1:10" x14ac:dyDescent="0.35">
      <c r="A1238">
        <v>325929</v>
      </c>
      <c r="B1238" t="s">
        <v>20</v>
      </c>
      <c r="C1238">
        <v>2015</v>
      </c>
      <c r="D1238">
        <v>9</v>
      </c>
      <c r="E1238" t="s">
        <v>42</v>
      </c>
      <c r="F1238" t="s">
        <v>5</v>
      </c>
      <c r="G1238" t="s">
        <v>5</v>
      </c>
      <c r="H1238">
        <v>16749.599999999999</v>
      </c>
      <c r="I1238">
        <v>4745.83</v>
      </c>
      <c r="J1238">
        <v>0</v>
      </c>
    </row>
    <row r="1239" spans="1:10" x14ac:dyDescent="0.35">
      <c r="A1239">
        <v>325932</v>
      </c>
      <c r="B1239" t="s">
        <v>20</v>
      </c>
      <c r="C1239">
        <v>2015</v>
      </c>
      <c r="D1239">
        <v>6</v>
      </c>
      <c r="E1239" t="s">
        <v>43</v>
      </c>
      <c r="F1239" t="s">
        <v>5</v>
      </c>
      <c r="G1239" t="s">
        <v>5</v>
      </c>
      <c r="H1239">
        <v>17780.12</v>
      </c>
      <c r="I1239">
        <v>3538.97</v>
      </c>
      <c r="J1239">
        <v>0</v>
      </c>
    </row>
    <row r="1240" spans="1:10" x14ac:dyDescent="0.35">
      <c r="A1240">
        <v>325934</v>
      </c>
      <c r="B1240" t="s">
        <v>20</v>
      </c>
      <c r="C1240">
        <v>2015</v>
      </c>
      <c r="D1240">
        <v>6</v>
      </c>
      <c r="E1240" t="s">
        <v>43</v>
      </c>
      <c r="F1240" t="s">
        <v>5</v>
      </c>
      <c r="G1240" t="s">
        <v>5</v>
      </c>
      <c r="H1240">
        <v>12936.34</v>
      </c>
      <c r="I1240">
        <v>3045.97</v>
      </c>
      <c r="J1240">
        <v>0</v>
      </c>
    </row>
    <row r="1241" spans="1:10" x14ac:dyDescent="0.35">
      <c r="A1241">
        <v>325942</v>
      </c>
      <c r="B1241" t="s">
        <v>20</v>
      </c>
      <c r="C1241">
        <v>2015</v>
      </c>
      <c r="D1241">
        <v>9</v>
      </c>
      <c r="E1241" t="s">
        <v>42</v>
      </c>
      <c r="F1241" t="s">
        <v>5</v>
      </c>
      <c r="G1241" t="s">
        <v>5</v>
      </c>
      <c r="H1241">
        <v>29174.9</v>
      </c>
      <c r="I1241">
        <v>7899.44</v>
      </c>
      <c r="J1241">
        <v>0</v>
      </c>
    </row>
    <row r="1242" spans="1:10" x14ac:dyDescent="0.35">
      <c r="A1242">
        <v>325943</v>
      </c>
      <c r="B1242" t="s">
        <v>20</v>
      </c>
      <c r="C1242">
        <v>2015</v>
      </c>
      <c r="D1242">
        <v>6</v>
      </c>
      <c r="E1242" t="s">
        <v>43</v>
      </c>
      <c r="F1242" t="s">
        <v>5</v>
      </c>
      <c r="G1242" t="s">
        <v>5</v>
      </c>
      <c r="H1242">
        <v>18409</v>
      </c>
      <c r="I1242">
        <v>6023.24</v>
      </c>
      <c r="J1242">
        <v>0</v>
      </c>
    </row>
    <row r="1243" spans="1:10" x14ac:dyDescent="0.35">
      <c r="A1243">
        <v>325944</v>
      </c>
      <c r="B1243" t="s">
        <v>20</v>
      </c>
      <c r="C1243">
        <v>2015</v>
      </c>
      <c r="D1243">
        <v>9</v>
      </c>
      <c r="E1243" t="s">
        <v>42</v>
      </c>
      <c r="F1243" t="s">
        <v>5</v>
      </c>
      <c r="G1243" t="s">
        <v>5</v>
      </c>
      <c r="H1243">
        <v>26268.5</v>
      </c>
      <c r="I1243">
        <v>6080.68</v>
      </c>
      <c r="J1243">
        <v>0</v>
      </c>
    </row>
    <row r="1244" spans="1:10" x14ac:dyDescent="0.35">
      <c r="A1244">
        <v>325950</v>
      </c>
      <c r="B1244" t="s">
        <v>20</v>
      </c>
      <c r="C1244">
        <v>2015</v>
      </c>
      <c r="D1244">
        <v>9</v>
      </c>
      <c r="E1244" t="s">
        <v>42</v>
      </c>
      <c r="F1244" t="s">
        <v>5</v>
      </c>
      <c r="G1244" t="s">
        <v>5</v>
      </c>
      <c r="H1244">
        <v>39852.449999999997</v>
      </c>
      <c r="I1244">
        <v>16162.22</v>
      </c>
      <c r="J1244">
        <v>0</v>
      </c>
    </row>
    <row r="1245" spans="1:10" x14ac:dyDescent="0.35">
      <c r="A1245">
        <v>325951</v>
      </c>
      <c r="B1245" t="s">
        <v>20</v>
      </c>
      <c r="C1245">
        <v>2015</v>
      </c>
      <c r="D1245">
        <v>6</v>
      </c>
      <c r="E1245" t="s">
        <v>43</v>
      </c>
      <c r="F1245" t="s">
        <v>5</v>
      </c>
      <c r="G1245" t="s">
        <v>5</v>
      </c>
      <c r="H1245">
        <v>29265.46</v>
      </c>
      <c r="I1245">
        <v>8219.85</v>
      </c>
      <c r="J1245">
        <v>0</v>
      </c>
    </row>
    <row r="1246" spans="1:10" x14ac:dyDescent="0.35">
      <c r="A1246">
        <v>325958</v>
      </c>
      <c r="B1246" t="s">
        <v>20</v>
      </c>
      <c r="C1246">
        <v>2015</v>
      </c>
      <c r="D1246">
        <v>6</v>
      </c>
      <c r="E1246" t="s">
        <v>43</v>
      </c>
      <c r="F1246" t="s">
        <v>5</v>
      </c>
      <c r="G1246" t="s">
        <v>5</v>
      </c>
      <c r="H1246">
        <v>26073.119999999999</v>
      </c>
      <c r="I1246">
        <v>6861.75</v>
      </c>
      <c r="J1246">
        <v>0</v>
      </c>
    </row>
    <row r="1247" spans="1:10" x14ac:dyDescent="0.35">
      <c r="A1247">
        <v>325964</v>
      </c>
      <c r="B1247" t="s">
        <v>20</v>
      </c>
      <c r="C1247">
        <v>2015</v>
      </c>
      <c r="D1247">
        <v>9</v>
      </c>
      <c r="E1247" t="s">
        <v>42</v>
      </c>
      <c r="F1247" t="s">
        <v>5</v>
      </c>
      <c r="G1247" t="s">
        <v>5</v>
      </c>
      <c r="H1247">
        <v>30364.14</v>
      </c>
      <c r="I1247">
        <v>8943.14</v>
      </c>
      <c r="J1247">
        <v>0</v>
      </c>
    </row>
    <row r="1248" spans="1:10" x14ac:dyDescent="0.35">
      <c r="A1248">
        <v>325968</v>
      </c>
      <c r="B1248" t="s">
        <v>20</v>
      </c>
      <c r="C1248">
        <v>2015</v>
      </c>
      <c r="D1248">
        <v>9</v>
      </c>
      <c r="E1248" t="s">
        <v>42</v>
      </c>
      <c r="F1248" t="s">
        <v>5</v>
      </c>
      <c r="G1248" t="s">
        <v>5</v>
      </c>
      <c r="H1248">
        <v>18454.52</v>
      </c>
      <c r="I1248">
        <v>5963.66</v>
      </c>
      <c r="J1248">
        <v>0</v>
      </c>
    </row>
    <row r="1249" spans="1:10" x14ac:dyDescent="0.35">
      <c r="A1249">
        <v>325969</v>
      </c>
      <c r="B1249" t="s">
        <v>20</v>
      </c>
      <c r="C1249">
        <v>2015</v>
      </c>
      <c r="D1249">
        <v>6</v>
      </c>
      <c r="E1249" t="s">
        <v>43</v>
      </c>
      <c r="F1249" t="s">
        <v>5</v>
      </c>
      <c r="G1249" t="s">
        <v>5</v>
      </c>
      <c r="H1249">
        <v>24251.9</v>
      </c>
      <c r="I1249">
        <v>7765.06</v>
      </c>
      <c r="J1249">
        <v>0</v>
      </c>
    </row>
    <row r="1250" spans="1:10" x14ac:dyDescent="0.35">
      <c r="A1250">
        <v>325976</v>
      </c>
      <c r="B1250" t="s">
        <v>20</v>
      </c>
      <c r="C1250">
        <v>2015</v>
      </c>
      <c r="D1250">
        <v>6</v>
      </c>
      <c r="E1250" t="s">
        <v>43</v>
      </c>
      <c r="F1250" t="s">
        <v>5</v>
      </c>
      <c r="G1250" t="s">
        <v>5</v>
      </c>
      <c r="H1250">
        <v>22884.42</v>
      </c>
      <c r="I1250">
        <v>9748.4599999999991</v>
      </c>
      <c r="J1250">
        <v>0</v>
      </c>
    </row>
    <row r="1251" spans="1:10" x14ac:dyDescent="0.35">
      <c r="A1251">
        <v>325986</v>
      </c>
      <c r="B1251" t="s">
        <v>20</v>
      </c>
      <c r="C1251">
        <v>2015</v>
      </c>
      <c r="D1251">
        <v>6</v>
      </c>
      <c r="E1251" t="s">
        <v>43</v>
      </c>
      <c r="F1251" t="s">
        <v>5</v>
      </c>
      <c r="G1251" t="s">
        <v>5</v>
      </c>
      <c r="H1251">
        <v>21156.74</v>
      </c>
      <c r="I1251">
        <v>5561.29</v>
      </c>
      <c r="J1251">
        <v>0</v>
      </c>
    </row>
    <row r="1252" spans="1:10" x14ac:dyDescent="0.35">
      <c r="A1252">
        <v>325987</v>
      </c>
      <c r="B1252" t="s">
        <v>20</v>
      </c>
      <c r="C1252">
        <v>2015</v>
      </c>
      <c r="D1252">
        <v>9</v>
      </c>
      <c r="E1252" t="s">
        <v>42</v>
      </c>
      <c r="F1252" t="s">
        <v>5</v>
      </c>
      <c r="G1252" t="s">
        <v>5</v>
      </c>
      <c r="H1252">
        <v>28215.3</v>
      </c>
      <c r="I1252">
        <v>18866.32</v>
      </c>
      <c r="J1252">
        <v>0</v>
      </c>
    </row>
    <row r="1253" spans="1:10" x14ac:dyDescent="0.35">
      <c r="A1253">
        <v>325992</v>
      </c>
      <c r="B1253" t="s">
        <v>20</v>
      </c>
      <c r="C1253">
        <v>2015</v>
      </c>
      <c r="D1253">
        <v>6</v>
      </c>
      <c r="E1253" t="s">
        <v>43</v>
      </c>
      <c r="F1253" t="s">
        <v>5</v>
      </c>
      <c r="G1253" t="s">
        <v>5</v>
      </c>
      <c r="H1253">
        <v>37146.959999999999</v>
      </c>
      <c r="I1253">
        <v>12300.01</v>
      </c>
      <c r="J1253">
        <v>0</v>
      </c>
    </row>
    <row r="1254" spans="1:10" x14ac:dyDescent="0.35">
      <c r="A1254">
        <v>325996</v>
      </c>
      <c r="B1254" t="s">
        <v>20</v>
      </c>
      <c r="C1254">
        <v>2015</v>
      </c>
      <c r="D1254">
        <v>6</v>
      </c>
      <c r="E1254" t="s">
        <v>43</v>
      </c>
      <c r="F1254" t="s">
        <v>5</v>
      </c>
      <c r="G1254" t="s">
        <v>5</v>
      </c>
      <c r="H1254">
        <v>37216.019999999997</v>
      </c>
      <c r="I1254">
        <v>8150.99</v>
      </c>
      <c r="J1254">
        <v>0</v>
      </c>
    </row>
    <row r="1255" spans="1:10" x14ac:dyDescent="0.35">
      <c r="A1255">
        <v>325998</v>
      </c>
      <c r="B1255" t="s">
        <v>20</v>
      </c>
      <c r="C1255">
        <v>2015</v>
      </c>
      <c r="D1255">
        <v>9</v>
      </c>
      <c r="E1255" t="s">
        <v>42</v>
      </c>
      <c r="F1255" t="s">
        <v>5</v>
      </c>
      <c r="G1255" t="s">
        <v>5</v>
      </c>
      <c r="H1255">
        <v>17319.16</v>
      </c>
      <c r="I1255">
        <v>4860.76</v>
      </c>
      <c r="J1255">
        <v>0</v>
      </c>
    </row>
    <row r="1256" spans="1:10" x14ac:dyDescent="0.35">
      <c r="A1256">
        <v>326002</v>
      </c>
      <c r="B1256" t="s">
        <v>20</v>
      </c>
      <c r="C1256">
        <v>2015</v>
      </c>
      <c r="D1256">
        <v>6</v>
      </c>
      <c r="E1256" t="s">
        <v>43</v>
      </c>
      <c r="F1256" t="s">
        <v>5</v>
      </c>
      <c r="G1256" t="s">
        <v>5</v>
      </c>
      <c r="H1256">
        <v>37748.36</v>
      </c>
      <c r="I1256">
        <v>11653.48</v>
      </c>
      <c r="J1256">
        <v>0</v>
      </c>
    </row>
    <row r="1257" spans="1:10" x14ac:dyDescent="0.35">
      <c r="A1257">
        <v>326004</v>
      </c>
      <c r="B1257" t="s">
        <v>20</v>
      </c>
      <c r="C1257">
        <v>2015</v>
      </c>
      <c r="D1257">
        <v>9</v>
      </c>
      <c r="E1257" t="s">
        <v>42</v>
      </c>
      <c r="F1257" t="s">
        <v>5</v>
      </c>
      <c r="G1257" t="s">
        <v>5</v>
      </c>
      <c r="H1257">
        <v>10262.58</v>
      </c>
      <c r="I1257">
        <v>2342.56</v>
      </c>
      <c r="J1257">
        <v>0</v>
      </c>
    </row>
    <row r="1258" spans="1:10" x14ac:dyDescent="0.35">
      <c r="A1258">
        <v>326011</v>
      </c>
      <c r="B1258" t="s">
        <v>20</v>
      </c>
      <c r="C1258">
        <v>2015</v>
      </c>
      <c r="D1258">
        <v>6</v>
      </c>
      <c r="E1258" t="s">
        <v>43</v>
      </c>
      <c r="F1258" t="s">
        <v>5</v>
      </c>
      <c r="G1258" t="s">
        <v>5</v>
      </c>
      <c r="H1258">
        <v>9963.52</v>
      </c>
      <c r="I1258">
        <v>2643.96</v>
      </c>
      <c r="J1258">
        <v>0</v>
      </c>
    </row>
    <row r="1259" spans="1:10" x14ac:dyDescent="0.35">
      <c r="A1259">
        <v>326013</v>
      </c>
      <c r="B1259" t="s">
        <v>20</v>
      </c>
      <c r="C1259">
        <v>2015</v>
      </c>
      <c r="D1259">
        <v>9</v>
      </c>
      <c r="E1259" t="s">
        <v>42</v>
      </c>
      <c r="F1259" t="s">
        <v>5</v>
      </c>
      <c r="G1259" t="s">
        <v>5</v>
      </c>
      <c r="H1259">
        <v>18623.240000000002</v>
      </c>
      <c r="I1259">
        <v>8168.84</v>
      </c>
      <c r="J1259">
        <v>0</v>
      </c>
    </row>
    <row r="1260" spans="1:10" x14ac:dyDescent="0.35">
      <c r="A1260">
        <v>326029</v>
      </c>
      <c r="B1260" t="s">
        <v>20</v>
      </c>
      <c r="C1260">
        <v>2015</v>
      </c>
      <c r="D1260">
        <v>9</v>
      </c>
      <c r="E1260" t="s">
        <v>42</v>
      </c>
      <c r="F1260" t="s">
        <v>5</v>
      </c>
      <c r="G1260" t="s">
        <v>5</v>
      </c>
      <c r="H1260">
        <v>16674.34</v>
      </c>
      <c r="I1260">
        <v>6828.15</v>
      </c>
      <c r="J1260">
        <v>0</v>
      </c>
    </row>
    <row r="1261" spans="1:10" x14ac:dyDescent="0.35">
      <c r="A1261">
        <v>326031</v>
      </c>
      <c r="B1261" t="s">
        <v>20</v>
      </c>
      <c r="C1261">
        <v>2015</v>
      </c>
      <c r="D1261">
        <v>9</v>
      </c>
      <c r="E1261" t="s">
        <v>42</v>
      </c>
      <c r="F1261" t="s">
        <v>5</v>
      </c>
      <c r="G1261" t="s">
        <v>5</v>
      </c>
      <c r="H1261">
        <v>14151.68</v>
      </c>
      <c r="I1261">
        <v>3759.81</v>
      </c>
      <c r="J1261">
        <v>0</v>
      </c>
    </row>
    <row r="1262" spans="1:10" x14ac:dyDescent="0.35">
      <c r="A1262">
        <v>326033</v>
      </c>
      <c r="B1262" t="s">
        <v>20</v>
      </c>
      <c r="C1262">
        <v>2015</v>
      </c>
      <c r="D1262">
        <v>9</v>
      </c>
      <c r="E1262" t="s">
        <v>42</v>
      </c>
      <c r="F1262" t="s">
        <v>5</v>
      </c>
      <c r="G1262" t="s">
        <v>5</v>
      </c>
      <c r="H1262">
        <v>78364.39</v>
      </c>
      <c r="I1262">
        <v>43921.38</v>
      </c>
      <c r="J1262">
        <v>0</v>
      </c>
    </row>
    <row r="1263" spans="1:10" x14ac:dyDescent="0.35">
      <c r="A1263">
        <v>326035</v>
      </c>
      <c r="B1263" t="s">
        <v>20</v>
      </c>
      <c r="C1263">
        <v>2015</v>
      </c>
      <c r="D1263">
        <v>6</v>
      </c>
      <c r="E1263" t="s">
        <v>43</v>
      </c>
      <c r="F1263" t="s">
        <v>5</v>
      </c>
      <c r="G1263" t="s">
        <v>5</v>
      </c>
      <c r="H1263">
        <v>10362.379999999999</v>
      </c>
      <c r="I1263">
        <v>2870.38</v>
      </c>
      <c r="J1263">
        <v>0</v>
      </c>
    </row>
    <row r="1264" spans="1:10" x14ac:dyDescent="0.35">
      <c r="A1264">
        <v>326037</v>
      </c>
      <c r="B1264" t="s">
        <v>20</v>
      </c>
      <c r="C1264">
        <v>2015</v>
      </c>
      <c r="D1264">
        <v>6</v>
      </c>
      <c r="E1264" t="s">
        <v>43</v>
      </c>
      <c r="F1264" t="s">
        <v>5</v>
      </c>
      <c r="G1264" t="s">
        <v>5</v>
      </c>
      <c r="H1264">
        <v>17253.04</v>
      </c>
      <c r="I1264">
        <v>4939.37</v>
      </c>
      <c r="J1264">
        <v>0</v>
      </c>
    </row>
    <row r="1265" spans="1:10" x14ac:dyDescent="0.35">
      <c r="A1265">
        <v>326039</v>
      </c>
      <c r="B1265" t="s">
        <v>20</v>
      </c>
      <c r="C1265">
        <v>2015</v>
      </c>
      <c r="D1265">
        <v>6</v>
      </c>
      <c r="E1265" t="s">
        <v>43</v>
      </c>
      <c r="F1265" t="s">
        <v>5</v>
      </c>
      <c r="G1265" t="s">
        <v>5</v>
      </c>
      <c r="H1265">
        <v>8585.94</v>
      </c>
      <c r="I1265">
        <v>2298.11</v>
      </c>
      <c r="J1265">
        <v>0</v>
      </c>
    </row>
    <row r="1266" spans="1:10" x14ac:dyDescent="0.35">
      <c r="A1266">
        <v>326043</v>
      </c>
      <c r="B1266" t="s">
        <v>20</v>
      </c>
      <c r="C1266">
        <v>2015</v>
      </c>
      <c r="D1266">
        <v>9</v>
      </c>
      <c r="E1266" t="s">
        <v>42</v>
      </c>
      <c r="F1266" t="s">
        <v>5</v>
      </c>
      <c r="G1266" t="s">
        <v>5</v>
      </c>
      <c r="H1266">
        <v>8257.44</v>
      </c>
      <c r="I1266">
        <v>2240.12</v>
      </c>
      <c r="J1266">
        <v>0</v>
      </c>
    </row>
    <row r="1267" spans="1:10" x14ac:dyDescent="0.35">
      <c r="A1267">
        <v>326049</v>
      </c>
      <c r="B1267" t="s">
        <v>20</v>
      </c>
      <c r="C1267">
        <v>2015</v>
      </c>
      <c r="D1267">
        <v>6</v>
      </c>
      <c r="E1267" t="s">
        <v>43</v>
      </c>
      <c r="F1267" t="s">
        <v>5</v>
      </c>
      <c r="G1267" t="s">
        <v>5</v>
      </c>
      <c r="H1267">
        <v>12348.46</v>
      </c>
      <c r="I1267">
        <v>2753.52</v>
      </c>
      <c r="J1267">
        <v>0</v>
      </c>
    </row>
    <row r="1268" spans="1:10" x14ac:dyDescent="0.35">
      <c r="A1268">
        <v>326054</v>
      </c>
      <c r="B1268" t="s">
        <v>20</v>
      </c>
      <c r="C1268">
        <v>2015</v>
      </c>
      <c r="D1268">
        <v>9</v>
      </c>
      <c r="E1268" t="s">
        <v>42</v>
      </c>
      <c r="F1268" t="s">
        <v>5</v>
      </c>
      <c r="G1268" t="s">
        <v>5</v>
      </c>
      <c r="H1268">
        <v>9558.6</v>
      </c>
      <c r="I1268">
        <v>2871.07</v>
      </c>
      <c r="J1268">
        <v>0</v>
      </c>
    </row>
    <row r="1269" spans="1:10" x14ac:dyDescent="0.35">
      <c r="A1269">
        <v>326064</v>
      </c>
      <c r="B1269" t="s">
        <v>20</v>
      </c>
      <c r="C1269">
        <v>2015</v>
      </c>
      <c r="D1269">
        <v>6</v>
      </c>
      <c r="E1269" t="s">
        <v>43</v>
      </c>
      <c r="F1269" t="s">
        <v>5</v>
      </c>
      <c r="G1269" t="s">
        <v>5</v>
      </c>
      <c r="H1269">
        <v>17859.46</v>
      </c>
      <c r="I1269">
        <v>5458.82</v>
      </c>
      <c r="J1269">
        <v>0</v>
      </c>
    </row>
    <row r="1270" spans="1:10" x14ac:dyDescent="0.35">
      <c r="A1270">
        <v>326067</v>
      </c>
      <c r="B1270" t="s">
        <v>20</v>
      </c>
      <c r="C1270">
        <v>2015</v>
      </c>
      <c r="D1270">
        <v>9</v>
      </c>
      <c r="E1270" t="s">
        <v>42</v>
      </c>
      <c r="F1270" t="s">
        <v>5</v>
      </c>
      <c r="G1270" t="s">
        <v>5</v>
      </c>
      <c r="H1270">
        <v>21164.12</v>
      </c>
      <c r="I1270">
        <v>8742.94</v>
      </c>
      <c r="J1270">
        <v>0</v>
      </c>
    </row>
    <row r="1271" spans="1:10" x14ac:dyDescent="0.35">
      <c r="A1271">
        <v>326073</v>
      </c>
      <c r="B1271" t="s">
        <v>20</v>
      </c>
      <c r="C1271">
        <v>2015</v>
      </c>
      <c r="D1271">
        <v>9</v>
      </c>
      <c r="E1271" t="s">
        <v>42</v>
      </c>
      <c r="F1271" t="s">
        <v>5</v>
      </c>
      <c r="G1271" t="s">
        <v>5</v>
      </c>
      <c r="H1271">
        <v>47568.86</v>
      </c>
      <c r="I1271">
        <v>13615.27</v>
      </c>
      <c r="J1271">
        <v>0</v>
      </c>
    </row>
    <row r="1272" spans="1:10" x14ac:dyDescent="0.35">
      <c r="A1272">
        <v>326075</v>
      </c>
      <c r="B1272" t="s">
        <v>20</v>
      </c>
      <c r="C1272">
        <v>2015</v>
      </c>
      <c r="D1272">
        <v>6</v>
      </c>
      <c r="E1272" t="s">
        <v>43</v>
      </c>
      <c r="F1272" t="s">
        <v>5</v>
      </c>
      <c r="G1272" t="s">
        <v>5</v>
      </c>
      <c r="H1272">
        <v>37714.5</v>
      </c>
      <c r="I1272">
        <v>17821.52</v>
      </c>
      <c r="J1272">
        <v>0</v>
      </c>
    </row>
    <row r="1273" spans="1:10" x14ac:dyDescent="0.35">
      <c r="A1273">
        <v>326076</v>
      </c>
      <c r="B1273" t="s">
        <v>20</v>
      </c>
      <c r="C1273">
        <v>2015</v>
      </c>
      <c r="D1273">
        <v>6</v>
      </c>
      <c r="E1273" t="s">
        <v>43</v>
      </c>
      <c r="F1273" t="s">
        <v>5</v>
      </c>
      <c r="G1273" t="s">
        <v>5</v>
      </c>
      <c r="H1273">
        <v>50819.519999999997</v>
      </c>
      <c r="I1273">
        <v>27627.119999999999</v>
      </c>
      <c r="J1273">
        <v>0</v>
      </c>
    </row>
    <row r="1274" spans="1:10" x14ac:dyDescent="0.35">
      <c r="A1274">
        <v>326077</v>
      </c>
      <c r="B1274" t="s">
        <v>20</v>
      </c>
      <c r="C1274">
        <v>2015</v>
      </c>
      <c r="D1274">
        <v>9</v>
      </c>
      <c r="E1274" t="s">
        <v>42</v>
      </c>
      <c r="F1274" t="s">
        <v>5</v>
      </c>
      <c r="G1274" t="s">
        <v>5</v>
      </c>
      <c r="H1274">
        <v>35104.86</v>
      </c>
      <c r="I1274">
        <v>10818.51</v>
      </c>
      <c r="J1274">
        <v>0</v>
      </c>
    </row>
    <row r="1275" spans="1:10" x14ac:dyDescent="0.35">
      <c r="A1275">
        <v>326082</v>
      </c>
      <c r="B1275" t="s">
        <v>20</v>
      </c>
      <c r="C1275">
        <v>2015</v>
      </c>
      <c r="D1275">
        <v>9</v>
      </c>
      <c r="E1275" t="s">
        <v>42</v>
      </c>
      <c r="F1275" t="s">
        <v>5</v>
      </c>
      <c r="G1275" t="s">
        <v>5</v>
      </c>
      <c r="H1275">
        <v>27993.8</v>
      </c>
      <c r="I1275">
        <v>12210.63</v>
      </c>
      <c r="J1275">
        <v>0</v>
      </c>
    </row>
    <row r="1276" spans="1:10" x14ac:dyDescent="0.35">
      <c r="A1276">
        <v>326091</v>
      </c>
      <c r="B1276" t="s">
        <v>20</v>
      </c>
      <c r="C1276">
        <v>2015</v>
      </c>
      <c r="D1276">
        <v>6</v>
      </c>
      <c r="E1276" t="s">
        <v>43</v>
      </c>
      <c r="F1276" t="s">
        <v>5</v>
      </c>
      <c r="G1276" t="s">
        <v>5</v>
      </c>
      <c r="H1276">
        <v>63265.440000000002</v>
      </c>
      <c r="I1276">
        <v>45558.97</v>
      </c>
      <c r="J1276">
        <v>0</v>
      </c>
    </row>
    <row r="1277" spans="1:10" x14ac:dyDescent="0.35">
      <c r="A1277">
        <v>326093</v>
      </c>
      <c r="B1277" t="s">
        <v>20</v>
      </c>
      <c r="C1277">
        <v>2015</v>
      </c>
      <c r="D1277">
        <v>9</v>
      </c>
      <c r="E1277" t="s">
        <v>42</v>
      </c>
      <c r="F1277" t="s">
        <v>5</v>
      </c>
      <c r="G1277" t="s">
        <v>5</v>
      </c>
      <c r="H1277">
        <v>48801.93</v>
      </c>
      <c r="I1277">
        <v>18631.48</v>
      </c>
      <c r="J1277">
        <v>0</v>
      </c>
    </row>
    <row r="1278" spans="1:10" x14ac:dyDescent="0.35">
      <c r="A1278">
        <v>326111</v>
      </c>
      <c r="B1278" t="s">
        <v>20</v>
      </c>
      <c r="C1278">
        <v>2015</v>
      </c>
      <c r="D1278">
        <v>9</v>
      </c>
      <c r="E1278" t="s">
        <v>42</v>
      </c>
      <c r="F1278" t="s">
        <v>5</v>
      </c>
      <c r="G1278" t="s">
        <v>5</v>
      </c>
      <c r="H1278">
        <v>30450.98</v>
      </c>
      <c r="I1278">
        <v>16052.22</v>
      </c>
      <c r="J1278">
        <v>0</v>
      </c>
    </row>
    <row r="1279" spans="1:10" x14ac:dyDescent="0.35">
      <c r="A1279">
        <v>326112</v>
      </c>
      <c r="B1279" t="s">
        <v>20</v>
      </c>
      <c r="C1279">
        <v>2015</v>
      </c>
      <c r="D1279">
        <v>9</v>
      </c>
      <c r="E1279" t="s">
        <v>42</v>
      </c>
      <c r="F1279" t="s">
        <v>5</v>
      </c>
      <c r="G1279" t="s">
        <v>5</v>
      </c>
      <c r="H1279">
        <v>31544.42</v>
      </c>
      <c r="I1279">
        <v>6693.37</v>
      </c>
      <c r="J1279">
        <v>0</v>
      </c>
    </row>
    <row r="1280" spans="1:10" x14ac:dyDescent="0.35">
      <c r="A1280">
        <v>326114</v>
      </c>
      <c r="B1280" t="s">
        <v>20</v>
      </c>
      <c r="C1280">
        <v>2015</v>
      </c>
      <c r="D1280">
        <v>6</v>
      </c>
      <c r="E1280" t="s">
        <v>43</v>
      </c>
      <c r="F1280" t="s">
        <v>5</v>
      </c>
      <c r="G1280" t="s">
        <v>5</v>
      </c>
      <c r="H1280">
        <v>21965.84</v>
      </c>
      <c r="I1280">
        <v>8538.5400000000009</v>
      </c>
      <c r="J1280">
        <v>0</v>
      </c>
    </row>
    <row r="1281" spans="1:10" x14ac:dyDescent="0.35">
      <c r="A1281">
        <v>326129</v>
      </c>
      <c r="B1281" t="s">
        <v>20</v>
      </c>
      <c r="C1281">
        <v>2015</v>
      </c>
      <c r="D1281">
        <v>9</v>
      </c>
      <c r="E1281" t="s">
        <v>42</v>
      </c>
      <c r="F1281" t="s">
        <v>5</v>
      </c>
      <c r="G1281" t="s">
        <v>5</v>
      </c>
      <c r="H1281">
        <v>34736.14</v>
      </c>
      <c r="I1281">
        <v>9193.4</v>
      </c>
      <c r="J1281">
        <v>0</v>
      </c>
    </row>
    <row r="1282" spans="1:10" x14ac:dyDescent="0.35">
      <c r="A1282">
        <v>326143</v>
      </c>
      <c r="B1282" t="s">
        <v>20</v>
      </c>
      <c r="C1282">
        <v>2015</v>
      </c>
      <c r="D1282">
        <v>9</v>
      </c>
      <c r="E1282" t="s">
        <v>42</v>
      </c>
      <c r="F1282" t="s">
        <v>5</v>
      </c>
      <c r="G1282" t="s">
        <v>5</v>
      </c>
      <c r="H1282">
        <v>25868.7</v>
      </c>
      <c r="I1282">
        <v>11439.67</v>
      </c>
      <c r="J1282">
        <v>0</v>
      </c>
    </row>
    <row r="1283" spans="1:10" x14ac:dyDescent="0.35">
      <c r="A1283">
        <v>326149</v>
      </c>
      <c r="B1283" t="s">
        <v>20</v>
      </c>
      <c r="C1283">
        <v>2015</v>
      </c>
      <c r="D1283">
        <v>6</v>
      </c>
      <c r="E1283" t="s">
        <v>43</v>
      </c>
      <c r="F1283" t="s">
        <v>5</v>
      </c>
      <c r="G1283" t="s">
        <v>5</v>
      </c>
      <c r="H1283">
        <v>17912.64</v>
      </c>
      <c r="I1283">
        <v>5045.3900000000003</v>
      </c>
      <c r="J1283">
        <v>0</v>
      </c>
    </row>
    <row r="1284" spans="1:10" x14ac:dyDescent="0.35">
      <c r="A1284">
        <v>326156</v>
      </c>
      <c r="B1284" t="s">
        <v>20</v>
      </c>
      <c r="C1284">
        <v>2015</v>
      </c>
      <c r="D1284">
        <v>6</v>
      </c>
      <c r="E1284" t="s">
        <v>43</v>
      </c>
      <c r="F1284" t="s">
        <v>5</v>
      </c>
      <c r="G1284" t="s">
        <v>5</v>
      </c>
      <c r="H1284">
        <v>51909.06</v>
      </c>
      <c r="I1284">
        <v>28377.34</v>
      </c>
      <c r="J1284">
        <v>0</v>
      </c>
    </row>
    <row r="1285" spans="1:10" x14ac:dyDescent="0.35">
      <c r="A1285">
        <v>326158</v>
      </c>
      <c r="B1285" t="s">
        <v>20</v>
      </c>
      <c r="C1285">
        <v>2015</v>
      </c>
      <c r="D1285">
        <v>6</v>
      </c>
      <c r="E1285" t="s">
        <v>43</v>
      </c>
      <c r="F1285" t="s">
        <v>5</v>
      </c>
      <c r="G1285" t="s">
        <v>5</v>
      </c>
      <c r="H1285">
        <v>10651.86</v>
      </c>
      <c r="I1285">
        <v>2933.48</v>
      </c>
      <c r="J1285">
        <v>0</v>
      </c>
    </row>
    <row r="1286" spans="1:10" x14ac:dyDescent="0.35">
      <c r="A1286">
        <v>326163</v>
      </c>
      <c r="B1286" t="s">
        <v>20</v>
      </c>
      <c r="C1286">
        <v>2015</v>
      </c>
      <c r="D1286">
        <v>9</v>
      </c>
      <c r="E1286" t="s">
        <v>42</v>
      </c>
      <c r="F1286" t="s">
        <v>5</v>
      </c>
      <c r="G1286" t="s">
        <v>5</v>
      </c>
      <c r="H1286">
        <v>8050.18</v>
      </c>
      <c r="I1286">
        <v>2321.41</v>
      </c>
      <c r="J1286">
        <v>0</v>
      </c>
    </row>
    <row r="1287" spans="1:10" x14ac:dyDescent="0.35">
      <c r="A1287">
        <v>326164</v>
      </c>
      <c r="B1287" t="s">
        <v>20</v>
      </c>
      <c r="C1287">
        <v>2015</v>
      </c>
      <c r="D1287">
        <v>6</v>
      </c>
      <c r="E1287" t="s">
        <v>43</v>
      </c>
      <c r="F1287" t="s">
        <v>5</v>
      </c>
      <c r="G1287" t="s">
        <v>5</v>
      </c>
      <c r="H1287">
        <v>39845.82</v>
      </c>
      <c r="I1287">
        <v>13136.49</v>
      </c>
      <c r="J1287">
        <v>0</v>
      </c>
    </row>
    <row r="1288" spans="1:10" x14ac:dyDescent="0.35">
      <c r="A1288">
        <v>326165</v>
      </c>
      <c r="B1288" t="s">
        <v>20</v>
      </c>
      <c r="C1288">
        <v>2015</v>
      </c>
      <c r="D1288">
        <v>9</v>
      </c>
      <c r="E1288" t="s">
        <v>42</v>
      </c>
      <c r="F1288" t="s">
        <v>5</v>
      </c>
      <c r="G1288" t="s">
        <v>5</v>
      </c>
      <c r="H1288">
        <v>44758.41</v>
      </c>
      <c r="I1288">
        <v>31242.65</v>
      </c>
      <c r="J1288">
        <v>0</v>
      </c>
    </row>
    <row r="1289" spans="1:10" x14ac:dyDescent="0.35">
      <c r="A1289">
        <v>326171</v>
      </c>
      <c r="B1289" t="s">
        <v>20</v>
      </c>
      <c r="C1289">
        <v>2015</v>
      </c>
      <c r="D1289">
        <v>6</v>
      </c>
      <c r="E1289" t="s">
        <v>43</v>
      </c>
      <c r="F1289" t="s">
        <v>5</v>
      </c>
      <c r="G1289" t="s">
        <v>5</v>
      </c>
      <c r="H1289">
        <v>35105.980000000003</v>
      </c>
      <c r="I1289">
        <v>10005.959999999999</v>
      </c>
      <c r="J1289">
        <v>0</v>
      </c>
    </row>
    <row r="1290" spans="1:10" x14ac:dyDescent="0.35">
      <c r="A1290">
        <v>326177</v>
      </c>
      <c r="B1290" t="s">
        <v>20</v>
      </c>
      <c r="C1290">
        <v>2015</v>
      </c>
      <c r="D1290">
        <v>6</v>
      </c>
      <c r="E1290" t="s">
        <v>43</v>
      </c>
      <c r="F1290" t="s">
        <v>5</v>
      </c>
      <c r="G1290" t="s">
        <v>5</v>
      </c>
      <c r="H1290">
        <v>132858.07999999999</v>
      </c>
      <c r="I1290">
        <v>87702.52</v>
      </c>
      <c r="J1290">
        <v>0</v>
      </c>
    </row>
    <row r="1291" spans="1:10" x14ac:dyDescent="0.35">
      <c r="A1291">
        <v>326179</v>
      </c>
      <c r="B1291" t="s">
        <v>20</v>
      </c>
      <c r="C1291">
        <v>2015</v>
      </c>
      <c r="D1291">
        <v>9</v>
      </c>
      <c r="E1291" t="s">
        <v>42</v>
      </c>
      <c r="F1291" t="s">
        <v>5</v>
      </c>
      <c r="G1291" t="s">
        <v>5</v>
      </c>
      <c r="H1291">
        <v>13081.4</v>
      </c>
      <c r="I1291">
        <v>4030.81</v>
      </c>
      <c r="J1291">
        <v>0</v>
      </c>
    </row>
    <row r="1292" spans="1:10" x14ac:dyDescent="0.35">
      <c r="A1292">
        <v>326182</v>
      </c>
      <c r="B1292" t="s">
        <v>20</v>
      </c>
      <c r="C1292">
        <v>2015</v>
      </c>
      <c r="D1292">
        <v>6</v>
      </c>
      <c r="E1292" t="s">
        <v>43</v>
      </c>
      <c r="F1292" t="s">
        <v>5</v>
      </c>
      <c r="G1292" t="s">
        <v>5</v>
      </c>
      <c r="H1292">
        <v>48556.59</v>
      </c>
      <c r="I1292">
        <v>28038.71</v>
      </c>
      <c r="J1292">
        <v>0</v>
      </c>
    </row>
    <row r="1293" spans="1:10" x14ac:dyDescent="0.35">
      <c r="A1293">
        <v>326191</v>
      </c>
      <c r="B1293" t="s">
        <v>20</v>
      </c>
      <c r="C1293">
        <v>2015</v>
      </c>
      <c r="D1293">
        <v>6</v>
      </c>
      <c r="E1293" t="s">
        <v>43</v>
      </c>
      <c r="F1293" t="s">
        <v>5</v>
      </c>
      <c r="G1293" t="s">
        <v>5</v>
      </c>
      <c r="H1293">
        <v>14073.08</v>
      </c>
      <c r="I1293">
        <v>4190.7299999999996</v>
      </c>
      <c r="J1293">
        <v>0</v>
      </c>
    </row>
    <row r="1294" spans="1:10" x14ac:dyDescent="0.35">
      <c r="A1294">
        <v>326201</v>
      </c>
      <c r="B1294" t="s">
        <v>20</v>
      </c>
      <c r="C1294">
        <v>2015</v>
      </c>
      <c r="D1294">
        <v>9</v>
      </c>
      <c r="E1294" t="s">
        <v>42</v>
      </c>
      <c r="F1294" t="s">
        <v>5</v>
      </c>
      <c r="G1294" t="s">
        <v>5</v>
      </c>
      <c r="H1294">
        <v>10702.1</v>
      </c>
      <c r="I1294">
        <v>2907.32</v>
      </c>
      <c r="J1294">
        <v>0</v>
      </c>
    </row>
    <row r="1295" spans="1:10" x14ac:dyDescent="0.35">
      <c r="A1295">
        <v>326209</v>
      </c>
      <c r="B1295" t="s">
        <v>20</v>
      </c>
      <c r="C1295">
        <v>2015</v>
      </c>
      <c r="D1295">
        <v>6</v>
      </c>
      <c r="E1295" t="s">
        <v>43</v>
      </c>
      <c r="F1295" t="s">
        <v>5</v>
      </c>
      <c r="G1295" t="s">
        <v>5</v>
      </c>
      <c r="H1295">
        <v>29083.8</v>
      </c>
      <c r="I1295">
        <v>10962.18</v>
      </c>
      <c r="J1295">
        <v>0</v>
      </c>
    </row>
    <row r="1296" spans="1:10" x14ac:dyDescent="0.35">
      <c r="A1296">
        <v>326219</v>
      </c>
      <c r="B1296" t="s">
        <v>20</v>
      </c>
      <c r="C1296">
        <v>2015</v>
      </c>
      <c r="D1296">
        <v>6</v>
      </c>
      <c r="E1296" t="s">
        <v>43</v>
      </c>
      <c r="F1296" t="s">
        <v>5</v>
      </c>
      <c r="G1296" t="s">
        <v>5</v>
      </c>
      <c r="H1296">
        <v>21121.7</v>
      </c>
      <c r="I1296">
        <v>6364.56</v>
      </c>
      <c r="J1296">
        <v>0</v>
      </c>
    </row>
    <row r="1297" spans="1:10" x14ac:dyDescent="0.35">
      <c r="A1297">
        <v>326243</v>
      </c>
      <c r="B1297" t="s">
        <v>20</v>
      </c>
      <c r="C1297">
        <v>2015</v>
      </c>
      <c r="D1297">
        <v>9</v>
      </c>
      <c r="E1297" t="s">
        <v>42</v>
      </c>
      <c r="F1297" t="s">
        <v>5</v>
      </c>
      <c r="G1297" t="s">
        <v>5</v>
      </c>
      <c r="H1297">
        <v>26858.7</v>
      </c>
      <c r="I1297">
        <v>9381.2800000000007</v>
      </c>
      <c r="J1297">
        <v>0</v>
      </c>
    </row>
    <row r="1298" spans="1:10" x14ac:dyDescent="0.35">
      <c r="A1298">
        <v>326245</v>
      </c>
      <c r="B1298" t="s">
        <v>20</v>
      </c>
      <c r="C1298">
        <v>2015</v>
      </c>
      <c r="D1298">
        <v>6</v>
      </c>
      <c r="E1298" t="s">
        <v>43</v>
      </c>
      <c r="F1298" t="s">
        <v>5</v>
      </c>
      <c r="G1298" t="s">
        <v>5</v>
      </c>
      <c r="H1298">
        <v>16283.94</v>
      </c>
      <c r="I1298">
        <v>4869.04</v>
      </c>
      <c r="J1298">
        <v>0</v>
      </c>
    </row>
    <row r="1299" spans="1:10" x14ac:dyDescent="0.35">
      <c r="A1299">
        <v>326247</v>
      </c>
      <c r="B1299" t="s">
        <v>20</v>
      </c>
      <c r="C1299">
        <v>2015</v>
      </c>
      <c r="D1299">
        <v>9</v>
      </c>
      <c r="E1299" t="s">
        <v>42</v>
      </c>
      <c r="F1299" t="s">
        <v>5</v>
      </c>
      <c r="G1299" t="s">
        <v>5</v>
      </c>
      <c r="H1299">
        <v>91456.62</v>
      </c>
      <c r="I1299">
        <v>33071.24</v>
      </c>
      <c r="J1299">
        <v>0</v>
      </c>
    </row>
    <row r="1300" spans="1:10" x14ac:dyDescent="0.35">
      <c r="A1300">
        <v>326248</v>
      </c>
      <c r="B1300" t="s">
        <v>20</v>
      </c>
      <c r="C1300">
        <v>2015</v>
      </c>
      <c r="D1300">
        <v>6</v>
      </c>
      <c r="E1300" t="s">
        <v>43</v>
      </c>
      <c r="F1300" t="s">
        <v>5</v>
      </c>
      <c r="G1300" t="s">
        <v>5</v>
      </c>
      <c r="H1300">
        <v>26434.36</v>
      </c>
      <c r="I1300">
        <v>8721.3700000000008</v>
      </c>
      <c r="J1300">
        <v>0</v>
      </c>
    </row>
    <row r="1301" spans="1:10" x14ac:dyDescent="0.35">
      <c r="A1301">
        <v>326251</v>
      </c>
      <c r="B1301" t="s">
        <v>20</v>
      </c>
      <c r="C1301">
        <v>2015</v>
      </c>
      <c r="D1301">
        <v>9</v>
      </c>
      <c r="E1301" t="s">
        <v>42</v>
      </c>
      <c r="F1301" t="s">
        <v>5</v>
      </c>
      <c r="G1301" t="s">
        <v>5</v>
      </c>
      <c r="H1301">
        <v>27110.080000000002</v>
      </c>
      <c r="I1301">
        <v>7150</v>
      </c>
      <c r="J1301">
        <v>0</v>
      </c>
    </row>
    <row r="1302" spans="1:10" x14ac:dyDescent="0.35">
      <c r="A1302">
        <v>326257</v>
      </c>
      <c r="B1302" t="s">
        <v>20</v>
      </c>
      <c r="C1302">
        <v>2015</v>
      </c>
      <c r="D1302">
        <v>6</v>
      </c>
      <c r="E1302" t="s">
        <v>43</v>
      </c>
      <c r="F1302" t="s">
        <v>5</v>
      </c>
      <c r="G1302" t="s">
        <v>5</v>
      </c>
      <c r="H1302">
        <v>9703.4599999999991</v>
      </c>
      <c r="I1302">
        <v>2757.13</v>
      </c>
      <c r="J1302">
        <v>0</v>
      </c>
    </row>
    <row r="1303" spans="1:10" x14ac:dyDescent="0.35">
      <c r="A1303">
        <v>326259</v>
      </c>
      <c r="B1303" t="s">
        <v>20</v>
      </c>
      <c r="C1303">
        <v>2015</v>
      </c>
      <c r="D1303">
        <v>6</v>
      </c>
      <c r="E1303" t="s">
        <v>43</v>
      </c>
      <c r="F1303" t="s">
        <v>5</v>
      </c>
      <c r="G1303" t="s">
        <v>5</v>
      </c>
      <c r="H1303">
        <v>32535.360000000001</v>
      </c>
      <c r="I1303">
        <v>11420.05</v>
      </c>
      <c r="J1303">
        <v>0</v>
      </c>
    </row>
    <row r="1304" spans="1:10" x14ac:dyDescent="0.35">
      <c r="A1304">
        <v>326260</v>
      </c>
      <c r="B1304" t="s">
        <v>20</v>
      </c>
      <c r="C1304">
        <v>2015</v>
      </c>
      <c r="D1304">
        <v>9</v>
      </c>
      <c r="E1304" t="s">
        <v>42</v>
      </c>
      <c r="F1304" t="s">
        <v>5</v>
      </c>
      <c r="G1304" t="s">
        <v>5</v>
      </c>
      <c r="H1304">
        <v>26169.040000000001</v>
      </c>
      <c r="I1304">
        <v>11520.15</v>
      </c>
      <c r="J1304">
        <v>0</v>
      </c>
    </row>
    <row r="1305" spans="1:10" x14ac:dyDescent="0.35">
      <c r="A1305">
        <v>326270</v>
      </c>
      <c r="B1305" t="s">
        <v>20</v>
      </c>
      <c r="C1305">
        <v>2015</v>
      </c>
      <c r="D1305">
        <v>6</v>
      </c>
      <c r="E1305" t="s">
        <v>43</v>
      </c>
      <c r="F1305" t="s">
        <v>5</v>
      </c>
      <c r="G1305" t="s">
        <v>5</v>
      </c>
      <c r="H1305">
        <v>18052.48</v>
      </c>
      <c r="I1305">
        <v>5569.75</v>
      </c>
      <c r="J1305">
        <v>0</v>
      </c>
    </row>
    <row r="1306" spans="1:10" x14ac:dyDescent="0.35">
      <c r="A1306">
        <v>326282</v>
      </c>
      <c r="B1306" t="s">
        <v>20</v>
      </c>
      <c r="C1306">
        <v>2015</v>
      </c>
      <c r="D1306">
        <v>6</v>
      </c>
      <c r="E1306" t="s">
        <v>43</v>
      </c>
      <c r="F1306" t="s">
        <v>5</v>
      </c>
      <c r="G1306" t="s">
        <v>5</v>
      </c>
      <c r="H1306">
        <v>56960.08</v>
      </c>
      <c r="I1306">
        <v>22339.06</v>
      </c>
      <c r="J1306">
        <v>0</v>
      </c>
    </row>
    <row r="1307" spans="1:10" x14ac:dyDescent="0.35">
      <c r="A1307">
        <v>326289</v>
      </c>
      <c r="B1307" t="s">
        <v>20</v>
      </c>
      <c r="C1307">
        <v>2015</v>
      </c>
      <c r="D1307">
        <v>9</v>
      </c>
      <c r="E1307" t="s">
        <v>42</v>
      </c>
      <c r="F1307" t="s">
        <v>5</v>
      </c>
      <c r="G1307" t="s">
        <v>5</v>
      </c>
      <c r="H1307">
        <v>25621.599999999999</v>
      </c>
      <c r="I1307">
        <v>8405.44</v>
      </c>
      <c r="J1307">
        <v>0</v>
      </c>
    </row>
    <row r="1308" spans="1:10" x14ac:dyDescent="0.35">
      <c r="A1308">
        <v>326292</v>
      </c>
      <c r="B1308" t="s">
        <v>20</v>
      </c>
      <c r="C1308">
        <v>2015</v>
      </c>
      <c r="D1308">
        <v>6</v>
      </c>
      <c r="E1308" t="s">
        <v>43</v>
      </c>
      <c r="F1308" t="s">
        <v>5</v>
      </c>
      <c r="G1308" t="s">
        <v>5</v>
      </c>
      <c r="H1308">
        <v>81262.12</v>
      </c>
      <c r="I1308">
        <v>64219.78</v>
      </c>
      <c r="J1308">
        <v>0</v>
      </c>
    </row>
    <row r="1309" spans="1:10" x14ac:dyDescent="0.35">
      <c r="A1309">
        <v>326294</v>
      </c>
      <c r="B1309" t="s">
        <v>20</v>
      </c>
      <c r="C1309">
        <v>2015</v>
      </c>
      <c r="D1309">
        <v>6</v>
      </c>
      <c r="E1309" t="s">
        <v>43</v>
      </c>
      <c r="F1309" t="s">
        <v>5</v>
      </c>
      <c r="G1309" t="s">
        <v>5</v>
      </c>
      <c r="H1309">
        <v>8852.1200000000008</v>
      </c>
      <c r="I1309">
        <v>6005.48</v>
      </c>
      <c r="J1309">
        <v>0</v>
      </c>
    </row>
    <row r="1310" spans="1:10" x14ac:dyDescent="0.35">
      <c r="A1310">
        <v>326295</v>
      </c>
      <c r="B1310" t="s">
        <v>20</v>
      </c>
      <c r="C1310">
        <v>2015</v>
      </c>
      <c r="D1310">
        <v>9</v>
      </c>
      <c r="E1310" t="s">
        <v>42</v>
      </c>
      <c r="F1310" t="s">
        <v>5</v>
      </c>
      <c r="G1310" t="s">
        <v>5</v>
      </c>
      <c r="H1310">
        <v>65796.740000000005</v>
      </c>
      <c r="I1310">
        <v>21658.41</v>
      </c>
      <c r="J1310">
        <v>0</v>
      </c>
    </row>
    <row r="1311" spans="1:10" x14ac:dyDescent="0.35">
      <c r="A1311">
        <v>326311</v>
      </c>
      <c r="B1311" t="s">
        <v>20</v>
      </c>
      <c r="C1311">
        <v>2015</v>
      </c>
      <c r="D1311">
        <v>9</v>
      </c>
      <c r="E1311" t="s">
        <v>42</v>
      </c>
      <c r="F1311" t="s">
        <v>5</v>
      </c>
      <c r="G1311" t="s">
        <v>5</v>
      </c>
      <c r="H1311">
        <v>16294.12</v>
      </c>
      <c r="I1311">
        <v>4717.18</v>
      </c>
      <c r="J1311">
        <v>0</v>
      </c>
    </row>
    <row r="1312" spans="1:10" x14ac:dyDescent="0.35">
      <c r="A1312">
        <v>326314</v>
      </c>
      <c r="B1312" t="s">
        <v>20</v>
      </c>
      <c r="C1312">
        <v>2015</v>
      </c>
      <c r="D1312">
        <v>6</v>
      </c>
      <c r="E1312" t="s">
        <v>43</v>
      </c>
      <c r="F1312" t="s">
        <v>5</v>
      </c>
      <c r="G1312" t="s">
        <v>5</v>
      </c>
      <c r="H1312">
        <v>16862.580000000002</v>
      </c>
      <c r="I1312">
        <v>3688.81</v>
      </c>
      <c r="J1312">
        <v>0</v>
      </c>
    </row>
    <row r="1313" spans="1:10" x14ac:dyDescent="0.35">
      <c r="A1313">
        <v>326320</v>
      </c>
      <c r="B1313" t="s">
        <v>20</v>
      </c>
      <c r="C1313">
        <v>2015</v>
      </c>
      <c r="D1313">
        <v>6</v>
      </c>
      <c r="E1313" t="s">
        <v>43</v>
      </c>
      <c r="F1313" t="s">
        <v>5</v>
      </c>
      <c r="G1313" t="s">
        <v>5</v>
      </c>
      <c r="H1313">
        <v>24067.1</v>
      </c>
      <c r="I1313">
        <v>8715.3700000000008</v>
      </c>
      <c r="J1313">
        <v>0</v>
      </c>
    </row>
    <row r="1314" spans="1:10" x14ac:dyDescent="0.35">
      <c r="A1314">
        <v>326321</v>
      </c>
      <c r="B1314" t="s">
        <v>20</v>
      </c>
      <c r="C1314">
        <v>2015</v>
      </c>
      <c r="D1314">
        <v>6</v>
      </c>
      <c r="E1314" t="s">
        <v>43</v>
      </c>
      <c r="F1314" t="s">
        <v>5</v>
      </c>
      <c r="G1314" t="s">
        <v>5</v>
      </c>
      <c r="H1314">
        <v>11886.22</v>
      </c>
      <c r="I1314">
        <v>2666.4</v>
      </c>
      <c r="J1314">
        <v>0</v>
      </c>
    </row>
    <row r="1315" spans="1:10" x14ac:dyDescent="0.35">
      <c r="A1315">
        <v>326324</v>
      </c>
      <c r="B1315" t="s">
        <v>20</v>
      </c>
      <c r="C1315">
        <v>2015</v>
      </c>
      <c r="D1315">
        <v>6</v>
      </c>
      <c r="E1315" t="s">
        <v>43</v>
      </c>
      <c r="F1315" t="s">
        <v>5</v>
      </c>
      <c r="G1315" t="s">
        <v>5</v>
      </c>
      <c r="H1315">
        <v>19532.84</v>
      </c>
      <c r="I1315">
        <v>8698.5</v>
      </c>
      <c r="J1315">
        <v>0</v>
      </c>
    </row>
    <row r="1316" spans="1:10" x14ac:dyDescent="0.35">
      <c r="A1316">
        <v>326327</v>
      </c>
      <c r="B1316" t="s">
        <v>20</v>
      </c>
      <c r="C1316">
        <v>2015</v>
      </c>
      <c r="D1316">
        <v>6</v>
      </c>
      <c r="E1316" t="s">
        <v>43</v>
      </c>
      <c r="F1316" t="s">
        <v>5</v>
      </c>
      <c r="G1316" t="s">
        <v>5</v>
      </c>
      <c r="H1316">
        <v>32696.22</v>
      </c>
      <c r="I1316">
        <v>11419.67</v>
      </c>
      <c r="J1316">
        <v>0</v>
      </c>
    </row>
    <row r="1317" spans="1:10" x14ac:dyDescent="0.35">
      <c r="A1317">
        <v>326329</v>
      </c>
      <c r="B1317" t="s">
        <v>20</v>
      </c>
      <c r="C1317">
        <v>2015</v>
      </c>
      <c r="D1317">
        <v>9</v>
      </c>
      <c r="E1317" t="s">
        <v>42</v>
      </c>
      <c r="F1317" t="s">
        <v>5</v>
      </c>
      <c r="G1317" t="s">
        <v>5</v>
      </c>
      <c r="H1317">
        <v>10376.94</v>
      </c>
      <c r="I1317">
        <v>2751.91</v>
      </c>
      <c r="J1317">
        <v>0</v>
      </c>
    </row>
    <row r="1318" spans="1:10" x14ac:dyDescent="0.35">
      <c r="A1318">
        <v>326338</v>
      </c>
      <c r="B1318" t="s">
        <v>20</v>
      </c>
      <c r="C1318">
        <v>2015</v>
      </c>
      <c r="D1318">
        <v>6</v>
      </c>
      <c r="E1318" t="s">
        <v>43</v>
      </c>
      <c r="F1318" t="s">
        <v>5</v>
      </c>
      <c r="G1318" t="s">
        <v>5</v>
      </c>
      <c r="H1318">
        <v>27713.54</v>
      </c>
      <c r="I1318">
        <v>13638.99</v>
      </c>
      <c r="J1318">
        <v>0</v>
      </c>
    </row>
    <row r="1319" spans="1:10" x14ac:dyDescent="0.35">
      <c r="A1319">
        <v>326347</v>
      </c>
      <c r="B1319" t="s">
        <v>20</v>
      </c>
      <c r="C1319">
        <v>2015</v>
      </c>
      <c r="D1319">
        <v>9</v>
      </c>
      <c r="E1319" t="s">
        <v>42</v>
      </c>
      <c r="F1319" t="s">
        <v>5</v>
      </c>
      <c r="G1319" t="s">
        <v>5</v>
      </c>
      <c r="H1319">
        <v>57310.6</v>
      </c>
      <c r="I1319">
        <v>29621.01</v>
      </c>
      <c r="J1319">
        <v>0</v>
      </c>
    </row>
    <row r="1320" spans="1:10" x14ac:dyDescent="0.35">
      <c r="A1320">
        <v>326349</v>
      </c>
      <c r="B1320" t="s">
        <v>20</v>
      </c>
      <c r="C1320">
        <v>2015</v>
      </c>
      <c r="D1320">
        <v>6</v>
      </c>
      <c r="E1320" t="s">
        <v>43</v>
      </c>
      <c r="F1320" t="s">
        <v>5</v>
      </c>
      <c r="G1320" t="s">
        <v>5</v>
      </c>
      <c r="H1320">
        <v>26472.560000000001</v>
      </c>
      <c r="I1320">
        <v>4662.71</v>
      </c>
      <c r="J1320">
        <v>0</v>
      </c>
    </row>
    <row r="1321" spans="1:10" x14ac:dyDescent="0.35">
      <c r="A1321">
        <v>326358</v>
      </c>
      <c r="B1321" t="s">
        <v>20</v>
      </c>
      <c r="C1321">
        <v>2015</v>
      </c>
      <c r="D1321">
        <v>6</v>
      </c>
      <c r="E1321" t="s">
        <v>43</v>
      </c>
      <c r="F1321" t="s">
        <v>5</v>
      </c>
      <c r="G1321" t="s">
        <v>5</v>
      </c>
      <c r="H1321">
        <v>39208.639999999999</v>
      </c>
      <c r="I1321">
        <v>10061.950000000001</v>
      </c>
      <c r="J1321">
        <v>0</v>
      </c>
    </row>
    <row r="1322" spans="1:10" x14ac:dyDescent="0.35">
      <c r="A1322">
        <v>326363</v>
      </c>
      <c r="B1322" t="s">
        <v>20</v>
      </c>
      <c r="C1322">
        <v>2015</v>
      </c>
      <c r="D1322">
        <v>9</v>
      </c>
      <c r="E1322" t="s">
        <v>42</v>
      </c>
      <c r="F1322" t="s">
        <v>5</v>
      </c>
      <c r="G1322" t="s">
        <v>5</v>
      </c>
      <c r="H1322">
        <v>31682.720000000001</v>
      </c>
      <c r="I1322">
        <v>9967.9500000000007</v>
      </c>
      <c r="J1322">
        <v>0</v>
      </c>
    </row>
    <row r="1323" spans="1:10" x14ac:dyDescent="0.35">
      <c r="A1323">
        <v>326364</v>
      </c>
      <c r="B1323" t="s">
        <v>20</v>
      </c>
      <c r="C1323">
        <v>2015</v>
      </c>
      <c r="D1323">
        <v>6</v>
      </c>
      <c r="E1323" t="s">
        <v>43</v>
      </c>
      <c r="F1323" t="s">
        <v>5</v>
      </c>
      <c r="G1323" t="s">
        <v>5</v>
      </c>
      <c r="H1323">
        <v>44146.04</v>
      </c>
      <c r="I1323">
        <v>19704</v>
      </c>
      <c r="J1323">
        <v>0</v>
      </c>
    </row>
    <row r="1324" spans="1:10" x14ac:dyDescent="0.35">
      <c r="A1324">
        <v>326369</v>
      </c>
      <c r="B1324" t="s">
        <v>20</v>
      </c>
      <c r="C1324">
        <v>2015</v>
      </c>
      <c r="D1324">
        <v>6</v>
      </c>
      <c r="E1324" t="s">
        <v>43</v>
      </c>
      <c r="F1324" t="s">
        <v>5</v>
      </c>
      <c r="G1324" t="s">
        <v>5</v>
      </c>
      <c r="H1324">
        <v>7880.4</v>
      </c>
      <c r="I1324">
        <v>2179.5</v>
      </c>
      <c r="J1324">
        <v>0</v>
      </c>
    </row>
    <row r="1325" spans="1:10" x14ac:dyDescent="0.35">
      <c r="A1325">
        <v>326371</v>
      </c>
      <c r="B1325" t="s">
        <v>20</v>
      </c>
      <c r="C1325">
        <v>2015</v>
      </c>
      <c r="D1325">
        <v>9</v>
      </c>
      <c r="E1325" t="s">
        <v>42</v>
      </c>
      <c r="F1325" t="s">
        <v>5</v>
      </c>
      <c r="G1325" t="s">
        <v>5</v>
      </c>
      <c r="H1325">
        <v>16798.46</v>
      </c>
      <c r="I1325">
        <v>4445.42</v>
      </c>
      <c r="J1325">
        <v>0</v>
      </c>
    </row>
    <row r="1326" spans="1:10" x14ac:dyDescent="0.35">
      <c r="A1326">
        <v>326372</v>
      </c>
      <c r="B1326" t="s">
        <v>20</v>
      </c>
      <c r="C1326">
        <v>2015</v>
      </c>
      <c r="D1326">
        <v>6</v>
      </c>
      <c r="E1326" t="s">
        <v>43</v>
      </c>
      <c r="F1326" t="s">
        <v>5</v>
      </c>
      <c r="G1326" t="s">
        <v>5</v>
      </c>
      <c r="H1326">
        <v>23684.3</v>
      </c>
      <c r="I1326">
        <v>7406.42</v>
      </c>
      <c r="J1326">
        <v>0</v>
      </c>
    </row>
    <row r="1327" spans="1:10" x14ac:dyDescent="0.35">
      <c r="A1327">
        <v>326377</v>
      </c>
      <c r="B1327" t="s">
        <v>20</v>
      </c>
      <c r="C1327">
        <v>2015</v>
      </c>
      <c r="D1327">
        <v>9</v>
      </c>
      <c r="E1327" t="s">
        <v>42</v>
      </c>
      <c r="F1327" t="s">
        <v>5</v>
      </c>
      <c r="G1327" t="s">
        <v>5</v>
      </c>
      <c r="H1327">
        <v>33731.360000000001</v>
      </c>
      <c r="I1327">
        <v>10024.93</v>
      </c>
      <c r="J1327">
        <v>0</v>
      </c>
    </row>
    <row r="1328" spans="1:10" x14ac:dyDescent="0.35">
      <c r="A1328">
        <v>326383</v>
      </c>
      <c r="B1328" t="s">
        <v>20</v>
      </c>
      <c r="C1328">
        <v>2015</v>
      </c>
      <c r="D1328">
        <v>6</v>
      </c>
      <c r="E1328" t="s">
        <v>43</v>
      </c>
      <c r="F1328" t="s">
        <v>5</v>
      </c>
      <c r="G1328" t="s">
        <v>5</v>
      </c>
      <c r="H1328">
        <v>95724.1</v>
      </c>
      <c r="I1328">
        <v>31049</v>
      </c>
      <c r="J1328">
        <v>0</v>
      </c>
    </row>
    <row r="1329" spans="1:10" x14ac:dyDescent="0.35">
      <c r="A1329">
        <v>326390</v>
      </c>
      <c r="B1329" t="s">
        <v>20</v>
      </c>
      <c r="C1329">
        <v>2015</v>
      </c>
      <c r="D1329">
        <v>6</v>
      </c>
      <c r="E1329" t="s">
        <v>43</v>
      </c>
      <c r="F1329" t="s">
        <v>5</v>
      </c>
      <c r="G1329" t="s">
        <v>5</v>
      </c>
      <c r="H1329">
        <v>8693.1</v>
      </c>
      <c r="I1329">
        <v>2401.5300000000002</v>
      </c>
      <c r="J1329">
        <v>0</v>
      </c>
    </row>
    <row r="1330" spans="1:10" x14ac:dyDescent="0.35">
      <c r="A1330">
        <v>326399</v>
      </c>
      <c r="B1330" t="s">
        <v>20</v>
      </c>
      <c r="C1330">
        <v>2015</v>
      </c>
      <c r="D1330">
        <v>9</v>
      </c>
      <c r="E1330" t="s">
        <v>42</v>
      </c>
      <c r="F1330" t="s">
        <v>5</v>
      </c>
      <c r="G1330" t="s">
        <v>5</v>
      </c>
      <c r="H1330">
        <v>19196.73</v>
      </c>
      <c r="I1330">
        <v>6386.1</v>
      </c>
      <c r="J1330">
        <v>0</v>
      </c>
    </row>
    <row r="1331" spans="1:10" x14ac:dyDescent="0.35">
      <c r="A1331">
        <v>326404</v>
      </c>
      <c r="B1331" t="s">
        <v>20</v>
      </c>
      <c r="C1331">
        <v>2015</v>
      </c>
      <c r="D1331">
        <v>9</v>
      </c>
      <c r="E1331" t="s">
        <v>42</v>
      </c>
      <c r="F1331" t="s">
        <v>5</v>
      </c>
      <c r="G1331" t="s">
        <v>5</v>
      </c>
      <c r="H1331">
        <v>12916.64</v>
      </c>
      <c r="I1331">
        <v>3095.69</v>
      </c>
      <c r="J1331">
        <v>0</v>
      </c>
    </row>
    <row r="1332" spans="1:10" x14ac:dyDescent="0.35">
      <c r="A1332">
        <v>326413</v>
      </c>
      <c r="B1332" t="s">
        <v>20</v>
      </c>
      <c r="C1332">
        <v>2015</v>
      </c>
      <c r="D1332">
        <v>9</v>
      </c>
      <c r="E1332" t="s">
        <v>42</v>
      </c>
      <c r="F1332" t="s">
        <v>5</v>
      </c>
      <c r="G1332" t="s">
        <v>5</v>
      </c>
      <c r="H1332">
        <v>31742.68</v>
      </c>
      <c r="I1332">
        <v>5983.2</v>
      </c>
      <c r="J1332">
        <v>0</v>
      </c>
    </row>
    <row r="1333" spans="1:10" x14ac:dyDescent="0.35">
      <c r="A1333">
        <v>326440</v>
      </c>
      <c r="B1333" t="s">
        <v>20</v>
      </c>
      <c r="C1333">
        <v>2015</v>
      </c>
      <c r="D1333">
        <v>6</v>
      </c>
      <c r="E1333" t="s">
        <v>43</v>
      </c>
      <c r="F1333" t="s">
        <v>5</v>
      </c>
      <c r="G1333" t="s">
        <v>5</v>
      </c>
      <c r="H1333">
        <v>30397.32</v>
      </c>
      <c r="I1333">
        <v>6344.01</v>
      </c>
      <c r="J1333">
        <v>0</v>
      </c>
    </row>
    <row r="1334" spans="1:10" x14ac:dyDescent="0.35">
      <c r="A1334">
        <v>326446</v>
      </c>
      <c r="B1334" t="s">
        <v>20</v>
      </c>
      <c r="C1334">
        <v>2015</v>
      </c>
      <c r="D1334">
        <v>6</v>
      </c>
      <c r="E1334" t="s">
        <v>43</v>
      </c>
      <c r="F1334" t="s">
        <v>5</v>
      </c>
      <c r="G1334" t="s">
        <v>5</v>
      </c>
      <c r="H1334">
        <v>20059.66</v>
      </c>
      <c r="I1334">
        <v>5244.5</v>
      </c>
      <c r="J1334">
        <v>0</v>
      </c>
    </row>
    <row r="1335" spans="1:10" x14ac:dyDescent="0.35">
      <c r="A1335">
        <v>326449</v>
      </c>
      <c r="B1335" t="s">
        <v>20</v>
      </c>
      <c r="C1335">
        <v>2015</v>
      </c>
      <c r="D1335">
        <v>6</v>
      </c>
      <c r="E1335" t="s">
        <v>43</v>
      </c>
      <c r="F1335" t="s">
        <v>5</v>
      </c>
      <c r="G1335" t="s">
        <v>5</v>
      </c>
      <c r="H1335">
        <v>30725.279999999999</v>
      </c>
      <c r="I1335">
        <v>8076.12</v>
      </c>
      <c r="J1335">
        <v>0</v>
      </c>
    </row>
    <row r="1336" spans="1:10" x14ac:dyDescent="0.35">
      <c r="A1336">
        <v>326469</v>
      </c>
      <c r="B1336" t="s">
        <v>20</v>
      </c>
      <c r="C1336">
        <v>2015</v>
      </c>
      <c r="D1336">
        <v>9</v>
      </c>
      <c r="E1336" t="s">
        <v>42</v>
      </c>
      <c r="F1336" t="s">
        <v>5</v>
      </c>
      <c r="G1336" t="s">
        <v>5</v>
      </c>
      <c r="H1336">
        <v>21379.22</v>
      </c>
      <c r="I1336">
        <v>8408.65</v>
      </c>
      <c r="J1336">
        <v>0</v>
      </c>
    </row>
    <row r="1337" spans="1:10" x14ac:dyDescent="0.35">
      <c r="A1337">
        <v>326505</v>
      </c>
      <c r="B1337" t="s">
        <v>20</v>
      </c>
      <c r="C1337">
        <v>2015</v>
      </c>
      <c r="D1337">
        <v>9</v>
      </c>
      <c r="E1337" t="s">
        <v>42</v>
      </c>
      <c r="F1337" t="s">
        <v>5</v>
      </c>
      <c r="G1337" t="s">
        <v>5</v>
      </c>
      <c r="H1337">
        <v>43287.18</v>
      </c>
      <c r="I1337">
        <v>14897.61</v>
      </c>
      <c r="J1337">
        <v>0</v>
      </c>
    </row>
    <row r="1338" spans="1:10" x14ac:dyDescent="0.35">
      <c r="A1338">
        <v>326506</v>
      </c>
      <c r="B1338" t="s">
        <v>20</v>
      </c>
      <c r="C1338">
        <v>2015</v>
      </c>
      <c r="D1338">
        <v>6</v>
      </c>
      <c r="E1338" t="s">
        <v>43</v>
      </c>
      <c r="F1338" t="s">
        <v>5</v>
      </c>
      <c r="G1338" t="s">
        <v>5</v>
      </c>
      <c r="H1338">
        <v>11995.28</v>
      </c>
      <c r="I1338">
        <v>4362.58</v>
      </c>
      <c r="J1338">
        <v>0</v>
      </c>
    </row>
    <row r="1339" spans="1:10" x14ac:dyDescent="0.35">
      <c r="A1339">
        <v>326509</v>
      </c>
      <c r="B1339" t="s">
        <v>20</v>
      </c>
      <c r="C1339">
        <v>2015</v>
      </c>
      <c r="D1339">
        <v>9</v>
      </c>
      <c r="E1339" t="s">
        <v>42</v>
      </c>
      <c r="F1339" t="s">
        <v>5</v>
      </c>
      <c r="G1339" t="s">
        <v>5</v>
      </c>
      <c r="H1339">
        <v>10280.66</v>
      </c>
      <c r="I1339">
        <v>2668.51</v>
      </c>
      <c r="J1339">
        <v>0</v>
      </c>
    </row>
    <row r="1340" spans="1:10" x14ac:dyDescent="0.35">
      <c r="A1340">
        <v>326516</v>
      </c>
      <c r="B1340" t="s">
        <v>20</v>
      </c>
      <c r="C1340">
        <v>2015</v>
      </c>
      <c r="D1340">
        <v>9</v>
      </c>
      <c r="E1340" t="s">
        <v>42</v>
      </c>
      <c r="F1340" t="s">
        <v>5</v>
      </c>
      <c r="G1340" t="s">
        <v>5</v>
      </c>
      <c r="H1340">
        <v>29732.62</v>
      </c>
      <c r="I1340">
        <v>8309.09</v>
      </c>
      <c r="J1340">
        <v>0</v>
      </c>
    </row>
    <row r="1341" spans="1:10" x14ac:dyDescent="0.35">
      <c r="A1341">
        <v>326525</v>
      </c>
      <c r="B1341" t="s">
        <v>20</v>
      </c>
      <c r="C1341">
        <v>2015</v>
      </c>
      <c r="D1341">
        <v>9</v>
      </c>
      <c r="E1341" t="s">
        <v>42</v>
      </c>
      <c r="F1341" t="s">
        <v>5</v>
      </c>
      <c r="G1341" t="s">
        <v>5</v>
      </c>
      <c r="H1341">
        <v>11287.06</v>
      </c>
      <c r="I1341">
        <v>2950.89</v>
      </c>
      <c r="J1341">
        <v>0</v>
      </c>
    </row>
    <row r="1342" spans="1:10" x14ac:dyDescent="0.35">
      <c r="A1342">
        <v>326530</v>
      </c>
      <c r="B1342" t="s">
        <v>20</v>
      </c>
      <c r="C1342">
        <v>2015</v>
      </c>
      <c r="D1342">
        <v>9</v>
      </c>
      <c r="E1342" t="s">
        <v>42</v>
      </c>
      <c r="F1342" t="s">
        <v>5</v>
      </c>
      <c r="G1342" t="s">
        <v>5</v>
      </c>
      <c r="H1342">
        <v>68815.42</v>
      </c>
      <c r="I1342">
        <v>20021.45</v>
      </c>
      <c r="J1342">
        <v>0</v>
      </c>
    </row>
    <row r="1343" spans="1:10" x14ac:dyDescent="0.35">
      <c r="A1343">
        <v>326545</v>
      </c>
      <c r="B1343" t="s">
        <v>20</v>
      </c>
      <c r="C1343">
        <v>2015</v>
      </c>
      <c r="D1343">
        <v>9</v>
      </c>
      <c r="E1343" t="s">
        <v>42</v>
      </c>
      <c r="F1343" t="s">
        <v>5</v>
      </c>
      <c r="G1343" t="s">
        <v>5</v>
      </c>
      <c r="H1343">
        <v>24299.26</v>
      </c>
      <c r="I1343">
        <v>17216.75</v>
      </c>
      <c r="J1343">
        <v>0</v>
      </c>
    </row>
    <row r="1344" spans="1:10" x14ac:dyDescent="0.35">
      <c r="A1344">
        <v>326548</v>
      </c>
      <c r="B1344" t="s">
        <v>20</v>
      </c>
      <c r="C1344">
        <v>2015</v>
      </c>
      <c r="D1344">
        <v>9</v>
      </c>
      <c r="E1344" t="s">
        <v>42</v>
      </c>
      <c r="F1344" t="s">
        <v>5</v>
      </c>
      <c r="G1344" t="s">
        <v>5</v>
      </c>
      <c r="H1344">
        <v>15255.98</v>
      </c>
      <c r="I1344">
        <v>5018.1099999999997</v>
      </c>
      <c r="J1344">
        <v>0</v>
      </c>
    </row>
    <row r="1345" spans="1:10" x14ac:dyDescent="0.35">
      <c r="A1345">
        <v>326552</v>
      </c>
      <c r="B1345" t="s">
        <v>20</v>
      </c>
      <c r="C1345">
        <v>2015</v>
      </c>
      <c r="D1345">
        <v>6</v>
      </c>
      <c r="E1345" t="s">
        <v>43</v>
      </c>
      <c r="F1345" t="s">
        <v>5</v>
      </c>
      <c r="G1345" t="s">
        <v>5</v>
      </c>
      <c r="H1345">
        <v>19936.599999999999</v>
      </c>
      <c r="I1345">
        <v>11887.65</v>
      </c>
      <c r="J1345">
        <v>0</v>
      </c>
    </row>
    <row r="1346" spans="1:10" x14ac:dyDescent="0.35">
      <c r="A1346">
        <v>326554</v>
      </c>
      <c r="B1346" t="s">
        <v>20</v>
      </c>
      <c r="C1346">
        <v>2015</v>
      </c>
      <c r="D1346">
        <v>9</v>
      </c>
      <c r="E1346" t="s">
        <v>42</v>
      </c>
      <c r="F1346" t="s">
        <v>5</v>
      </c>
      <c r="G1346" t="s">
        <v>5</v>
      </c>
      <c r="H1346">
        <v>16705.02</v>
      </c>
      <c r="I1346">
        <v>4876.38</v>
      </c>
      <c r="J1346">
        <v>0</v>
      </c>
    </row>
    <row r="1347" spans="1:10" x14ac:dyDescent="0.35">
      <c r="A1347">
        <v>326558</v>
      </c>
      <c r="B1347" t="s">
        <v>20</v>
      </c>
      <c r="C1347">
        <v>2015</v>
      </c>
      <c r="D1347">
        <v>6</v>
      </c>
      <c r="E1347" t="s">
        <v>43</v>
      </c>
      <c r="F1347" t="s">
        <v>5</v>
      </c>
      <c r="G1347" t="s">
        <v>5</v>
      </c>
      <c r="H1347">
        <v>18345.66</v>
      </c>
      <c r="I1347">
        <v>4696.46</v>
      </c>
      <c r="J1347">
        <v>0</v>
      </c>
    </row>
    <row r="1348" spans="1:10" x14ac:dyDescent="0.35">
      <c r="A1348">
        <v>326568</v>
      </c>
      <c r="B1348" t="s">
        <v>20</v>
      </c>
      <c r="C1348">
        <v>2015</v>
      </c>
      <c r="D1348">
        <v>9</v>
      </c>
      <c r="E1348" t="s">
        <v>42</v>
      </c>
      <c r="F1348" t="s">
        <v>5</v>
      </c>
      <c r="G1348" t="s">
        <v>5</v>
      </c>
      <c r="H1348">
        <v>41272.639999999999</v>
      </c>
      <c r="I1348">
        <v>13698.23</v>
      </c>
      <c r="J1348">
        <v>0</v>
      </c>
    </row>
    <row r="1349" spans="1:10" x14ac:dyDescent="0.35">
      <c r="A1349">
        <v>326569</v>
      </c>
      <c r="B1349" t="s">
        <v>20</v>
      </c>
      <c r="C1349">
        <v>2015</v>
      </c>
      <c r="D1349">
        <v>9</v>
      </c>
      <c r="E1349" t="s">
        <v>42</v>
      </c>
      <c r="F1349" t="s">
        <v>5</v>
      </c>
      <c r="G1349" t="s">
        <v>5</v>
      </c>
      <c r="H1349">
        <v>116743.97</v>
      </c>
      <c r="I1349">
        <v>45056.29</v>
      </c>
      <c r="J1349">
        <v>0</v>
      </c>
    </row>
    <row r="1350" spans="1:10" x14ac:dyDescent="0.35">
      <c r="A1350">
        <v>326578</v>
      </c>
      <c r="B1350" t="s">
        <v>20</v>
      </c>
      <c r="C1350">
        <v>2015</v>
      </c>
      <c r="D1350">
        <v>9</v>
      </c>
      <c r="E1350" t="s">
        <v>42</v>
      </c>
      <c r="F1350" t="s">
        <v>5</v>
      </c>
      <c r="G1350" t="s">
        <v>5</v>
      </c>
      <c r="H1350">
        <v>23980.36</v>
      </c>
      <c r="I1350">
        <v>8458.67</v>
      </c>
      <c r="J1350">
        <v>0</v>
      </c>
    </row>
    <row r="1351" spans="1:10" x14ac:dyDescent="0.35">
      <c r="A1351">
        <v>326584</v>
      </c>
      <c r="B1351" t="s">
        <v>20</v>
      </c>
      <c r="C1351">
        <v>2015</v>
      </c>
      <c r="D1351">
        <v>6</v>
      </c>
      <c r="E1351" t="s">
        <v>43</v>
      </c>
      <c r="F1351" t="s">
        <v>5</v>
      </c>
      <c r="G1351" t="s">
        <v>5</v>
      </c>
      <c r="H1351">
        <v>25629.96</v>
      </c>
      <c r="I1351">
        <v>12243.51</v>
      </c>
      <c r="J1351">
        <v>0</v>
      </c>
    </row>
    <row r="1352" spans="1:10" x14ac:dyDescent="0.35">
      <c r="A1352">
        <v>326589</v>
      </c>
      <c r="B1352" t="s">
        <v>20</v>
      </c>
      <c r="C1352">
        <v>2015</v>
      </c>
      <c r="D1352">
        <v>9</v>
      </c>
      <c r="E1352" t="s">
        <v>42</v>
      </c>
      <c r="F1352" t="s">
        <v>5</v>
      </c>
      <c r="G1352" t="s">
        <v>5</v>
      </c>
      <c r="H1352">
        <v>31584.58</v>
      </c>
      <c r="I1352">
        <v>15422.71</v>
      </c>
      <c r="J1352">
        <v>0</v>
      </c>
    </row>
    <row r="1353" spans="1:10" x14ac:dyDescent="0.35">
      <c r="A1353">
        <v>326607</v>
      </c>
      <c r="B1353" t="s">
        <v>20</v>
      </c>
      <c r="C1353">
        <v>2015</v>
      </c>
      <c r="D1353">
        <v>6</v>
      </c>
      <c r="E1353" t="s">
        <v>43</v>
      </c>
      <c r="F1353" t="s">
        <v>5</v>
      </c>
      <c r="G1353" t="s">
        <v>5</v>
      </c>
      <c r="H1353">
        <v>24007.66</v>
      </c>
      <c r="I1353">
        <v>8484.2199999999993</v>
      </c>
      <c r="J1353">
        <v>0</v>
      </c>
    </row>
    <row r="1354" spans="1:10" x14ac:dyDescent="0.35">
      <c r="A1354">
        <v>326609</v>
      </c>
      <c r="B1354" t="s">
        <v>20</v>
      </c>
      <c r="C1354">
        <v>2015</v>
      </c>
      <c r="D1354">
        <v>6</v>
      </c>
      <c r="E1354" t="s">
        <v>43</v>
      </c>
      <c r="F1354" t="s">
        <v>5</v>
      </c>
      <c r="G1354" t="s">
        <v>5</v>
      </c>
      <c r="H1354">
        <v>52541.78</v>
      </c>
      <c r="I1354">
        <v>15868.24</v>
      </c>
      <c r="J1354">
        <v>0</v>
      </c>
    </row>
    <row r="1355" spans="1:10" x14ac:dyDescent="0.35">
      <c r="A1355">
        <v>326611</v>
      </c>
      <c r="B1355" t="s">
        <v>20</v>
      </c>
      <c r="C1355">
        <v>2015</v>
      </c>
      <c r="D1355">
        <v>6</v>
      </c>
      <c r="E1355" t="s">
        <v>43</v>
      </c>
      <c r="F1355" t="s">
        <v>5</v>
      </c>
      <c r="G1355" t="s">
        <v>5</v>
      </c>
      <c r="H1355">
        <v>214389.92</v>
      </c>
      <c r="I1355">
        <v>140547.85</v>
      </c>
      <c r="J1355">
        <v>0</v>
      </c>
    </row>
    <row r="1356" spans="1:10" x14ac:dyDescent="0.35">
      <c r="A1356">
        <v>326620</v>
      </c>
      <c r="B1356" t="s">
        <v>20</v>
      </c>
      <c r="C1356">
        <v>2015</v>
      </c>
      <c r="D1356">
        <v>9</v>
      </c>
      <c r="E1356" t="s">
        <v>42</v>
      </c>
      <c r="F1356" t="s">
        <v>5</v>
      </c>
      <c r="G1356" t="s">
        <v>5</v>
      </c>
      <c r="H1356">
        <v>9899.6200000000008</v>
      </c>
      <c r="I1356">
        <v>2777.86</v>
      </c>
      <c r="J1356">
        <v>0</v>
      </c>
    </row>
    <row r="1357" spans="1:10" x14ac:dyDescent="0.35">
      <c r="A1357">
        <v>326621</v>
      </c>
      <c r="B1357" t="s">
        <v>20</v>
      </c>
      <c r="C1357">
        <v>2015</v>
      </c>
      <c r="D1357">
        <v>6</v>
      </c>
      <c r="E1357" t="s">
        <v>43</v>
      </c>
      <c r="F1357" t="s">
        <v>5</v>
      </c>
      <c r="G1357" t="s">
        <v>5</v>
      </c>
      <c r="H1357">
        <v>24517.54</v>
      </c>
      <c r="I1357">
        <v>13482.32</v>
      </c>
      <c r="J1357">
        <v>0</v>
      </c>
    </row>
    <row r="1358" spans="1:10" x14ac:dyDescent="0.35">
      <c r="A1358">
        <v>326631</v>
      </c>
      <c r="B1358" t="s">
        <v>20</v>
      </c>
      <c r="C1358">
        <v>2015</v>
      </c>
      <c r="D1358">
        <v>9</v>
      </c>
      <c r="E1358" t="s">
        <v>42</v>
      </c>
      <c r="F1358" t="s">
        <v>5</v>
      </c>
      <c r="G1358" t="s">
        <v>5</v>
      </c>
      <c r="H1358">
        <v>28323.56</v>
      </c>
      <c r="I1358">
        <v>12552.56</v>
      </c>
      <c r="J1358">
        <v>0</v>
      </c>
    </row>
    <row r="1359" spans="1:10" x14ac:dyDescent="0.35">
      <c r="A1359">
        <v>326639</v>
      </c>
      <c r="B1359" t="s">
        <v>20</v>
      </c>
      <c r="C1359">
        <v>2015</v>
      </c>
      <c r="D1359">
        <v>9</v>
      </c>
      <c r="E1359" t="s">
        <v>42</v>
      </c>
      <c r="F1359" t="s">
        <v>5</v>
      </c>
      <c r="G1359" t="s">
        <v>5</v>
      </c>
      <c r="H1359">
        <v>32610.78</v>
      </c>
      <c r="I1359">
        <v>7627.32</v>
      </c>
      <c r="J1359">
        <v>0</v>
      </c>
    </row>
    <row r="1360" spans="1:10" x14ac:dyDescent="0.35">
      <c r="A1360">
        <v>326646</v>
      </c>
      <c r="B1360" t="s">
        <v>20</v>
      </c>
      <c r="C1360">
        <v>2015</v>
      </c>
      <c r="D1360">
        <v>9</v>
      </c>
      <c r="E1360" t="s">
        <v>42</v>
      </c>
      <c r="F1360" t="s">
        <v>5</v>
      </c>
      <c r="G1360" t="s">
        <v>5</v>
      </c>
      <c r="H1360">
        <v>15120.7</v>
      </c>
      <c r="I1360">
        <v>4389.8100000000004</v>
      </c>
      <c r="J1360">
        <v>0</v>
      </c>
    </row>
    <row r="1361" spans="1:10" x14ac:dyDescent="0.35">
      <c r="A1361">
        <v>326650</v>
      </c>
      <c r="B1361" t="s">
        <v>20</v>
      </c>
      <c r="C1361">
        <v>2015</v>
      </c>
      <c r="D1361">
        <v>9</v>
      </c>
      <c r="E1361" t="s">
        <v>42</v>
      </c>
      <c r="F1361" t="s">
        <v>5</v>
      </c>
      <c r="G1361" t="s">
        <v>5</v>
      </c>
      <c r="H1361">
        <v>51577.760000000002</v>
      </c>
      <c r="I1361">
        <v>13467.52</v>
      </c>
      <c r="J1361">
        <v>0</v>
      </c>
    </row>
    <row r="1362" spans="1:10" x14ac:dyDescent="0.35">
      <c r="A1362">
        <v>326659</v>
      </c>
      <c r="B1362" t="s">
        <v>20</v>
      </c>
      <c r="C1362">
        <v>2015</v>
      </c>
      <c r="D1362">
        <v>6</v>
      </c>
      <c r="E1362" t="s">
        <v>43</v>
      </c>
      <c r="F1362" t="s">
        <v>5</v>
      </c>
      <c r="G1362" t="s">
        <v>5</v>
      </c>
      <c r="H1362">
        <v>14971.8</v>
      </c>
      <c r="I1362">
        <v>3183.51</v>
      </c>
      <c r="J1362">
        <v>0</v>
      </c>
    </row>
    <row r="1363" spans="1:10" x14ac:dyDescent="0.35">
      <c r="A1363">
        <v>326660</v>
      </c>
      <c r="B1363" t="s">
        <v>20</v>
      </c>
      <c r="C1363">
        <v>2015</v>
      </c>
      <c r="D1363">
        <v>6</v>
      </c>
      <c r="E1363" t="s">
        <v>43</v>
      </c>
      <c r="F1363" t="s">
        <v>5</v>
      </c>
      <c r="G1363" t="s">
        <v>5</v>
      </c>
      <c r="H1363">
        <v>19967.52</v>
      </c>
      <c r="I1363">
        <v>4568.04</v>
      </c>
      <c r="J1363">
        <v>0</v>
      </c>
    </row>
    <row r="1364" spans="1:10" x14ac:dyDescent="0.35">
      <c r="A1364">
        <v>326668</v>
      </c>
      <c r="B1364" t="s">
        <v>20</v>
      </c>
      <c r="C1364">
        <v>2015</v>
      </c>
      <c r="D1364">
        <v>6</v>
      </c>
      <c r="E1364" t="s">
        <v>43</v>
      </c>
      <c r="F1364" t="s">
        <v>5</v>
      </c>
      <c r="G1364" t="s">
        <v>5</v>
      </c>
      <c r="H1364">
        <v>44095.86</v>
      </c>
      <c r="I1364">
        <v>13571.95</v>
      </c>
      <c r="J1364">
        <v>0</v>
      </c>
    </row>
    <row r="1365" spans="1:10" x14ac:dyDescent="0.35">
      <c r="A1365">
        <v>326670</v>
      </c>
      <c r="B1365" t="s">
        <v>20</v>
      </c>
      <c r="C1365">
        <v>2015</v>
      </c>
      <c r="D1365">
        <v>6</v>
      </c>
      <c r="E1365" t="s">
        <v>43</v>
      </c>
      <c r="F1365" t="s">
        <v>5</v>
      </c>
      <c r="G1365" t="s">
        <v>5</v>
      </c>
      <c r="H1365">
        <v>13154.1</v>
      </c>
      <c r="I1365">
        <v>3457.81</v>
      </c>
      <c r="J1365">
        <v>0</v>
      </c>
    </row>
    <row r="1366" spans="1:10" x14ac:dyDescent="0.35">
      <c r="A1366">
        <v>326671</v>
      </c>
      <c r="B1366" t="s">
        <v>20</v>
      </c>
      <c r="C1366">
        <v>2015</v>
      </c>
      <c r="D1366">
        <v>6</v>
      </c>
      <c r="E1366" t="s">
        <v>43</v>
      </c>
      <c r="F1366" t="s">
        <v>5</v>
      </c>
      <c r="G1366" t="s">
        <v>5</v>
      </c>
      <c r="H1366">
        <v>11806.8</v>
      </c>
      <c r="I1366">
        <v>3233.63</v>
      </c>
      <c r="J1366">
        <v>0</v>
      </c>
    </row>
    <row r="1367" spans="1:10" x14ac:dyDescent="0.35">
      <c r="A1367">
        <v>326676</v>
      </c>
      <c r="B1367" t="s">
        <v>20</v>
      </c>
      <c r="C1367">
        <v>2015</v>
      </c>
      <c r="D1367">
        <v>6</v>
      </c>
      <c r="E1367" t="s">
        <v>43</v>
      </c>
      <c r="F1367" t="s">
        <v>5</v>
      </c>
      <c r="G1367" t="s">
        <v>5</v>
      </c>
      <c r="H1367">
        <v>33749.58</v>
      </c>
      <c r="I1367">
        <v>8765.56</v>
      </c>
      <c r="J1367">
        <v>0</v>
      </c>
    </row>
    <row r="1368" spans="1:10" x14ac:dyDescent="0.35">
      <c r="A1368">
        <v>326692</v>
      </c>
      <c r="B1368" t="s">
        <v>20</v>
      </c>
      <c r="C1368">
        <v>2015</v>
      </c>
      <c r="D1368">
        <v>6</v>
      </c>
      <c r="E1368" t="s">
        <v>43</v>
      </c>
      <c r="F1368" t="s">
        <v>5</v>
      </c>
      <c r="G1368" t="s">
        <v>5</v>
      </c>
      <c r="H1368">
        <v>25198.36</v>
      </c>
      <c r="I1368">
        <v>8623.7999999999993</v>
      </c>
      <c r="J1368">
        <v>0</v>
      </c>
    </row>
    <row r="1369" spans="1:10" x14ac:dyDescent="0.35">
      <c r="A1369">
        <v>326693</v>
      </c>
      <c r="B1369" t="s">
        <v>20</v>
      </c>
      <c r="C1369">
        <v>2015</v>
      </c>
      <c r="D1369">
        <v>9</v>
      </c>
      <c r="E1369" t="s">
        <v>42</v>
      </c>
      <c r="F1369" t="s">
        <v>5</v>
      </c>
      <c r="G1369" t="s">
        <v>5</v>
      </c>
      <c r="H1369">
        <v>45552.9</v>
      </c>
      <c r="I1369">
        <v>13946.07</v>
      </c>
      <c r="J1369">
        <v>0</v>
      </c>
    </row>
    <row r="1370" spans="1:10" x14ac:dyDescent="0.35">
      <c r="A1370">
        <v>326698</v>
      </c>
      <c r="B1370" t="s">
        <v>20</v>
      </c>
      <c r="C1370">
        <v>2015</v>
      </c>
      <c r="D1370">
        <v>6</v>
      </c>
      <c r="E1370" t="s">
        <v>43</v>
      </c>
      <c r="F1370" t="s">
        <v>5</v>
      </c>
      <c r="G1370" t="s">
        <v>5</v>
      </c>
      <c r="H1370">
        <v>29403.86</v>
      </c>
      <c r="I1370">
        <v>18537.98</v>
      </c>
      <c r="J1370">
        <v>0</v>
      </c>
    </row>
    <row r="1371" spans="1:10" x14ac:dyDescent="0.35">
      <c r="A1371">
        <v>326705</v>
      </c>
      <c r="B1371" t="s">
        <v>20</v>
      </c>
      <c r="C1371">
        <v>2015</v>
      </c>
      <c r="D1371">
        <v>6</v>
      </c>
      <c r="E1371" t="s">
        <v>43</v>
      </c>
      <c r="F1371" t="s">
        <v>5</v>
      </c>
      <c r="G1371" t="s">
        <v>5</v>
      </c>
      <c r="H1371">
        <v>17998.5</v>
      </c>
      <c r="I1371">
        <v>9082.27</v>
      </c>
      <c r="J1371">
        <v>0</v>
      </c>
    </row>
    <row r="1372" spans="1:10" x14ac:dyDescent="0.35">
      <c r="A1372">
        <v>326709</v>
      </c>
      <c r="B1372" t="s">
        <v>20</v>
      </c>
      <c r="C1372">
        <v>2015</v>
      </c>
      <c r="D1372">
        <v>9</v>
      </c>
      <c r="E1372" t="s">
        <v>42</v>
      </c>
      <c r="F1372" t="s">
        <v>5</v>
      </c>
      <c r="G1372" t="s">
        <v>5</v>
      </c>
      <c r="H1372">
        <v>27116.44</v>
      </c>
      <c r="I1372">
        <v>13322.71</v>
      </c>
      <c r="J1372">
        <v>0</v>
      </c>
    </row>
    <row r="1373" spans="1:10" x14ac:dyDescent="0.35">
      <c r="A1373">
        <v>326717</v>
      </c>
      <c r="B1373" t="s">
        <v>20</v>
      </c>
      <c r="C1373">
        <v>2015</v>
      </c>
      <c r="D1373">
        <v>9</v>
      </c>
      <c r="E1373" t="s">
        <v>42</v>
      </c>
      <c r="F1373" t="s">
        <v>5</v>
      </c>
      <c r="G1373" t="s">
        <v>5</v>
      </c>
      <c r="H1373">
        <v>24647.96</v>
      </c>
      <c r="I1373">
        <v>8831.91</v>
      </c>
      <c r="J1373">
        <v>0</v>
      </c>
    </row>
    <row r="1374" spans="1:10" x14ac:dyDescent="0.35">
      <c r="A1374">
        <v>326724</v>
      </c>
      <c r="B1374" t="s">
        <v>20</v>
      </c>
      <c r="C1374">
        <v>2015</v>
      </c>
      <c r="D1374">
        <v>6</v>
      </c>
      <c r="E1374" t="s">
        <v>43</v>
      </c>
      <c r="F1374" t="s">
        <v>5</v>
      </c>
      <c r="G1374" t="s">
        <v>5</v>
      </c>
      <c r="H1374">
        <v>21866.02</v>
      </c>
      <c r="I1374">
        <v>5582.69</v>
      </c>
      <c r="J1374">
        <v>0</v>
      </c>
    </row>
    <row r="1375" spans="1:10" x14ac:dyDescent="0.35">
      <c r="A1375">
        <v>326730</v>
      </c>
      <c r="B1375" t="s">
        <v>20</v>
      </c>
      <c r="C1375">
        <v>2015</v>
      </c>
      <c r="D1375">
        <v>6</v>
      </c>
      <c r="E1375" t="s">
        <v>43</v>
      </c>
      <c r="F1375" t="s">
        <v>5</v>
      </c>
      <c r="G1375" t="s">
        <v>5</v>
      </c>
      <c r="H1375">
        <v>10552.88</v>
      </c>
      <c r="I1375">
        <v>2786.65</v>
      </c>
      <c r="J1375">
        <v>0</v>
      </c>
    </row>
    <row r="1376" spans="1:10" x14ac:dyDescent="0.35">
      <c r="A1376">
        <v>326752</v>
      </c>
      <c r="B1376" t="s">
        <v>20</v>
      </c>
      <c r="C1376">
        <v>2015</v>
      </c>
      <c r="D1376">
        <v>9</v>
      </c>
      <c r="E1376" t="s">
        <v>42</v>
      </c>
      <c r="F1376" t="s">
        <v>5</v>
      </c>
      <c r="G1376" t="s">
        <v>5</v>
      </c>
      <c r="H1376">
        <v>26923.68</v>
      </c>
      <c r="I1376">
        <v>8167.54</v>
      </c>
      <c r="J1376">
        <v>0</v>
      </c>
    </row>
    <row r="1377" spans="1:10" x14ac:dyDescent="0.35">
      <c r="A1377">
        <v>326778</v>
      </c>
      <c r="B1377" t="s">
        <v>20</v>
      </c>
      <c r="C1377">
        <v>2015</v>
      </c>
      <c r="D1377">
        <v>6</v>
      </c>
      <c r="E1377" t="s">
        <v>43</v>
      </c>
      <c r="F1377" t="s">
        <v>5</v>
      </c>
      <c r="G1377" t="s">
        <v>5</v>
      </c>
      <c r="H1377">
        <v>18608.740000000002</v>
      </c>
      <c r="I1377">
        <v>4702.3999999999996</v>
      </c>
      <c r="J1377">
        <v>0</v>
      </c>
    </row>
    <row r="1378" spans="1:10" x14ac:dyDescent="0.35">
      <c r="A1378">
        <v>326789</v>
      </c>
      <c r="B1378" t="s">
        <v>20</v>
      </c>
      <c r="C1378">
        <v>2015</v>
      </c>
      <c r="D1378">
        <v>9</v>
      </c>
      <c r="E1378" t="s">
        <v>42</v>
      </c>
      <c r="F1378" t="s">
        <v>5</v>
      </c>
      <c r="G1378" t="s">
        <v>5</v>
      </c>
      <c r="H1378">
        <v>13134.64</v>
      </c>
      <c r="I1378">
        <v>3489.56</v>
      </c>
      <c r="J1378">
        <v>0</v>
      </c>
    </row>
    <row r="1379" spans="1:10" x14ac:dyDescent="0.35">
      <c r="A1379">
        <v>326795</v>
      </c>
      <c r="B1379" t="s">
        <v>20</v>
      </c>
      <c r="C1379">
        <v>2015</v>
      </c>
      <c r="D1379">
        <v>6</v>
      </c>
      <c r="E1379" t="s">
        <v>43</v>
      </c>
      <c r="F1379" t="s">
        <v>5</v>
      </c>
      <c r="G1379" t="s">
        <v>5</v>
      </c>
      <c r="H1379">
        <v>23685.4</v>
      </c>
      <c r="I1379">
        <v>7879.55</v>
      </c>
      <c r="J1379">
        <v>0</v>
      </c>
    </row>
    <row r="1380" spans="1:10" x14ac:dyDescent="0.35">
      <c r="A1380">
        <v>326800</v>
      </c>
      <c r="B1380" t="s">
        <v>20</v>
      </c>
      <c r="C1380">
        <v>2015</v>
      </c>
      <c r="D1380">
        <v>6</v>
      </c>
      <c r="E1380" t="s">
        <v>43</v>
      </c>
      <c r="F1380" t="s">
        <v>5</v>
      </c>
      <c r="G1380" t="s">
        <v>5</v>
      </c>
      <c r="H1380">
        <v>23087.96</v>
      </c>
      <c r="I1380">
        <v>6226.53</v>
      </c>
      <c r="J1380">
        <v>0</v>
      </c>
    </row>
    <row r="1381" spans="1:10" x14ac:dyDescent="0.35">
      <c r="A1381">
        <v>326809</v>
      </c>
      <c r="B1381" t="s">
        <v>20</v>
      </c>
      <c r="C1381">
        <v>2015</v>
      </c>
      <c r="D1381">
        <v>6</v>
      </c>
      <c r="E1381" t="s">
        <v>43</v>
      </c>
      <c r="F1381" t="s">
        <v>5</v>
      </c>
      <c r="G1381" t="s">
        <v>5</v>
      </c>
      <c r="H1381">
        <v>11085.72</v>
      </c>
      <c r="I1381">
        <v>3016.75</v>
      </c>
      <c r="J1381">
        <v>0</v>
      </c>
    </row>
    <row r="1382" spans="1:10" x14ac:dyDescent="0.35">
      <c r="A1382">
        <v>326810</v>
      </c>
      <c r="B1382" t="s">
        <v>20</v>
      </c>
      <c r="C1382">
        <v>2015</v>
      </c>
      <c r="D1382">
        <v>6</v>
      </c>
      <c r="E1382" t="s">
        <v>43</v>
      </c>
      <c r="F1382" t="s">
        <v>5</v>
      </c>
      <c r="G1382" t="s">
        <v>5</v>
      </c>
      <c r="H1382">
        <v>48311.38</v>
      </c>
      <c r="I1382">
        <v>17329.63</v>
      </c>
      <c r="J1382">
        <v>0</v>
      </c>
    </row>
    <row r="1383" spans="1:10" x14ac:dyDescent="0.35">
      <c r="A1383">
        <v>326820</v>
      </c>
      <c r="B1383" t="s">
        <v>20</v>
      </c>
      <c r="C1383">
        <v>2015</v>
      </c>
      <c r="D1383">
        <v>6</v>
      </c>
      <c r="E1383" t="s">
        <v>43</v>
      </c>
      <c r="F1383" t="s">
        <v>5</v>
      </c>
      <c r="G1383" t="s">
        <v>5</v>
      </c>
      <c r="H1383">
        <v>28658.22</v>
      </c>
      <c r="I1383">
        <v>8061.08</v>
      </c>
      <c r="J1383">
        <v>0</v>
      </c>
    </row>
    <row r="1384" spans="1:10" x14ac:dyDescent="0.35">
      <c r="A1384">
        <v>326821</v>
      </c>
      <c r="B1384" t="s">
        <v>20</v>
      </c>
      <c r="C1384">
        <v>2015</v>
      </c>
      <c r="D1384">
        <v>6</v>
      </c>
      <c r="E1384" t="s">
        <v>43</v>
      </c>
      <c r="F1384" t="s">
        <v>5</v>
      </c>
      <c r="G1384" t="s">
        <v>5</v>
      </c>
      <c r="H1384">
        <v>14320.14</v>
      </c>
      <c r="I1384">
        <v>4240.8999999999996</v>
      </c>
      <c r="J1384">
        <v>0</v>
      </c>
    </row>
    <row r="1385" spans="1:10" x14ac:dyDescent="0.35">
      <c r="A1385">
        <v>326825</v>
      </c>
      <c r="B1385" t="s">
        <v>20</v>
      </c>
      <c r="C1385">
        <v>2015</v>
      </c>
      <c r="D1385">
        <v>6</v>
      </c>
      <c r="E1385" t="s">
        <v>43</v>
      </c>
      <c r="F1385" t="s">
        <v>5</v>
      </c>
      <c r="G1385" t="s">
        <v>5</v>
      </c>
      <c r="H1385">
        <v>9778.8799999999992</v>
      </c>
      <c r="I1385">
        <v>2667.17</v>
      </c>
      <c r="J1385">
        <v>0</v>
      </c>
    </row>
    <row r="1386" spans="1:10" x14ac:dyDescent="0.35">
      <c r="A1386">
        <v>326828</v>
      </c>
      <c r="B1386" t="s">
        <v>20</v>
      </c>
      <c r="C1386">
        <v>2015</v>
      </c>
      <c r="D1386">
        <v>9</v>
      </c>
      <c r="E1386" t="s">
        <v>42</v>
      </c>
      <c r="F1386" t="s">
        <v>5</v>
      </c>
      <c r="G1386" t="s">
        <v>5</v>
      </c>
      <c r="H1386">
        <v>31381.84</v>
      </c>
      <c r="I1386">
        <v>9774.24</v>
      </c>
      <c r="J1386">
        <v>0</v>
      </c>
    </row>
    <row r="1387" spans="1:10" x14ac:dyDescent="0.35">
      <c r="A1387">
        <v>326840</v>
      </c>
      <c r="B1387" t="s">
        <v>20</v>
      </c>
      <c r="C1387">
        <v>2015</v>
      </c>
      <c r="D1387">
        <v>9</v>
      </c>
      <c r="E1387" t="s">
        <v>42</v>
      </c>
      <c r="F1387" t="s">
        <v>5</v>
      </c>
      <c r="G1387" t="s">
        <v>5</v>
      </c>
      <c r="H1387">
        <v>11700.46</v>
      </c>
      <c r="I1387">
        <v>2748.76</v>
      </c>
      <c r="J1387">
        <v>0</v>
      </c>
    </row>
    <row r="1388" spans="1:10" x14ac:dyDescent="0.35">
      <c r="A1388">
        <v>326843</v>
      </c>
      <c r="B1388" t="s">
        <v>20</v>
      </c>
      <c r="C1388">
        <v>2015</v>
      </c>
      <c r="D1388">
        <v>9</v>
      </c>
      <c r="E1388" t="s">
        <v>42</v>
      </c>
      <c r="F1388" t="s">
        <v>5</v>
      </c>
      <c r="G1388" t="s">
        <v>5</v>
      </c>
      <c r="H1388">
        <v>14166.12</v>
      </c>
      <c r="I1388">
        <v>3093.36</v>
      </c>
      <c r="J1388">
        <v>0</v>
      </c>
    </row>
    <row r="1389" spans="1:10" x14ac:dyDescent="0.35">
      <c r="A1389">
        <v>326845</v>
      </c>
      <c r="B1389" t="s">
        <v>20</v>
      </c>
      <c r="C1389">
        <v>2015</v>
      </c>
      <c r="D1389">
        <v>6</v>
      </c>
      <c r="E1389" t="s">
        <v>43</v>
      </c>
      <c r="F1389" t="s">
        <v>5</v>
      </c>
      <c r="G1389" t="s">
        <v>5</v>
      </c>
      <c r="H1389">
        <v>25170.560000000001</v>
      </c>
      <c r="I1389">
        <v>7964.92</v>
      </c>
      <c r="J1389">
        <v>0</v>
      </c>
    </row>
    <row r="1390" spans="1:10" x14ac:dyDescent="0.35">
      <c r="A1390">
        <v>326856</v>
      </c>
      <c r="B1390" t="s">
        <v>20</v>
      </c>
      <c r="C1390">
        <v>2015</v>
      </c>
      <c r="D1390">
        <v>9</v>
      </c>
      <c r="E1390" t="s">
        <v>42</v>
      </c>
      <c r="F1390" t="s">
        <v>5</v>
      </c>
      <c r="G1390" t="s">
        <v>5</v>
      </c>
      <c r="H1390">
        <v>25941.02</v>
      </c>
      <c r="I1390">
        <v>7970.92</v>
      </c>
      <c r="J1390">
        <v>0</v>
      </c>
    </row>
    <row r="1391" spans="1:10" x14ac:dyDescent="0.35">
      <c r="A1391">
        <v>326857</v>
      </c>
      <c r="B1391" t="s">
        <v>20</v>
      </c>
      <c r="C1391">
        <v>2015</v>
      </c>
      <c r="D1391">
        <v>9</v>
      </c>
      <c r="E1391" t="s">
        <v>42</v>
      </c>
      <c r="F1391" t="s">
        <v>5</v>
      </c>
      <c r="G1391" t="s">
        <v>5</v>
      </c>
      <c r="H1391">
        <v>23028</v>
      </c>
      <c r="I1391">
        <v>7094.84</v>
      </c>
      <c r="J1391">
        <v>0</v>
      </c>
    </row>
    <row r="1392" spans="1:10" x14ac:dyDescent="0.35">
      <c r="A1392">
        <v>326868</v>
      </c>
      <c r="B1392" t="s">
        <v>20</v>
      </c>
      <c r="C1392">
        <v>2015</v>
      </c>
      <c r="D1392">
        <v>9</v>
      </c>
      <c r="E1392" t="s">
        <v>42</v>
      </c>
      <c r="F1392" t="s">
        <v>5</v>
      </c>
      <c r="G1392" t="s">
        <v>5</v>
      </c>
      <c r="H1392">
        <v>52432.639999999999</v>
      </c>
      <c r="I1392">
        <v>20457.95</v>
      </c>
      <c r="J1392">
        <v>0</v>
      </c>
    </row>
    <row r="1393" spans="1:10" x14ac:dyDescent="0.35">
      <c r="A1393">
        <v>326869</v>
      </c>
      <c r="B1393" t="s">
        <v>20</v>
      </c>
      <c r="C1393">
        <v>2015</v>
      </c>
      <c r="D1393">
        <v>9</v>
      </c>
      <c r="E1393" t="s">
        <v>42</v>
      </c>
      <c r="F1393" t="s">
        <v>5</v>
      </c>
      <c r="G1393" t="s">
        <v>5</v>
      </c>
      <c r="H1393">
        <v>17606.87</v>
      </c>
      <c r="I1393">
        <v>6768.87</v>
      </c>
      <c r="J1393">
        <v>0</v>
      </c>
    </row>
    <row r="1394" spans="1:10" x14ac:dyDescent="0.35">
      <c r="A1394">
        <v>326870</v>
      </c>
      <c r="B1394" t="s">
        <v>20</v>
      </c>
      <c r="C1394">
        <v>2015</v>
      </c>
      <c r="D1394">
        <v>6</v>
      </c>
      <c r="E1394" t="s">
        <v>43</v>
      </c>
      <c r="F1394" t="s">
        <v>5</v>
      </c>
      <c r="G1394" t="s">
        <v>5</v>
      </c>
      <c r="H1394">
        <v>98502.14</v>
      </c>
      <c r="I1394">
        <v>51148.95</v>
      </c>
      <c r="J1394">
        <v>0</v>
      </c>
    </row>
    <row r="1395" spans="1:10" x14ac:dyDescent="0.35">
      <c r="A1395">
        <v>326871</v>
      </c>
      <c r="B1395" t="s">
        <v>20</v>
      </c>
      <c r="C1395">
        <v>2015</v>
      </c>
      <c r="D1395">
        <v>6</v>
      </c>
      <c r="E1395" t="s">
        <v>43</v>
      </c>
      <c r="F1395" t="s">
        <v>5</v>
      </c>
      <c r="G1395" t="s">
        <v>5</v>
      </c>
      <c r="H1395">
        <v>29998.58</v>
      </c>
      <c r="I1395">
        <v>11335.24</v>
      </c>
      <c r="J1395">
        <v>0</v>
      </c>
    </row>
    <row r="1396" spans="1:10" x14ac:dyDescent="0.35">
      <c r="A1396">
        <v>326872</v>
      </c>
      <c r="B1396" t="s">
        <v>20</v>
      </c>
      <c r="C1396">
        <v>2015</v>
      </c>
      <c r="D1396">
        <v>9</v>
      </c>
      <c r="E1396" t="s">
        <v>42</v>
      </c>
      <c r="F1396" t="s">
        <v>5</v>
      </c>
      <c r="G1396" t="s">
        <v>5</v>
      </c>
      <c r="H1396">
        <v>41385.54</v>
      </c>
      <c r="I1396">
        <v>10515.01</v>
      </c>
      <c r="J1396">
        <v>0</v>
      </c>
    </row>
    <row r="1397" spans="1:10" x14ac:dyDescent="0.35">
      <c r="A1397">
        <v>326877</v>
      </c>
      <c r="B1397" t="s">
        <v>20</v>
      </c>
      <c r="C1397">
        <v>2015</v>
      </c>
      <c r="D1397">
        <v>6</v>
      </c>
      <c r="E1397" t="s">
        <v>43</v>
      </c>
      <c r="F1397" t="s">
        <v>5</v>
      </c>
      <c r="G1397" t="s">
        <v>5</v>
      </c>
      <c r="H1397">
        <v>23024.12</v>
      </c>
      <c r="I1397">
        <v>5891.56</v>
      </c>
      <c r="J1397">
        <v>0</v>
      </c>
    </row>
    <row r="1398" spans="1:10" x14ac:dyDescent="0.35">
      <c r="A1398">
        <v>326882</v>
      </c>
      <c r="B1398" t="s">
        <v>20</v>
      </c>
      <c r="C1398">
        <v>2015</v>
      </c>
      <c r="D1398">
        <v>6</v>
      </c>
      <c r="E1398" t="s">
        <v>43</v>
      </c>
      <c r="F1398" t="s">
        <v>5</v>
      </c>
      <c r="G1398" t="s">
        <v>5</v>
      </c>
      <c r="H1398">
        <v>45192.54</v>
      </c>
      <c r="I1398">
        <v>19330.43</v>
      </c>
      <c r="J1398">
        <v>0</v>
      </c>
    </row>
    <row r="1399" spans="1:10" x14ac:dyDescent="0.35">
      <c r="A1399">
        <v>326884</v>
      </c>
      <c r="B1399" t="s">
        <v>20</v>
      </c>
      <c r="C1399">
        <v>2015</v>
      </c>
      <c r="D1399">
        <v>9</v>
      </c>
      <c r="E1399" t="s">
        <v>42</v>
      </c>
      <c r="F1399" t="s">
        <v>5</v>
      </c>
      <c r="G1399" t="s">
        <v>5</v>
      </c>
      <c r="H1399">
        <v>23166.52</v>
      </c>
      <c r="I1399">
        <v>6174.54</v>
      </c>
      <c r="J1399">
        <v>0</v>
      </c>
    </row>
    <row r="1400" spans="1:10" x14ac:dyDescent="0.35">
      <c r="A1400">
        <v>326887</v>
      </c>
      <c r="B1400" t="s">
        <v>20</v>
      </c>
      <c r="C1400">
        <v>2015</v>
      </c>
      <c r="D1400">
        <v>9</v>
      </c>
      <c r="E1400" t="s">
        <v>42</v>
      </c>
      <c r="F1400" t="s">
        <v>5</v>
      </c>
      <c r="G1400" t="s">
        <v>5</v>
      </c>
      <c r="H1400">
        <v>143447.64000000001</v>
      </c>
      <c r="I1400">
        <v>60490.49</v>
      </c>
      <c r="J1400">
        <v>0</v>
      </c>
    </row>
    <row r="1401" spans="1:10" x14ac:dyDescent="0.35">
      <c r="A1401">
        <v>326890</v>
      </c>
      <c r="B1401" t="s">
        <v>20</v>
      </c>
      <c r="C1401">
        <v>2015</v>
      </c>
      <c r="D1401">
        <v>6</v>
      </c>
      <c r="E1401" t="s">
        <v>43</v>
      </c>
      <c r="F1401" t="s">
        <v>5</v>
      </c>
      <c r="G1401" t="s">
        <v>5</v>
      </c>
      <c r="H1401">
        <v>28453.96</v>
      </c>
      <c r="I1401">
        <v>9853.6200000000008</v>
      </c>
      <c r="J1401">
        <v>0</v>
      </c>
    </row>
    <row r="1402" spans="1:10" x14ac:dyDescent="0.35">
      <c r="A1402">
        <v>326896</v>
      </c>
      <c r="B1402" t="s">
        <v>20</v>
      </c>
      <c r="C1402">
        <v>2015</v>
      </c>
      <c r="D1402">
        <v>6</v>
      </c>
      <c r="E1402" t="s">
        <v>43</v>
      </c>
      <c r="F1402" t="s">
        <v>5</v>
      </c>
      <c r="G1402" t="s">
        <v>5</v>
      </c>
      <c r="H1402">
        <v>17723.439999999999</v>
      </c>
      <c r="I1402">
        <v>8115.08</v>
      </c>
      <c r="J1402">
        <v>0</v>
      </c>
    </row>
    <row r="1403" spans="1:10" x14ac:dyDescent="0.35">
      <c r="A1403">
        <v>326903</v>
      </c>
      <c r="B1403" t="s">
        <v>20</v>
      </c>
      <c r="C1403">
        <v>2015</v>
      </c>
      <c r="D1403">
        <v>6</v>
      </c>
      <c r="E1403" t="s">
        <v>43</v>
      </c>
      <c r="F1403" t="s">
        <v>5</v>
      </c>
      <c r="G1403" t="s">
        <v>5</v>
      </c>
      <c r="H1403">
        <v>61024.44</v>
      </c>
      <c r="I1403">
        <v>24594.3</v>
      </c>
      <c r="J1403">
        <v>0</v>
      </c>
    </row>
    <row r="1404" spans="1:10" x14ac:dyDescent="0.35">
      <c r="A1404">
        <v>326909</v>
      </c>
      <c r="B1404" t="s">
        <v>20</v>
      </c>
      <c r="C1404">
        <v>2015</v>
      </c>
      <c r="D1404">
        <v>6</v>
      </c>
      <c r="E1404" t="s">
        <v>43</v>
      </c>
      <c r="F1404" t="s">
        <v>5</v>
      </c>
      <c r="G1404" t="s">
        <v>5</v>
      </c>
      <c r="H1404">
        <v>29340.080000000002</v>
      </c>
      <c r="I1404">
        <v>7447.94</v>
      </c>
      <c r="J1404">
        <v>0</v>
      </c>
    </row>
    <row r="1405" spans="1:10" x14ac:dyDescent="0.35">
      <c r="A1405">
        <v>326910</v>
      </c>
      <c r="B1405" t="s">
        <v>20</v>
      </c>
      <c r="C1405">
        <v>2015</v>
      </c>
      <c r="D1405">
        <v>9</v>
      </c>
      <c r="E1405" t="s">
        <v>42</v>
      </c>
      <c r="F1405" t="s">
        <v>5</v>
      </c>
      <c r="G1405" t="s">
        <v>5</v>
      </c>
      <c r="H1405">
        <v>16700.22</v>
      </c>
      <c r="I1405">
        <v>5010.71</v>
      </c>
      <c r="J1405">
        <v>0</v>
      </c>
    </row>
    <row r="1406" spans="1:10" x14ac:dyDescent="0.35">
      <c r="A1406">
        <v>326915</v>
      </c>
      <c r="B1406" t="s">
        <v>20</v>
      </c>
      <c r="C1406">
        <v>2015</v>
      </c>
      <c r="D1406">
        <v>9</v>
      </c>
      <c r="E1406" t="s">
        <v>42</v>
      </c>
      <c r="F1406" t="s">
        <v>5</v>
      </c>
      <c r="G1406" t="s">
        <v>5</v>
      </c>
      <c r="H1406">
        <v>14166.36</v>
      </c>
      <c r="I1406">
        <v>3214.52</v>
      </c>
      <c r="J1406">
        <v>0</v>
      </c>
    </row>
    <row r="1407" spans="1:10" x14ac:dyDescent="0.35">
      <c r="A1407">
        <v>326924</v>
      </c>
      <c r="B1407" t="s">
        <v>20</v>
      </c>
      <c r="C1407">
        <v>2015</v>
      </c>
      <c r="D1407">
        <v>9</v>
      </c>
      <c r="E1407" t="s">
        <v>42</v>
      </c>
      <c r="F1407" t="s">
        <v>5</v>
      </c>
      <c r="G1407" t="s">
        <v>5</v>
      </c>
      <c r="H1407">
        <v>104671.88</v>
      </c>
      <c r="I1407">
        <v>48552.25</v>
      </c>
      <c r="J1407">
        <v>0</v>
      </c>
    </row>
    <row r="1408" spans="1:10" x14ac:dyDescent="0.35">
      <c r="A1408">
        <v>326926</v>
      </c>
      <c r="B1408" t="s">
        <v>20</v>
      </c>
      <c r="C1408">
        <v>2015</v>
      </c>
      <c r="D1408">
        <v>6</v>
      </c>
      <c r="E1408" t="s">
        <v>43</v>
      </c>
      <c r="F1408" t="s">
        <v>5</v>
      </c>
      <c r="G1408" t="s">
        <v>5</v>
      </c>
      <c r="H1408">
        <v>13883</v>
      </c>
      <c r="I1408">
        <v>5170.78</v>
      </c>
      <c r="J1408">
        <v>0</v>
      </c>
    </row>
    <row r="1409" spans="1:10" x14ac:dyDescent="0.35">
      <c r="A1409">
        <v>326927</v>
      </c>
      <c r="B1409" t="s">
        <v>20</v>
      </c>
      <c r="C1409">
        <v>2015</v>
      </c>
      <c r="D1409">
        <v>6</v>
      </c>
      <c r="E1409" t="s">
        <v>43</v>
      </c>
      <c r="F1409" t="s">
        <v>5</v>
      </c>
      <c r="G1409" t="s">
        <v>5</v>
      </c>
      <c r="H1409">
        <v>18132.32</v>
      </c>
      <c r="I1409">
        <v>5081.71</v>
      </c>
      <c r="J1409">
        <v>0</v>
      </c>
    </row>
    <row r="1410" spans="1:10" x14ac:dyDescent="0.35">
      <c r="A1410">
        <v>326931</v>
      </c>
      <c r="B1410" t="s">
        <v>20</v>
      </c>
      <c r="C1410">
        <v>2015</v>
      </c>
      <c r="D1410">
        <v>6</v>
      </c>
      <c r="E1410" t="s">
        <v>43</v>
      </c>
      <c r="F1410" t="s">
        <v>5</v>
      </c>
      <c r="G1410" t="s">
        <v>5</v>
      </c>
      <c r="H1410">
        <v>18446</v>
      </c>
      <c r="I1410">
        <v>3012.92</v>
      </c>
      <c r="J1410">
        <v>0</v>
      </c>
    </row>
    <row r="1411" spans="1:10" x14ac:dyDescent="0.35">
      <c r="A1411">
        <v>326935</v>
      </c>
      <c r="B1411" t="s">
        <v>20</v>
      </c>
      <c r="C1411">
        <v>2015</v>
      </c>
      <c r="D1411">
        <v>9</v>
      </c>
      <c r="E1411" t="s">
        <v>42</v>
      </c>
      <c r="F1411" t="s">
        <v>5</v>
      </c>
      <c r="G1411" t="s">
        <v>5</v>
      </c>
      <c r="H1411">
        <v>21179.24</v>
      </c>
      <c r="I1411">
        <v>8999.31</v>
      </c>
      <c r="J1411">
        <v>0</v>
      </c>
    </row>
    <row r="1412" spans="1:10" x14ac:dyDescent="0.35">
      <c r="A1412">
        <v>326955</v>
      </c>
      <c r="B1412" t="s">
        <v>20</v>
      </c>
      <c r="C1412">
        <v>2015</v>
      </c>
      <c r="D1412">
        <v>6</v>
      </c>
      <c r="E1412" t="s">
        <v>43</v>
      </c>
      <c r="F1412" t="s">
        <v>5</v>
      </c>
      <c r="G1412" t="s">
        <v>5</v>
      </c>
      <c r="H1412">
        <v>21342.46</v>
      </c>
      <c r="I1412">
        <v>5932.54</v>
      </c>
      <c r="J1412">
        <v>0</v>
      </c>
    </row>
    <row r="1413" spans="1:10" x14ac:dyDescent="0.35">
      <c r="A1413">
        <v>326961</v>
      </c>
      <c r="B1413" t="s">
        <v>20</v>
      </c>
      <c r="C1413">
        <v>2015</v>
      </c>
      <c r="D1413">
        <v>9</v>
      </c>
      <c r="E1413" t="s">
        <v>42</v>
      </c>
      <c r="F1413" t="s">
        <v>5</v>
      </c>
      <c r="G1413" t="s">
        <v>5</v>
      </c>
      <c r="H1413">
        <v>11615.24</v>
      </c>
      <c r="I1413">
        <v>3755.57</v>
      </c>
      <c r="J1413">
        <v>0</v>
      </c>
    </row>
    <row r="1414" spans="1:10" x14ac:dyDescent="0.35">
      <c r="A1414">
        <v>326976</v>
      </c>
      <c r="B1414" t="s">
        <v>20</v>
      </c>
      <c r="C1414">
        <v>2015</v>
      </c>
      <c r="D1414">
        <v>6</v>
      </c>
      <c r="E1414" t="s">
        <v>43</v>
      </c>
      <c r="F1414" t="s">
        <v>5</v>
      </c>
      <c r="G1414" t="s">
        <v>5</v>
      </c>
      <c r="H1414">
        <v>46450.879999999997</v>
      </c>
      <c r="I1414">
        <v>13466.49</v>
      </c>
      <c r="J1414">
        <v>0</v>
      </c>
    </row>
    <row r="1415" spans="1:10" x14ac:dyDescent="0.35">
      <c r="A1415">
        <v>326979</v>
      </c>
      <c r="B1415" t="s">
        <v>20</v>
      </c>
      <c r="C1415">
        <v>2015</v>
      </c>
      <c r="D1415">
        <v>6</v>
      </c>
      <c r="E1415" t="s">
        <v>43</v>
      </c>
      <c r="F1415" t="s">
        <v>5</v>
      </c>
      <c r="G1415" t="s">
        <v>5</v>
      </c>
      <c r="H1415">
        <v>27867.16</v>
      </c>
      <c r="I1415">
        <v>6774.11</v>
      </c>
      <c r="J1415">
        <v>0</v>
      </c>
    </row>
    <row r="1416" spans="1:10" x14ac:dyDescent="0.35">
      <c r="A1416">
        <v>326980</v>
      </c>
      <c r="B1416" t="s">
        <v>20</v>
      </c>
      <c r="C1416">
        <v>2015</v>
      </c>
      <c r="D1416">
        <v>9</v>
      </c>
      <c r="E1416" t="s">
        <v>42</v>
      </c>
      <c r="F1416" t="s">
        <v>5</v>
      </c>
      <c r="G1416" t="s">
        <v>5</v>
      </c>
      <c r="H1416">
        <v>10834.66</v>
      </c>
      <c r="I1416">
        <v>2799.59</v>
      </c>
      <c r="J1416">
        <v>0</v>
      </c>
    </row>
    <row r="1417" spans="1:10" x14ac:dyDescent="0.35">
      <c r="A1417">
        <v>326987</v>
      </c>
      <c r="B1417" t="s">
        <v>20</v>
      </c>
      <c r="C1417">
        <v>2015</v>
      </c>
      <c r="D1417">
        <v>6</v>
      </c>
      <c r="E1417" t="s">
        <v>43</v>
      </c>
      <c r="F1417" t="s">
        <v>5</v>
      </c>
      <c r="G1417" t="s">
        <v>5</v>
      </c>
      <c r="H1417">
        <v>16137.32</v>
      </c>
      <c r="I1417">
        <v>5106.33</v>
      </c>
      <c r="J1417">
        <v>0</v>
      </c>
    </row>
    <row r="1418" spans="1:10" x14ac:dyDescent="0.35">
      <c r="A1418">
        <v>326990</v>
      </c>
      <c r="B1418" t="s">
        <v>20</v>
      </c>
      <c r="C1418">
        <v>2015</v>
      </c>
      <c r="D1418">
        <v>6</v>
      </c>
      <c r="E1418" t="s">
        <v>43</v>
      </c>
      <c r="F1418" t="s">
        <v>5</v>
      </c>
      <c r="G1418" t="s">
        <v>5</v>
      </c>
      <c r="H1418">
        <v>40330.22</v>
      </c>
      <c r="I1418">
        <v>13167.8</v>
      </c>
      <c r="J1418">
        <v>0</v>
      </c>
    </row>
    <row r="1419" spans="1:10" x14ac:dyDescent="0.35">
      <c r="A1419">
        <v>326997</v>
      </c>
      <c r="B1419" t="s">
        <v>20</v>
      </c>
      <c r="C1419">
        <v>2015</v>
      </c>
      <c r="D1419">
        <v>6</v>
      </c>
      <c r="E1419" t="s">
        <v>43</v>
      </c>
      <c r="F1419" t="s">
        <v>5</v>
      </c>
      <c r="G1419" t="s">
        <v>5</v>
      </c>
      <c r="H1419">
        <v>14848.42</v>
      </c>
      <c r="I1419">
        <v>4695</v>
      </c>
      <c r="J1419">
        <v>0</v>
      </c>
    </row>
    <row r="1420" spans="1:10" x14ac:dyDescent="0.35">
      <c r="A1420">
        <v>327003</v>
      </c>
      <c r="B1420" t="s">
        <v>20</v>
      </c>
      <c r="C1420">
        <v>2015</v>
      </c>
      <c r="D1420">
        <v>9</v>
      </c>
      <c r="E1420" t="s">
        <v>42</v>
      </c>
      <c r="F1420" t="s">
        <v>5</v>
      </c>
      <c r="G1420" t="s">
        <v>5</v>
      </c>
      <c r="H1420">
        <v>14547.54</v>
      </c>
      <c r="I1420">
        <v>3171.39</v>
      </c>
      <c r="J1420">
        <v>0</v>
      </c>
    </row>
    <row r="1421" spans="1:10" x14ac:dyDescent="0.35">
      <c r="A1421">
        <v>327008</v>
      </c>
      <c r="B1421" t="s">
        <v>20</v>
      </c>
      <c r="C1421">
        <v>2015</v>
      </c>
      <c r="D1421">
        <v>9</v>
      </c>
      <c r="E1421" t="s">
        <v>42</v>
      </c>
      <c r="F1421" t="s">
        <v>5</v>
      </c>
      <c r="G1421" t="s">
        <v>5</v>
      </c>
      <c r="H1421">
        <v>72420.56</v>
      </c>
      <c r="I1421">
        <v>22777.59</v>
      </c>
      <c r="J1421">
        <v>0</v>
      </c>
    </row>
    <row r="1422" spans="1:10" x14ac:dyDescent="0.35">
      <c r="A1422">
        <v>327022</v>
      </c>
      <c r="B1422" t="s">
        <v>20</v>
      </c>
      <c r="C1422">
        <v>2015</v>
      </c>
      <c r="D1422">
        <v>6</v>
      </c>
      <c r="E1422" t="s">
        <v>43</v>
      </c>
      <c r="F1422" t="s">
        <v>5</v>
      </c>
      <c r="G1422" t="s">
        <v>5</v>
      </c>
      <c r="H1422">
        <v>21495.599999999999</v>
      </c>
      <c r="I1422">
        <v>3018.22</v>
      </c>
      <c r="J1422">
        <v>0</v>
      </c>
    </row>
    <row r="1423" spans="1:10" x14ac:dyDescent="0.35">
      <c r="A1423">
        <v>327033</v>
      </c>
      <c r="B1423" t="s">
        <v>20</v>
      </c>
      <c r="C1423">
        <v>2015</v>
      </c>
      <c r="D1423">
        <v>9</v>
      </c>
      <c r="E1423" t="s">
        <v>42</v>
      </c>
      <c r="F1423" t="s">
        <v>5</v>
      </c>
      <c r="G1423" t="s">
        <v>5</v>
      </c>
      <c r="H1423">
        <v>10568.4</v>
      </c>
      <c r="I1423">
        <v>2439.9899999999998</v>
      </c>
      <c r="J1423">
        <v>0</v>
      </c>
    </row>
    <row r="1424" spans="1:10" x14ac:dyDescent="0.35">
      <c r="A1424">
        <v>327049</v>
      </c>
      <c r="B1424" t="s">
        <v>20</v>
      </c>
      <c r="C1424">
        <v>2015</v>
      </c>
      <c r="D1424">
        <v>6</v>
      </c>
      <c r="E1424" t="s">
        <v>43</v>
      </c>
      <c r="F1424" t="s">
        <v>5</v>
      </c>
      <c r="G1424" t="s">
        <v>5</v>
      </c>
      <c r="H1424">
        <v>32188.92</v>
      </c>
      <c r="I1424">
        <v>10678.75</v>
      </c>
      <c r="J1424">
        <v>0</v>
      </c>
    </row>
    <row r="1425" spans="1:10" x14ac:dyDescent="0.35">
      <c r="A1425">
        <v>327079</v>
      </c>
      <c r="B1425" t="s">
        <v>20</v>
      </c>
      <c r="C1425">
        <v>2015</v>
      </c>
      <c r="D1425">
        <v>9</v>
      </c>
      <c r="E1425" t="s">
        <v>42</v>
      </c>
      <c r="F1425" t="s">
        <v>5</v>
      </c>
      <c r="G1425" t="s">
        <v>5</v>
      </c>
      <c r="H1425">
        <v>14351.7</v>
      </c>
      <c r="I1425">
        <v>2681.86</v>
      </c>
      <c r="J1425">
        <v>0</v>
      </c>
    </row>
    <row r="1426" spans="1:10" x14ac:dyDescent="0.35">
      <c r="A1426">
        <v>327083</v>
      </c>
      <c r="B1426" t="s">
        <v>20</v>
      </c>
      <c r="C1426">
        <v>2015</v>
      </c>
      <c r="D1426">
        <v>9</v>
      </c>
      <c r="E1426" t="s">
        <v>42</v>
      </c>
      <c r="F1426" t="s">
        <v>5</v>
      </c>
      <c r="G1426" t="s">
        <v>5</v>
      </c>
      <c r="H1426">
        <v>18175.68</v>
      </c>
      <c r="I1426">
        <v>4667.28</v>
      </c>
      <c r="J1426">
        <v>0</v>
      </c>
    </row>
    <row r="1427" spans="1:10" x14ac:dyDescent="0.35">
      <c r="A1427">
        <v>327086</v>
      </c>
      <c r="B1427" t="s">
        <v>20</v>
      </c>
      <c r="C1427">
        <v>2015</v>
      </c>
      <c r="D1427">
        <v>9</v>
      </c>
      <c r="E1427" t="s">
        <v>42</v>
      </c>
      <c r="F1427" t="s">
        <v>5</v>
      </c>
      <c r="G1427" t="s">
        <v>5</v>
      </c>
      <c r="H1427">
        <v>43157.04</v>
      </c>
      <c r="I1427">
        <v>18546.919999999998</v>
      </c>
      <c r="J1427">
        <v>0</v>
      </c>
    </row>
    <row r="1428" spans="1:10" x14ac:dyDescent="0.35">
      <c r="A1428">
        <v>327091</v>
      </c>
      <c r="B1428" t="s">
        <v>20</v>
      </c>
      <c r="C1428">
        <v>2015</v>
      </c>
      <c r="D1428">
        <v>6</v>
      </c>
      <c r="E1428" t="s">
        <v>43</v>
      </c>
      <c r="F1428" t="s">
        <v>5</v>
      </c>
      <c r="G1428" t="s">
        <v>5</v>
      </c>
      <c r="H1428">
        <v>36870.1</v>
      </c>
      <c r="I1428">
        <v>11367.82</v>
      </c>
      <c r="J1428">
        <v>0</v>
      </c>
    </row>
    <row r="1429" spans="1:10" x14ac:dyDescent="0.35">
      <c r="A1429">
        <v>327092</v>
      </c>
      <c r="B1429" t="s">
        <v>20</v>
      </c>
      <c r="C1429">
        <v>2015</v>
      </c>
      <c r="D1429">
        <v>6</v>
      </c>
      <c r="E1429" t="s">
        <v>43</v>
      </c>
      <c r="F1429" t="s">
        <v>5</v>
      </c>
      <c r="G1429" t="s">
        <v>5</v>
      </c>
      <c r="H1429">
        <v>9871.68</v>
      </c>
      <c r="I1429">
        <v>3803.59</v>
      </c>
      <c r="J1429">
        <v>0</v>
      </c>
    </row>
    <row r="1430" spans="1:10" x14ac:dyDescent="0.35">
      <c r="A1430">
        <v>327094</v>
      </c>
      <c r="B1430" t="s">
        <v>20</v>
      </c>
      <c r="C1430">
        <v>2015</v>
      </c>
      <c r="D1430">
        <v>6</v>
      </c>
      <c r="E1430" t="s">
        <v>43</v>
      </c>
      <c r="F1430" t="s">
        <v>5</v>
      </c>
      <c r="G1430" t="s">
        <v>5</v>
      </c>
      <c r="H1430">
        <v>19047.400000000001</v>
      </c>
      <c r="I1430">
        <v>4786.21</v>
      </c>
      <c r="J1430">
        <v>0</v>
      </c>
    </row>
    <row r="1431" spans="1:10" x14ac:dyDescent="0.35">
      <c r="A1431">
        <v>327099</v>
      </c>
      <c r="B1431" t="s">
        <v>20</v>
      </c>
      <c r="C1431">
        <v>2015</v>
      </c>
      <c r="D1431">
        <v>9</v>
      </c>
      <c r="E1431" t="s">
        <v>42</v>
      </c>
      <c r="F1431" t="s">
        <v>5</v>
      </c>
      <c r="G1431" t="s">
        <v>5</v>
      </c>
      <c r="H1431">
        <v>12125.58</v>
      </c>
      <c r="I1431">
        <v>3883.89</v>
      </c>
      <c r="J1431">
        <v>0</v>
      </c>
    </row>
    <row r="1432" spans="1:10" x14ac:dyDescent="0.35">
      <c r="A1432">
        <v>327112</v>
      </c>
      <c r="B1432" t="s">
        <v>20</v>
      </c>
      <c r="C1432">
        <v>2015</v>
      </c>
      <c r="D1432">
        <v>9</v>
      </c>
      <c r="E1432" t="s">
        <v>42</v>
      </c>
      <c r="F1432" t="s">
        <v>5</v>
      </c>
      <c r="G1432" t="s">
        <v>5</v>
      </c>
      <c r="H1432">
        <v>19512.919999999998</v>
      </c>
      <c r="I1432">
        <v>5131.08</v>
      </c>
      <c r="J1432">
        <v>0</v>
      </c>
    </row>
    <row r="1433" spans="1:10" x14ac:dyDescent="0.35">
      <c r="A1433">
        <v>327117</v>
      </c>
      <c r="B1433" t="s">
        <v>20</v>
      </c>
      <c r="C1433">
        <v>2015</v>
      </c>
      <c r="D1433">
        <v>6</v>
      </c>
      <c r="E1433" t="s">
        <v>43</v>
      </c>
      <c r="F1433" t="s">
        <v>5</v>
      </c>
      <c r="G1433" t="s">
        <v>5</v>
      </c>
      <c r="H1433">
        <v>10730.1</v>
      </c>
      <c r="I1433">
        <v>2701.05</v>
      </c>
      <c r="J1433">
        <v>0</v>
      </c>
    </row>
    <row r="1434" spans="1:10" x14ac:dyDescent="0.35">
      <c r="A1434">
        <v>327129</v>
      </c>
      <c r="B1434" t="s">
        <v>20</v>
      </c>
      <c r="C1434">
        <v>2015</v>
      </c>
      <c r="D1434">
        <v>6</v>
      </c>
      <c r="E1434" t="s">
        <v>43</v>
      </c>
      <c r="F1434" t="s">
        <v>5</v>
      </c>
      <c r="G1434" t="s">
        <v>5</v>
      </c>
      <c r="H1434">
        <v>29880.04</v>
      </c>
      <c r="I1434">
        <v>7111.95</v>
      </c>
      <c r="J1434">
        <v>0</v>
      </c>
    </row>
    <row r="1435" spans="1:10" x14ac:dyDescent="0.35">
      <c r="A1435">
        <v>327136</v>
      </c>
      <c r="B1435" t="s">
        <v>20</v>
      </c>
      <c r="C1435">
        <v>2015</v>
      </c>
      <c r="D1435">
        <v>6</v>
      </c>
      <c r="E1435" t="s">
        <v>43</v>
      </c>
      <c r="F1435" t="s">
        <v>5</v>
      </c>
      <c r="G1435" t="s">
        <v>5</v>
      </c>
      <c r="H1435">
        <v>27708.68</v>
      </c>
      <c r="I1435">
        <v>9331.6</v>
      </c>
      <c r="J1435">
        <v>0</v>
      </c>
    </row>
    <row r="1436" spans="1:10" x14ac:dyDescent="0.35">
      <c r="A1436">
        <v>327138</v>
      </c>
      <c r="B1436" t="s">
        <v>20</v>
      </c>
      <c r="C1436">
        <v>2015</v>
      </c>
      <c r="D1436">
        <v>9</v>
      </c>
      <c r="E1436" t="s">
        <v>42</v>
      </c>
      <c r="F1436" t="s">
        <v>5</v>
      </c>
      <c r="G1436" t="s">
        <v>5</v>
      </c>
      <c r="H1436">
        <v>17752.98</v>
      </c>
      <c r="I1436">
        <v>4432.8900000000003</v>
      </c>
      <c r="J1436">
        <v>0</v>
      </c>
    </row>
    <row r="1437" spans="1:10" x14ac:dyDescent="0.35">
      <c r="A1437">
        <v>327148</v>
      </c>
      <c r="B1437" t="s">
        <v>20</v>
      </c>
      <c r="C1437">
        <v>2015</v>
      </c>
      <c r="D1437">
        <v>9</v>
      </c>
      <c r="E1437" t="s">
        <v>42</v>
      </c>
      <c r="F1437" t="s">
        <v>5</v>
      </c>
      <c r="G1437" t="s">
        <v>5</v>
      </c>
      <c r="H1437">
        <v>9040.56</v>
      </c>
      <c r="I1437">
        <v>2381.59</v>
      </c>
      <c r="J1437">
        <v>0</v>
      </c>
    </row>
    <row r="1438" spans="1:10" x14ac:dyDescent="0.35">
      <c r="A1438">
        <v>327164</v>
      </c>
      <c r="B1438" t="s">
        <v>20</v>
      </c>
      <c r="C1438">
        <v>2015</v>
      </c>
      <c r="D1438">
        <v>6</v>
      </c>
      <c r="E1438" t="s">
        <v>43</v>
      </c>
      <c r="F1438" t="s">
        <v>5</v>
      </c>
      <c r="G1438" t="s">
        <v>5</v>
      </c>
      <c r="H1438">
        <v>16253.52</v>
      </c>
      <c r="I1438">
        <v>3006.36</v>
      </c>
      <c r="J1438">
        <v>0</v>
      </c>
    </row>
    <row r="1439" spans="1:10" x14ac:dyDescent="0.35">
      <c r="A1439">
        <v>327167</v>
      </c>
      <c r="B1439" t="s">
        <v>20</v>
      </c>
      <c r="C1439">
        <v>2015</v>
      </c>
      <c r="D1439">
        <v>6</v>
      </c>
      <c r="E1439" t="s">
        <v>43</v>
      </c>
      <c r="F1439" t="s">
        <v>5</v>
      </c>
      <c r="G1439" t="s">
        <v>5</v>
      </c>
      <c r="H1439">
        <v>15917.82</v>
      </c>
      <c r="I1439">
        <v>5394</v>
      </c>
      <c r="J1439">
        <v>0</v>
      </c>
    </row>
    <row r="1440" spans="1:10" x14ac:dyDescent="0.35">
      <c r="A1440">
        <v>327187</v>
      </c>
      <c r="B1440" t="s">
        <v>20</v>
      </c>
      <c r="C1440">
        <v>2015</v>
      </c>
      <c r="D1440">
        <v>6</v>
      </c>
      <c r="E1440" t="s">
        <v>43</v>
      </c>
      <c r="F1440" t="s">
        <v>5</v>
      </c>
      <c r="G1440" t="s">
        <v>5</v>
      </c>
      <c r="H1440">
        <v>28724.52</v>
      </c>
      <c r="I1440">
        <v>10209.5</v>
      </c>
      <c r="J1440">
        <v>0</v>
      </c>
    </row>
    <row r="1441" spans="1:10" x14ac:dyDescent="0.35">
      <c r="A1441">
        <v>327198</v>
      </c>
      <c r="B1441" t="s">
        <v>20</v>
      </c>
      <c r="C1441">
        <v>2015</v>
      </c>
      <c r="D1441">
        <v>9</v>
      </c>
      <c r="E1441" t="s">
        <v>42</v>
      </c>
      <c r="F1441" t="s">
        <v>5</v>
      </c>
      <c r="G1441" t="s">
        <v>5</v>
      </c>
      <c r="H1441">
        <v>34051.599999999999</v>
      </c>
      <c r="I1441">
        <v>9856.06</v>
      </c>
      <c r="J1441">
        <v>0</v>
      </c>
    </row>
    <row r="1442" spans="1:10" x14ac:dyDescent="0.35">
      <c r="A1442">
        <v>327207</v>
      </c>
      <c r="B1442" t="s">
        <v>20</v>
      </c>
      <c r="C1442">
        <v>2015</v>
      </c>
      <c r="D1442">
        <v>6</v>
      </c>
      <c r="E1442" t="s">
        <v>43</v>
      </c>
      <c r="F1442" t="s">
        <v>5</v>
      </c>
      <c r="G1442" t="s">
        <v>5</v>
      </c>
      <c r="H1442">
        <v>20183.48</v>
      </c>
      <c r="I1442">
        <v>4819.93</v>
      </c>
      <c r="J1442">
        <v>0</v>
      </c>
    </row>
    <row r="1443" spans="1:10" x14ac:dyDescent="0.35">
      <c r="A1443">
        <v>327216</v>
      </c>
      <c r="B1443" t="s">
        <v>20</v>
      </c>
      <c r="C1443">
        <v>2015</v>
      </c>
      <c r="D1443">
        <v>9</v>
      </c>
      <c r="E1443" t="s">
        <v>42</v>
      </c>
      <c r="F1443" t="s">
        <v>5</v>
      </c>
      <c r="G1443" t="s">
        <v>5</v>
      </c>
      <c r="H1443">
        <v>41477.919999999998</v>
      </c>
      <c r="I1443">
        <v>18060.84</v>
      </c>
      <c r="J1443">
        <v>0</v>
      </c>
    </row>
    <row r="1444" spans="1:10" x14ac:dyDescent="0.35">
      <c r="A1444">
        <v>327225</v>
      </c>
      <c r="B1444" t="s">
        <v>20</v>
      </c>
      <c r="C1444">
        <v>2015</v>
      </c>
      <c r="D1444">
        <v>6</v>
      </c>
      <c r="E1444" t="s">
        <v>43</v>
      </c>
      <c r="F1444" t="s">
        <v>5</v>
      </c>
      <c r="G1444" t="s">
        <v>5</v>
      </c>
      <c r="H1444">
        <v>39423.22</v>
      </c>
      <c r="I1444">
        <v>12329.91</v>
      </c>
      <c r="J1444">
        <v>0</v>
      </c>
    </row>
    <row r="1445" spans="1:10" x14ac:dyDescent="0.35">
      <c r="A1445">
        <v>327252</v>
      </c>
      <c r="B1445" t="s">
        <v>20</v>
      </c>
      <c r="C1445">
        <v>2015</v>
      </c>
      <c r="D1445">
        <v>9</v>
      </c>
      <c r="E1445" t="s">
        <v>42</v>
      </c>
      <c r="F1445" t="s">
        <v>5</v>
      </c>
      <c r="G1445" t="s">
        <v>5</v>
      </c>
      <c r="H1445">
        <v>36174.239999999998</v>
      </c>
      <c r="I1445">
        <v>24639.58</v>
      </c>
      <c r="J1445">
        <v>0</v>
      </c>
    </row>
    <row r="1446" spans="1:10" x14ac:dyDescent="0.35">
      <c r="A1446">
        <v>327253</v>
      </c>
      <c r="B1446" t="s">
        <v>20</v>
      </c>
      <c r="C1446">
        <v>2015</v>
      </c>
      <c r="D1446">
        <v>9</v>
      </c>
      <c r="E1446" t="s">
        <v>42</v>
      </c>
      <c r="F1446" t="s">
        <v>5</v>
      </c>
      <c r="G1446" t="s">
        <v>5</v>
      </c>
      <c r="H1446">
        <v>45606.22</v>
      </c>
      <c r="I1446">
        <v>12824.21</v>
      </c>
      <c r="J1446">
        <v>0</v>
      </c>
    </row>
    <row r="1447" spans="1:10" x14ac:dyDescent="0.35">
      <c r="A1447">
        <v>327255</v>
      </c>
      <c r="B1447" t="s">
        <v>20</v>
      </c>
      <c r="C1447">
        <v>2015</v>
      </c>
      <c r="D1447">
        <v>6</v>
      </c>
      <c r="E1447" t="s">
        <v>43</v>
      </c>
      <c r="F1447" t="s">
        <v>5</v>
      </c>
      <c r="G1447" t="s">
        <v>5</v>
      </c>
      <c r="H1447">
        <v>36421.24</v>
      </c>
      <c r="I1447">
        <v>12848.41</v>
      </c>
      <c r="J1447">
        <v>0</v>
      </c>
    </row>
    <row r="1448" spans="1:10" x14ac:dyDescent="0.35">
      <c r="A1448">
        <v>327266</v>
      </c>
      <c r="B1448" t="s">
        <v>20</v>
      </c>
      <c r="C1448">
        <v>2015</v>
      </c>
      <c r="D1448">
        <v>6</v>
      </c>
      <c r="E1448" t="s">
        <v>43</v>
      </c>
      <c r="F1448" t="s">
        <v>5</v>
      </c>
      <c r="G1448" t="s">
        <v>5</v>
      </c>
      <c r="H1448">
        <v>30654.78</v>
      </c>
      <c r="I1448">
        <v>5857.48</v>
      </c>
      <c r="J1448">
        <v>0</v>
      </c>
    </row>
    <row r="1449" spans="1:10" x14ac:dyDescent="0.35">
      <c r="A1449">
        <v>327267</v>
      </c>
      <c r="B1449" t="s">
        <v>20</v>
      </c>
      <c r="C1449">
        <v>2015</v>
      </c>
      <c r="D1449">
        <v>9</v>
      </c>
      <c r="E1449" t="s">
        <v>42</v>
      </c>
      <c r="F1449" t="s">
        <v>5</v>
      </c>
      <c r="G1449" t="s">
        <v>5</v>
      </c>
      <c r="H1449">
        <v>34245.879999999997</v>
      </c>
      <c r="I1449">
        <v>10108.83</v>
      </c>
      <c r="J1449">
        <v>0</v>
      </c>
    </row>
    <row r="1450" spans="1:10" x14ac:dyDescent="0.35">
      <c r="A1450">
        <v>327283</v>
      </c>
      <c r="B1450" t="s">
        <v>20</v>
      </c>
      <c r="C1450">
        <v>2015</v>
      </c>
      <c r="D1450">
        <v>9</v>
      </c>
      <c r="E1450" t="s">
        <v>42</v>
      </c>
      <c r="F1450" t="s">
        <v>5</v>
      </c>
      <c r="G1450" t="s">
        <v>5</v>
      </c>
      <c r="H1450">
        <v>23960.22</v>
      </c>
      <c r="I1450">
        <v>6495.01</v>
      </c>
      <c r="J1450">
        <v>0</v>
      </c>
    </row>
    <row r="1451" spans="1:10" x14ac:dyDescent="0.35">
      <c r="A1451">
        <v>327286</v>
      </c>
      <c r="B1451" t="s">
        <v>20</v>
      </c>
      <c r="C1451">
        <v>2015</v>
      </c>
      <c r="D1451">
        <v>6</v>
      </c>
      <c r="E1451" t="s">
        <v>43</v>
      </c>
      <c r="F1451" t="s">
        <v>5</v>
      </c>
      <c r="G1451" t="s">
        <v>5</v>
      </c>
      <c r="H1451">
        <v>30189.86</v>
      </c>
      <c r="I1451">
        <v>10146.879999999999</v>
      </c>
      <c r="J1451">
        <v>0</v>
      </c>
    </row>
    <row r="1452" spans="1:10" x14ac:dyDescent="0.35">
      <c r="A1452">
        <v>327291</v>
      </c>
      <c r="B1452" t="s">
        <v>20</v>
      </c>
      <c r="C1452">
        <v>2015</v>
      </c>
      <c r="D1452">
        <v>9</v>
      </c>
      <c r="E1452" t="s">
        <v>42</v>
      </c>
      <c r="F1452" t="s">
        <v>5</v>
      </c>
      <c r="G1452" t="s">
        <v>5</v>
      </c>
      <c r="H1452">
        <v>30537.66</v>
      </c>
      <c r="I1452">
        <v>9141.31</v>
      </c>
      <c r="J1452">
        <v>0</v>
      </c>
    </row>
    <row r="1453" spans="1:10" x14ac:dyDescent="0.35">
      <c r="A1453">
        <v>327297</v>
      </c>
      <c r="B1453" t="s">
        <v>20</v>
      </c>
      <c r="C1453">
        <v>2015</v>
      </c>
      <c r="D1453">
        <v>9</v>
      </c>
      <c r="E1453" t="s">
        <v>42</v>
      </c>
      <c r="F1453" t="s">
        <v>5</v>
      </c>
      <c r="G1453" t="s">
        <v>5</v>
      </c>
      <c r="H1453">
        <v>9423.9599999999991</v>
      </c>
      <c r="I1453">
        <v>3472.22</v>
      </c>
      <c r="J1453">
        <v>0</v>
      </c>
    </row>
    <row r="1454" spans="1:10" x14ac:dyDescent="0.35">
      <c r="A1454">
        <v>327308</v>
      </c>
      <c r="B1454" t="s">
        <v>20</v>
      </c>
      <c r="C1454">
        <v>2015</v>
      </c>
      <c r="D1454">
        <v>6</v>
      </c>
      <c r="E1454" t="s">
        <v>43</v>
      </c>
      <c r="F1454" t="s">
        <v>5</v>
      </c>
      <c r="G1454" t="s">
        <v>5</v>
      </c>
      <c r="H1454">
        <v>12787.28</v>
      </c>
      <c r="I1454">
        <v>6668.37</v>
      </c>
      <c r="J1454">
        <v>0</v>
      </c>
    </row>
    <row r="1455" spans="1:10" x14ac:dyDescent="0.35">
      <c r="A1455">
        <v>327315</v>
      </c>
      <c r="B1455" t="s">
        <v>20</v>
      </c>
      <c r="C1455">
        <v>2015</v>
      </c>
      <c r="D1455">
        <v>9</v>
      </c>
      <c r="E1455" t="s">
        <v>42</v>
      </c>
      <c r="F1455" t="s">
        <v>5</v>
      </c>
      <c r="G1455" t="s">
        <v>5</v>
      </c>
      <c r="H1455">
        <v>32918.120000000003</v>
      </c>
      <c r="I1455">
        <v>15839.27</v>
      </c>
      <c r="J1455">
        <v>0</v>
      </c>
    </row>
    <row r="1456" spans="1:10" x14ac:dyDescent="0.35">
      <c r="A1456">
        <v>327320</v>
      </c>
      <c r="B1456" t="s">
        <v>20</v>
      </c>
      <c r="C1456">
        <v>2015</v>
      </c>
      <c r="D1456">
        <v>6</v>
      </c>
      <c r="E1456" t="s">
        <v>43</v>
      </c>
      <c r="F1456" t="s">
        <v>5</v>
      </c>
      <c r="G1456" t="s">
        <v>5</v>
      </c>
      <c r="H1456">
        <v>75023.72</v>
      </c>
      <c r="I1456">
        <v>24125.919999999998</v>
      </c>
      <c r="J1456">
        <v>0</v>
      </c>
    </row>
    <row r="1457" spans="1:10" x14ac:dyDescent="0.35">
      <c r="A1457">
        <v>327328</v>
      </c>
      <c r="B1457" t="s">
        <v>20</v>
      </c>
      <c r="C1457">
        <v>2015</v>
      </c>
      <c r="D1457">
        <v>9</v>
      </c>
      <c r="E1457" t="s">
        <v>42</v>
      </c>
      <c r="F1457" t="s">
        <v>5</v>
      </c>
      <c r="G1457" t="s">
        <v>5</v>
      </c>
      <c r="H1457">
        <v>22919.8</v>
      </c>
      <c r="I1457">
        <v>4570.87</v>
      </c>
      <c r="J1457">
        <v>0</v>
      </c>
    </row>
    <row r="1458" spans="1:10" x14ac:dyDescent="0.35">
      <c r="A1458">
        <v>327331</v>
      </c>
      <c r="B1458" t="s">
        <v>20</v>
      </c>
      <c r="C1458">
        <v>2015</v>
      </c>
      <c r="D1458">
        <v>9</v>
      </c>
      <c r="E1458" t="s">
        <v>42</v>
      </c>
      <c r="F1458" t="s">
        <v>5</v>
      </c>
      <c r="G1458" t="s">
        <v>5</v>
      </c>
      <c r="H1458">
        <v>22899.06</v>
      </c>
      <c r="I1458">
        <v>6939.26</v>
      </c>
      <c r="J1458">
        <v>0</v>
      </c>
    </row>
    <row r="1459" spans="1:10" x14ac:dyDescent="0.35">
      <c r="A1459">
        <v>327341</v>
      </c>
      <c r="B1459" t="s">
        <v>20</v>
      </c>
      <c r="C1459">
        <v>2015</v>
      </c>
      <c r="D1459">
        <v>9</v>
      </c>
      <c r="E1459" t="s">
        <v>42</v>
      </c>
      <c r="F1459" t="s">
        <v>5</v>
      </c>
      <c r="G1459" t="s">
        <v>5</v>
      </c>
      <c r="H1459">
        <v>29386.42</v>
      </c>
      <c r="I1459">
        <v>8590.0300000000007</v>
      </c>
      <c r="J1459">
        <v>0</v>
      </c>
    </row>
    <row r="1460" spans="1:10" x14ac:dyDescent="0.35">
      <c r="A1460">
        <v>327344</v>
      </c>
      <c r="B1460" t="s">
        <v>20</v>
      </c>
      <c r="C1460">
        <v>2015</v>
      </c>
      <c r="D1460">
        <v>9</v>
      </c>
      <c r="E1460" t="s">
        <v>42</v>
      </c>
      <c r="F1460" t="s">
        <v>5</v>
      </c>
      <c r="G1460" t="s">
        <v>5</v>
      </c>
      <c r="H1460">
        <v>41145.54</v>
      </c>
      <c r="I1460">
        <v>20694.310000000001</v>
      </c>
      <c r="J1460">
        <v>0</v>
      </c>
    </row>
    <row r="1461" spans="1:10" x14ac:dyDescent="0.35">
      <c r="A1461">
        <v>327347</v>
      </c>
      <c r="B1461" t="s">
        <v>20</v>
      </c>
      <c r="C1461">
        <v>2015</v>
      </c>
      <c r="D1461">
        <v>9</v>
      </c>
      <c r="E1461" t="s">
        <v>42</v>
      </c>
      <c r="F1461" t="s">
        <v>5</v>
      </c>
      <c r="G1461" t="s">
        <v>5</v>
      </c>
      <c r="H1461">
        <v>14322.78</v>
      </c>
      <c r="I1461">
        <v>3347.96</v>
      </c>
      <c r="J1461">
        <v>0</v>
      </c>
    </row>
    <row r="1462" spans="1:10" x14ac:dyDescent="0.35">
      <c r="A1462">
        <v>327355</v>
      </c>
      <c r="B1462" t="s">
        <v>20</v>
      </c>
      <c r="C1462">
        <v>2015</v>
      </c>
      <c r="D1462">
        <v>9</v>
      </c>
      <c r="E1462" t="s">
        <v>42</v>
      </c>
      <c r="F1462" t="s">
        <v>5</v>
      </c>
      <c r="G1462" t="s">
        <v>5</v>
      </c>
      <c r="H1462">
        <v>25838.38</v>
      </c>
      <c r="I1462">
        <v>8277.57</v>
      </c>
      <c r="J1462">
        <v>0</v>
      </c>
    </row>
    <row r="1463" spans="1:10" x14ac:dyDescent="0.35">
      <c r="A1463">
        <v>327361</v>
      </c>
      <c r="B1463" t="s">
        <v>20</v>
      </c>
      <c r="C1463">
        <v>2015</v>
      </c>
      <c r="D1463">
        <v>6</v>
      </c>
      <c r="E1463" t="s">
        <v>43</v>
      </c>
      <c r="F1463" t="s">
        <v>5</v>
      </c>
      <c r="G1463" t="s">
        <v>5</v>
      </c>
      <c r="H1463">
        <v>17028.080000000002</v>
      </c>
      <c r="I1463">
        <v>3942.71</v>
      </c>
      <c r="J1463">
        <v>0</v>
      </c>
    </row>
    <row r="1464" spans="1:10" x14ac:dyDescent="0.35">
      <c r="A1464">
        <v>327372</v>
      </c>
      <c r="B1464" t="s">
        <v>20</v>
      </c>
      <c r="C1464">
        <v>2015</v>
      </c>
      <c r="D1464">
        <v>6</v>
      </c>
      <c r="E1464" t="s">
        <v>43</v>
      </c>
      <c r="F1464" t="s">
        <v>5</v>
      </c>
      <c r="G1464" t="s">
        <v>5</v>
      </c>
      <c r="H1464">
        <v>9608.56</v>
      </c>
      <c r="I1464">
        <v>3735.98</v>
      </c>
      <c r="J1464">
        <v>0</v>
      </c>
    </row>
    <row r="1465" spans="1:10" x14ac:dyDescent="0.35">
      <c r="A1465">
        <v>327379</v>
      </c>
      <c r="B1465" t="s">
        <v>20</v>
      </c>
      <c r="C1465">
        <v>2015</v>
      </c>
      <c r="D1465">
        <v>9</v>
      </c>
      <c r="E1465" t="s">
        <v>42</v>
      </c>
      <c r="F1465" t="s">
        <v>5</v>
      </c>
      <c r="G1465" t="s">
        <v>5</v>
      </c>
      <c r="H1465">
        <v>34578.959999999999</v>
      </c>
      <c r="I1465">
        <v>13277.67</v>
      </c>
      <c r="J1465">
        <v>0</v>
      </c>
    </row>
    <row r="1466" spans="1:10" x14ac:dyDescent="0.35">
      <c r="A1466">
        <v>327392</v>
      </c>
      <c r="B1466" t="s">
        <v>20</v>
      </c>
      <c r="C1466">
        <v>2015</v>
      </c>
      <c r="D1466">
        <v>6</v>
      </c>
      <c r="E1466" t="s">
        <v>43</v>
      </c>
      <c r="F1466" t="s">
        <v>5</v>
      </c>
      <c r="G1466" t="s">
        <v>5</v>
      </c>
      <c r="H1466">
        <v>20256.62</v>
      </c>
      <c r="I1466">
        <v>5122.1000000000004</v>
      </c>
      <c r="J1466">
        <v>0</v>
      </c>
    </row>
    <row r="1467" spans="1:10" x14ac:dyDescent="0.35">
      <c r="A1467">
        <v>327394</v>
      </c>
      <c r="B1467" t="s">
        <v>20</v>
      </c>
      <c r="C1467">
        <v>2015</v>
      </c>
      <c r="D1467">
        <v>9</v>
      </c>
      <c r="E1467" t="s">
        <v>42</v>
      </c>
      <c r="F1467" t="s">
        <v>5</v>
      </c>
      <c r="G1467" t="s">
        <v>5</v>
      </c>
      <c r="H1467">
        <v>65267.66</v>
      </c>
      <c r="I1467">
        <v>30582.91</v>
      </c>
      <c r="J1467">
        <v>0</v>
      </c>
    </row>
    <row r="1468" spans="1:10" x14ac:dyDescent="0.35">
      <c r="A1468">
        <v>327405</v>
      </c>
      <c r="B1468" t="s">
        <v>20</v>
      </c>
      <c r="C1468">
        <v>2015</v>
      </c>
      <c r="D1468">
        <v>9</v>
      </c>
      <c r="E1468" t="s">
        <v>42</v>
      </c>
      <c r="F1468" t="s">
        <v>5</v>
      </c>
      <c r="G1468" t="s">
        <v>5</v>
      </c>
      <c r="H1468">
        <v>27633.5</v>
      </c>
      <c r="I1468">
        <v>8504.2900000000009</v>
      </c>
      <c r="J1468">
        <v>0</v>
      </c>
    </row>
    <row r="1469" spans="1:10" x14ac:dyDescent="0.35">
      <c r="A1469">
        <v>327407</v>
      </c>
      <c r="B1469" t="s">
        <v>20</v>
      </c>
      <c r="C1469">
        <v>2015</v>
      </c>
      <c r="D1469">
        <v>9</v>
      </c>
      <c r="E1469" t="s">
        <v>42</v>
      </c>
      <c r="F1469" t="s">
        <v>5</v>
      </c>
      <c r="G1469" t="s">
        <v>5</v>
      </c>
      <c r="H1469">
        <v>15023.54</v>
      </c>
      <c r="I1469">
        <v>4840.7</v>
      </c>
      <c r="J1469">
        <v>0</v>
      </c>
    </row>
    <row r="1470" spans="1:10" x14ac:dyDescent="0.35">
      <c r="A1470">
        <v>327428</v>
      </c>
      <c r="B1470" t="s">
        <v>20</v>
      </c>
      <c r="C1470">
        <v>2015</v>
      </c>
      <c r="D1470">
        <v>9</v>
      </c>
      <c r="E1470" t="s">
        <v>42</v>
      </c>
      <c r="F1470" t="s">
        <v>5</v>
      </c>
      <c r="G1470" t="s">
        <v>5</v>
      </c>
      <c r="H1470">
        <v>8630.6200000000008</v>
      </c>
      <c r="I1470">
        <v>2370.0100000000002</v>
      </c>
      <c r="J1470">
        <v>0</v>
      </c>
    </row>
    <row r="1471" spans="1:10" x14ac:dyDescent="0.35">
      <c r="A1471">
        <v>327433</v>
      </c>
      <c r="B1471" t="s">
        <v>20</v>
      </c>
      <c r="C1471">
        <v>2015</v>
      </c>
      <c r="D1471">
        <v>9</v>
      </c>
      <c r="E1471" t="s">
        <v>42</v>
      </c>
      <c r="F1471" t="s">
        <v>5</v>
      </c>
      <c r="G1471" t="s">
        <v>5</v>
      </c>
      <c r="H1471">
        <v>50189.06</v>
      </c>
      <c r="I1471">
        <v>16667.18</v>
      </c>
      <c r="J1471">
        <v>0</v>
      </c>
    </row>
    <row r="1472" spans="1:10" x14ac:dyDescent="0.35">
      <c r="A1472">
        <v>327439</v>
      </c>
      <c r="B1472" t="s">
        <v>20</v>
      </c>
      <c r="C1472">
        <v>2015</v>
      </c>
      <c r="D1472">
        <v>6</v>
      </c>
      <c r="E1472" t="s">
        <v>43</v>
      </c>
      <c r="F1472" t="s">
        <v>5</v>
      </c>
      <c r="G1472" t="s">
        <v>5</v>
      </c>
      <c r="H1472">
        <v>17333.259999999998</v>
      </c>
      <c r="I1472">
        <v>4530.1099999999997</v>
      </c>
      <c r="J1472">
        <v>0</v>
      </c>
    </row>
    <row r="1473" spans="1:10" x14ac:dyDescent="0.35">
      <c r="A1473">
        <v>327446</v>
      </c>
      <c r="B1473" t="s">
        <v>20</v>
      </c>
      <c r="C1473">
        <v>2015</v>
      </c>
      <c r="D1473">
        <v>9</v>
      </c>
      <c r="E1473" t="s">
        <v>42</v>
      </c>
      <c r="F1473" t="s">
        <v>5</v>
      </c>
      <c r="G1473" t="s">
        <v>5</v>
      </c>
      <c r="H1473">
        <v>23300.94</v>
      </c>
      <c r="I1473">
        <v>10027.879999999999</v>
      </c>
      <c r="J1473">
        <v>0</v>
      </c>
    </row>
    <row r="1474" spans="1:10" x14ac:dyDescent="0.35">
      <c r="A1474">
        <v>327461</v>
      </c>
      <c r="B1474" t="s">
        <v>20</v>
      </c>
      <c r="C1474">
        <v>2015</v>
      </c>
      <c r="D1474">
        <v>9</v>
      </c>
      <c r="E1474" t="s">
        <v>42</v>
      </c>
      <c r="F1474" t="s">
        <v>5</v>
      </c>
      <c r="G1474" t="s">
        <v>5</v>
      </c>
      <c r="H1474">
        <v>116907.76</v>
      </c>
      <c r="I1474">
        <v>53907.91</v>
      </c>
      <c r="J1474">
        <v>0</v>
      </c>
    </row>
    <row r="1475" spans="1:10" x14ac:dyDescent="0.35">
      <c r="A1475">
        <v>327464</v>
      </c>
      <c r="B1475" t="s">
        <v>20</v>
      </c>
      <c r="C1475">
        <v>2015</v>
      </c>
      <c r="D1475">
        <v>9</v>
      </c>
      <c r="E1475" t="s">
        <v>42</v>
      </c>
      <c r="F1475" t="s">
        <v>5</v>
      </c>
      <c r="G1475" t="s">
        <v>5</v>
      </c>
      <c r="H1475">
        <v>51586.7</v>
      </c>
      <c r="I1475">
        <v>30626.85</v>
      </c>
      <c r="J1475">
        <v>0</v>
      </c>
    </row>
    <row r="1476" spans="1:10" x14ac:dyDescent="0.35">
      <c r="A1476">
        <v>327494</v>
      </c>
      <c r="B1476" t="s">
        <v>20</v>
      </c>
      <c r="C1476">
        <v>2015</v>
      </c>
      <c r="D1476">
        <v>6</v>
      </c>
      <c r="E1476" t="s">
        <v>43</v>
      </c>
      <c r="F1476" t="s">
        <v>5</v>
      </c>
      <c r="G1476" t="s">
        <v>5</v>
      </c>
      <c r="H1476">
        <v>18931.52</v>
      </c>
      <c r="I1476">
        <v>5832.39</v>
      </c>
      <c r="J1476">
        <v>0</v>
      </c>
    </row>
    <row r="1477" spans="1:10" x14ac:dyDescent="0.35">
      <c r="A1477">
        <v>327499</v>
      </c>
      <c r="B1477" t="s">
        <v>20</v>
      </c>
      <c r="C1477">
        <v>2015</v>
      </c>
      <c r="D1477">
        <v>9</v>
      </c>
      <c r="E1477" t="s">
        <v>42</v>
      </c>
      <c r="F1477" t="s">
        <v>5</v>
      </c>
      <c r="G1477" t="s">
        <v>5</v>
      </c>
      <c r="H1477">
        <v>8170.32</v>
      </c>
      <c r="I1477">
        <v>2321.34</v>
      </c>
      <c r="J1477">
        <v>0</v>
      </c>
    </row>
    <row r="1478" spans="1:10" x14ac:dyDescent="0.35">
      <c r="A1478">
        <v>327501</v>
      </c>
      <c r="B1478" t="s">
        <v>20</v>
      </c>
      <c r="C1478">
        <v>2015</v>
      </c>
      <c r="D1478">
        <v>6</v>
      </c>
      <c r="E1478" t="s">
        <v>43</v>
      </c>
      <c r="F1478" t="s">
        <v>5</v>
      </c>
      <c r="G1478" t="s">
        <v>5</v>
      </c>
      <c r="H1478">
        <v>30270.26</v>
      </c>
      <c r="I1478">
        <v>10343.5</v>
      </c>
      <c r="J1478">
        <v>0</v>
      </c>
    </row>
    <row r="1479" spans="1:10" x14ac:dyDescent="0.35">
      <c r="A1479">
        <v>327505</v>
      </c>
      <c r="B1479" t="s">
        <v>20</v>
      </c>
      <c r="C1479">
        <v>2015</v>
      </c>
      <c r="D1479">
        <v>9</v>
      </c>
      <c r="E1479" t="s">
        <v>42</v>
      </c>
      <c r="F1479" t="s">
        <v>5</v>
      </c>
      <c r="G1479" t="s">
        <v>5</v>
      </c>
      <c r="H1479">
        <v>33848.980000000003</v>
      </c>
      <c r="I1479">
        <v>17780.05</v>
      </c>
      <c r="J1479">
        <v>0</v>
      </c>
    </row>
    <row r="1480" spans="1:10" x14ac:dyDescent="0.35">
      <c r="A1480">
        <v>327523</v>
      </c>
      <c r="B1480" t="s">
        <v>20</v>
      </c>
      <c r="C1480">
        <v>2015</v>
      </c>
      <c r="D1480">
        <v>9</v>
      </c>
      <c r="E1480" t="s">
        <v>42</v>
      </c>
      <c r="F1480" t="s">
        <v>5</v>
      </c>
      <c r="G1480" t="s">
        <v>5</v>
      </c>
      <c r="H1480">
        <v>29057.08</v>
      </c>
      <c r="I1480">
        <v>8587.1</v>
      </c>
      <c r="J1480">
        <v>0</v>
      </c>
    </row>
    <row r="1481" spans="1:10" x14ac:dyDescent="0.35">
      <c r="A1481">
        <v>327535</v>
      </c>
      <c r="B1481" t="s">
        <v>20</v>
      </c>
      <c r="C1481">
        <v>2015</v>
      </c>
      <c r="D1481">
        <v>9</v>
      </c>
      <c r="E1481" t="s">
        <v>42</v>
      </c>
      <c r="F1481" t="s">
        <v>5</v>
      </c>
      <c r="G1481" t="s">
        <v>5</v>
      </c>
      <c r="H1481">
        <v>26778.74</v>
      </c>
      <c r="I1481">
        <v>6981.81</v>
      </c>
      <c r="J1481">
        <v>0</v>
      </c>
    </row>
    <row r="1482" spans="1:10" x14ac:dyDescent="0.35">
      <c r="A1482">
        <v>327546</v>
      </c>
      <c r="B1482" t="s">
        <v>20</v>
      </c>
      <c r="C1482">
        <v>2015</v>
      </c>
      <c r="D1482">
        <v>9</v>
      </c>
      <c r="E1482" t="s">
        <v>42</v>
      </c>
      <c r="F1482" t="s">
        <v>5</v>
      </c>
      <c r="G1482" t="s">
        <v>5</v>
      </c>
      <c r="H1482">
        <v>15766.92</v>
      </c>
      <c r="I1482">
        <v>3420.36</v>
      </c>
      <c r="J1482">
        <v>0</v>
      </c>
    </row>
    <row r="1483" spans="1:10" x14ac:dyDescent="0.35">
      <c r="A1483">
        <v>327548</v>
      </c>
      <c r="B1483" t="s">
        <v>20</v>
      </c>
      <c r="C1483">
        <v>2015</v>
      </c>
      <c r="D1483">
        <v>6</v>
      </c>
      <c r="E1483" t="s">
        <v>43</v>
      </c>
      <c r="F1483" t="s">
        <v>5</v>
      </c>
      <c r="G1483" t="s">
        <v>5</v>
      </c>
      <c r="H1483">
        <v>65100.160000000003</v>
      </c>
      <c r="I1483">
        <v>22431.15</v>
      </c>
      <c r="J1483">
        <v>0</v>
      </c>
    </row>
    <row r="1484" spans="1:10" x14ac:dyDescent="0.35">
      <c r="A1484">
        <v>327559</v>
      </c>
      <c r="B1484" t="s">
        <v>20</v>
      </c>
      <c r="C1484">
        <v>2015</v>
      </c>
      <c r="D1484">
        <v>6</v>
      </c>
      <c r="E1484" t="s">
        <v>43</v>
      </c>
      <c r="F1484" t="s">
        <v>5</v>
      </c>
      <c r="G1484" t="s">
        <v>5</v>
      </c>
      <c r="H1484">
        <v>35915.58</v>
      </c>
      <c r="I1484">
        <v>19787.330000000002</v>
      </c>
      <c r="J1484">
        <v>0</v>
      </c>
    </row>
    <row r="1485" spans="1:10" x14ac:dyDescent="0.35">
      <c r="A1485">
        <v>327561</v>
      </c>
      <c r="B1485" t="s">
        <v>20</v>
      </c>
      <c r="C1485">
        <v>2015</v>
      </c>
      <c r="D1485">
        <v>9</v>
      </c>
      <c r="E1485" t="s">
        <v>42</v>
      </c>
      <c r="F1485" t="s">
        <v>5</v>
      </c>
      <c r="G1485" t="s">
        <v>5</v>
      </c>
      <c r="H1485">
        <v>14263.76</v>
      </c>
      <c r="I1485">
        <v>5264.93</v>
      </c>
      <c r="J1485">
        <v>0</v>
      </c>
    </row>
    <row r="1486" spans="1:10" x14ac:dyDescent="0.35">
      <c r="A1486">
        <v>327569</v>
      </c>
      <c r="B1486" t="s">
        <v>20</v>
      </c>
      <c r="C1486">
        <v>2015</v>
      </c>
      <c r="D1486">
        <v>6</v>
      </c>
      <c r="E1486" t="s">
        <v>43</v>
      </c>
      <c r="F1486" t="s">
        <v>5</v>
      </c>
      <c r="G1486" t="s">
        <v>5</v>
      </c>
      <c r="H1486">
        <v>23233.88</v>
      </c>
      <c r="I1486">
        <v>6198.21</v>
      </c>
      <c r="J1486">
        <v>0</v>
      </c>
    </row>
    <row r="1487" spans="1:10" x14ac:dyDescent="0.35">
      <c r="A1487">
        <v>327581</v>
      </c>
      <c r="B1487" t="s">
        <v>20</v>
      </c>
      <c r="C1487">
        <v>2015</v>
      </c>
      <c r="D1487">
        <v>9</v>
      </c>
      <c r="E1487" t="s">
        <v>42</v>
      </c>
      <c r="F1487" t="s">
        <v>5</v>
      </c>
      <c r="G1487" t="s">
        <v>5</v>
      </c>
      <c r="H1487">
        <v>25253.119999999999</v>
      </c>
      <c r="I1487">
        <v>9244.3799999999992</v>
      </c>
      <c r="J1487">
        <v>0</v>
      </c>
    </row>
    <row r="1488" spans="1:10" x14ac:dyDescent="0.35">
      <c r="A1488">
        <v>327591</v>
      </c>
      <c r="B1488" t="s">
        <v>20</v>
      </c>
      <c r="C1488">
        <v>2015</v>
      </c>
      <c r="D1488">
        <v>6</v>
      </c>
      <c r="E1488" t="s">
        <v>43</v>
      </c>
      <c r="F1488" t="s">
        <v>5</v>
      </c>
      <c r="G1488" t="s">
        <v>5</v>
      </c>
      <c r="H1488">
        <v>30232.22</v>
      </c>
      <c r="I1488">
        <v>8568.25</v>
      </c>
      <c r="J1488">
        <v>0</v>
      </c>
    </row>
    <row r="1489" spans="1:10" x14ac:dyDescent="0.35">
      <c r="A1489">
        <v>327593</v>
      </c>
      <c r="B1489" t="s">
        <v>20</v>
      </c>
      <c r="C1489">
        <v>2015</v>
      </c>
      <c r="D1489">
        <v>9</v>
      </c>
      <c r="E1489" t="s">
        <v>42</v>
      </c>
      <c r="F1489" t="s">
        <v>5</v>
      </c>
      <c r="G1489" t="s">
        <v>5</v>
      </c>
      <c r="H1489">
        <v>41390.28</v>
      </c>
      <c r="I1489">
        <v>11657.93</v>
      </c>
      <c r="J1489">
        <v>0</v>
      </c>
    </row>
    <row r="1490" spans="1:10" x14ac:dyDescent="0.35">
      <c r="A1490">
        <v>327663</v>
      </c>
      <c r="B1490" t="s">
        <v>20</v>
      </c>
      <c r="C1490">
        <v>2015</v>
      </c>
      <c r="D1490">
        <v>6</v>
      </c>
      <c r="E1490" t="s">
        <v>43</v>
      </c>
      <c r="F1490" t="s">
        <v>5</v>
      </c>
      <c r="G1490" t="s">
        <v>5</v>
      </c>
      <c r="H1490">
        <v>27784.66</v>
      </c>
      <c r="I1490">
        <v>7993.87</v>
      </c>
      <c r="J1490">
        <v>0</v>
      </c>
    </row>
    <row r="1491" spans="1:10" x14ac:dyDescent="0.35">
      <c r="A1491">
        <v>327665</v>
      </c>
      <c r="B1491" t="s">
        <v>20</v>
      </c>
      <c r="C1491">
        <v>2015</v>
      </c>
      <c r="D1491">
        <v>6</v>
      </c>
      <c r="E1491" t="s">
        <v>43</v>
      </c>
      <c r="F1491" t="s">
        <v>5</v>
      </c>
      <c r="G1491" t="s">
        <v>5</v>
      </c>
      <c r="H1491">
        <v>18969.240000000002</v>
      </c>
      <c r="I1491">
        <v>3594.45</v>
      </c>
      <c r="J1491">
        <v>0</v>
      </c>
    </row>
    <row r="1492" spans="1:10" x14ac:dyDescent="0.35">
      <c r="A1492">
        <v>327666</v>
      </c>
      <c r="B1492" t="s">
        <v>20</v>
      </c>
      <c r="C1492">
        <v>2015</v>
      </c>
      <c r="D1492">
        <v>9</v>
      </c>
      <c r="E1492" t="s">
        <v>42</v>
      </c>
      <c r="F1492" t="s">
        <v>5</v>
      </c>
      <c r="G1492" t="s">
        <v>5</v>
      </c>
      <c r="H1492">
        <v>29618.34</v>
      </c>
      <c r="I1492">
        <v>10280.82</v>
      </c>
      <c r="J1492">
        <v>0</v>
      </c>
    </row>
    <row r="1493" spans="1:10" x14ac:dyDescent="0.35">
      <c r="A1493">
        <v>327679</v>
      </c>
      <c r="B1493" t="s">
        <v>20</v>
      </c>
      <c r="C1493">
        <v>2015</v>
      </c>
      <c r="D1493">
        <v>6</v>
      </c>
      <c r="E1493" t="s">
        <v>43</v>
      </c>
      <c r="F1493" t="s">
        <v>5</v>
      </c>
      <c r="G1493" t="s">
        <v>5</v>
      </c>
      <c r="H1493">
        <v>5911.66</v>
      </c>
      <c r="I1493">
        <v>1983.76</v>
      </c>
      <c r="J1493">
        <v>0</v>
      </c>
    </row>
    <row r="1494" spans="1:10" x14ac:dyDescent="0.35">
      <c r="A1494">
        <v>327686</v>
      </c>
      <c r="B1494" t="s">
        <v>20</v>
      </c>
      <c r="C1494">
        <v>2015</v>
      </c>
      <c r="D1494">
        <v>6</v>
      </c>
      <c r="E1494" t="s">
        <v>43</v>
      </c>
      <c r="F1494" t="s">
        <v>5</v>
      </c>
      <c r="G1494" t="s">
        <v>5</v>
      </c>
      <c r="H1494">
        <v>27336.32</v>
      </c>
      <c r="I1494">
        <v>9440.35</v>
      </c>
      <c r="J1494">
        <v>0</v>
      </c>
    </row>
    <row r="1495" spans="1:10" x14ac:dyDescent="0.35">
      <c r="A1495">
        <v>327693</v>
      </c>
      <c r="B1495" t="s">
        <v>20</v>
      </c>
      <c r="C1495">
        <v>2015</v>
      </c>
      <c r="D1495">
        <v>6</v>
      </c>
      <c r="E1495" t="s">
        <v>43</v>
      </c>
      <c r="F1495" t="s">
        <v>5</v>
      </c>
      <c r="G1495" t="s">
        <v>5</v>
      </c>
      <c r="H1495">
        <v>16276.82</v>
      </c>
      <c r="I1495">
        <v>6127.77</v>
      </c>
      <c r="J1495">
        <v>0</v>
      </c>
    </row>
    <row r="1496" spans="1:10" x14ac:dyDescent="0.35">
      <c r="A1496">
        <v>327709</v>
      </c>
      <c r="B1496" t="s">
        <v>20</v>
      </c>
      <c r="C1496">
        <v>2015</v>
      </c>
      <c r="D1496">
        <v>9</v>
      </c>
      <c r="E1496" t="s">
        <v>42</v>
      </c>
      <c r="F1496" t="s">
        <v>5</v>
      </c>
      <c r="G1496" t="s">
        <v>5</v>
      </c>
      <c r="H1496">
        <v>25811.88</v>
      </c>
      <c r="I1496">
        <v>8680.84</v>
      </c>
      <c r="J1496">
        <v>0</v>
      </c>
    </row>
    <row r="1497" spans="1:10" x14ac:dyDescent="0.35">
      <c r="A1497">
        <v>327712</v>
      </c>
      <c r="B1497" t="s">
        <v>20</v>
      </c>
      <c r="C1497">
        <v>2015</v>
      </c>
      <c r="D1497">
        <v>6</v>
      </c>
      <c r="E1497" t="s">
        <v>43</v>
      </c>
      <c r="F1497" t="s">
        <v>5</v>
      </c>
      <c r="G1497" t="s">
        <v>5</v>
      </c>
      <c r="H1497">
        <v>7870.04</v>
      </c>
      <c r="I1497">
        <v>2175.8200000000002</v>
      </c>
      <c r="J1497">
        <v>0</v>
      </c>
    </row>
    <row r="1498" spans="1:10" x14ac:dyDescent="0.35">
      <c r="A1498">
        <v>327714</v>
      </c>
      <c r="B1498" t="s">
        <v>20</v>
      </c>
      <c r="C1498">
        <v>2015</v>
      </c>
      <c r="D1498">
        <v>9</v>
      </c>
      <c r="E1498" t="s">
        <v>42</v>
      </c>
      <c r="F1498" t="s">
        <v>5</v>
      </c>
      <c r="G1498" t="s">
        <v>5</v>
      </c>
      <c r="H1498">
        <v>24920.28</v>
      </c>
      <c r="I1498">
        <v>8600.8700000000008</v>
      </c>
      <c r="J1498">
        <v>0</v>
      </c>
    </row>
    <row r="1499" spans="1:10" x14ac:dyDescent="0.35">
      <c r="A1499">
        <v>327757</v>
      </c>
      <c r="B1499" t="s">
        <v>20</v>
      </c>
      <c r="C1499">
        <v>2015</v>
      </c>
      <c r="D1499">
        <v>6</v>
      </c>
      <c r="E1499" t="s">
        <v>43</v>
      </c>
      <c r="F1499" t="s">
        <v>5</v>
      </c>
      <c r="G1499" t="s">
        <v>5</v>
      </c>
      <c r="H1499">
        <v>25632</v>
      </c>
      <c r="I1499">
        <v>8731.82</v>
      </c>
      <c r="J1499">
        <v>0</v>
      </c>
    </row>
    <row r="1500" spans="1:10" x14ac:dyDescent="0.35">
      <c r="A1500">
        <v>327781</v>
      </c>
      <c r="B1500" t="s">
        <v>20</v>
      </c>
      <c r="C1500">
        <v>2015</v>
      </c>
      <c r="D1500">
        <v>9</v>
      </c>
      <c r="E1500" t="s">
        <v>42</v>
      </c>
      <c r="F1500" t="s">
        <v>5</v>
      </c>
      <c r="G1500" t="s">
        <v>5</v>
      </c>
      <c r="H1500">
        <v>19746.54</v>
      </c>
      <c r="I1500">
        <v>5674.98</v>
      </c>
      <c r="J1500">
        <v>0</v>
      </c>
    </row>
    <row r="1501" spans="1:10" x14ac:dyDescent="0.35">
      <c r="A1501">
        <v>327786</v>
      </c>
      <c r="B1501" t="s">
        <v>20</v>
      </c>
      <c r="C1501">
        <v>2015</v>
      </c>
      <c r="D1501">
        <v>6</v>
      </c>
      <c r="E1501" t="s">
        <v>43</v>
      </c>
      <c r="F1501" t="s">
        <v>5</v>
      </c>
      <c r="G1501" t="s">
        <v>5</v>
      </c>
      <c r="H1501">
        <v>47586.68</v>
      </c>
      <c r="I1501">
        <v>15969.71</v>
      </c>
      <c r="J1501">
        <v>0</v>
      </c>
    </row>
    <row r="1502" spans="1:10" x14ac:dyDescent="0.35">
      <c r="A1502">
        <v>327810</v>
      </c>
      <c r="B1502" t="s">
        <v>20</v>
      </c>
      <c r="C1502">
        <v>2015</v>
      </c>
      <c r="D1502">
        <v>9</v>
      </c>
      <c r="E1502" t="s">
        <v>42</v>
      </c>
      <c r="F1502" t="s">
        <v>5</v>
      </c>
      <c r="G1502" t="s">
        <v>5</v>
      </c>
      <c r="H1502">
        <v>96261.88</v>
      </c>
      <c r="I1502">
        <v>56931.31</v>
      </c>
      <c r="J1502">
        <v>0</v>
      </c>
    </row>
    <row r="1503" spans="1:10" x14ac:dyDescent="0.35">
      <c r="A1503">
        <v>327820</v>
      </c>
      <c r="B1503" t="s">
        <v>20</v>
      </c>
      <c r="C1503">
        <v>2015</v>
      </c>
      <c r="D1503">
        <v>9</v>
      </c>
      <c r="E1503" t="s">
        <v>42</v>
      </c>
      <c r="F1503" t="s">
        <v>5</v>
      </c>
      <c r="G1503" t="s">
        <v>5</v>
      </c>
      <c r="H1503">
        <v>17825.72</v>
      </c>
      <c r="I1503">
        <v>3478.97</v>
      </c>
      <c r="J1503">
        <v>0</v>
      </c>
    </row>
    <row r="1504" spans="1:10" x14ac:dyDescent="0.35">
      <c r="A1504">
        <v>327848</v>
      </c>
      <c r="B1504" t="s">
        <v>20</v>
      </c>
      <c r="C1504">
        <v>2015</v>
      </c>
      <c r="D1504">
        <v>6</v>
      </c>
      <c r="E1504" t="s">
        <v>43</v>
      </c>
      <c r="F1504" t="s">
        <v>5</v>
      </c>
      <c r="G1504" t="s">
        <v>5</v>
      </c>
      <c r="H1504">
        <v>30909.22</v>
      </c>
      <c r="I1504">
        <v>10321.16</v>
      </c>
      <c r="J1504">
        <v>0</v>
      </c>
    </row>
    <row r="1505" spans="1:10" x14ac:dyDescent="0.35">
      <c r="A1505">
        <v>327850</v>
      </c>
      <c r="B1505" t="s">
        <v>20</v>
      </c>
      <c r="C1505">
        <v>2015</v>
      </c>
      <c r="D1505">
        <v>6</v>
      </c>
      <c r="E1505" t="s">
        <v>43</v>
      </c>
      <c r="F1505" t="s">
        <v>5</v>
      </c>
      <c r="G1505" t="s">
        <v>5</v>
      </c>
      <c r="H1505">
        <v>76256.06</v>
      </c>
      <c r="I1505">
        <v>23506.45</v>
      </c>
      <c r="J1505">
        <v>0</v>
      </c>
    </row>
    <row r="1506" spans="1:10" x14ac:dyDescent="0.35">
      <c r="A1506">
        <v>327862</v>
      </c>
      <c r="B1506" t="s">
        <v>20</v>
      </c>
      <c r="C1506">
        <v>2015</v>
      </c>
      <c r="D1506">
        <v>6</v>
      </c>
      <c r="E1506" t="s">
        <v>43</v>
      </c>
      <c r="F1506" t="s">
        <v>5</v>
      </c>
      <c r="G1506" t="s">
        <v>5</v>
      </c>
      <c r="H1506">
        <v>12380.66</v>
      </c>
      <c r="I1506">
        <v>3432.79</v>
      </c>
      <c r="J1506">
        <v>0</v>
      </c>
    </row>
    <row r="1507" spans="1:10" x14ac:dyDescent="0.35">
      <c r="A1507">
        <v>327872</v>
      </c>
      <c r="B1507" t="s">
        <v>20</v>
      </c>
      <c r="C1507">
        <v>2015</v>
      </c>
      <c r="D1507">
        <v>6</v>
      </c>
      <c r="E1507" t="s">
        <v>43</v>
      </c>
      <c r="F1507" t="s">
        <v>5</v>
      </c>
      <c r="G1507" t="s">
        <v>5</v>
      </c>
      <c r="H1507">
        <v>31702.880000000001</v>
      </c>
      <c r="I1507">
        <v>10551.51</v>
      </c>
      <c r="J1507">
        <v>0</v>
      </c>
    </row>
    <row r="1508" spans="1:10" x14ac:dyDescent="0.35">
      <c r="A1508">
        <v>327874</v>
      </c>
      <c r="B1508" t="s">
        <v>20</v>
      </c>
      <c r="C1508">
        <v>2015</v>
      </c>
      <c r="D1508">
        <v>9</v>
      </c>
      <c r="E1508" t="s">
        <v>42</v>
      </c>
      <c r="F1508" t="s">
        <v>5</v>
      </c>
      <c r="G1508" t="s">
        <v>5</v>
      </c>
      <c r="H1508">
        <v>32378.080000000002</v>
      </c>
      <c r="I1508">
        <v>10066.08</v>
      </c>
      <c r="J1508">
        <v>0</v>
      </c>
    </row>
    <row r="1509" spans="1:10" x14ac:dyDescent="0.35">
      <c r="A1509">
        <v>327882</v>
      </c>
      <c r="B1509" t="s">
        <v>20</v>
      </c>
      <c r="C1509">
        <v>2015</v>
      </c>
      <c r="D1509">
        <v>9</v>
      </c>
      <c r="E1509" t="s">
        <v>42</v>
      </c>
      <c r="F1509" t="s">
        <v>5</v>
      </c>
      <c r="G1509" t="s">
        <v>5</v>
      </c>
      <c r="H1509">
        <v>20540.04</v>
      </c>
      <c r="I1509">
        <v>4512.09</v>
      </c>
      <c r="J1509">
        <v>0</v>
      </c>
    </row>
    <row r="1510" spans="1:10" x14ac:dyDescent="0.35">
      <c r="A1510">
        <v>327901</v>
      </c>
      <c r="B1510" t="s">
        <v>20</v>
      </c>
      <c r="C1510">
        <v>2015</v>
      </c>
      <c r="D1510">
        <v>6</v>
      </c>
      <c r="E1510" t="s">
        <v>43</v>
      </c>
      <c r="F1510" t="s">
        <v>5</v>
      </c>
      <c r="G1510" t="s">
        <v>5</v>
      </c>
      <c r="H1510">
        <v>38218.839999999997</v>
      </c>
      <c r="I1510">
        <v>14920.83</v>
      </c>
      <c r="J1510">
        <v>0</v>
      </c>
    </row>
    <row r="1511" spans="1:10" x14ac:dyDescent="0.35">
      <c r="A1511">
        <v>327913</v>
      </c>
      <c r="B1511" t="s">
        <v>20</v>
      </c>
      <c r="C1511">
        <v>2015</v>
      </c>
      <c r="D1511">
        <v>9</v>
      </c>
      <c r="E1511" t="s">
        <v>42</v>
      </c>
      <c r="F1511" t="s">
        <v>5</v>
      </c>
      <c r="G1511" t="s">
        <v>5</v>
      </c>
      <c r="H1511">
        <v>21389.360000000001</v>
      </c>
      <c r="I1511">
        <v>6418.67</v>
      </c>
      <c r="J1511">
        <v>0</v>
      </c>
    </row>
    <row r="1512" spans="1:10" x14ac:dyDescent="0.35">
      <c r="A1512">
        <v>327915</v>
      </c>
      <c r="B1512" t="s">
        <v>20</v>
      </c>
      <c r="C1512">
        <v>2015</v>
      </c>
      <c r="D1512">
        <v>9</v>
      </c>
      <c r="E1512" t="s">
        <v>42</v>
      </c>
      <c r="F1512" t="s">
        <v>5</v>
      </c>
      <c r="G1512" t="s">
        <v>5</v>
      </c>
      <c r="H1512">
        <v>24595.56</v>
      </c>
      <c r="I1512">
        <v>10409.15</v>
      </c>
      <c r="J1512">
        <v>0</v>
      </c>
    </row>
    <row r="1513" spans="1:10" x14ac:dyDescent="0.35">
      <c r="A1513">
        <v>327918</v>
      </c>
      <c r="B1513" t="s">
        <v>20</v>
      </c>
      <c r="C1513">
        <v>2015</v>
      </c>
      <c r="D1513">
        <v>9</v>
      </c>
      <c r="E1513" t="s">
        <v>42</v>
      </c>
      <c r="F1513" t="s">
        <v>5</v>
      </c>
      <c r="G1513" t="s">
        <v>5</v>
      </c>
      <c r="H1513">
        <v>14394.96</v>
      </c>
      <c r="I1513">
        <v>4687.76</v>
      </c>
      <c r="J1513">
        <v>0</v>
      </c>
    </row>
    <row r="1514" spans="1:10" x14ac:dyDescent="0.35">
      <c r="A1514">
        <v>327928</v>
      </c>
      <c r="B1514" t="s">
        <v>20</v>
      </c>
      <c r="C1514">
        <v>2015</v>
      </c>
      <c r="D1514">
        <v>9</v>
      </c>
      <c r="E1514" t="s">
        <v>42</v>
      </c>
      <c r="F1514" t="s">
        <v>5</v>
      </c>
      <c r="G1514" t="s">
        <v>5</v>
      </c>
      <c r="H1514">
        <v>32963.379999999997</v>
      </c>
      <c r="I1514">
        <v>15053.56</v>
      </c>
      <c r="J1514">
        <v>0</v>
      </c>
    </row>
    <row r="1515" spans="1:10" x14ac:dyDescent="0.35">
      <c r="A1515">
        <v>327967</v>
      </c>
      <c r="B1515" t="s">
        <v>20</v>
      </c>
      <c r="C1515">
        <v>2015</v>
      </c>
      <c r="D1515">
        <v>6</v>
      </c>
      <c r="E1515" t="s">
        <v>43</v>
      </c>
      <c r="F1515" t="s">
        <v>5</v>
      </c>
      <c r="G1515" t="s">
        <v>5</v>
      </c>
      <c r="H1515">
        <v>10867.64</v>
      </c>
      <c r="I1515">
        <v>3305.4</v>
      </c>
      <c r="J1515">
        <v>0</v>
      </c>
    </row>
    <row r="1516" spans="1:10" x14ac:dyDescent="0.35">
      <c r="A1516">
        <v>327975</v>
      </c>
      <c r="B1516" t="s">
        <v>20</v>
      </c>
      <c r="C1516">
        <v>2015</v>
      </c>
      <c r="D1516">
        <v>9</v>
      </c>
      <c r="E1516" t="s">
        <v>42</v>
      </c>
      <c r="F1516" t="s">
        <v>5</v>
      </c>
      <c r="G1516" t="s">
        <v>5</v>
      </c>
      <c r="H1516">
        <v>59562.720000000001</v>
      </c>
      <c r="I1516">
        <v>15295.26</v>
      </c>
      <c r="J1516">
        <v>0</v>
      </c>
    </row>
    <row r="1517" spans="1:10" x14ac:dyDescent="0.35">
      <c r="A1517">
        <v>327977</v>
      </c>
      <c r="B1517" t="s">
        <v>20</v>
      </c>
      <c r="C1517">
        <v>2015</v>
      </c>
      <c r="D1517">
        <v>6</v>
      </c>
      <c r="E1517" t="s">
        <v>43</v>
      </c>
      <c r="F1517" t="s">
        <v>5</v>
      </c>
      <c r="G1517" t="s">
        <v>5</v>
      </c>
      <c r="H1517">
        <v>81981.48</v>
      </c>
      <c r="I1517">
        <v>24823.47</v>
      </c>
      <c r="J1517">
        <v>0</v>
      </c>
    </row>
    <row r="1518" spans="1:10" x14ac:dyDescent="0.35">
      <c r="A1518">
        <v>328010</v>
      </c>
      <c r="B1518" t="s">
        <v>20</v>
      </c>
      <c r="C1518">
        <v>2015</v>
      </c>
      <c r="D1518">
        <v>6</v>
      </c>
      <c r="E1518" t="s">
        <v>43</v>
      </c>
      <c r="F1518" t="s">
        <v>5</v>
      </c>
      <c r="G1518" t="s">
        <v>5</v>
      </c>
      <c r="H1518">
        <v>14201.66</v>
      </c>
      <c r="I1518">
        <v>5338.13</v>
      </c>
      <c r="J1518">
        <v>0</v>
      </c>
    </row>
    <row r="1519" spans="1:10" x14ac:dyDescent="0.35">
      <c r="A1519">
        <v>328017</v>
      </c>
      <c r="B1519" t="s">
        <v>20</v>
      </c>
      <c r="C1519">
        <v>2015</v>
      </c>
      <c r="D1519">
        <v>9</v>
      </c>
      <c r="E1519" t="s">
        <v>42</v>
      </c>
      <c r="F1519" t="s">
        <v>5</v>
      </c>
      <c r="G1519" t="s">
        <v>5</v>
      </c>
      <c r="H1519">
        <v>25961.56</v>
      </c>
      <c r="I1519">
        <v>7710.2</v>
      </c>
      <c r="J1519">
        <v>0</v>
      </c>
    </row>
    <row r="1520" spans="1:10" x14ac:dyDescent="0.35">
      <c r="A1520">
        <v>328025</v>
      </c>
      <c r="B1520" t="s">
        <v>20</v>
      </c>
      <c r="C1520">
        <v>2015</v>
      </c>
      <c r="D1520">
        <v>9</v>
      </c>
      <c r="E1520" t="s">
        <v>42</v>
      </c>
      <c r="F1520" t="s">
        <v>5</v>
      </c>
      <c r="G1520" t="s">
        <v>5</v>
      </c>
      <c r="H1520">
        <v>34186.14</v>
      </c>
      <c r="I1520">
        <v>11006.78</v>
      </c>
      <c r="J1520">
        <v>0</v>
      </c>
    </row>
    <row r="1521" spans="1:10" x14ac:dyDescent="0.35">
      <c r="A1521">
        <v>328055</v>
      </c>
      <c r="B1521" t="s">
        <v>20</v>
      </c>
      <c r="C1521">
        <v>2015</v>
      </c>
      <c r="D1521">
        <v>6</v>
      </c>
      <c r="E1521" t="s">
        <v>43</v>
      </c>
      <c r="F1521" t="s">
        <v>5</v>
      </c>
      <c r="G1521" t="s">
        <v>5</v>
      </c>
      <c r="H1521">
        <v>21003.72</v>
      </c>
      <c r="I1521">
        <v>5623.34</v>
      </c>
      <c r="J1521">
        <v>0</v>
      </c>
    </row>
    <row r="1522" spans="1:10" x14ac:dyDescent="0.35">
      <c r="A1522">
        <v>328080</v>
      </c>
      <c r="B1522" t="s">
        <v>20</v>
      </c>
      <c r="C1522">
        <v>2015</v>
      </c>
      <c r="D1522">
        <v>6</v>
      </c>
      <c r="E1522" t="s">
        <v>43</v>
      </c>
      <c r="F1522" t="s">
        <v>5</v>
      </c>
      <c r="G1522" t="s">
        <v>5</v>
      </c>
      <c r="H1522">
        <v>12998.3</v>
      </c>
      <c r="I1522">
        <v>2951.73</v>
      </c>
      <c r="J1522">
        <v>0</v>
      </c>
    </row>
    <row r="1523" spans="1:10" x14ac:dyDescent="0.35">
      <c r="A1523">
        <v>328088</v>
      </c>
      <c r="B1523" t="s">
        <v>20</v>
      </c>
      <c r="C1523">
        <v>2015</v>
      </c>
      <c r="D1523">
        <v>6</v>
      </c>
      <c r="E1523" t="s">
        <v>43</v>
      </c>
      <c r="F1523" t="s">
        <v>5</v>
      </c>
      <c r="G1523" t="s">
        <v>5</v>
      </c>
      <c r="H1523">
        <v>34903.160000000003</v>
      </c>
      <c r="I1523">
        <v>10853.87</v>
      </c>
      <c r="J1523">
        <v>0</v>
      </c>
    </row>
    <row r="1524" spans="1:10" x14ac:dyDescent="0.35">
      <c r="A1524">
        <v>328095</v>
      </c>
      <c r="B1524" t="s">
        <v>20</v>
      </c>
      <c r="C1524">
        <v>2015</v>
      </c>
      <c r="D1524">
        <v>9</v>
      </c>
      <c r="E1524" t="s">
        <v>42</v>
      </c>
      <c r="F1524" t="s">
        <v>5</v>
      </c>
      <c r="G1524" t="s">
        <v>5</v>
      </c>
      <c r="H1524">
        <v>36106.639999999999</v>
      </c>
      <c r="I1524">
        <v>10639.31</v>
      </c>
      <c r="J1524">
        <v>0</v>
      </c>
    </row>
    <row r="1525" spans="1:10" x14ac:dyDescent="0.35">
      <c r="A1525">
        <v>328107</v>
      </c>
      <c r="B1525" t="s">
        <v>20</v>
      </c>
      <c r="C1525">
        <v>2015</v>
      </c>
      <c r="D1525">
        <v>6</v>
      </c>
      <c r="E1525" t="s">
        <v>43</v>
      </c>
      <c r="F1525" t="s">
        <v>5</v>
      </c>
      <c r="G1525" t="s">
        <v>5</v>
      </c>
      <c r="H1525">
        <v>64021.54</v>
      </c>
      <c r="I1525">
        <v>29118.79</v>
      </c>
      <c r="J1525">
        <v>0</v>
      </c>
    </row>
    <row r="1526" spans="1:10" x14ac:dyDescent="0.35">
      <c r="A1526">
        <v>328159</v>
      </c>
      <c r="B1526" t="s">
        <v>20</v>
      </c>
      <c r="C1526">
        <v>2015</v>
      </c>
      <c r="D1526">
        <v>9</v>
      </c>
      <c r="E1526" t="s">
        <v>42</v>
      </c>
      <c r="F1526" t="s">
        <v>5</v>
      </c>
      <c r="G1526" t="s">
        <v>5</v>
      </c>
      <c r="H1526">
        <v>37647.43</v>
      </c>
      <c r="I1526">
        <v>12356.88</v>
      </c>
      <c r="J1526">
        <v>0</v>
      </c>
    </row>
    <row r="1527" spans="1:10" x14ac:dyDescent="0.35">
      <c r="A1527">
        <v>328184</v>
      </c>
      <c r="B1527" t="s">
        <v>20</v>
      </c>
      <c r="C1527">
        <v>2015</v>
      </c>
      <c r="D1527">
        <v>6</v>
      </c>
      <c r="E1527" t="s">
        <v>43</v>
      </c>
      <c r="F1527" t="s">
        <v>5</v>
      </c>
      <c r="G1527" t="s">
        <v>5</v>
      </c>
      <c r="H1527">
        <v>32089.06</v>
      </c>
      <c r="I1527">
        <v>10675.72</v>
      </c>
      <c r="J1527">
        <v>0</v>
      </c>
    </row>
    <row r="1528" spans="1:10" x14ac:dyDescent="0.35">
      <c r="A1528">
        <v>328194</v>
      </c>
      <c r="B1528" t="s">
        <v>20</v>
      </c>
      <c r="C1528">
        <v>2015</v>
      </c>
      <c r="D1528">
        <v>6</v>
      </c>
      <c r="E1528" t="s">
        <v>43</v>
      </c>
      <c r="F1528" t="s">
        <v>5</v>
      </c>
      <c r="G1528" t="s">
        <v>5</v>
      </c>
      <c r="H1528">
        <v>12254.66</v>
      </c>
      <c r="I1528">
        <v>4423.47</v>
      </c>
      <c r="J1528">
        <v>0</v>
      </c>
    </row>
    <row r="1529" spans="1:10" x14ac:dyDescent="0.35">
      <c r="A1529">
        <v>328196</v>
      </c>
      <c r="B1529" t="s">
        <v>20</v>
      </c>
      <c r="C1529">
        <v>2015</v>
      </c>
      <c r="D1529">
        <v>6</v>
      </c>
      <c r="E1529" t="s">
        <v>43</v>
      </c>
      <c r="F1529" t="s">
        <v>5</v>
      </c>
      <c r="G1529" t="s">
        <v>5</v>
      </c>
      <c r="H1529">
        <v>24523.46</v>
      </c>
      <c r="I1529">
        <v>7220.49</v>
      </c>
      <c r="J1529">
        <v>0</v>
      </c>
    </row>
    <row r="1530" spans="1:10" x14ac:dyDescent="0.35">
      <c r="A1530">
        <v>328198</v>
      </c>
      <c r="B1530" t="s">
        <v>20</v>
      </c>
      <c r="C1530">
        <v>2015</v>
      </c>
      <c r="D1530">
        <v>6</v>
      </c>
      <c r="E1530" t="s">
        <v>43</v>
      </c>
      <c r="F1530" t="s">
        <v>5</v>
      </c>
      <c r="G1530" t="s">
        <v>5</v>
      </c>
      <c r="H1530">
        <v>23581.52</v>
      </c>
      <c r="I1530">
        <v>8317.06</v>
      </c>
      <c r="J1530">
        <v>0</v>
      </c>
    </row>
    <row r="1531" spans="1:10" x14ac:dyDescent="0.35">
      <c r="A1531">
        <v>328209</v>
      </c>
      <c r="B1531" t="s">
        <v>20</v>
      </c>
      <c r="C1531">
        <v>2015</v>
      </c>
      <c r="D1531">
        <v>6</v>
      </c>
      <c r="E1531" t="s">
        <v>43</v>
      </c>
      <c r="F1531" t="s">
        <v>5</v>
      </c>
      <c r="G1531" t="s">
        <v>5</v>
      </c>
      <c r="H1531">
        <v>40075.599999999999</v>
      </c>
      <c r="I1531">
        <v>16559.89</v>
      </c>
      <c r="J1531">
        <v>0</v>
      </c>
    </row>
    <row r="1532" spans="1:10" x14ac:dyDescent="0.35">
      <c r="A1532">
        <v>328270</v>
      </c>
      <c r="B1532" t="s">
        <v>20</v>
      </c>
      <c r="C1532">
        <v>2015</v>
      </c>
      <c r="D1532">
        <v>9</v>
      </c>
      <c r="E1532" t="s">
        <v>42</v>
      </c>
      <c r="F1532" t="s">
        <v>5</v>
      </c>
      <c r="G1532" t="s">
        <v>5</v>
      </c>
      <c r="H1532">
        <v>15732.36</v>
      </c>
      <c r="I1532">
        <v>5709.46</v>
      </c>
      <c r="J1532">
        <v>0</v>
      </c>
    </row>
    <row r="1533" spans="1:10" x14ac:dyDescent="0.35">
      <c r="A1533">
        <v>328336</v>
      </c>
      <c r="B1533" t="s">
        <v>20</v>
      </c>
      <c r="C1533">
        <v>2015</v>
      </c>
      <c r="D1533">
        <v>9</v>
      </c>
      <c r="E1533" t="s">
        <v>42</v>
      </c>
      <c r="F1533" t="s">
        <v>5</v>
      </c>
      <c r="G1533" t="s">
        <v>5</v>
      </c>
      <c r="H1533">
        <v>70924.479999999996</v>
      </c>
      <c r="I1533">
        <v>23573.040000000001</v>
      </c>
      <c r="J1533">
        <v>0</v>
      </c>
    </row>
    <row r="1534" spans="1:10" x14ac:dyDescent="0.35">
      <c r="A1534">
        <v>328363</v>
      </c>
      <c r="B1534" t="s">
        <v>20</v>
      </c>
      <c r="C1534">
        <v>2015</v>
      </c>
      <c r="D1534">
        <v>6</v>
      </c>
      <c r="E1534" t="s">
        <v>43</v>
      </c>
      <c r="F1534" t="s">
        <v>5</v>
      </c>
      <c r="G1534" t="s">
        <v>5</v>
      </c>
      <c r="H1534">
        <v>21226.400000000001</v>
      </c>
      <c r="I1534">
        <v>11113.43</v>
      </c>
      <c r="J1534">
        <v>0</v>
      </c>
    </row>
    <row r="1535" spans="1:10" x14ac:dyDescent="0.35">
      <c r="A1535">
        <v>328366</v>
      </c>
      <c r="B1535" t="s">
        <v>20</v>
      </c>
      <c r="C1535">
        <v>2015</v>
      </c>
      <c r="D1535">
        <v>9</v>
      </c>
      <c r="E1535" t="s">
        <v>42</v>
      </c>
      <c r="F1535" t="s">
        <v>5</v>
      </c>
      <c r="G1535" t="s">
        <v>5</v>
      </c>
      <c r="H1535">
        <v>9629.4</v>
      </c>
      <c r="I1535">
        <v>2576.56</v>
      </c>
      <c r="J1535">
        <v>0</v>
      </c>
    </row>
    <row r="1536" spans="1:10" x14ac:dyDescent="0.35">
      <c r="A1536">
        <v>328386</v>
      </c>
      <c r="B1536" t="s">
        <v>20</v>
      </c>
      <c r="C1536">
        <v>2015</v>
      </c>
      <c r="D1536">
        <v>6</v>
      </c>
      <c r="E1536" t="s">
        <v>43</v>
      </c>
      <c r="F1536" t="s">
        <v>5</v>
      </c>
      <c r="G1536" t="s">
        <v>5</v>
      </c>
      <c r="H1536">
        <v>5713.58</v>
      </c>
      <c r="I1536">
        <v>1994.41</v>
      </c>
      <c r="J1536">
        <v>0</v>
      </c>
    </row>
    <row r="1537" spans="1:10" x14ac:dyDescent="0.35">
      <c r="A1537">
        <v>328424</v>
      </c>
      <c r="B1537" t="s">
        <v>20</v>
      </c>
      <c r="C1537">
        <v>2015</v>
      </c>
      <c r="D1537">
        <v>6</v>
      </c>
      <c r="E1537" t="s">
        <v>43</v>
      </c>
      <c r="F1537" t="s">
        <v>5</v>
      </c>
      <c r="G1537" t="s">
        <v>5</v>
      </c>
      <c r="H1537">
        <v>38284.720000000001</v>
      </c>
      <c r="I1537">
        <v>27609.73</v>
      </c>
      <c r="J1537">
        <v>0</v>
      </c>
    </row>
    <row r="1538" spans="1:10" x14ac:dyDescent="0.35">
      <c r="A1538">
        <v>328442</v>
      </c>
      <c r="B1538" t="s">
        <v>20</v>
      </c>
      <c r="C1538">
        <v>2015</v>
      </c>
      <c r="D1538">
        <v>6</v>
      </c>
      <c r="E1538" t="s">
        <v>43</v>
      </c>
      <c r="F1538" t="s">
        <v>5</v>
      </c>
      <c r="G1538" t="s">
        <v>5</v>
      </c>
      <c r="H1538">
        <v>26898.9</v>
      </c>
      <c r="I1538">
        <v>7448.97</v>
      </c>
      <c r="J1538">
        <v>0</v>
      </c>
    </row>
    <row r="1539" spans="1:10" x14ac:dyDescent="0.35">
      <c r="A1539">
        <v>328455</v>
      </c>
      <c r="B1539" t="s">
        <v>20</v>
      </c>
      <c r="C1539">
        <v>2015</v>
      </c>
      <c r="D1539">
        <v>6</v>
      </c>
      <c r="E1539" t="s">
        <v>43</v>
      </c>
      <c r="F1539" t="s">
        <v>5</v>
      </c>
      <c r="G1539" t="s">
        <v>5</v>
      </c>
      <c r="H1539">
        <v>25621.74</v>
      </c>
      <c r="I1539">
        <v>13811.26</v>
      </c>
      <c r="J1539">
        <v>0</v>
      </c>
    </row>
    <row r="1540" spans="1:10" x14ac:dyDescent="0.35">
      <c r="A1540">
        <v>328462</v>
      </c>
      <c r="B1540" t="s">
        <v>20</v>
      </c>
      <c r="C1540">
        <v>2015</v>
      </c>
      <c r="D1540">
        <v>6</v>
      </c>
      <c r="E1540" t="s">
        <v>43</v>
      </c>
      <c r="F1540" t="s">
        <v>5</v>
      </c>
      <c r="G1540" t="s">
        <v>5</v>
      </c>
      <c r="H1540">
        <v>26511.599999999999</v>
      </c>
      <c r="I1540">
        <v>16036.32</v>
      </c>
      <c r="J1540">
        <v>0</v>
      </c>
    </row>
    <row r="1541" spans="1:10" x14ac:dyDescent="0.35">
      <c r="A1541">
        <v>328468</v>
      </c>
      <c r="B1541" t="s">
        <v>20</v>
      </c>
      <c r="C1541">
        <v>2015</v>
      </c>
      <c r="D1541">
        <v>9</v>
      </c>
      <c r="E1541" t="s">
        <v>42</v>
      </c>
      <c r="F1541" t="s">
        <v>5</v>
      </c>
      <c r="G1541" t="s">
        <v>5</v>
      </c>
      <c r="H1541">
        <v>15390.86</v>
      </c>
      <c r="I1541">
        <v>3113.92</v>
      </c>
      <c r="J1541">
        <v>0</v>
      </c>
    </row>
    <row r="1542" spans="1:10" x14ac:dyDescent="0.35">
      <c r="A1542">
        <v>328472</v>
      </c>
      <c r="B1542" t="s">
        <v>20</v>
      </c>
      <c r="C1542">
        <v>2015</v>
      </c>
      <c r="D1542">
        <v>6</v>
      </c>
      <c r="E1542" t="s">
        <v>43</v>
      </c>
      <c r="F1542" t="s">
        <v>5</v>
      </c>
      <c r="G1542" t="s">
        <v>5</v>
      </c>
      <c r="H1542">
        <v>22084.86</v>
      </c>
      <c r="I1542">
        <v>3681.6</v>
      </c>
      <c r="J1542">
        <v>0</v>
      </c>
    </row>
    <row r="1543" spans="1:10" x14ac:dyDescent="0.35">
      <c r="A1543">
        <v>328511</v>
      </c>
      <c r="B1543" t="s">
        <v>20</v>
      </c>
      <c r="C1543">
        <v>2015</v>
      </c>
      <c r="D1543">
        <v>9</v>
      </c>
      <c r="E1543" t="s">
        <v>42</v>
      </c>
      <c r="F1543" t="s">
        <v>5</v>
      </c>
      <c r="G1543" t="s">
        <v>5</v>
      </c>
      <c r="H1543">
        <v>40595.699999999997</v>
      </c>
      <c r="I1543">
        <v>11932.97</v>
      </c>
      <c r="J1543">
        <v>0</v>
      </c>
    </row>
    <row r="1544" spans="1:10" x14ac:dyDescent="0.35">
      <c r="A1544">
        <v>328516</v>
      </c>
      <c r="B1544" t="s">
        <v>20</v>
      </c>
      <c r="C1544">
        <v>2015</v>
      </c>
      <c r="D1544">
        <v>6</v>
      </c>
      <c r="E1544" t="s">
        <v>43</v>
      </c>
      <c r="F1544" t="s">
        <v>5</v>
      </c>
      <c r="G1544" t="s">
        <v>5</v>
      </c>
      <c r="H1544">
        <v>42694.239999999998</v>
      </c>
      <c r="I1544">
        <v>20849.189999999999</v>
      </c>
      <c r="J1544">
        <v>0</v>
      </c>
    </row>
    <row r="1545" spans="1:10" x14ac:dyDescent="0.35">
      <c r="A1545">
        <v>328549</v>
      </c>
      <c r="B1545" t="s">
        <v>20</v>
      </c>
      <c r="C1545">
        <v>2015</v>
      </c>
      <c r="D1545">
        <v>6</v>
      </c>
      <c r="E1545" t="s">
        <v>43</v>
      </c>
      <c r="F1545" t="s">
        <v>5</v>
      </c>
      <c r="G1545" t="s">
        <v>5</v>
      </c>
      <c r="H1545">
        <v>13100.7</v>
      </c>
      <c r="I1545">
        <v>2842.43</v>
      </c>
      <c r="J1545">
        <v>0</v>
      </c>
    </row>
    <row r="1546" spans="1:10" x14ac:dyDescent="0.35">
      <c r="A1546">
        <v>328550</v>
      </c>
      <c r="B1546" t="s">
        <v>20</v>
      </c>
      <c r="C1546">
        <v>2015</v>
      </c>
      <c r="D1546">
        <v>6</v>
      </c>
      <c r="E1546" t="s">
        <v>43</v>
      </c>
      <c r="F1546" t="s">
        <v>5</v>
      </c>
      <c r="G1546" t="s">
        <v>5</v>
      </c>
      <c r="H1546">
        <v>22528.7</v>
      </c>
      <c r="I1546">
        <v>9296.61</v>
      </c>
      <c r="J1546">
        <v>0</v>
      </c>
    </row>
    <row r="1547" spans="1:10" x14ac:dyDescent="0.35">
      <c r="A1547">
        <v>328600</v>
      </c>
      <c r="B1547" t="s">
        <v>20</v>
      </c>
      <c r="C1547">
        <v>2015</v>
      </c>
      <c r="D1547">
        <v>9</v>
      </c>
      <c r="E1547" t="s">
        <v>42</v>
      </c>
      <c r="F1547" t="s">
        <v>5</v>
      </c>
      <c r="G1547" t="s">
        <v>5</v>
      </c>
      <c r="H1547">
        <v>35169.519999999997</v>
      </c>
      <c r="I1547">
        <v>9727.77</v>
      </c>
      <c r="J1547">
        <v>0</v>
      </c>
    </row>
    <row r="1548" spans="1:10" x14ac:dyDescent="0.35">
      <c r="A1548">
        <v>328616</v>
      </c>
      <c r="B1548" t="s">
        <v>20</v>
      </c>
      <c r="C1548">
        <v>2015</v>
      </c>
      <c r="D1548">
        <v>9</v>
      </c>
      <c r="E1548" t="s">
        <v>42</v>
      </c>
      <c r="F1548" t="s">
        <v>5</v>
      </c>
      <c r="G1548" t="s">
        <v>5</v>
      </c>
      <c r="H1548">
        <v>31427.759999999998</v>
      </c>
      <c r="I1548">
        <v>8091.38</v>
      </c>
      <c r="J1548">
        <v>0</v>
      </c>
    </row>
    <row r="1549" spans="1:10" x14ac:dyDescent="0.35">
      <c r="A1549">
        <v>328636</v>
      </c>
      <c r="B1549" t="s">
        <v>20</v>
      </c>
      <c r="C1549">
        <v>2015</v>
      </c>
      <c r="D1549">
        <v>6</v>
      </c>
      <c r="E1549" t="s">
        <v>43</v>
      </c>
      <c r="F1549" t="s">
        <v>5</v>
      </c>
      <c r="G1549" t="s">
        <v>5</v>
      </c>
      <c r="H1549">
        <v>14894.04</v>
      </c>
      <c r="I1549">
        <v>4279.6000000000004</v>
      </c>
      <c r="J1549">
        <v>0</v>
      </c>
    </row>
    <row r="1550" spans="1:10" x14ac:dyDescent="0.35">
      <c r="A1550">
        <v>328652</v>
      </c>
      <c r="B1550" t="s">
        <v>20</v>
      </c>
      <c r="C1550">
        <v>2015</v>
      </c>
      <c r="D1550">
        <v>6</v>
      </c>
      <c r="E1550" t="s">
        <v>43</v>
      </c>
      <c r="F1550" t="s">
        <v>5</v>
      </c>
      <c r="G1550" t="s">
        <v>5</v>
      </c>
      <c r="H1550">
        <v>18922.919999999998</v>
      </c>
      <c r="I1550">
        <v>2923.05</v>
      </c>
      <c r="J1550">
        <v>0</v>
      </c>
    </row>
    <row r="1551" spans="1:10" x14ac:dyDescent="0.35">
      <c r="A1551">
        <v>328666</v>
      </c>
      <c r="B1551" t="s">
        <v>20</v>
      </c>
      <c r="C1551">
        <v>2015</v>
      </c>
      <c r="D1551">
        <v>9</v>
      </c>
      <c r="E1551" t="s">
        <v>42</v>
      </c>
      <c r="F1551" t="s">
        <v>5</v>
      </c>
      <c r="G1551" t="s">
        <v>5</v>
      </c>
      <c r="H1551">
        <v>24053.4</v>
      </c>
      <c r="I1551">
        <v>6563.71</v>
      </c>
      <c r="J1551">
        <v>0</v>
      </c>
    </row>
    <row r="1552" spans="1:10" x14ac:dyDescent="0.35">
      <c r="A1552">
        <v>328695</v>
      </c>
      <c r="B1552" t="s">
        <v>20</v>
      </c>
      <c r="C1552">
        <v>2015</v>
      </c>
      <c r="D1552">
        <v>6</v>
      </c>
      <c r="E1552" t="s">
        <v>43</v>
      </c>
      <c r="F1552" t="s">
        <v>5</v>
      </c>
      <c r="G1552" t="s">
        <v>5</v>
      </c>
      <c r="H1552">
        <v>25478.48</v>
      </c>
      <c r="I1552">
        <v>11144.3</v>
      </c>
      <c r="J1552">
        <v>0</v>
      </c>
    </row>
    <row r="1553" spans="1:10" x14ac:dyDescent="0.35">
      <c r="A1553">
        <v>328703</v>
      </c>
      <c r="B1553" t="s">
        <v>20</v>
      </c>
      <c r="C1553">
        <v>2015</v>
      </c>
      <c r="D1553">
        <v>9</v>
      </c>
      <c r="E1553" t="s">
        <v>42</v>
      </c>
      <c r="F1553" t="s">
        <v>5</v>
      </c>
      <c r="G1553" t="s">
        <v>5</v>
      </c>
      <c r="H1553">
        <v>20855.7</v>
      </c>
      <c r="I1553">
        <v>6337.36</v>
      </c>
      <c r="J1553">
        <v>0</v>
      </c>
    </row>
    <row r="1554" spans="1:10" x14ac:dyDescent="0.35">
      <c r="A1554">
        <v>328728</v>
      </c>
      <c r="B1554" t="s">
        <v>20</v>
      </c>
      <c r="C1554">
        <v>2015</v>
      </c>
      <c r="D1554">
        <v>9</v>
      </c>
      <c r="E1554" t="s">
        <v>42</v>
      </c>
      <c r="F1554" t="s">
        <v>5</v>
      </c>
      <c r="G1554" t="s">
        <v>5</v>
      </c>
      <c r="H1554">
        <v>21301.439999999999</v>
      </c>
      <c r="I1554">
        <v>4975.57</v>
      </c>
      <c r="J1554">
        <v>0</v>
      </c>
    </row>
    <row r="1555" spans="1:10" x14ac:dyDescent="0.35">
      <c r="A1555">
        <v>328765</v>
      </c>
      <c r="B1555" t="s">
        <v>20</v>
      </c>
      <c r="C1555">
        <v>2015</v>
      </c>
      <c r="D1555">
        <v>6</v>
      </c>
      <c r="E1555" t="s">
        <v>43</v>
      </c>
      <c r="F1555" t="s">
        <v>5</v>
      </c>
      <c r="G1555" t="s">
        <v>5</v>
      </c>
      <c r="H1555">
        <v>25013.82</v>
      </c>
      <c r="I1555">
        <v>6649.27</v>
      </c>
      <c r="J1555">
        <v>0</v>
      </c>
    </row>
    <row r="1556" spans="1:10" x14ac:dyDescent="0.35">
      <c r="A1556">
        <v>328791</v>
      </c>
      <c r="B1556" t="s">
        <v>20</v>
      </c>
      <c r="C1556">
        <v>2015</v>
      </c>
      <c r="D1556">
        <v>6</v>
      </c>
      <c r="E1556" t="s">
        <v>43</v>
      </c>
      <c r="F1556" t="s">
        <v>5</v>
      </c>
      <c r="G1556" t="s">
        <v>5</v>
      </c>
      <c r="H1556">
        <v>23888.02</v>
      </c>
      <c r="I1556">
        <v>7562.82</v>
      </c>
      <c r="J1556">
        <v>0</v>
      </c>
    </row>
    <row r="1557" spans="1:10" x14ac:dyDescent="0.35">
      <c r="A1557">
        <v>328803</v>
      </c>
      <c r="B1557" t="s">
        <v>20</v>
      </c>
      <c r="C1557">
        <v>2015</v>
      </c>
      <c r="D1557">
        <v>9</v>
      </c>
      <c r="E1557" t="s">
        <v>42</v>
      </c>
      <c r="F1557" t="s">
        <v>5</v>
      </c>
      <c r="G1557" t="s">
        <v>5</v>
      </c>
      <c r="H1557">
        <v>16269.48</v>
      </c>
      <c r="I1557">
        <v>4156.8599999999997</v>
      </c>
      <c r="J1557">
        <v>0</v>
      </c>
    </row>
    <row r="1558" spans="1:10" x14ac:dyDescent="0.35">
      <c r="A1558">
        <v>328881</v>
      </c>
      <c r="B1558" t="s">
        <v>20</v>
      </c>
      <c r="C1558">
        <v>2015</v>
      </c>
      <c r="D1558">
        <v>9</v>
      </c>
      <c r="E1558" t="s">
        <v>42</v>
      </c>
      <c r="F1558" t="s">
        <v>5</v>
      </c>
      <c r="G1558" t="s">
        <v>5</v>
      </c>
      <c r="H1558">
        <v>19291.919999999998</v>
      </c>
      <c r="I1558">
        <v>4714.88</v>
      </c>
      <c r="J1558">
        <v>0</v>
      </c>
    </row>
    <row r="1559" spans="1:10" x14ac:dyDescent="0.35">
      <c r="A1559">
        <v>328893</v>
      </c>
      <c r="B1559" t="s">
        <v>20</v>
      </c>
      <c r="C1559">
        <v>2015</v>
      </c>
      <c r="D1559">
        <v>6</v>
      </c>
      <c r="E1559" t="s">
        <v>43</v>
      </c>
      <c r="F1559" t="s">
        <v>5</v>
      </c>
      <c r="G1559" t="s">
        <v>5</v>
      </c>
      <c r="H1559">
        <v>54260.3</v>
      </c>
      <c r="I1559">
        <v>15079.86</v>
      </c>
      <c r="J1559">
        <v>0</v>
      </c>
    </row>
    <row r="1560" spans="1:10" x14ac:dyDescent="0.35">
      <c r="A1560">
        <v>328896</v>
      </c>
      <c r="B1560" t="s">
        <v>20</v>
      </c>
      <c r="C1560">
        <v>2015</v>
      </c>
      <c r="D1560">
        <v>6</v>
      </c>
      <c r="E1560" t="s">
        <v>43</v>
      </c>
      <c r="F1560" t="s">
        <v>5</v>
      </c>
      <c r="G1560" t="s">
        <v>5</v>
      </c>
      <c r="H1560">
        <v>50535.78</v>
      </c>
      <c r="I1560">
        <v>28690.880000000001</v>
      </c>
      <c r="J1560">
        <v>0</v>
      </c>
    </row>
    <row r="1561" spans="1:10" x14ac:dyDescent="0.35">
      <c r="A1561">
        <v>328908</v>
      </c>
      <c r="B1561" t="s">
        <v>20</v>
      </c>
      <c r="C1561">
        <v>2015</v>
      </c>
      <c r="D1561">
        <v>6</v>
      </c>
      <c r="E1561" t="s">
        <v>43</v>
      </c>
      <c r="F1561" t="s">
        <v>5</v>
      </c>
      <c r="G1561" t="s">
        <v>5</v>
      </c>
      <c r="H1561">
        <v>22678.74</v>
      </c>
      <c r="I1561">
        <v>4555.47</v>
      </c>
      <c r="J1561">
        <v>0</v>
      </c>
    </row>
    <row r="1562" spans="1:10" x14ac:dyDescent="0.35">
      <c r="A1562">
        <v>328919</v>
      </c>
      <c r="B1562" t="s">
        <v>20</v>
      </c>
      <c r="C1562">
        <v>2015</v>
      </c>
      <c r="D1562">
        <v>6</v>
      </c>
      <c r="E1562" t="s">
        <v>43</v>
      </c>
      <c r="F1562" t="s">
        <v>5</v>
      </c>
      <c r="G1562" t="s">
        <v>5</v>
      </c>
      <c r="H1562">
        <v>82479.759999999995</v>
      </c>
      <c r="I1562">
        <v>33687.919999999998</v>
      </c>
      <c r="J1562">
        <v>0</v>
      </c>
    </row>
    <row r="1563" spans="1:10" x14ac:dyDescent="0.35">
      <c r="A1563">
        <v>328927</v>
      </c>
      <c r="B1563" t="s">
        <v>20</v>
      </c>
      <c r="C1563">
        <v>2015</v>
      </c>
      <c r="D1563">
        <v>9</v>
      </c>
      <c r="E1563" t="s">
        <v>42</v>
      </c>
      <c r="F1563" t="s">
        <v>5</v>
      </c>
      <c r="G1563" t="s">
        <v>5</v>
      </c>
      <c r="H1563">
        <v>52989.94</v>
      </c>
      <c r="I1563">
        <v>22356.03</v>
      </c>
      <c r="J1563">
        <v>0</v>
      </c>
    </row>
    <row r="1564" spans="1:10" x14ac:dyDescent="0.35">
      <c r="A1564">
        <v>328942</v>
      </c>
      <c r="B1564" t="s">
        <v>20</v>
      </c>
      <c r="C1564">
        <v>2015</v>
      </c>
      <c r="D1564">
        <v>6</v>
      </c>
      <c r="E1564" t="s">
        <v>43</v>
      </c>
      <c r="F1564" t="s">
        <v>5</v>
      </c>
      <c r="G1564" t="s">
        <v>5</v>
      </c>
      <c r="H1564">
        <v>35728.080000000002</v>
      </c>
      <c r="I1564">
        <v>21238.99</v>
      </c>
      <c r="J1564">
        <v>0</v>
      </c>
    </row>
    <row r="1565" spans="1:10" x14ac:dyDescent="0.35">
      <c r="A1565">
        <v>328948</v>
      </c>
      <c r="B1565" t="s">
        <v>20</v>
      </c>
      <c r="C1565">
        <v>2015</v>
      </c>
      <c r="D1565">
        <v>9</v>
      </c>
      <c r="E1565" t="s">
        <v>42</v>
      </c>
      <c r="F1565" t="s">
        <v>5</v>
      </c>
      <c r="G1565" t="s">
        <v>5</v>
      </c>
      <c r="H1565">
        <v>23320.82</v>
      </c>
      <c r="I1565">
        <v>9077.6299999999992</v>
      </c>
      <c r="J1565">
        <v>0</v>
      </c>
    </row>
    <row r="1566" spans="1:10" x14ac:dyDescent="0.35">
      <c r="A1566">
        <v>328957</v>
      </c>
      <c r="B1566" t="s">
        <v>20</v>
      </c>
      <c r="C1566">
        <v>2015</v>
      </c>
      <c r="D1566">
        <v>9</v>
      </c>
      <c r="E1566" t="s">
        <v>42</v>
      </c>
      <c r="F1566" t="s">
        <v>5</v>
      </c>
      <c r="G1566" t="s">
        <v>5</v>
      </c>
      <c r="H1566">
        <v>73842.44</v>
      </c>
      <c r="I1566">
        <v>36167.93</v>
      </c>
      <c r="J1566">
        <v>0</v>
      </c>
    </row>
    <row r="1567" spans="1:10" x14ac:dyDescent="0.35">
      <c r="A1567">
        <v>328976</v>
      </c>
      <c r="B1567" t="s">
        <v>20</v>
      </c>
      <c r="C1567">
        <v>2015</v>
      </c>
      <c r="D1567">
        <v>6</v>
      </c>
      <c r="E1567" t="s">
        <v>43</v>
      </c>
      <c r="F1567" t="s">
        <v>5</v>
      </c>
      <c r="G1567" t="s">
        <v>5</v>
      </c>
      <c r="H1567">
        <v>9478.16</v>
      </c>
      <c r="I1567">
        <v>2570.15</v>
      </c>
      <c r="J1567">
        <v>0</v>
      </c>
    </row>
    <row r="1568" spans="1:10" x14ac:dyDescent="0.35">
      <c r="A1568">
        <v>328998</v>
      </c>
      <c r="B1568" t="s">
        <v>20</v>
      </c>
      <c r="C1568">
        <v>2015</v>
      </c>
      <c r="D1568">
        <v>9</v>
      </c>
      <c r="E1568" t="s">
        <v>42</v>
      </c>
      <c r="F1568" t="s">
        <v>5</v>
      </c>
      <c r="G1568" t="s">
        <v>5</v>
      </c>
      <c r="H1568">
        <v>36919.379999999997</v>
      </c>
      <c r="I1568">
        <v>10579.66</v>
      </c>
      <c r="J1568">
        <v>0</v>
      </c>
    </row>
    <row r="1569" spans="1:10" x14ac:dyDescent="0.35">
      <c r="A1569">
        <v>329064</v>
      </c>
      <c r="B1569" t="s">
        <v>20</v>
      </c>
      <c r="C1569">
        <v>2015</v>
      </c>
      <c r="D1569">
        <v>9</v>
      </c>
      <c r="E1569" t="s">
        <v>42</v>
      </c>
      <c r="F1569" t="s">
        <v>5</v>
      </c>
      <c r="G1569" t="s">
        <v>5</v>
      </c>
      <c r="H1569">
        <v>13541.82</v>
      </c>
      <c r="I1569">
        <v>4071.97</v>
      </c>
      <c r="J1569">
        <v>0</v>
      </c>
    </row>
    <row r="1570" spans="1:10" x14ac:dyDescent="0.35">
      <c r="A1570">
        <v>329153</v>
      </c>
      <c r="B1570" t="s">
        <v>20</v>
      </c>
      <c r="C1570">
        <v>2015</v>
      </c>
      <c r="D1570">
        <v>6</v>
      </c>
      <c r="E1570" t="s">
        <v>43</v>
      </c>
      <c r="F1570" t="s">
        <v>5</v>
      </c>
      <c r="G1570" t="s">
        <v>5</v>
      </c>
      <c r="H1570">
        <v>28470.16</v>
      </c>
      <c r="I1570">
        <v>5272.81</v>
      </c>
      <c r="J1570">
        <v>0</v>
      </c>
    </row>
    <row r="1571" spans="1:10" x14ac:dyDescent="0.35">
      <c r="A1571">
        <v>329182</v>
      </c>
      <c r="B1571" t="s">
        <v>20</v>
      </c>
      <c r="C1571">
        <v>2015</v>
      </c>
      <c r="D1571">
        <v>6</v>
      </c>
      <c r="E1571" t="s">
        <v>43</v>
      </c>
      <c r="F1571" t="s">
        <v>5</v>
      </c>
      <c r="G1571" t="s">
        <v>5</v>
      </c>
      <c r="H1571">
        <v>11664.74</v>
      </c>
      <c r="I1571">
        <v>2617.4499999999998</v>
      </c>
      <c r="J1571">
        <v>0</v>
      </c>
    </row>
    <row r="1572" spans="1:10" x14ac:dyDescent="0.35">
      <c r="A1572">
        <v>329219</v>
      </c>
      <c r="B1572" t="s">
        <v>20</v>
      </c>
      <c r="C1572">
        <v>2015</v>
      </c>
      <c r="D1572">
        <v>6</v>
      </c>
      <c r="E1572" t="s">
        <v>43</v>
      </c>
      <c r="F1572" t="s">
        <v>5</v>
      </c>
      <c r="G1572" t="s">
        <v>5</v>
      </c>
      <c r="H1572">
        <v>30608.34</v>
      </c>
      <c r="I1572">
        <v>10336.129999999999</v>
      </c>
      <c r="J1572">
        <v>0</v>
      </c>
    </row>
    <row r="1573" spans="1:10" x14ac:dyDescent="0.35">
      <c r="A1573">
        <v>329238</v>
      </c>
      <c r="B1573" t="s">
        <v>20</v>
      </c>
      <c r="C1573">
        <v>2015</v>
      </c>
      <c r="D1573">
        <v>9</v>
      </c>
      <c r="E1573" t="s">
        <v>42</v>
      </c>
      <c r="F1573" t="s">
        <v>5</v>
      </c>
      <c r="G1573" t="s">
        <v>5</v>
      </c>
      <c r="H1573">
        <v>14586.7</v>
      </c>
      <c r="I1573">
        <v>3219.67</v>
      </c>
      <c r="J1573">
        <v>0</v>
      </c>
    </row>
    <row r="1574" spans="1:10" x14ac:dyDescent="0.35">
      <c r="A1574">
        <v>329252</v>
      </c>
      <c r="B1574" t="s">
        <v>20</v>
      </c>
      <c r="C1574">
        <v>2015</v>
      </c>
      <c r="D1574">
        <v>6</v>
      </c>
      <c r="E1574" t="s">
        <v>43</v>
      </c>
      <c r="F1574" t="s">
        <v>5</v>
      </c>
      <c r="G1574" t="s">
        <v>5</v>
      </c>
      <c r="H1574">
        <v>14339.24</v>
      </c>
      <c r="I1574">
        <v>3151.23</v>
      </c>
      <c r="J1574">
        <v>0</v>
      </c>
    </row>
    <row r="1575" spans="1:10" x14ac:dyDescent="0.35">
      <c r="A1575">
        <v>329369</v>
      </c>
      <c r="B1575" t="s">
        <v>20</v>
      </c>
      <c r="C1575">
        <v>2015</v>
      </c>
      <c r="D1575">
        <v>9</v>
      </c>
      <c r="E1575" t="s">
        <v>42</v>
      </c>
      <c r="F1575" t="s">
        <v>5</v>
      </c>
      <c r="G1575" t="s">
        <v>5</v>
      </c>
      <c r="H1575">
        <v>26230.2</v>
      </c>
      <c r="I1575">
        <v>10651.48</v>
      </c>
      <c r="J1575">
        <v>0</v>
      </c>
    </row>
    <row r="1576" spans="1:10" x14ac:dyDescent="0.35">
      <c r="A1576">
        <v>329443</v>
      </c>
      <c r="B1576" t="s">
        <v>20</v>
      </c>
      <c r="C1576">
        <v>2015</v>
      </c>
      <c r="D1576">
        <v>6</v>
      </c>
      <c r="E1576" t="s">
        <v>43</v>
      </c>
      <c r="F1576" t="s">
        <v>5</v>
      </c>
      <c r="G1576" t="s">
        <v>5</v>
      </c>
      <c r="H1576">
        <v>21783.84</v>
      </c>
      <c r="I1576">
        <v>9047.5300000000007</v>
      </c>
      <c r="J1576">
        <v>0</v>
      </c>
    </row>
    <row r="1577" spans="1:10" x14ac:dyDescent="0.35">
      <c r="A1577">
        <v>329526</v>
      </c>
      <c r="B1577" t="s">
        <v>20</v>
      </c>
      <c r="C1577">
        <v>2015</v>
      </c>
      <c r="D1577">
        <v>6</v>
      </c>
      <c r="E1577" t="s">
        <v>43</v>
      </c>
      <c r="F1577" t="s">
        <v>5</v>
      </c>
      <c r="G1577" t="s">
        <v>5</v>
      </c>
      <c r="H1577">
        <v>26327.94</v>
      </c>
      <c r="I1577">
        <v>13458.98</v>
      </c>
      <c r="J1577">
        <v>0</v>
      </c>
    </row>
    <row r="1578" spans="1:10" x14ac:dyDescent="0.35">
      <c r="A1578">
        <v>269472</v>
      </c>
      <c r="B1578" t="s">
        <v>20</v>
      </c>
      <c r="C1578">
        <v>2015</v>
      </c>
      <c r="D1578">
        <v>4</v>
      </c>
      <c r="E1578" t="s">
        <v>6</v>
      </c>
      <c r="F1578" t="s">
        <v>6</v>
      </c>
      <c r="G1578" t="s">
        <v>6</v>
      </c>
      <c r="H1578">
        <v>16675.259999999998</v>
      </c>
      <c r="I1578">
        <v>5095.8500000000004</v>
      </c>
      <c r="J1578">
        <v>0</v>
      </c>
    </row>
    <row r="1579" spans="1:10" x14ac:dyDescent="0.35">
      <c r="A1579">
        <v>297054</v>
      </c>
      <c r="B1579" t="s">
        <v>20</v>
      </c>
      <c r="C1579">
        <v>2015</v>
      </c>
      <c r="D1579">
        <v>4</v>
      </c>
      <c r="E1579" t="s">
        <v>6</v>
      </c>
      <c r="F1579" t="s">
        <v>6</v>
      </c>
      <c r="G1579" t="s">
        <v>6</v>
      </c>
      <c r="H1579">
        <v>16607.52</v>
      </c>
      <c r="I1579">
        <v>3115.01</v>
      </c>
      <c r="J1579">
        <v>0</v>
      </c>
    </row>
    <row r="1580" spans="1:10" x14ac:dyDescent="0.35">
      <c r="A1580">
        <v>297665</v>
      </c>
      <c r="B1580" t="s">
        <v>20</v>
      </c>
      <c r="C1580">
        <v>2015</v>
      </c>
      <c r="D1580">
        <v>4</v>
      </c>
      <c r="E1580" t="s">
        <v>6</v>
      </c>
      <c r="F1580" t="s">
        <v>6</v>
      </c>
      <c r="G1580" t="s">
        <v>6</v>
      </c>
      <c r="H1580">
        <v>21928.82</v>
      </c>
      <c r="I1580">
        <v>5241.05</v>
      </c>
      <c r="J1580">
        <v>0</v>
      </c>
    </row>
    <row r="1581" spans="1:10" x14ac:dyDescent="0.35">
      <c r="A1581">
        <v>298481</v>
      </c>
      <c r="B1581" t="s">
        <v>20</v>
      </c>
      <c r="C1581">
        <v>2015</v>
      </c>
      <c r="D1581">
        <v>4</v>
      </c>
      <c r="E1581" t="s">
        <v>6</v>
      </c>
      <c r="F1581" t="s">
        <v>6</v>
      </c>
      <c r="G1581" t="s">
        <v>6</v>
      </c>
      <c r="H1581">
        <v>18397.48</v>
      </c>
      <c r="I1581">
        <v>6379.26</v>
      </c>
      <c r="J1581">
        <v>0</v>
      </c>
    </row>
    <row r="1582" spans="1:10" x14ac:dyDescent="0.35">
      <c r="A1582">
        <v>298608</v>
      </c>
      <c r="B1582" t="s">
        <v>20</v>
      </c>
      <c r="C1582">
        <v>2015</v>
      </c>
      <c r="D1582">
        <v>4</v>
      </c>
      <c r="E1582" t="s">
        <v>6</v>
      </c>
      <c r="F1582" t="s">
        <v>6</v>
      </c>
      <c r="G1582" t="s">
        <v>6</v>
      </c>
      <c r="H1582">
        <v>9788.18</v>
      </c>
      <c r="I1582">
        <v>2855.82</v>
      </c>
      <c r="J1582">
        <v>0</v>
      </c>
    </row>
    <row r="1583" spans="1:10" x14ac:dyDescent="0.35">
      <c r="A1583">
        <v>299146</v>
      </c>
      <c r="B1583" t="s">
        <v>20</v>
      </c>
      <c r="C1583">
        <v>2015</v>
      </c>
      <c r="D1583">
        <v>4</v>
      </c>
      <c r="E1583" t="s">
        <v>6</v>
      </c>
      <c r="F1583" t="s">
        <v>6</v>
      </c>
      <c r="G1583" t="s">
        <v>6</v>
      </c>
      <c r="H1583">
        <v>13066.39</v>
      </c>
      <c r="I1583">
        <v>4940.63</v>
      </c>
      <c r="J1583">
        <v>0</v>
      </c>
    </row>
    <row r="1584" spans="1:10" x14ac:dyDescent="0.35">
      <c r="A1584">
        <v>317753</v>
      </c>
      <c r="B1584" t="s">
        <v>20</v>
      </c>
      <c r="C1584">
        <v>2015</v>
      </c>
      <c r="D1584">
        <v>4</v>
      </c>
      <c r="E1584" t="s">
        <v>6</v>
      </c>
      <c r="F1584" t="s">
        <v>6</v>
      </c>
      <c r="G1584" t="s">
        <v>6</v>
      </c>
      <c r="H1584">
        <v>3841.69</v>
      </c>
      <c r="I1584">
        <v>2262.4299999999998</v>
      </c>
      <c r="J1584">
        <v>0</v>
      </c>
    </row>
    <row r="1585" spans="1:10" x14ac:dyDescent="0.35">
      <c r="A1585">
        <v>317760</v>
      </c>
      <c r="B1585" t="s">
        <v>20</v>
      </c>
      <c r="C1585">
        <v>2015</v>
      </c>
      <c r="D1585">
        <v>4</v>
      </c>
      <c r="E1585" t="s">
        <v>6</v>
      </c>
      <c r="F1585" t="s">
        <v>6</v>
      </c>
      <c r="G1585" t="s">
        <v>6</v>
      </c>
      <c r="H1585">
        <v>35704.400000000001</v>
      </c>
      <c r="I1585">
        <v>11779.05</v>
      </c>
      <c r="J1585">
        <v>0</v>
      </c>
    </row>
    <row r="1586" spans="1:10" x14ac:dyDescent="0.35">
      <c r="A1586">
        <v>317859</v>
      </c>
      <c r="B1586" t="s">
        <v>20</v>
      </c>
      <c r="C1586">
        <v>2015</v>
      </c>
      <c r="D1586">
        <v>4</v>
      </c>
      <c r="E1586" t="s">
        <v>6</v>
      </c>
      <c r="F1586" t="s">
        <v>6</v>
      </c>
      <c r="G1586" t="s">
        <v>6</v>
      </c>
      <c r="H1586">
        <v>23678.400000000001</v>
      </c>
      <c r="I1586">
        <v>8392.6</v>
      </c>
      <c r="J1586">
        <v>0</v>
      </c>
    </row>
    <row r="1587" spans="1:10" x14ac:dyDescent="0.35">
      <c r="A1587">
        <v>317868</v>
      </c>
      <c r="B1587" t="s">
        <v>20</v>
      </c>
      <c r="C1587">
        <v>2015</v>
      </c>
      <c r="D1587">
        <v>4</v>
      </c>
      <c r="E1587" t="s">
        <v>6</v>
      </c>
      <c r="F1587" t="s">
        <v>6</v>
      </c>
      <c r="G1587" t="s">
        <v>6</v>
      </c>
      <c r="H1587">
        <v>66970.78</v>
      </c>
      <c r="I1587">
        <v>49129.3</v>
      </c>
      <c r="J1587">
        <v>0</v>
      </c>
    </row>
    <row r="1588" spans="1:10" x14ac:dyDescent="0.35">
      <c r="A1588">
        <v>317874</v>
      </c>
      <c r="B1588" t="s">
        <v>20</v>
      </c>
      <c r="C1588">
        <v>2015</v>
      </c>
      <c r="D1588">
        <v>4</v>
      </c>
      <c r="E1588" t="s">
        <v>6</v>
      </c>
      <c r="F1588" t="s">
        <v>6</v>
      </c>
      <c r="G1588" t="s">
        <v>6</v>
      </c>
      <c r="H1588">
        <v>4126.3900000000003</v>
      </c>
      <c r="I1588">
        <v>4776.5</v>
      </c>
      <c r="J1588">
        <v>1</v>
      </c>
    </row>
    <row r="1589" spans="1:10" x14ac:dyDescent="0.35">
      <c r="A1589">
        <v>317882</v>
      </c>
      <c r="B1589" t="s">
        <v>20</v>
      </c>
      <c r="C1589">
        <v>2015</v>
      </c>
      <c r="D1589">
        <v>4</v>
      </c>
      <c r="E1589" t="s">
        <v>6</v>
      </c>
      <c r="F1589" t="s">
        <v>6</v>
      </c>
      <c r="G1589" t="s">
        <v>6</v>
      </c>
      <c r="H1589">
        <v>6523.35</v>
      </c>
      <c r="I1589">
        <v>7869.25</v>
      </c>
      <c r="J1589">
        <v>1</v>
      </c>
    </row>
    <row r="1590" spans="1:10" x14ac:dyDescent="0.35">
      <c r="A1590">
        <v>317891</v>
      </c>
      <c r="B1590" t="s">
        <v>20</v>
      </c>
      <c r="C1590">
        <v>2015</v>
      </c>
      <c r="D1590">
        <v>4</v>
      </c>
      <c r="E1590" t="s">
        <v>6</v>
      </c>
      <c r="F1590" t="s">
        <v>6</v>
      </c>
      <c r="G1590" t="s">
        <v>6</v>
      </c>
      <c r="H1590">
        <v>6487.15</v>
      </c>
      <c r="I1590">
        <v>7860.28</v>
      </c>
      <c r="J1590">
        <v>1</v>
      </c>
    </row>
    <row r="1591" spans="1:10" x14ac:dyDescent="0.35">
      <c r="A1591">
        <v>317900</v>
      </c>
      <c r="B1591" t="s">
        <v>20</v>
      </c>
      <c r="C1591">
        <v>2015</v>
      </c>
      <c r="D1591">
        <v>4</v>
      </c>
      <c r="E1591" t="s">
        <v>6</v>
      </c>
      <c r="F1591" t="s">
        <v>6</v>
      </c>
      <c r="G1591" t="s">
        <v>6</v>
      </c>
      <c r="H1591">
        <v>7287.45</v>
      </c>
      <c r="I1591">
        <v>6881.89</v>
      </c>
      <c r="J1591">
        <v>0</v>
      </c>
    </row>
    <row r="1592" spans="1:10" x14ac:dyDescent="0.35">
      <c r="A1592">
        <v>317909</v>
      </c>
      <c r="B1592" t="s">
        <v>20</v>
      </c>
      <c r="C1592">
        <v>2015</v>
      </c>
      <c r="D1592">
        <v>4</v>
      </c>
      <c r="E1592" t="s">
        <v>6</v>
      </c>
      <c r="F1592" t="s">
        <v>6</v>
      </c>
      <c r="G1592" t="s">
        <v>6</v>
      </c>
      <c r="H1592">
        <v>6050.33</v>
      </c>
      <c r="I1592">
        <v>5323.45</v>
      </c>
      <c r="J1592">
        <v>0</v>
      </c>
    </row>
    <row r="1593" spans="1:10" x14ac:dyDescent="0.35">
      <c r="A1593">
        <v>317924</v>
      </c>
      <c r="B1593" t="s">
        <v>20</v>
      </c>
      <c r="C1593">
        <v>2015</v>
      </c>
      <c r="D1593">
        <v>4</v>
      </c>
      <c r="E1593" t="s">
        <v>6</v>
      </c>
      <c r="F1593" t="s">
        <v>6</v>
      </c>
      <c r="G1593" t="s">
        <v>6</v>
      </c>
      <c r="H1593">
        <v>4034.95</v>
      </c>
      <c r="I1593">
        <v>4750.41</v>
      </c>
      <c r="J1593">
        <v>1</v>
      </c>
    </row>
    <row r="1594" spans="1:10" x14ac:dyDescent="0.35">
      <c r="A1594">
        <v>317936</v>
      </c>
      <c r="B1594" t="s">
        <v>20</v>
      </c>
      <c r="C1594">
        <v>2015</v>
      </c>
      <c r="D1594">
        <v>4</v>
      </c>
      <c r="E1594" t="s">
        <v>6</v>
      </c>
      <c r="F1594" t="s">
        <v>6</v>
      </c>
      <c r="G1594" t="s">
        <v>6</v>
      </c>
      <c r="H1594">
        <v>3917.15</v>
      </c>
      <c r="I1594">
        <v>4717.9799999999996</v>
      </c>
      <c r="J1594">
        <v>1</v>
      </c>
    </row>
    <row r="1595" spans="1:10" x14ac:dyDescent="0.35">
      <c r="A1595">
        <v>317952</v>
      </c>
      <c r="B1595" t="s">
        <v>20</v>
      </c>
      <c r="C1595">
        <v>2015</v>
      </c>
      <c r="D1595">
        <v>4</v>
      </c>
      <c r="E1595" t="s">
        <v>6</v>
      </c>
      <c r="F1595" t="s">
        <v>6</v>
      </c>
      <c r="G1595" t="s">
        <v>6</v>
      </c>
      <c r="H1595">
        <v>5446.05</v>
      </c>
      <c r="I1595">
        <v>6350.4</v>
      </c>
      <c r="J1595">
        <v>1</v>
      </c>
    </row>
    <row r="1596" spans="1:10" x14ac:dyDescent="0.35">
      <c r="A1596">
        <v>317961</v>
      </c>
      <c r="B1596" t="s">
        <v>20</v>
      </c>
      <c r="C1596">
        <v>2015</v>
      </c>
      <c r="D1596">
        <v>4</v>
      </c>
      <c r="E1596" t="s">
        <v>6</v>
      </c>
      <c r="F1596" t="s">
        <v>6</v>
      </c>
      <c r="G1596" t="s">
        <v>6</v>
      </c>
      <c r="H1596">
        <v>23255</v>
      </c>
      <c r="I1596">
        <v>8149.63</v>
      </c>
      <c r="J1596">
        <v>0</v>
      </c>
    </row>
    <row r="1597" spans="1:10" x14ac:dyDescent="0.35">
      <c r="A1597">
        <v>317983</v>
      </c>
      <c r="B1597" t="s">
        <v>20</v>
      </c>
      <c r="C1597">
        <v>2015</v>
      </c>
      <c r="D1597">
        <v>4</v>
      </c>
      <c r="E1597" t="s">
        <v>6</v>
      </c>
      <c r="F1597" t="s">
        <v>6</v>
      </c>
      <c r="G1597" t="s">
        <v>6</v>
      </c>
      <c r="H1597">
        <v>23060.84</v>
      </c>
      <c r="I1597">
        <v>8011.12</v>
      </c>
      <c r="J1597">
        <v>0</v>
      </c>
    </row>
    <row r="1598" spans="1:10" x14ac:dyDescent="0.35">
      <c r="A1598">
        <v>317996</v>
      </c>
      <c r="B1598" t="s">
        <v>20</v>
      </c>
      <c r="C1598">
        <v>2015</v>
      </c>
      <c r="D1598">
        <v>4</v>
      </c>
      <c r="E1598" t="s">
        <v>6</v>
      </c>
      <c r="F1598" t="s">
        <v>6</v>
      </c>
      <c r="G1598" t="s">
        <v>6</v>
      </c>
      <c r="H1598">
        <v>94544.72</v>
      </c>
      <c r="I1598">
        <v>65294.69</v>
      </c>
      <c r="J1598">
        <v>0</v>
      </c>
    </row>
    <row r="1599" spans="1:10" x14ac:dyDescent="0.35">
      <c r="A1599">
        <v>317999</v>
      </c>
      <c r="B1599" t="s">
        <v>20</v>
      </c>
      <c r="C1599">
        <v>2015</v>
      </c>
      <c r="D1599">
        <v>4</v>
      </c>
      <c r="E1599" t="s">
        <v>6</v>
      </c>
      <c r="F1599" t="s">
        <v>6</v>
      </c>
      <c r="G1599" t="s">
        <v>6</v>
      </c>
      <c r="H1599">
        <v>3913.03</v>
      </c>
      <c r="I1599">
        <v>4721.13</v>
      </c>
      <c r="J1599">
        <v>1</v>
      </c>
    </row>
    <row r="1600" spans="1:10" x14ac:dyDescent="0.35">
      <c r="A1600">
        <v>318003</v>
      </c>
      <c r="B1600" t="s">
        <v>20</v>
      </c>
      <c r="C1600">
        <v>2015</v>
      </c>
      <c r="D1600">
        <v>4</v>
      </c>
      <c r="E1600" t="s">
        <v>6</v>
      </c>
      <c r="F1600" t="s">
        <v>6</v>
      </c>
      <c r="G1600" t="s">
        <v>6</v>
      </c>
      <c r="H1600">
        <v>7443.42</v>
      </c>
      <c r="I1600">
        <v>6921.72</v>
      </c>
      <c r="J1600">
        <v>0</v>
      </c>
    </row>
    <row r="1601" spans="1:10" x14ac:dyDescent="0.35">
      <c r="A1601">
        <v>318009</v>
      </c>
      <c r="B1601" t="s">
        <v>20</v>
      </c>
      <c r="C1601">
        <v>2015</v>
      </c>
      <c r="D1601">
        <v>4</v>
      </c>
      <c r="E1601" t="s">
        <v>6</v>
      </c>
      <c r="F1601" t="s">
        <v>6</v>
      </c>
      <c r="G1601" t="s">
        <v>6</v>
      </c>
      <c r="H1601">
        <v>74832.460000000006</v>
      </c>
      <c r="I1601">
        <v>55813.1</v>
      </c>
      <c r="J1601">
        <v>0</v>
      </c>
    </row>
    <row r="1602" spans="1:10" x14ac:dyDescent="0.35">
      <c r="A1602">
        <v>318025</v>
      </c>
      <c r="B1602" t="s">
        <v>20</v>
      </c>
      <c r="C1602">
        <v>2015</v>
      </c>
      <c r="D1602">
        <v>4</v>
      </c>
      <c r="E1602" t="s">
        <v>6</v>
      </c>
      <c r="F1602" t="s">
        <v>6</v>
      </c>
      <c r="G1602" t="s">
        <v>6</v>
      </c>
      <c r="H1602">
        <v>7698.12</v>
      </c>
      <c r="I1602">
        <v>8158.05</v>
      </c>
      <c r="J1602">
        <v>1</v>
      </c>
    </row>
    <row r="1603" spans="1:10" x14ac:dyDescent="0.35">
      <c r="A1603">
        <v>318032</v>
      </c>
      <c r="B1603" t="s">
        <v>20</v>
      </c>
      <c r="C1603">
        <v>2015</v>
      </c>
      <c r="D1603">
        <v>4</v>
      </c>
      <c r="E1603" t="s">
        <v>6</v>
      </c>
      <c r="F1603" t="s">
        <v>6</v>
      </c>
      <c r="G1603" t="s">
        <v>6</v>
      </c>
      <c r="H1603">
        <v>68225.320000000007</v>
      </c>
      <c r="I1603">
        <v>36771.25</v>
      </c>
      <c r="J1603">
        <v>0</v>
      </c>
    </row>
    <row r="1604" spans="1:10" x14ac:dyDescent="0.35">
      <c r="A1604">
        <v>318033</v>
      </c>
      <c r="B1604" t="s">
        <v>20</v>
      </c>
      <c r="C1604">
        <v>2015</v>
      </c>
      <c r="D1604">
        <v>4</v>
      </c>
      <c r="E1604" t="s">
        <v>6</v>
      </c>
      <c r="F1604" t="s">
        <v>6</v>
      </c>
      <c r="G1604" t="s">
        <v>6</v>
      </c>
      <c r="H1604">
        <v>8209.75</v>
      </c>
      <c r="I1604">
        <v>8338.7800000000007</v>
      </c>
      <c r="J1604">
        <v>1</v>
      </c>
    </row>
    <row r="1605" spans="1:10" x14ac:dyDescent="0.35">
      <c r="A1605">
        <v>318034</v>
      </c>
      <c r="B1605" t="s">
        <v>20</v>
      </c>
      <c r="C1605">
        <v>2015</v>
      </c>
      <c r="D1605">
        <v>4</v>
      </c>
      <c r="E1605" t="s">
        <v>6</v>
      </c>
      <c r="F1605" t="s">
        <v>6</v>
      </c>
      <c r="G1605" t="s">
        <v>6</v>
      </c>
      <c r="H1605">
        <v>2804.23</v>
      </c>
      <c r="I1605">
        <v>3196.94</v>
      </c>
      <c r="J1605">
        <v>1</v>
      </c>
    </row>
    <row r="1606" spans="1:10" x14ac:dyDescent="0.35">
      <c r="A1606">
        <v>318057</v>
      </c>
      <c r="B1606" t="s">
        <v>20</v>
      </c>
      <c r="C1606">
        <v>2015</v>
      </c>
      <c r="D1606">
        <v>4</v>
      </c>
      <c r="E1606" t="s">
        <v>6</v>
      </c>
      <c r="F1606" t="s">
        <v>6</v>
      </c>
      <c r="G1606" t="s">
        <v>6</v>
      </c>
      <c r="H1606">
        <v>2926.15</v>
      </c>
      <c r="I1606">
        <v>3226.22</v>
      </c>
      <c r="J1606">
        <v>1</v>
      </c>
    </row>
    <row r="1607" spans="1:10" x14ac:dyDescent="0.35">
      <c r="A1607">
        <v>318063</v>
      </c>
      <c r="B1607" t="s">
        <v>20</v>
      </c>
      <c r="C1607">
        <v>2015</v>
      </c>
      <c r="D1607">
        <v>4</v>
      </c>
      <c r="E1607" t="s">
        <v>6</v>
      </c>
      <c r="F1607" t="s">
        <v>6</v>
      </c>
      <c r="G1607" t="s">
        <v>6</v>
      </c>
      <c r="H1607">
        <v>2926.15</v>
      </c>
      <c r="I1607">
        <v>3226.22</v>
      </c>
      <c r="J1607">
        <v>1</v>
      </c>
    </row>
    <row r="1608" spans="1:10" x14ac:dyDescent="0.35">
      <c r="A1608">
        <v>318069</v>
      </c>
      <c r="B1608" t="s">
        <v>20</v>
      </c>
      <c r="C1608">
        <v>2015</v>
      </c>
      <c r="D1608">
        <v>4</v>
      </c>
      <c r="E1608" t="s">
        <v>6</v>
      </c>
      <c r="F1608" t="s">
        <v>6</v>
      </c>
      <c r="G1608" t="s">
        <v>6</v>
      </c>
      <c r="H1608">
        <v>5658.11</v>
      </c>
      <c r="I1608">
        <v>6401.95</v>
      </c>
      <c r="J1608">
        <v>1</v>
      </c>
    </row>
    <row r="1609" spans="1:10" x14ac:dyDescent="0.35">
      <c r="A1609">
        <v>318072</v>
      </c>
      <c r="B1609" t="s">
        <v>20</v>
      </c>
      <c r="C1609">
        <v>2015</v>
      </c>
      <c r="D1609">
        <v>4</v>
      </c>
      <c r="E1609" t="s">
        <v>6</v>
      </c>
      <c r="F1609" t="s">
        <v>6</v>
      </c>
      <c r="G1609" t="s">
        <v>6</v>
      </c>
      <c r="H1609">
        <v>5675.84</v>
      </c>
      <c r="I1609">
        <v>6407.04</v>
      </c>
      <c r="J1609">
        <v>1</v>
      </c>
    </row>
    <row r="1610" spans="1:10" x14ac:dyDescent="0.35">
      <c r="A1610">
        <v>318077</v>
      </c>
      <c r="B1610" t="s">
        <v>20</v>
      </c>
      <c r="C1610">
        <v>2015</v>
      </c>
      <c r="D1610">
        <v>4</v>
      </c>
      <c r="E1610" t="s">
        <v>6</v>
      </c>
      <c r="F1610" t="s">
        <v>6</v>
      </c>
      <c r="G1610" t="s">
        <v>6</v>
      </c>
      <c r="H1610">
        <v>4034.95</v>
      </c>
      <c r="I1610">
        <v>4750.41</v>
      </c>
      <c r="J1610">
        <v>1</v>
      </c>
    </row>
    <row r="1611" spans="1:10" x14ac:dyDescent="0.35">
      <c r="A1611">
        <v>318082</v>
      </c>
      <c r="B1611" t="s">
        <v>20</v>
      </c>
      <c r="C1611">
        <v>2015</v>
      </c>
      <c r="D1611">
        <v>4</v>
      </c>
      <c r="E1611" t="s">
        <v>6</v>
      </c>
      <c r="F1611" t="s">
        <v>6</v>
      </c>
      <c r="G1611" t="s">
        <v>6</v>
      </c>
      <c r="H1611">
        <v>36253.730000000003</v>
      </c>
      <c r="I1611">
        <v>21016.13</v>
      </c>
      <c r="J1611">
        <v>0</v>
      </c>
    </row>
    <row r="1612" spans="1:10" x14ac:dyDescent="0.35">
      <c r="A1612">
        <v>318089</v>
      </c>
      <c r="B1612" t="s">
        <v>20</v>
      </c>
      <c r="C1612">
        <v>2015</v>
      </c>
      <c r="D1612">
        <v>4</v>
      </c>
      <c r="E1612" t="s">
        <v>6</v>
      </c>
      <c r="F1612" t="s">
        <v>6</v>
      </c>
      <c r="G1612" t="s">
        <v>6</v>
      </c>
      <c r="H1612">
        <v>37456.97</v>
      </c>
      <c r="I1612">
        <v>25055.61</v>
      </c>
      <c r="J1612">
        <v>0</v>
      </c>
    </row>
    <row r="1613" spans="1:10" x14ac:dyDescent="0.35">
      <c r="A1613">
        <v>318113</v>
      </c>
      <c r="B1613" t="s">
        <v>20</v>
      </c>
      <c r="C1613">
        <v>2015</v>
      </c>
      <c r="D1613">
        <v>4</v>
      </c>
      <c r="E1613" t="s">
        <v>6</v>
      </c>
      <c r="F1613" t="s">
        <v>6</v>
      </c>
      <c r="G1613" t="s">
        <v>6</v>
      </c>
      <c r="H1613">
        <v>60969.94</v>
      </c>
      <c r="I1613">
        <v>26347.61</v>
      </c>
      <c r="J1613">
        <v>0</v>
      </c>
    </row>
    <row r="1614" spans="1:10" x14ac:dyDescent="0.35">
      <c r="A1614">
        <v>318146</v>
      </c>
      <c r="B1614" t="s">
        <v>20</v>
      </c>
      <c r="C1614">
        <v>2015</v>
      </c>
      <c r="D1614">
        <v>4</v>
      </c>
      <c r="E1614" t="s">
        <v>6</v>
      </c>
      <c r="F1614" t="s">
        <v>6</v>
      </c>
      <c r="G1614" t="s">
        <v>6</v>
      </c>
      <c r="H1614">
        <v>20993.46</v>
      </c>
      <c r="I1614">
        <v>9878.7800000000007</v>
      </c>
      <c r="J1614">
        <v>0</v>
      </c>
    </row>
    <row r="1615" spans="1:10" x14ac:dyDescent="0.35">
      <c r="A1615">
        <v>318152</v>
      </c>
      <c r="B1615" t="s">
        <v>20</v>
      </c>
      <c r="C1615">
        <v>2015</v>
      </c>
      <c r="D1615">
        <v>4</v>
      </c>
      <c r="E1615" t="s">
        <v>6</v>
      </c>
      <c r="F1615" t="s">
        <v>6</v>
      </c>
      <c r="G1615" t="s">
        <v>6</v>
      </c>
      <c r="H1615">
        <v>57623.4</v>
      </c>
      <c r="I1615">
        <v>44797.599999999999</v>
      </c>
      <c r="J1615">
        <v>0</v>
      </c>
    </row>
    <row r="1616" spans="1:10" x14ac:dyDescent="0.35">
      <c r="A1616">
        <v>318153</v>
      </c>
      <c r="B1616" t="s">
        <v>20</v>
      </c>
      <c r="C1616">
        <v>2015</v>
      </c>
      <c r="D1616">
        <v>4</v>
      </c>
      <c r="E1616" t="s">
        <v>6</v>
      </c>
      <c r="F1616" t="s">
        <v>6</v>
      </c>
      <c r="G1616" t="s">
        <v>6</v>
      </c>
      <c r="H1616">
        <v>23314.639999999999</v>
      </c>
      <c r="I1616">
        <v>8072.08</v>
      </c>
      <c r="J1616">
        <v>0</v>
      </c>
    </row>
    <row r="1617" spans="1:10" x14ac:dyDescent="0.35">
      <c r="A1617">
        <v>318164</v>
      </c>
      <c r="B1617" t="s">
        <v>20</v>
      </c>
      <c r="C1617">
        <v>2015</v>
      </c>
      <c r="D1617">
        <v>4</v>
      </c>
      <c r="E1617" t="s">
        <v>6</v>
      </c>
      <c r="F1617" t="s">
        <v>6</v>
      </c>
      <c r="G1617" t="s">
        <v>6</v>
      </c>
      <c r="H1617">
        <v>2861.92</v>
      </c>
      <c r="I1617">
        <v>3210.51</v>
      </c>
      <c r="J1617">
        <v>1</v>
      </c>
    </row>
    <row r="1618" spans="1:10" x14ac:dyDescent="0.35">
      <c r="A1618">
        <v>318165</v>
      </c>
      <c r="B1618" t="s">
        <v>20</v>
      </c>
      <c r="C1618">
        <v>2015</v>
      </c>
      <c r="D1618">
        <v>4</v>
      </c>
      <c r="E1618" t="s">
        <v>6</v>
      </c>
      <c r="F1618" t="s">
        <v>6</v>
      </c>
      <c r="G1618" t="s">
        <v>6</v>
      </c>
      <c r="H1618">
        <v>5135.99</v>
      </c>
      <c r="I1618">
        <v>6272.73</v>
      </c>
      <c r="J1618">
        <v>1</v>
      </c>
    </row>
    <row r="1619" spans="1:10" x14ac:dyDescent="0.35">
      <c r="A1619">
        <v>318183</v>
      </c>
      <c r="B1619" t="s">
        <v>20</v>
      </c>
      <c r="C1619">
        <v>2015</v>
      </c>
      <c r="D1619">
        <v>4</v>
      </c>
      <c r="E1619" t="s">
        <v>6</v>
      </c>
      <c r="F1619" t="s">
        <v>6</v>
      </c>
      <c r="G1619" t="s">
        <v>6</v>
      </c>
      <c r="H1619">
        <v>4076.88</v>
      </c>
      <c r="I1619">
        <v>4760.9399999999996</v>
      </c>
      <c r="J1619">
        <v>1</v>
      </c>
    </row>
    <row r="1620" spans="1:10" x14ac:dyDescent="0.35">
      <c r="A1620">
        <v>318194</v>
      </c>
      <c r="B1620" t="s">
        <v>20</v>
      </c>
      <c r="C1620">
        <v>2015</v>
      </c>
      <c r="D1620">
        <v>4</v>
      </c>
      <c r="E1620" t="s">
        <v>6</v>
      </c>
      <c r="F1620" t="s">
        <v>6</v>
      </c>
      <c r="G1620" t="s">
        <v>6</v>
      </c>
      <c r="H1620">
        <v>7395.52</v>
      </c>
      <c r="I1620">
        <v>9331.64</v>
      </c>
      <c r="J1620">
        <v>1</v>
      </c>
    </row>
    <row r="1621" spans="1:10" x14ac:dyDescent="0.35">
      <c r="A1621">
        <v>318211</v>
      </c>
      <c r="B1621" t="s">
        <v>20</v>
      </c>
      <c r="C1621">
        <v>2015</v>
      </c>
      <c r="D1621">
        <v>4</v>
      </c>
      <c r="E1621" t="s">
        <v>6</v>
      </c>
      <c r="F1621" t="s">
        <v>6</v>
      </c>
      <c r="G1621" t="s">
        <v>6</v>
      </c>
      <c r="H1621">
        <v>5143.75</v>
      </c>
      <c r="I1621">
        <v>6274.6</v>
      </c>
      <c r="J1621">
        <v>1</v>
      </c>
    </row>
    <row r="1622" spans="1:10" x14ac:dyDescent="0.35">
      <c r="A1622">
        <v>318215</v>
      </c>
      <c r="B1622" t="s">
        <v>20</v>
      </c>
      <c r="C1622">
        <v>2015</v>
      </c>
      <c r="D1622">
        <v>4</v>
      </c>
      <c r="E1622" t="s">
        <v>6</v>
      </c>
      <c r="F1622" t="s">
        <v>6</v>
      </c>
      <c r="G1622" t="s">
        <v>6</v>
      </c>
      <c r="H1622">
        <v>5316.99</v>
      </c>
      <c r="I1622">
        <v>6317.57</v>
      </c>
      <c r="J1622">
        <v>1</v>
      </c>
    </row>
    <row r="1623" spans="1:10" x14ac:dyDescent="0.35">
      <c r="A1623">
        <v>318225</v>
      </c>
      <c r="B1623" t="s">
        <v>20</v>
      </c>
      <c r="C1623">
        <v>2015</v>
      </c>
      <c r="D1623">
        <v>4</v>
      </c>
      <c r="E1623" t="s">
        <v>6</v>
      </c>
      <c r="F1623" t="s">
        <v>6</v>
      </c>
      <c r="G1623" t="s">
        <v>6</v>
      </c>
      <c r="H1623">
        <v>36645.15</v>
      </c>
      <c r="I1623">
        <v>22116.62</v>
      </c>
      <c r="J1623">
        <v>0</v>
      </c>
    </row>
    <row r="1624" spans="1:10" x14ac:dyDescent="0.35">
      <c r="A1624">
        <v>318237</v>
      </c>
      <c r="B1624" t="s">
        <v>20</v>
      </c>
      <c r="C1624">
        <v>2015</v>
      </c>
      <c r="D1624">
        <v>4</v>
      </c>
      <c r="E1624" t="s">
        <v>6</v>
      </c>
      <c r="F1624" t="s">
        <v>6</v>
      </c>
      <c r="G1624" t="s">
        <v>6</v>
      </c>
      <c r="H1624">
        <v>39857.25</v>
      </c>
      <c r="I1624">
        <v>27482.37</v>
      </c>
      <c r="J1624">
        <v>0</v>
      </c>
    </row>
    <row r="1625" spans="1:10" x14ac:dyDescent="0.35">
      <c r="A1625">
        <v>318244</v>
      </c>
      <c r="B1625" t="s">
        <v>20</v>
      </c>
      <c r="C1625">
        <v>2015</v>
      </c>
      <c r="D1625">
        <v>4</v>
      </c>
      <c r="E1625" t="s">
        <v>6</v>
      </c>
      <c r="F1625" t="s">
        <v>6</v>
      </c>
      <c r="G1625" t="s">
        <v>6</v>
      </c>
      <c r="H1625">
        <v>4223.83</v>
      </c>
      <c r="I1625">
        <v>4798.1099999999997</v>
      </c>
      <c r="J1625">
        <v>1</v>
      </c>
    </row>
    <row r="1626" spans="1:10" x14ac:dyDescent="0.35">
      <c r="A1626">
        <v>318250</v>
      </c>
      <c r="B1626" t="s">
        <v>20</v>
      </c>
      <c r="C1626">
        <v>2015</v>
      </c>
      <c r="D1626">
        <v>4</v>
      </c>
      <c r="E1626" t="s">
        <v>6</v>
      </c>
      <c r="F1626" t="s">
        <v>6</v>
      </c>
      <c r="G1626" t="s">
        <v>6</v>
      </c>
      <c r="H1626">
        <v>4027.19</v>
      </c>
      <c r="I1626">
        <v>4748.54</v>
      </c>
      <c r="J1626">
        <v>1</v>
      </c>
    </row>
    <row r="1627" spans="1:10" x14ac:dyDescent="0.35">
      <c r="A1627">
        <v>318262</v>
      </c>
      <c r="B1627" t="s">
        <v>20</v>
      </c>
      <c r="C1627">
        <v>2015</v>
      </c>
      <c r="D1627">
        <v>4</v>
      </c>
      <c r="E1627" t="s">
        <v>6</v>
      </c>
      <c r="F1627" t="s">
        <v>6</v>
      </c>
      <c r="G1627" t="s">
        <v>6</v>
      </c>
      <c r="H1627">
        <v>5143.75</v>
      </c>
      <c r="I1627">
        <v>6274.6</v>
      </c>
      <c r="J1627">
        <v>1</v>
      </c>
    </row>
    <row r="1628" spans="1:10" x14ac:dyDescent="0.35">
      <c r="A1628">
        <v>318273</v>
      </c>
      <c r="B1628" t="s">
        <v>20</v>
      </c>
      <c r="C1628">
        <v>2015</v>
      </c>
      <c r="D1628">
        <v>4</v>
      </c>
      <c r="E1628" t="s">
        <v>6</v>
      </c>
      <c r="F1628" t="s">
        <v>6</v>
      </c>
      <c r="G1628" t="s">
        <v>6</v>
      </c>
      <c r="H1628">
        <v>5645.42</v>
      </c>
      <c r="I1628">
        <v>6399.07</v>
      </c>
      <c r="J1628">
        <v>1</v>
      </c>
    </row>
    <row r="1629" spans="1:10" x14ac:dyDescent="0.35">
      <c r="A1629">
        <v>318276</v>
      </c>
      <c r="B1629" t="s">
        <v>20</v>
      </c>
      <c r="C1629">
        <v>2015</v>
      </c>
      <c r="D1629">
        <v>4</v>
      </c>
      <c r="E1629" t="s">
        <v>6</v>
      </c>
      <c r="F1629" t="s">
        <v>6</v>
      </c>
      <c r="G1629" t="s">
        <v>6</v>
      </c>
      <c r="H1629">
        <v>4034.95</v>
      </c>
      <c r="I1629">
        <v>4750.41</v>
      </c>
      <c r="J1629">
        <v>1</v>
      </c>
    </row>
    <row r="1630" spans="1:10" x14ac:dyDescent="0.35">
      <c r="A1630">
        <v>318278</v>
      </c>
      <c r="B1630" t="s">
        <v>20</v>
      </c>
      <c r="C1630">
        <v>2015</v>
      </c>
      <c r="D1630">
        <v>4</v>
      </c>
      <c r="E1630" t="s">
        <v>6</v>
      </c>
      <c r="F1630" t="s">
        <v>6</v>
      </c>
      <c r="G1630" t="s">
        <v>6</v>
      </c>
      <c r="H1630">
        <v>2960.32</v>
      </c>
      <c r="I1630">
        <v>3234.89</v>
      </c>
      <c r="J1630">
        <v>1</v>
      </c>
    </row>
    <row r="1631" spans="1:10" x14ac:dyDescent="0.35">
      <c r="A1631">
        <v>318289</v>
      </c>
      <c r="B1631" t="s">
        <v>20</v>
      </c>
      <c r="C1631">
        <v>2015</v>
      </c>
      <c r="D1631">
        <v>4</v>
      </c>
      <c r="E1631" t="s">
        <v>6</v>
      </c>
      <c r="F1631" t="s">
        <v>6</v>
      </c>
      <c r="G1631" t="s">
        <v>6</v>
      </c>
      <c r="H1631">
        <v>23299.52</v>
      </c>
      <c r="I1631">
        <v>8160.32</v>
      </c>
      <c r="J1631">
        <v>0</v>
      </c>
    </row>
    <row r="1632" spans="1:10" x14ac:dyDescent="0.35">
      <c r="A1632">
        <v>318305</v>
      </c>
      <c r="B1632" t="s">
        <v>20</v>
      </c>
      <c r="C1632">
        <v>2015</v>
      </c>
      <c r="D1632">
        <v>4</v>
      </c>
      <c r="E1632" t="s">
        <v>6</v>
      </c>
      <c r="F1632" t="s">
        <v>6</v>
      </c>
      <c r="G1632" t="s">
        <v>6</v>
      </c>
      <c r="H1632">
        <v>5177.92</v>
      </c>
      <c r="I1632">
        <v>6283.27</v>
      </c>
      <c r="J1632">
        <v>1</v>
      </c>
    </row>
    <row r="1633" spans="1:10" x14ac:dyDescent="0.35">
      <c r="A1633">
        <v>318309</v>
      </c>
      <c r="B1633" t="s">
        <v>20</v>
      </c>
      <c r="C1633">
        <v>2015</v>
      </c>
      <c r="D1633">
        <v>4</v>
      </c>
      <c r="E1633" t="s">
        <v>6</v>
      </c>
      <c r="F1633" t="s">
        <v>6</v>
      </c>
      <c r="G1633" t="s">
        <v>6</v>
      </c>
      <c r="H1633">
        <v>6838.69</v>
      </c>
      <c r="I1633">
        <v>5515.01</v>
      </c>
      <c r="J1633">
        <v>0</v>
      </c>
    </row>
    <row r="1634" spans="1:10" x14ac:dyDescent="0.35">
      <c r="A1634">
        <v>318331</v>
      </c>
      <c r="B1634" t="s">
        <v>20</v>
      </c>
      <c r="C1634">
        <v>2015</v>
      </c>
      <c r="D1634">
        <v>4</v>
      </c>
      <c r="E1634" t="s">
        <v>6</v>
      </c>
      <c r="F1634" t="s">
        <v>6</v>
      </c>
      <c r="G1634" t="s">
        <v>6</v>
      </c>
      <c r="H1634">
        <v>4034.95</v>
      </c>
      <c r="I1634">
        <v>4750.41</v>
      </c>
      <c r="J1634">
        <v>1</v>
      </c>
    </row>
    <row r="1635" spans="1:10" x14ac:dyDescent="0.35">
      <c r="A1635">
        <v>318334</v>
      </c>
      <c r="B1635" t="s">
        <v>20</v>
      </c>
      <c r="C1635">
        <v>2015</v>
      </c>
      <c r="D1635">
        <v>4</v>
      </c>
      <c r="E1635" t="s">
        <v>6</v>
      </c>
      <c r="F1635" t="s">
        <v>6</v>
      </c>
      <c r="G1635" t="s">
        <v>6</v>
      </c>
      <c r="H1635">
        <v>4034.95</v>
      </c>
      <c r="I1635">
        <v>4750.41</v>
      </c>
      <c r="J1635">
        <v>1</v>
      </c>
    </row>
    <row r="1636" spans="1:10" x14ac:dyDescent="0.35">
      <c r="A1636">
        <v>318351</v>
      </c>
      <c r="B1636" t="s">
        <v>20</v>
      </c>
      <c r="C1636">
        <v>2015</v>
      </c>
      <c r="D1636">
        <v>4</v>
      </c>
      <c r="E1636" t="s">
        <v>6</v>
      </c>
      <c r="F1636" t="s">
        <v>6</v>
      </c>
      <c r="G1636" t="s">
        <v>6</v>
      </c>
      <c r="H1636">
        <v>5525.75</v>
      </c>
      <c r="I1636">
        <v>6369.22</v>
      </c>
      <c r="J1636">
        <v>1</v>
      </c>
    </row>
    <row r="1637" spans="1:10" x14ac:dyDescent="0.35">
      <c r="A1637">
        <v>318363</v>
      </c>
      <c r="B1637" t="s">
        <v>20</v>
      </c>
      <c r="C1637">
        <v>2015</v>
      </c>
      <c r="D1637">
        <v>4</v>
      </c>
      <c r="E1637" t="s">
        <v>6</v>
      </c>
      <c r="F1637" t="s">
        <v>6</v>
      </c>
      <c r="G1637" t="s">
        <v>6</v>
      </c>
      <c r="H1637">
        <v>72697.06</v>
      </c>
      <c r="I1637">
        <v>51017.599999999999</v>
      </c>
      <c r="J1637">
        <v>0</v>
      </c>
    </row>
    <row r="1638" spans="1:10" x14ac:dyDescent="0.35">
      <c r="A1638">
        <v>318371</v>
      </c>
      <c r="B1638" t="s">
        <v>20</v>
      </c>
      <c r="C1638">
        <v>2015</v>
      </c>
      <c r="D1638">
        <v>4</v>
      </c>
      <c r="E1638" t="s">
        <v>6</v>
      </c>
      <c r="F1638" t="s">
        <v>6</v>
      </c>
      <c r="G1638" t="s">
        <v>6</v>
      </c>
      <c r="H1638">
        <v>2926.15</v>
      </c>
      <c r="I1638">
        <v>3226.22</v>
      </c>
      <c r="J1638">
        <v>1</v>
      </c>
    </row>
    <row r="1639" spans="1:10" x14ac:dyDescent="0.35">
      <c r="A1639">
        <v>318375</v>
      </c>
      <c r="B1639" t="s">
        <v>20</v>
      </c>
      <c r="C1639">
        <v>2015</v>
      </c>
      <c r="D1639">
        <v>4</v>
      </c>
      <c r="E1639" t="s">
        <v>6</v>
      </c>
      <c r="F1639" t="s">
        <v>6</v>
      </c>
      <c r="G1639" t="s">
        <v>6</v>
      </c>
      <c r="H1639">
        <v>3073.28</v>
      </c>
      <c r="I1639">
        <v>3266.4</v>
      </c>
      <c r="J1639">
        <v>1</v>
      </c>
    </row>
    <row r="1640" spans="1:10" x14ac:dyDescent="0.35">
      <c r="A1640">
        <v>318383</v>
      </c>
      <c r="B1640" t="s">
        <v>20</v>
      </c>
      <c r="C1640">
        <v>2015</v>
      </c>
      <c r="D1640">
        <v>4</v>
      </c>
      <c r="E1640" t="s">
        <v>6</v>
      </c>
      <c r="F1640" t="s">
        <v>6</v>
      </c>
      <c r="G1640" t="s">
        <v>6</v>
      </c>
      <c r="H1640">
        <v>3155.92</v>
      </c>
      <c r="I1640">
        <v>3283.34</v>
      </c>
      <c r="J1640">
        <v>1</v>
      </c>
    </row>
    <row r="1641" spans="1:10" x14ac:dyDescent="0.35">
      <c r="A1641">
        <v>318393</v>
      </c>
      <c r="B1641" t="s">
        <v>20</v>
      </c>
      <c r="C1641">
        <v>2015</v>
      </c>
      <c r="D1641">
        <v>4</v>
      </c>
      <c r="E1641" t="s">
        <v>6</v>
      </c>
      <c r="F1641" t="s">
        <v>6</v>
      </c>
      <c r="G1641" t="s">
        <v>6</v>
      </c>
      <c r="H1641">
        <v>40581.49</v>
      </c>
      <c r="I1641">
        <v>27454.33</v>
      </c>
      <c r="J1641">
        <v>0</v>
      </c>
    </row>
    <row r="1642" spans="1:10" x14ac:dyDescent="0.35">
      <c r="A1642">
        <v>318424</v>
      </c>
      <c r="B1642" t="s">
        <v>20</v>
      </c>
      <c r="C1642">
        <v>2015</v>
      </c>
      <c r="D1642">
        <v>4</v>
      </c>
      <c r="E1642" t="s">
        <v>6</v>
      </c>
      <c r="F1642" t="s">
        <v>6</v>
      </c>
      <c r="G1642" t="s">
        <v>6</v>
      </c>
      <c r="H1642">
        <v>164860.79999999999</v>
      </c>
      <c r="I1642">
        <v>142927.99</v>
      </c>
      <c r="J1642">
        <v>0</v>
      </c>
    </row>
    <row r="1643" spans="1:10" x14ac:dyDescent="0.35">
      <c r="A1643">
        <v>318434</v>
      </c>
      <c r="B1643" t="s">
        <v>20</v>
      </c>
      <c r="C1643">
        <v>2015</v>
      </c>
      <c r="D1643">
        <v>4</v>
      </c>
      <c r="E1643" t="s">
        <v>6</v>
      </c>
      <c r="F1643" t="s">
        <v>6</v>
      </c>
      <c r="G1643" t="s">
        <v>6</v>
      </c>
      <c r="H1643">
        <v>5143.75</v>
      </c>
      <c r="I1643">
        <v>6274.6</v>
      </c>
      <c r="J1643">
        <v>1</v>
      </c>
    </row>
    <row r="1644" spans="1:10" x14ac:dyDescent="0.35">
      <c r="A1644">
        <v>318440</v>
      </c>
      <c r="B1644" t="s">
        <v>20</v>
      </c>
      <c r="C1644">
        <v>2015</v>
      </c>
      <c r="D1644">
        <v>4</v>
      </c>
      <c r="E1644" t="s">
        <v>6</v>
      </c>
      <c r="F1644" t="s">
        <v>6</v>
      </c>
      <c r="G1644" t="s">
        <v>6</v>
      </c>
      <c r="H1644">
        <v>5154.59</v>
      </c>
      <c r="I1644">
        <v>6277.2</v>
      </c>
      <c r="J1644">
        <v>1</v>
      </c>
    </row>
    <row r="1645" spans="1:10" x14ac:dyDescent="0.35">
      <c r="A1645">
        <v>318447</v>
      </c>
      <c r="B1645" t="s">
        <v>20</v>
      </c>
      <c r="C1645">
        <v>2015</v>
      </c>
      <c r="D1645">
        <v>4</v>
      </c>
      <c r="E1645" t="s">
        <v>6</v>
      </c>
      <c r="F1645" t="s">
        <v>6</v>
      </c>
      <c r="G1645" t="s">
        <v>6</v>
      </c>
      <c r="H1645">
        <v>3913.03</v>
      </c>
      <c r="I1645">
        <v>4721.13</v>
      </c>
      <c r="J1645">
        <v>1</v>
      </c>
    </row>
    <row r="1646" spans="1:10" x14ac:dyDescent="0.35">
      <c r="A1646">
        <v>318455</v>
      </c>
      <c r="B1646" t="s">
        <v>20</v>
      </c>
      <c r="C1646">
        <v>2015</v>
      </c>
      <c r="D1646">
        <v>4</v>
      </c>
      <c r="E1646" t="s">
        <v>6</v>
      </c>
      <c r="F1646" t="s">
        <v>6</v>
      </c>
      <c r="G1646" t="s">
        <v>6</v>
      </c>
      <c r="H1646">
        <v>4034.95</v>
      </c>
      <c r="I1646">
        <v>4750.41</v>
      </c>
      <c r="J1646">
        <v>1</v>
      </c>
    </row>
    <row r="1647" spans="1:10" x14ac:dyDescent="0.35">
      <c r="A1647">
        <v>318462</v>
      </c>
      <c r="B1647" t="s">
        <v>20</v>
      </c>
      <c r="C1647">
        <v>2015</v>
      </c>
      <c r="D1647">
        <v>4</v>
      </c>
      <c r="E1647" t="s">
        <v>6</v>
      </c>
      <c r="F1647" t="s">
        <v>6</v>
      </c>
      <c r="G1647" t="s">
        <v>6</v>
      </c>
      <c r="H1647">
        <v>42792.85</v>
      </c>
      <c r="I1647">
        <v>28370.84</v>
      </c>
      <c r="J1647">
        <v>0</v>
      </c>
    </row>
    <row r="1648" spans="1:10" x14ac:dyDescent="0.35">
      <c r="A1648">
        <v>318475</v>
      </c>
      <c r="B1648" t="s">
        <v>20</v>
      </c>
      <c r="C1648">
        <v>2015</v>
      </c>
      <c r="D1648">
        <v>4</v>
      </c>
      <c r="E1648" t="s">
        <v>6</v>
      </c>
      <c r="F1648" t="s">
        <v>6</v>
      </c>
      <c r="G1648" t="s">
        <v>6</v>
      </c>
      <c r="H1648">
        <v>7433.92</v>
      </c>
      <c r="I1648">
        <v>9341.16</v>
      </c>
      <c r="J1648">
        <v>1</v>
      </c>
    </row>
    <row r="1649" spans="1:10" x14ac:dyDescent="0.35">
      <c r="A1649">
        <v>318483</v>
      </c>
      <c r="B1649" t="s">
        <v>20</v>
      </c>
      <c r="C1649">
        <v>2015</v>
      </c>
      <c r="D1649">
        <v>4</v>
      </c>
      <c r="E1649" t="s">
        <v>6</v>
      </c>
      <c r="F1649" t="s">
        <v>6</v>
      </c>
      <c r="G1649" t="s">
        <v>6</v>
      </c>
      <c r="H1649">
        <v>95743.56</v>
      </c>
      <c r="I1649">
        <v>28668.97</v>
      </c>
      <c r="J1649">
        <v>0</v>
      </c>
    </row>
    <row r="1650" spans="1:10" x14ac:dyDescent="0.35">
      <c r="A1650">
        <v>318547</v>
      </c>
      <c r="B1650" t="s">
        <v>20</v>
      </c>
      <c r="C1650">
        <v>2015</v>
      </c>
      <c r="D1650">
        <v>4</v>
      </c>
      <c r="E1650" t="s">
        <v>6</v>
      </c>
      <c r="F1650" t="s">
        <v>6</v>
      </c>
      <c r="G1650" t="s">
        <v>6</v>
      </c>
      <c r="H1650">
        <v>6180.01</v>
      </c>
      <c r="I1650">
        <v>5354.6</v>
      </c>
      <c r="J1650">
        <v>0</v>
      </c>
    </row>
    <row r="1651" spans="1:10" x14ac:dyDescent="0.35">
      <c r="A1651">
        <v>318588</v>
      </c>
      <c r="B1651" t="s">
        <v>20</v>
      </c>
      <c r="C1651">
        <v>2015</v>
      </c>
      <c r="D1651">
        <v>4</v>
      </c>
      <c r="E1651" t="s">
        <v>6</v>
      </c>
      <c r="F1651" t="s">
        <v>6</v>
      </c>
      <c r="G1651" t="s">
        <v>6</v>
      </c>
      <c r="H1651">
        <v>5143.75</v>
      </c>
      <c r="I1651">
        <v>6274.6</v>
      </c>
      <c r="J1651">
        <v>1</v>
      </c>
    </row>
    <row r="1652" spans="1:10" x14ac:dyDescent="0.35">
      <c r="A1652">
        <v>318597</v>
      </c>
      <c r="B1652" t="s">
        <v>20</v>
      </c>
      <c r="C1652">
        <v>2015</v>
      </c>
      <c r="D1652">
        <v>4</v>
      </c>
      <c r="E1652" t="s">
        <v>6</v>
      </c>
      <c r="F1652" t="s">
        <v>6</v>
      </c>
      <c r="G1652" t="s">
        <v>6</v>
      </c>
      <c r="H1652">
        <v>5177.92</v>
      </c>
      <c r="I1652">
        <v>6283.27</v>
      </c>
      <c r="J1652">
        <v>1</v>
      </c>
    </row>
    <row r="1653" spans="1:10" x14ac:dyDescent="0.35">
      <c r="A1653">
        <v>318606</v>
      </c>
      <c r="B1653" t="s">
        <v>20</v>
      </c>
      <c r="C1653">
        <v>2015</v>
      </c>
      <c r="D1653">
        <v>4</v>
      </c>
      <c r="E1653" t="s">
        <v>6</v>
      </c>
      <c r="F1653" t="s">
        <v>6</v>
      </c>
      <c r="G1653" t="s">
        <v>6</v>
      </c>
      <c r="H1653">
        <v>4736.62</v>
      </c>
      <c r="I1653">
        <v>4924.42</v>
      </c>
      <c r="J1653">
        <v>1</v>
      </c>
    </row>
    <row r="1654" spans="1:10" x14ac:dyDescent="0.35">
      <c r="A1654">
        <v>318612</v>
      </c>
      <c r="B1654" t="s">
        <v>20</v>
      </c>
      <c r="C1654">
        <v>2015</v>
      </c>
      <c r="D1654">
        <v>4</v>
      </c>
      <c r="E1654" t="s">
        <v>6</v>
      </c>
      <c r="F1654" t="s">
        <v>6</v>
      </c>
      <c r="G1654" t="s">
        <v>6</v>
      </c>
      <c r="H1654">
        <v>23545.64</v>
      </c>
      <c r="I1654">
        <v>8261.59</v>
      </c>
      <c r="J1654">
        <v>0</v>
      </c>
    </row>
    <row r="1655" spans="1:10" x14ac:dyDescent="0.35">
      <c r="A1655">
        <v>318634</v>
      </c>
      <c r="B1655" t="s">
        <v>20</v>
      </c>
      <c r="C1655">
        <v>2015</v>
      </c>
      <c r="D1655">
        <v>4</v>
      </c>
      <c r="E1655" t="s">
        <v>6</v>
      </c>
      <c r="F1655" t="s">
        <v>6</v>
      </c>
      <c r="G1655" t="s">
        <v>6</v>
      </c>
      <c r="H1655">
        <v>5143.75</v>
      </c>
      <c r="I1655">
        <v>6274.6</v>
      </c>
      <c r="J1655">
        <v>1</v>
      </c>
    </row>
    <row r="1656" spans="1:10" x14ac:dyDescent="0.35">
      <c r="A1656">
        <v>318638</v>
      </c>
      <c r="B1656" t="s">
        <v>20</v>
      </c>
      <c r="C1656">
        <v>2015</v>
      </c>
      <c r="D1656">
        <v>4</v>
      </c>
      <c r="E1656" t="s">
        <v>6</v>
      </c>
      <c r="F1656" t="s">
        <v>6</v>
      </c>
      <c r="G1656" t="s">
        <v>6</v>
      </c>
      <c r="H1656">
        <v>36993.61</v>
      </c>
      <c r="I1656">
        <v>24782.09</v>
      </c>
      <c r="J1656">
        <v>0</v>
      </c>
    </row>
    <row r="1657" spans="1:10" x14ac:dyDescent="0.35">
      <c r="A1657">
        <v>318653</v>
      </c>
      <c r="B1657" t="s">
        <v>20</v>
      </c>
      <c r="C1657">
        <v>2015</v>
      </c>
      <c r="D1657">
        <v>4</v>
      </c>
      <c r="E1657" t="s">
        <v>6</v>
      </c>
      <c r="F1657" t="s">
        <v>6</v>
      </c>
      <c r="G1657" t="s">
        <v>6</v>
      </c>
      <c r="H1657">
        <v>6252.55</v>
      </c>
      <c r="I1657">
        <v>7798.79</v>
      </c>
      <c r="J1657">
        <v>1</v>
      </c>
    </row>
    <row r="1658" spans="1:10" x14ac:dyDescent="0.35">
      <c r="A1658">
        <v>318667</v>
      </c>
      <c r="B1658" t="s">
        <v>20</v>
      </c>
      <c r="C1658">
        <v>2015</v>
      </c>
      <c r="D1658">
        <v>4</v>
      </c>
      <c r="E1658" t="s">
        <v>6</v>
      </c>
      <c r="F1658" t="s">
        <v>6</v>
      </c>
      <c r="G1658" t="s">
        <v>6</v>
      </c>
      <c r="H1658">
        <v>77609.759999999995</v>
      </c>
      <c r="I1658">
        <v>58940.5</v>
      </c>
      <c r="J1658">
        <v>0</v>
      </c>
    </row>
    <row r="1659" spans="1:10" x14ac:dyDescent="0.35">
      <c r="A1659">
        <v>318668</v>
      </c>
      <c r="B1659" t="s">
        <v>20</v>
      </c>
      <c r="C1659">
        <v>2015</v>
      </c>
      <c r="D1659">
        <v>4</v>
      </c>
      <c r="E1659" t="s">
        <v>6</v>
      </c>
      <c r="F1659" t="s">
        <v>6</v>
      </c>
      <c r="G1659" t="s">
        <v>6</v>
      </c>
      <c r="H1659">
        <v>4930.6899999999996</v>
      </c>
      <c r="I1659">
        <v>3796.66</v>
      </c>
      <c r="J1659">
        <v>0</v>
      </c>
    </row>
    <row r="1660" spans="1:10" x14ac:dyDescent="0.35">
      <c r="A1660">
        <v>318677</v>
      </c>
      <c r="B1660" t="s">
        <v>20</v>
      </c>
      <c r="C1660">
        <v>2015</v>
      </c>
      <c r="D1660">
        <v>4</v>
      </c>
      <c r="E1660" t="s">
        <v>6</v>
      </c>
      <c r="F1660" t="s">
        <v>6</v>
      </c>
      <c r="G1660" t="s">
        <v>6</v>
      </c>
      <c r="H1660">
        <v>2793.39</v>
      </c>
      <c r="I1660">
        <v>3194.33</v>
      </c>
      <c r="J1660">
        <v>1</v>
      </c>
    </row>
    <row r="1661" spans="1:10" x14ac:dyDescent="0.35">
      <c r="A1661">
        <v>318682</v>
      </c>
      <c r="B1661" t="s">
        <v>20</v>
      </c>
      <c r="C1661">
        <v>2015</v>
      </c>
      <c r="D1661">
        <v>4</v>
      </c>
      <c r="E1661" t="s">
        <v>6</v>
      </c>
      <c r="F1661" t="s">
        <v>6</v>
      </c>
      <c r="G1661" t="s">
        <v>6</v>
      </c>
      <c r="H1661">
        <v>42900.01</v>
      </c>
      <c r="I1661">
        <v>29088.75</v>
      </c>
      <c r="J1661">
        <v>0</v>
      </c>
    </row>
    <row r="1662" spans="1:10" x14ac:dyDescent="0.35">
      <c r="A1662">
        <v>318690</v>
      </c>
      <c r="B1662" t="s">
        <v>20</v>
      </c>
      <c r="C1662">
        <v>2015</v>
      </c>
      <c r="D1662">
        <v>4</v>
      </c>
      <c r="E1662" t="s">
        <v>6</v>
      </c>
      <c r="F1662" t="s">
        <v>6</v>
      </c>
      <c r="G1662" t="s">
        <v>6</v>
      </c>
      <c r="H1662">
        <v>5143.75</v>
      </c>
      <c r="I1662">
        <v>6274.6</v>
      </c>
      <c r="J1662">
        <v>1</v>
      </c>
    </row>
    <row r="1663" spans="1:10" x14ac:dyDescent="0.35">
      <c r="A1663">
        <v>318694</v>
      </c>
      <c r="B1663" t="s">
        <v>20</v>
      </c>
      <c r="C1663">
        <v>2015</v>
      </c>
      <c r="D1663">
        <v>4</v>
      </c>
      <c r="E1663" t="s">
        <v>6</v>
      </c>
      <c r="F1663" t="s">
        <v>6</v>
      </c>
      <c r="G1663" t="s">
        <v>6</v>
      </c>
      <c r="H1663">
        <v>39434.61</v>
      </c>
      <c r="I1663">
        <v>26439.1</v>
      </c>
      <c r="J1663">
        <v>0</v>
      </c>
    </row>
    <row r="1664" spans="1:10" x14ac:dyDescent="0.35">
      <c r="A1664">
        <v>318706</v>
      </c>
      <c r="B1664" t="s">
        <v>20</v>
      </c>
      <c r="C1664">
        <v>2015</v>
      </c>
      <c r="D1664">
        <v>4</v>
      </c>
      <c r="E1664" t="s">
        <v>6</v>
      </c>
      <c r="F1664" t="s">
        <v>6</v>
      </c>
      <c r="G1664" t="s">
        <v>6</v>
      </c>
      <c r="H1664">
        <v>37262.21</v>
      </c>
      <c r="I1664">
        <v>25081.01</v>
      </c>
      <c r="J1664">
        <v>0</v>
      </c>
    </row>
    <row r="1665" spans="1:10" x14ac:dyDescent="0.35">
      <c r="A1665">
        <v>318724</v>
      </c>
      <c r="B1665" t="s">
        <v>20</v>
      </c>
      <c r="C1665">
        <v>2015</v>
      </c>
      <c r="D1665">
        <v>4</v>
      </c>
      <c r="E1665" t="s">
        <v>6</v>
      </c>
      <c r="F1665" t="s">
        <v>6</v>
      </c>
      <c r="G1665" t="s">
        <v>6</v>
      </c>
      <c r="H1665">
        <v>4069.12</v>
      </c>
      <c r="I1665">
        <v>4759.08</v>
      </c>
      <c r="J1665">
        <v>1</v>
      </c>
    </row>
    <row r="1666" spans="1:10" x14ac:dyDescent="0.35">
      <c r="A1666">
        <v>318732</v>
      </c>
      <c r="B1666" t="s">
        <v>20</v>
      </c>
      <c r="C1666">
        <v>2015</v>
      </c>
      <c r="D1666">
        <v>4</v>
      </c>
      <c r="E1666" t="s">
        <v>6</v>
      </c>
      <c r="F1666" t="s">
        <v>6</v>
      </c>
      <c r="G1666" t="s">
        <v>6</v>
      </c>
      <c r="H1666">
        <v>4166.5600000000004</v>
      </c>
      <c r="I1666">
        <v>4786.8599999999997</v>
      </c>
      <c r="J1666">
        <v>1</v>
      </c>
    </row>
    <row r="1667" spans="1:10" x14ac:dyDescent="0.35">
      <c r="A1667">
        <v>318781</v>
      </c>
      <c r="B1667" t="s">
        <v>20</v>
      </c>
      <c r="C1667">
        <v>2015</v>
      </c>
      <c r="D1667">
        <v>4</v>
      </c>
      <c r="E1667" t="s">
        <v>6</v>
      </c>
      <c r="F1667" t="s">
        <v>6</v>
      </c>
      <c r="G1667" t="s">
        <v>6</v>
      </c>
      <c r="H1667">
        <v>58876.9</v>
      </c>
      <c r="I1667">
        <v>44286.45</v>
      </c>
      <c r="J1667">
        <v>0</v>
      </c>
    </row>
    <row r="1668" spans="1:10" x14ac:dyDescent="0.35">
      <c r="A1668">
        <v>318788</v>
      </c>
      <c r="B1668" t="s">
        <v>20</v>
      </c>
      <c r="C1668">
        <v>2015</v>
      </c>
      <c r="D1668">
        <v>4</v>
      </c>
      <c r="E1668" t="s">
        <v>6</v>
      </c>
      <c r="F1668" t="s">
        <v>6</v>
      </c>
      <c r="G1668" t="s">
        <v>6</v>
      </c>
      <c r="H1668">
        <v>23722.560000000001</v>
      </c>
      <c r="I1668">
        <v>8304.08</v>
      </c>
      <c r="J1668">
        <v>0</v>
      </c>
    </row>
    <row r="1669" spans="1:10" x14ac:dyDescent="0.35">
      <c r="A1669">
        <v>318805</v>
      </c>
      <c r="B1669" t="s">
        <v>20</v>
      </c>
      <c r="C1669">
        <v>2015</v>
      </c>
      <c r="D1669">
        <v>4</v>
      </c>
      <c r="E1669" t="s">
        <v>6</v>
      </c>
      <c r="F1669" t="s">
        <v>6</v>
      </c>
      <c r="G1669" t="s">
        <v>6</v>
      </c>
      <c r="H1669">
        <v>6081.32</v>
      </c>
      <c r="I1669">
        <v>6508.02</v>
      </c>
      <c r="J1669">
        <v>1</v>
      </c>
    </row>
    <row r="1670" spans="1:10" x14ac:dyDescent="0.35">
      <c r="A1670">
        <v>318814</v>
      </c>
      <c r="B1670" t="s">
        <v>20</v>
      </c>
      <c r="C1670">
        <v>2015</v>
      </c>
      <c r="D1670">
        <v>4</v>
      </c>
      <c r="E1670" t="s">
        <v>6</v>
      </c>
      <c r="F1670" t="s">
        <v>6</v>
      </c>
      <c r="G1670" t="s">
        <v>6</v>
      </c>
      <c r="H1670">
        <v>24370.560000000001</v>
      </c>
      <c r="I1670">
        <v>8425.41</v>
      </c>
      <c r="J1670">
        <v>0</v>
      </c>
    </row>
    <row r="1671" spans="1:10" x14ac:dyDescent="0.35">
      <c r="A1671">
        <v>318820</v>
      </c>
      <c r="B1671" t="s">
        <v>20</v>
      </c>
      <c r="C1671">
        <v>2015</v>
      </c>
      <c r="D1671">
        <v>4</v>
      </c>
      <c r="E1671" t="s">
        <v>6</v>
      </c>
      <c r="F1671" t="s">
        <v>6</v>
      </c>
      <c r="G1671" t="s">
        <v>6</v>
      </c>
      <c r="H1671">
        <v>7151.37</v>
      </c>
      <c r="I1671">
        <v>6845.78</v>
      </c>
      <c r="J1671">
        <v>0</v>
      </c>
    </row>
    <row r="1672" spans="1:10" x14ac:dyDescent="0.35">
      <c r="A1672">
        <v>318840</v>
      </c>
      <c r="B1672" t="s">
        <v>20</v>
      </c>
      <c r="C1672">
        <v>2015</v>
      </c>
      <c r="D1672">
        <v>4</v>
      </c>
      <c r="E1672" t="s">
        <v>6</v>
      </c>
      <c r="F1672" t="s">
        <v>6</v>
      </c>
      <c r="G1672" t="s">
        <v>6</v>
      </c>
      <c r="H1672">
        <v>5221.0200000000004</v>
      </c>
      <c r="I1672">
        <v>6293.94</v>
      </c>
      <c r="J1672">
        <v>1</v>
      </c>
    </row>
    <row r="1673" spans="1:10" x14ac:dyDescent="0.35">
      <c r="A1673">
        <v>318848</v>
      </c>
      <c r="B1673" t="s">
        <v>20</v>
      </c>
      <c r="C1673">
        <v>2015</v>
      </c>
      <c r="D1673">
        <v>4</v>
      </c>
      <c r="E1673" t="s">
        <v>6</v>
      </c>
      <c r="F1673" t="s">
        <v>6</v>
      </c>
      <c r="G1673" t="s">
        <v>6</v>
      </c>
      <c r="H1673">
        <v>43081.46</v>
      </c>
      <c r="I1673">
        <v>23745.95</v>
      </c>
      <c r="J1673">
        <v>0</v>
      </c>
    </row>
    <row r="1674" spans="1:10" x14ac:dyDescent="0.35">
      <c r="A1674">
        <v>318856</v>
      </c>
      <c r="B1674" t="s">
        <v>20</v>
      </c>
      <c r="C1674">
        <v>2015</v>
      </c>
      <c r="D1674">
        <v>4</v>
      </c>
      <c r="E1674" t="s">
        <v>6</v>
      </c>
      <c r="F1674" t="s">
        <v>6</v>
      </c>
      <c r="G1674" t="s">
        <v>6</v>
      </c>
      <c r="H1674">
        <v>5680.65</v>
      </c>
      <c r="I1674">
        <v>6407.59</v>
      </c>
      <c r="J1674">
        <v>1</v>
      </c>
    </row>
    <row r="1675" spans="1:10" x14ac:dyDescent="0.35">
      <c r="A1675">
        <v>318866</v>
      </c>
      <c r="B1675" t="s">
        <v>20</v>
      </c>
      <c r="C1675">
        <v>2015</v>
      </c>
      <c r="D1675">
        <v>4</v>
      </c>
      <c r="E1675" t="s">
        <v>6</v>
      </c>
      <c r="F1675" t="s">
        <v>6</v>
      </c>
      <c r="G1675" t="s">
        <v>6</v>
      </c>
      <c r="H1675">
        <v>4034.95</v>
      </c>
      <c r="I1675">
        <v>4750.41</v>
      </c>
      <c r="J1675">
        <v>1</v>
      </c>
    </row>
    <row r="1676" spans="1:10" x14ac:dyDescent="0.35">
      <c r="A1676">
        <v>318886</v>
      </c>
      <c r="B1676" t="s">
        <v>20</v>
      </c>
      <c r="C1676">
        <v>2015</v>
      </c>
      <c r="D1676">
        <v>4</v>
      </c>
      <c r="E1676" t="s">
        <v>6</v>
      </c>
      <c r="F1676" t="s">
        <v>6</v>
      </c>
      <c r="G1676" t="s">
        <v>6</v>
      </c>
      <c r="H1676">
        <v>23434.44</v>
      </c>
      <c r="I1676">
        <v>8102.08</v>
      </c>
      <c r="J1676">
        <v>0</v>
      </c>
    </row>
    <row r="1677" spans="1:10" x14ac:dyDescent="0.35">
      <c r="A1677">
        <v>318903</v>
      </c>
      <c r="B1677" t="s">
        <v>20</v>
      </c>
      <c r="C1677">
        <v>2015</v>
      </c>
      <c r="D1677">
        <v>4</v>
      </c>
      <c r="E1677" t="s">
        <v>6</v>
      </c>
      <c r="F1677" t="s">
        <v>6</v>
      </c>
      <c r="G1677" t="s">
        <v>6</v>
      </c>
      <c r="H1677">
        <v>23257.38</v>
      </c>
      <c r="I1677">
        <v>8157.81</v>
      </c>
      <c r="J1677">
        <v>0</v>
      </c>
    </row>
    <row r="1678" spans="1:10" x14ac:dyDescent="0.35">
      <c r="A1678">
        <v>318936</v>
      </c>
      <c r="B1678" t="s">
        <v>20</v>
      </c>
      <c r="C1678">
        <v>2015</v>
      </c>
      <c r="D1678">
        <v>4</v>
      </c>
      <c r="E1678" t="s">
        <v>6</v>
      </c>
      <c r="F1678" t="s">
        <v>6</v>
      </c>
      <c r="G1678" t="s">
        <v>6</v>
      </c>
      <c r="H1678">
        <v>98412.97</v>
      </c>
      <c r="I1678">
        <v>79617.350000000006</v>
      </c>
      <c r="J1678">
        <v>0</v>
      </c>
    </row>
    <row r="1679" spans="1:10" x14ac:dyDescent="0.35">
      <c r="A1679">
        <v>318947</v>
      </c>
      <c r="B1679" t="s">
        <v>20</v>
      </c>
      <c r="C1679">
        <v>2015</v>
      </c>
      <c r="D1679">
        <v>4</v>
      </c>
      <c r="E1679" t="s">
        <v>6</v>
      </c>
      <c r="F1679" t="s">
        <v>6</v>
      </c>
      <c r="G1679" t="s">
        <v>6</v>
      </c>
      <c r="H1679">
        <v>4027.19</v>
      </c>
      <c r="I1679">
        <v>4748.54</v>
      </c>
      <c r="J1679">
        <v>1</v>
      </c>
    </row>
    <row r="1680" spans="1:10" x14ac:dyDescent="0.35">
      <c r="A1680">
        <v>318954</v>
      </c>
      <c r="B1680" t="s">
        <v>20</v>
      </c>
      <c r="C1680">
        <v>2015</v>
      </c>
      <c r="D1680">
        <v>4</v>
      </c>
      <c r="E1680" t="s">
        <v>6</v>
      </c>
      <c r="F1680" t="s">
        <v>6</v>
      </c>
      <c r="G1680" t="s">
        <v>6</v>
      </c>
      <c r="H1680">
        <v>2926.15</v>
      </c>
      <c r="I1680">
        <v>3226.22</v>
      </c>
      <c r="J1680">
        <v>1</v>
      </c>
    </row>
    <row r="1681" spans="1:10" x14ac:dyDescent="0.35">
      <c r="A1681">
        <v>318979</v>
      </c>
      <c r="B1681" t="s">
        <v>20</v>
      </c>
      <c r="C1681">
        <v>2015</v>
      </c>
      <c r="D1681">
        <v>4</v>
      </c>
      <c r="E1681" t="s">
        <v>6</v>
      </c>
      <c r="F1681" t="s">
        <v>6</v>
      </c>
      <c r="G1681" t="s">
        <v>6</v>
      </c>
      <c r="H1681">
        <v>89650.83</v>
      </c>
      <c r="I1681">
        <v>80552.05</v>
      </c>
      <c r="J1681">
        <v>0</v>
      </c>
    </row>
    <row r="1682" spans="1:10" x14ac:dyDescent="0.35">
      <c r="A1682">
        <v>318987</v>
      </c>
      <c r="B1682" t="s">
        <v>20</v>
      </c>
      <c r="C1682">
        <v>2015</v>
      </c>
      <c r="D1682">
        <v>4</v>
      </c>
      <c r="E1682" t="s">
        <v>6</v>
      </c>
      <c r="F1682" t="s">
        <v>6</v>
      </c>
      <c r="G1682" t="s">
        <v>6</v>
      </c>
      <c r="H1682">
        <v>27287.39</v>
      </c>
      <c r="I1682">
        <v>16154.32</v>
      </c>
      <c r="J1682">
        <v>0</v>
      </c>
    </row>
    <row r="1683" spans="1:10" x14ac:dyDescent="0.35">
      <c r="A1683">
        <v>319025</v>
      </c>
      <c r="B1683" t="s">
        <v>20</v>
      </c>
      <c r="C1683">
        <v>2015</v>
      </c>
      <c r="D1683">
        <v>4</v>
      </c>
      <c r="E1683" t="s">
        <v>6</v>
      </c>
      <c r="F1683" t="s">
        <v>6</v>
      </c>
      <c r="G1683" t="s">
        <v>6</v>
      </c>
      <c r="H1683">
        <v>4042.71</v>
      </c>
      <c r="I1683">
        <v>4752.2700000000004</v>
      </c>
      <c r="J1683">
        <v>1</v>
      </c>
    </row>
    <row r="1684" spans="1:10" x14ac:dyDescent="0.35">
      <c r="A1684">
        <v>319033</v>
      </c>
      <c r="B1684" t="s">
        <v>20</v>
      </c>
      <c r="C1684">
        <v>2015</v>
      </c>
      <c r="D1684">
        <v>4</v>
      </c>
      <c r="E1684" t="s">
        <v>6</v>
      </c>
      <c r="F1684" t="s">
        <v>6</v>
      </c>
      <c r="G1684" t="s">
        <v>6</v>
      </c>
      <c r="H1684">
        <v>7281.05</v>
      </c>
      <c r="I1684">
        <v>6876.92</v>
      </c>
      <c r="J1684">
        <v>0</v>
      </c>
    </row>
    <row r="1685" spans="1:10" x14ac:dyDescent="0.35">
      <c r="A1685">
        <v>319036</v>
      </c>
      <c r="B1685" t="s">
        <v>20</v>
      </c>
      <c r="C1685">
        <v>2015</v>
      </c>
      <c r="D1685">
        <v>4</v>
      </c>
      <c r="E1685" t="s">
        <v>6</v>
      </c>
      <c r="F1685" t="s">
        <v>6</v>
      </c>
      <c r="G1685" t="s">
        <v>6</v>
      </c>
      <c r="H1685">
        <v>7314.92</v>
      </c>
      <c r="I1685">
        <v>8062.87</v>
      </c>
      <c r="J1685">
        <v>1</v>
      </c>
    </row>
    <row r="1686" spans="1:10" x14ac:dyDescent="0.35">
      <c r="A1686">
        <v>319042</v>
      </c>
      <c r="B1686" t="s">
        <v>20</v>
      </c>
      <c r="C1686">
        <v>2015</v>
      </c>
      <c r="D1686">
        <v>4</v>
      </c>
      <c r="E1686" t="s">
        <v>6</v>
      </c>
      <c r="F1686" t="s">
        <v>6</v>
      </c>
      <c r="G1686" t="s">
        <v>6</v>
      </c>
      <c r="H1686">
        <v>5151.51</v>
      </c>
      <c r="I1686">
        <v>6276.46</v>
      </c>
      <c r="J1686">
        <v>1</v>
      </c>
    </row>
    <row r="1687" spans="1:10" x14ac:dyDescent="0.35">
      <c r="A1687">
        <v>319064</v>
      </c>
      <c r="B1687" t="s">
        <v>20</v>
      </c>
      <c r="C1687">
        <v>2015</v>
      </c>
      <c r="D1687">
        <v>4</v>
      </c>
      <c r="E1687" t="s">
        <v>6</v>
      </c>
      <c r="F1687" t="s">
        <v>6</v>
      </c>
      <c r="G1687" t="s">
        <v>6</v>
      </c>
      <c r="H1687">
        <v>66546.720000000001</v>
      </c>
      <c r="I1687">
        <v>47179.94</v>
      </c>
      <c r="J1687">
        <v>0</v>
      </c>
    </row>
    <row r="1688" spans="1:10" x14ac:dyDescent="0.35">
      <c r="A1688">
        <v>319090</v>
      </c>
      <c r="B1688" t="s">
        <v>20</v>
      </c>
      <c r="C1688">
        <v>2015</v>
      </c>
      <c r="D1688">
        <v>4</v>
      </c>
      <c r="E1688" t="s">
        <v>6</v>
      </c>
      <c r="F1688" t="s">
        <v>6</v>
      </c>
      <c r="G1688" t="s">
        <v>6</v>
      </c>
      <c r="H1688">
        <v>36010.75</v>
      </c>
      <c r="I1688">
        <v>17031.62</v>
      </c>
      <c r="J1688">
        <v>0</v>
      </c>
    </row>
    <row r="1689" spans="1:10" x14ac:dyDescent="0.35">
      <c r="A1689">
        <v>319112</v>
      </c>
      <c r="B1689" t="s">
        <v>20</v>
      </c>
      <c r="C1689">
        <v>2015</v>
      </c>
      <c r="D1689">
        <v>4</v>
      </c>
      <c r="E1689" t="s">
        <v>6</v>
      </c>
      <c r="F1689" t="s">
        <v>6</v>
      </c>
      <c r="G1689" t="s">
        <v>6</v>
      </c>
      <c r="H1689">
        <v>3650.04</v>
      </c>
      <c r="I1689">
        <v>3412.23</v>
      </c>
      <c r="J1689">
        <v>0</v>
      </c>
    </row>
    <row r="1690" spans="1:10" x14ac:dyDescent="0.35">
      <c r="A1690">
        <v>319120</v>
      </c>
      <c r="B1690" t="s">
        <v>20</v>
      </c>
      <c r="C1690">
        <v>2015</v>
      </c>
      <c r="D1690">
        <v>4</v>
      </c>
      <c r="E1690" t="s">
        <v>6</v>
      </c>
      <c r="F1690" t="s">
        <v>6</v>
      </c>
      <c r="G1690" t="s">
        <v>6</v>
      </c>
      <c r="H1690">
        <v>5212.5600000000004</v>
      </c>
      <c r="I1690">
        <v>6295.01</v>
      </c>
      <c r="J1690">
        <v>1</v>
      </c>
    </row>
    <row r="1691" spans="1:10" x14ac:dyDescent="0.35">
      <c r="A1691">
        <v>319122</v>
      </c>
      <c r="B1691" t="s">
        <v>20</v>
      </c>
      <c r="C1691">
        <v>2015</v>
      </c>
      <c r="D1691">
        <v>4</v>
      </c>
      <c r="E1691" t="s">
        <v>6</v>
      </c>
      <c r="F1691" t="s">
        <v>6</v>
      </c>
      <c r="G1691" t="s">
        <v>6</v>
      </c>
      <c r="H1691">
        <v>6180.01</v>
      </c>
      <c r="I1691">
        <v>5354.6</v>
      </c>
      <c r="J1691">
        <v>0</v>
      </c>
    </row>
    <row r="1692" spans="1:10" x14ac:dyDescent="0.35">
      <c r="A1692">
        <v>319130</v>
      </c>
      <c r="B1692" t="s">
        <v>20</v>
      </c>
      <c r="C1692">
        <v>2015</v>
      </c>
      <c r="D1692">
        <v>4</v>
      </c>
      <c r="E1692" t="s">
        <v>6</v>
      </c>
      <c r="F1692" t="s">
        <v>6</v>
      </c>
      <c r="G1692" t="s">
        <v>6</v>
      </c>
      <c r="H1692">
        <v>6286.72</v>
      </c>
      <c r="I1692">
        <v>7807.46</v>
      </c>
      <c r="J1692">
        <v>1</v>
      </c>
    </row>
    <row r="1693" spans="1:10" x14ac:dyDescent="0.35">
      <c r="A1693">
        <v>319132</v>
      </c>
      <c r="B1693" t="s">
        <v>20</v>
      </c>
      <c r="C1693">
        <v>2015</v>
      </c>
      <c r="D1693">
        <v>4</v>
      </c>
      <c r="E1693" t="s">
        <v>6</v>
      </c>
      <c r="F1693" t="s">
        <v>6</v>
      </c>
      <c r="G1693" t="s">
        <v>6</v>
      </c>
      <c r="H1693">
        <v>5503.69</v>
      </c>
      <c r="I1693">
        <v>6363.82</v>
      </c>
      <c r="J1693">
        <v>1</v>
      </c>
    </row>
    <row r="1694" spans="1:10" x14ac:dyDescent="0.35">
      <c r="A1694">
        <v>319143</v>
      </c>
      <c r="B1694" t="s">
        <v>20</v>
      </c>
      <c r="C1694">
        <v>2015</v>
      </c>
      <c r="D1694">
        <v>4</v>
      </c>
      <c r="E1694" t="s">
        <v>6</v>
      </c>
      <c r="F1694" t="s">
        <v>6</v>
      </c>
      <c r="G1694" t="s">
        <v>6</v>
      </c>
      <c r="H1694">
        <v>74786.58</v>
      </c>
      <c r="I1694">
        <v>55595.9</v>
      </c>
      <c r="J1694">
        <v>0</v>
      </c>
    </row>
    <row r="1695" spans="1:10" x14ac:dyDescent="0.35">
      <c r="A1695">
        <v>319148</v>
      </c>
      <c r="B1695" t="s">
        <v>20</v>
      </c>
      <c r="C1695">
        <v>2015</v>
      </c>
      <c r="D1695">
        <v>4</v>
      </c>
      <c r="E1695" t="s">
        <v>6</v>
      </c>
      <c r="F1695" t="s">
        <v>6</v>
      </c>
      <c r="G1695" t="s">
        <v>6</v>
      </c>
      <c r="H1695">
        <v>23528.48</v>
      </c>
      <c r="I1695">
        <v>8160.12</v>
      </c>
      <c r="J1695">
        <v>0</v>
      </c>
    </row>
    <row r="1696" spans="1:10" x14ac:dyDescent="0.35">
      <c r="A1696">
        <v>319179</v>
      </c>
      <c r="B1696" t="s">
        <v>20</v>
      </c>
      <c r="C1696">
        <v>2015</v>
      </c>
      <c r="D1696">
        <v>4</v>
      </c>
      <c r="E1696" t="s">
        <v>6</v>
      </c>
      <c r="F1696" t="s">
        <v>6</v>
      </c>
      <c r="G1696" t="s">
        <v>6</v>
      </c>
      <c r="H1696">
        <v>26090.12</v>
      </c>
      <c r="I1696">
        <v>9032.5400000000009</v>
      </c>
      <c r="J1696">
        <v>0</v>
      </c>
    </row>
    <row r="1697" spans="1:10" x14ac:dyDescent="0.35">
      <c r="A1697">
        <v>319185</v>
      </c>
      <c r="B1697" t="s">
        <v>20</v>
      </c>
      <c r="C1697">
        <v>2015</v>
      </c>
      <c r="D1697">
        <v>4</v>
      </c>
      <c r="E1697" t="s">
        <v>6</v>
      </c>
      <c r="F1697" t="s">
        <v>6</v>
      </c>
      <c r="G1697" t="s">
        <v>6</v>
      </c>
      <c r="H1697">
        <v>24444.9</v>
      </c>
      <c r="I1697">
        <v>8443.39</v>
      </c>
      <c r="J1697">
        <v>0</v>
      </c>
    </row>
    <row r="1698" spans="1:10" x14ac:dyDescent="0.35">
      <c r="A1698">
        <v>319187</v>
      </c>
      <c r="B1698" t="s">
        <v>20</v>
      </c>
      <c r="C1698">
        <v>2015</v>
      </c>
      <c r="D1698">
        <v>4</v>
      </c>
      <c r="E1698" t="s">
        <v>6</v>
      </c>
      <c r="F1698" t="s">
        <v>6</v>
      </c>
      <c r="G1698" t="s">
        <v>6</v>
      </c>
      <c r="H1698">
        <v>5072.72</v>
      </c>
      <c r="I1698">
        <v>6253.62</v>
      </c>
      <c r="J1698">
        <v>1</v>
      </c>
    </row>
    <row r="1699" spans="1:10" x14ac:dyDescent="0.35">
      <c r="A1699">
        <v>319191</v>
      </c>
      <c r="B1699" t="s">
        <v>20</v>
      </c>
      <c r="C1699">
        <v>2015</v>
      </c>
      <c r="D1699">
        <v>4</v>
      </c>
      <c r="E1699" t="s">
        <v>6</v>
      </c>
      <c r="F1699" t="s">
        <v>6</v>
      </c>
      <c r="G1699" t="s">
        <v>6</v>
      </c>
      <c r="H1699">
        <v>5177.92</v>
      </c>
      <c r="I1699">
        <v>6283.27</v>
      </c>
      <c r="J1699">
        <v>1</v>
      </c>
    </row>
    <row r="1700" spans="1:10" x14ac:dyDescent="0.35">
      <c r="A1700">
        <v>319202</v>
      </c>
      <c r="B1700" t="s">
        <v>20</v>
      </c>
      <c r="C1700">
        <v>2015</v>
      </c>
      <c r="D1700">
        <v>4</v>
      </c>
      <c r="E1700" t="s">
        <v>6</v>
      </c>
      <c r="F1700" t="s">
        <v>6</v>
      </c>
      <c r="G1700" t="s">
        <v>6</v>
      </c>
      <c r="H1700">
        <v>5177.92</v>
      </c>
      <c r="I1700">
        <v>6283.27</v>
      </c>
      <c r="J1700">
        <v>1</v>
      </c>
    </row>
    <row r="1701" spans="1:10" x14ac:dyDescent="0.35">
      <c r="A1701">
        <v>319222</v>
      </c>
      <c r="B1701" t="s">
        <v>20</v>
      </c>
      <c r="C1701">
        <v>2015</v>
      </c>
      <c r="D1701">
        <v>4</v>
      </c>
      <c r="E1701" t="s">
        <v>6</v>
      </c>
      <c r="F1701" t="s">
        <v>6</v>
      </c>
      <c r="G1701" t="s">
        <v>6</v>
      </c>
      <c r="H1701">
        <v>4069.12</v>
      </c>
      <c r="I1701">
        <v>4759.08</v>
      </c>
      <c r="J1701">
        <v>1</v>
      </c>
    </row>
    <row r="1702" spans="1:10" x14ac:dyDescent="0.35">
      <c r="A1702">
        <v>319231</v>
      </c>
      <c r="B1702" t="s">
        <v>20</v>
      </c>
      <c r="C1702">
        <v>2015</v>
      </c>
      <c r="D1702">
        <v>4</v>
      </c>
      <c r="E1702" t="s">
        <v>6</v>
      </c>
      <c r="F1702" t="s">
        <v>6</v>
      </c>
      <c r="G1702" t="s">
        <v>6</v>
      </c>
      <c r="H1702">
        <v>5177.92</v>
      </c>
      <c r="I1702">
        <v>6283.27</v>
      </c>
      <c r="J1702">
        <v>1</v>
      </c>
    </row>
    <row r="1703" spans="1:10" x14ac:dyDescent="0.35">
      <c r="A1703">
        <v>319243</v>
      </c>
      <c r="B1703" t="s">
        <v>20</v>
      </c>
      <c r="C1703">
        <v>2015</v>
      </c>
      <c r="D1703">
        <v>4</v>
      </c>
      <c r="E1703" t="s">
        <v>6</v>
      </c>
      <c r="F1703" t="s">
        <v>6</v>
      </c>
      <c r="G1703" t="s">
        <v>6</v>
      </c>
      <c r="H1703">
        <v>5243.88</v>
      </c>
      <c r="I1703">
        <v>6299.69</v>
      </c>
      <c r="J1703">
        <v>1</v>
      </c>
    </row>
    <row r="1704" spans="1:10" x14ac:dyDescent="0.35">
      <c r="A1704">
        <v>319250</v>
      </c>
      <c r="B1704" t="s">
        <v>20</v>
      </c>
      <c r="C1704">
        <v>2015</v>
      </c>
      <c r="D1704">
        <v>4</v>
      </c>
      <c r="E1704" t="s">
        <v>6</v>
      </c>
      <c r="F1704" t="s">
        <v>6</v>
      </c>
      <c r="G1704" t="s">
        <v>6</v>
      </c>
      <c r="H1704">
        <v>6873.02</v>
      </c>
      <c r="I1704">
        <v>7952.69</v>
      </c>
      <c r="J1704">
        <v>1</v>
      </c>
    </row>
    <row r="1705" spans="1:10" x14ac:dyDescent="0.35">
      <c r="A1705">
        <v>319255</v>
      </c>
      <c r="B1705" t="s">
        <v>20</v>
      </c>
      <c r="C1705">
        <v>2015</v>
      </c>
      <c r="D1705">
        <v>4</v>
      </c>
      <c r="E1705" t="s">
        <v>6</v>
      </c>
      <c r="F1705" t="s">
        <v>6</v>
      </c>
      <c r="G1705" t="s">
        <v>6</v>
      </c>
      <c r="H1705">
        <v>6608.66</v>
      </c>
      <c r="I1705">
        <v>7887.26</v>
      </c>
      <c r="J1705">
        <v>1</v>
      </c>
    </row>
    <row r="1706" spans="1:10" x14ac:dyDescent="0.35">
      <c r="A1706">
        <v>319262</v>
      </c>
      <c r="B1706" t="s">
        <v>20</v>
      </c>
      <c r="C1706">
        <v>2015</v>
      </c>
      <c r="D1706">
        <v>4</v>
      </c>
      <c r="E1706" t="s">
        <v>6</v>
      </c>
      <c r="F1706" t="s">
        <v>6</v>
      </c>
      <c r="G1706" t="s">
        <v>6</v>
      </c>
      <c r="H1706">
        <v>4069.12</v>
      </c>
      <c r="I1706">
        <v>4759.08</v>
      </c>
      <c r="J1706">
        <v>1</v>
      </c>
    </row>
    <row r="1707" spans="1:10" x14ac:dyDescent="0.35">
      <c r="A1707">
        <v>319269</v>
      </c>
      <c r="B1707" t="s">
        <v>20</v>
      </c>
      <c r="C1707">
        <v>2015</v>
      </c>
      <c r="D1707">
        <v>4</v>
      </c>
      <c r="E1707" t="s">
        <v>6</v>
      </c>
      <c r="F1707" t="s">
        <v>6</v>
      </c>
      <c r="G1707" t="s">
        <v>6</v>
      </c>
      <c r="H1707">
        <v>2960.32</v>
      </c>
      <c r="I1707">
        <v>3234.89</v>
      </c>
      <c r="J1707">
        <v>1</v>
      </c>
    </row>
    <row r="1708" spans="1:10" x14ac:dyDescent="0.35">
      <c r="A1708">
        <v>319282</v>
      </c>
      <c r="B1708" t="s">
        <v>20</v>
      </c>
      <c r="C1708">
        <v>2015</v>
      </c>
      <c r="D1708">
        <v>4</v>
      </c>
      <c r="E1708" t="s">
        <v>6</v>
      </c>
      <c r="F1708" t="s">
        <v>6</v>
      </c>
      <c r="G1708" t="s">
        <v>6</v>
      </c>
      <c r="H1708">
        <v>3082.24</v>
      </c>
      <c r="I1708">
        <v>3264.17</v>
      </c>
      <c r="J1708">
        <v>1</v>
      </c>
    </row>
    <row r="1709" spans="1:10" x14ac:dyDescent="0.35">
      <c r="A1709">
        <v>319293</v>
      </c>
      <c r="B1709" t="s">
        <v>20</v>
      </c>
      <c r="C1709">
        <v>2015</v>
      </c>
      <c r="D1709">
        <v>4</v>
      </c>
      <c r="E1709" t="s">
        <v>6</v>
      </c>
      <c r="F1709" t="s">
        <v>6</v>
      </c>
      <c r="G1709" t="s">
        <v>6</v>
      </c>
      <c r="H1709">
        <v>7872.22</v>
      </c>
      <c r="I1709">
        <v>8232.85</v>
      </c>
      <c r="J1709">
        <v>1</v>
      </c>
    </row>
    <row r="1710" spans="1:10" x14ac:dyDescent="0.35">
      <c r="A1710">
        <v>319303</v>
      </c>
      <c r="B1710" t="s">
        <v>20</v>
      </c>
      <c r="C1710">
        <v>2015</v>
      </c>
      <c r="D1710">
        <v>4</v>
      </c>
      <c r="E1710" t="s">
        <v>6</v>
      </c>
      <c r="F1710" t="s">
        <v>6</v>
      </c>
      <c r="G1710" t="s">
        <v>6</v>
      </c>
      <c r="H1710">
        <v>3292</v>
      </c>
      <c r="I1710">
        <v>2130.5300000000002</v>
      </c>
      <c r="J1710">
        <v>0</v>
      </c>
    </row>
    <row r="1711" spans="1:10" x14ac:dyDescent="0.35">
      <c r="A1711">
        <v>319324</v>
      </c>
      <c r="B1711" t="s">
        <v>20</v>
      </c>
      <c r="C1711">
        <v>2015</v>
      </c>
      <c r="D1711">
        <v>4</v>
      </c>
      <c r="E1711" t="s">
        <v>6</v>
      </c>
      <c r="F1711" t="s">
        <v>6</v>
      </c>
      <c r="G1711" t="s">
        <v>6</v>
      </c>
      <c r="H1711">
        <v>38574.57</v>
      </c>
      <c r="I1711">
        <v>26232.07</v>
      </c>
      <c r="J1711">
        <v>0</v>
      </c>
    </row>
    <row r="1712" spans="1:10" x14ac:dyDescent="0.35">
      <c r="A1712">
        <v>319331</v>
      </c>
      <c r="B1712" t="s">
        <v>20</v>
      </c>
      <c r="C1712">
        <v>2015</v>
      </c>
      <c r="D1712">
        <v>4</v>
      </c>
      <c r="E1712" t="s">
        <v>6</v>
      </c>
      <c r="F1712" t="s">
        <v>6</v>
      </c>
      <c r="G1712" t="s">
        <v>6</v>
      </c>
      <c r="H1712">
        <v>20024.68</v>
      </c>
      <c r="I1712">
        <v>6303.81</v>
      </c>
      <c r="J1712">
        <v>0</v>
      </c>
    </row>
    <row r="1713" spans="1:10" x14ac:dyDescent="0.35">
      <c r="A1713">
        <v>319335</v>
      </c>
      <c r="B1713" t="s">
        <v>20</v>
      </c>
      <c r="C1713">
        <v>2015</v>
      </c>
      <c r="D1713">
        <v>4</v>
      </c>
      <c r="E1713" t="s">
        <v>6</v>
      </c>
      <c r="F1713" t="s">
        <v>6</v>
      </c>
      <c r="G1713" t="s">
        <v>6</v>
      </c>
      <c r="H1713">
        <v>168977.86</v>
      </c>
      <c r="I1713">
        <v>123362.47</v>
      </c>
      <c r="J1713">
        <v>0</v>
      </c>
    </row>
    <row r="1714" spans="1:10" x14ac:dyDescent="0.35">
      <c r="A1714">
        <v>319352</v>
      </c>
      <c r="B1714" t="s">
        <v>20</v>
      </c>
      <c r="C1714">
        <v>2015</v>
      </c>
      <c r="D1714">
        <v>4</v>
      </c>
      <c r="E1714" t="s">
        <v>6</v>
      </c>
      <c r="F1714" t="s">
        <v>6</v>
      </c>
      <c r="G1714" t="s">
        <v>6</v>
      </c>
      <c r="H1714">
        <v>5079.5200000000004</v>
      </c>
      <c r="I1714">
        <v>6258.89</v>
      </c>
      <c r="J1714">
        <v>1</v>
      </c>
    </row>
    <row r="1715" spans="1:10" x14ac:dyDescent="0.35">
      <c r="A1715">
        <v>319360</v>
      </c>
      <c r="B1715" t="s">
        <v>20</v>
      </c>
      <c r="C1715">
        <v>2015</v>
      </c>
      <c r="D1715">
        <v>4</v>
      </c>
      <c r="E1715" t="s">
        <v>6</v>
      </c>
      <c r="F1715" t="s">
        <v>6</v>
      </c>
      <c r="G1715" t="s">
        <v>6</v>
      </c>
      <c r="H1715">
        <v>39532.99</v>
      </c>
      <c r="I1715">
        <v>25934.080000000002</v>
      </c>
      <c r="J1715">
        <v>0</v>
      </c>
    </row>
    <row r="1716" spans="1:10" x14ac:dyDescent="0.35">
      <c r="A1716">
        <v>319368</v>
      </c>
      <c r="B1716" t="s">
        <v>20</v>
      </c>
      <c r="C1716">
        <v>2015</v>
      </c>
      <c r="D1716">
        <v>4</v>
      </c>
      <c r="E1716" t="s">
        <v>6</v>
      </c>
      <c r="F1716" t="s">
        <v>6</v>
      </c>
      <c r="G1716" t="s">
        <v>6</v>
      </c>
      <c r="H1716">
        <v>5233.58</v>
      </c>
      <c r="I1716">
        <v>3875.21</v>
      </c>
      <c r="J1716">
        <v>0</v>
      </c>
    </row>
    <row r="1717" spans="1:10" x14ac:dyDescent="0.35">
      <c r="A1717">
        <v>319375</v>
      </c>
      <c r="B1717" t="s">
        <v>20</v>
      </c>
      <c r="C1717">
        <v>2015</v>
      </c>
      <c r="D1717">
        <v>4</v>
      </c>
      <c r="E1717" t="s">
        <v>6</v>
      </c>
      <c r="F1717" t="s">
        <v>6</v>
      </c>
      <c r="G1717" t="s">
        <v>6</v>
      </c>
      <c r="H1717">
        <v>5185.68</v>
      </c>
      <c r="I1717">
        <v>6285.13</v>
      </c>
      <c r="J1717">
        <v>1</v>
      </c>
    </row>
    <row r="1718" spans="1:10" x14ac:dyDescent="0.35">
      <c r="A1718">
        <v>319398</v>
      </c>
      <c r="B1718" t="s">
        <v>20</v>
      </c>
      <c r="C1718">
        <v>2015</v>
      </c>
      <c r="D1718">
        <v>4</v>
      </c>
      <c r="E1718" t="s">
        <v>6</v>
      </c>
      <c r="F1718" t="s">
        <v>6</v>
      </c>
      <c r="G1718" t="s">
        <v>6</v>
      </c>
      <c r="H1718">
        <v>4069.12</v>
      </c>
      <c r="I1718">
        <v>4759.08</v>
      </c>
      <c r="J1718">
        <v>1</v>
      </c>
    </row>
    <row r="1719" spans="1:10" x14ac:dyDescent="0.35">
      <c r="A1719">
        <v>319411</v>
      </c>
      <c r="B1719" t="s">
        <v>20</v>
      </c>
      <c r="C1719">
        <v>2015</v>
      </c>
      <c r="D1719">
        <v>4</v>
      </c>
      <c r="E1719" t="s">
        <v>6</v>
      </c>
      <c r="F1719" t="s">
        <v>6</v>
      </c>
      <c r="G1719" t="s">
        <v>6</v>
      </c>
      <c r="H1719">
        <v>4069.12</v>
      </c>
      <c r="I1719">
        <v>4759.08</v>
      </c>
      <c r="J1719">
        <v>1</v>
      </c>
    </row>
    <row r="1720" spans="1:10" x14ac:dyDescent="0.35">
      <c r="A1720">
        <v>319415</v>
      </c>
      <c r="B1720" t="s">
        <v>20</v>
      </c>
      <c r="C1720">
        <v>2015</v>
      </c>
      <c r="D1720">
        <v>4</v>
      </c>
      <c r="E1720" t="s">
        <v>6</v>
      </c>
      <c r="F1720" t="s">
        <v>6</v>
      </c>
      <c r="G1720" t="s">
        <v>6</v>
      </c>
      <c r="H1720">
        <v>5177.92</v>
      </c>
      <c r="I1720">
        <v>6283.27</v>
      </c>
      <c r="J1720">
        <v>1</v>
      </c>
    </row>
    <row r="1721" spans="1:10" x14ac:dyDescent="0.35">
      <c r="A1721">
        <v>319424</v>
      </c>
      <c r="B1721" t="s">
        <v>20</v>
      </c>
      <c r="C1721">
        <v>2015</v>
      </c>
      <c r="D1721">
        <v>4</v>
      </c>
      <c r="E1721" t="s">
        <v>6</v>
      </c>
      <c r="F1721" t="s">
        <v>6</v>
      </c>
      <c r="G1721" t="s">
        <v>6</v>
      </c>
      <c r="H1721">
        <v>5063.76</v>
      </c>
      <c r="I1721">
        <v>6255.85</v>
      </c>
      <c r="J1721">
        <v>1</v>
      </c>
    </row>
    <row r="1722" spans="1:10" x14ac:dyDescent="0.35">
      <c r="A1722">
        <v>319444</v>
      </c>
      <c r="B1722" t="s">
        <v>20</v>
      </c>
      <c r="C1722">
        <v>2015</v>
      </c>
      <c r="D1722">
        <v>4</v>
      </c>
      <c r="E1722" t="s">
        <v>6</v>
      </c>
      <c r="F1722" t="s">
        <v>6</v>
      </c>
      <c r="G1722" t="s">
        <v>6</v>
      </c>
      <c r="H1722">
        <v>6278.96</v>
      </c>
      <c r="I1722">
        <v>7805.59</v>
      </c>
      <c r="J1722">
        <v>1</v>
      </c>
    </row>
    <row r="1723" spans="1:10" x14ac:dyDescent="0.35">
      <c r="A1723">
        <v>319445</v>
      </c>
      <c r="B1723" t="s">
        <v>20</v>
      </c>
      <c r="C1723">
        <v>2015</v>
      </c>
      <c r="D1723">
        <v>4</v>
      </c>
      <c r="E1723" t="s">
        <v>6</v>
      </c>
      <c r="F1723" t="s">
        <v>6</v>
      </c>
      <c r="G1723" t="s">
        <v>6</v>
      </c>
      <c r="H1723">
        <v>4087.72</v>
      </c>
      <c r="I1723">
        <v>4763.54</v>
      </c>
      <c r="J1723">
        <v>1</v>
      </c>
    </row>
    <row r="1724" spans="1:10" x14ac:dyDescent="0.35">
      <c r="A1724">
        <v>319449</v>
      </c>
      <c r="B1724" t="s">
        <v>20</v>
      </c>
      <c r="C1724">
        <v>2015</v>
      </c>
      <c r="D1724">
        <v>4</v>
      </c>
      <c r="E1724" t="s">
        <v>6</v>
      </c>
      <c r="F1724" t="s">
        <v>6</v>
      </c>
      <c r="G1724" t="s">
        <v>6</v>
      </c>
      <c r="H1724">
        <v>50053.34</v>
      </c>
      <c r="I1724">
        <v>25006.22</v>
      </c>
      <c r="J1724">
        <v>0</v>
      </c>
    </row>
    <row r="1725" spans="1:10" x14ac:dyDescent="0.35">
      <c r="A1725">
        <v>319451</v>
      </c>
      <c r="B1725" t="s">
        <v>20</v>
      </c>
      <c r="C1725">
        <v>2015</v>
      </c>
      <c r="D1725">
        <v>4</v>
      </c>
      <c r="E1725" t="s">
        <v>6</v>
      </c>
      <c r="F1725" t="s">
        <v>6</v>
      </c>
      <c r="G1725" t="s">
        <v>6</v>
      </c>
      <c r="H1725">
        <v>29970.26</v>
      </c>
      <c r="I1725">
        <v>10229.66</v>
      </c>
      <c r="J1725">
        <v>0</v>
      </c>
    </row>
    <row r="1726" spans="1:10" x14ac:dyDescent="0.35">
      <c r="A1726">
        <v>319454</v>
      </c>
      <c r="B1726" t="s">
        <v>20</v>
      </c>
      <c r="C1726">
        <v>2015</v>
      </c>
      <c r="D1726">
        <v>4</v>
      </c>
      <c r="E1726" t="s">
        <v>6</v>
      </c>
      <c r="F1726" t="s">
        <v>6</v>
      </c>
      <c r="G1726" t="s">
        <v>6</v>
      </c>
      <c r="H1726">
        <v>2181.02</v>
      </c>
      <c r="I1726">
        <v>1792.54</v>
      </c>
      <c r="J1726">
        <v>0</v>
      </c>
    </row>
    <row r="1727" spans="1:10" x14ac:dyDescent="0.35">
      <c r="A1727">
        <v>319461</v>
      </c>
      <c r="B1727" t="s">
        <v>20</v>
      </c>
      <c r="C1727">
        <v>2015</v>
      </c>
      <c r="D1727">
        <v>4</v>
      </c>
      <c r="E1727" t="s">
        <v>6</v>
      </c>
      <c r="F1727" t="s">
        <v>6</v>
      </c>
      <c r="G1727" t="s">
        <v>6</v>
      </c>
      <c r="H1727">
        <v>5170.16</v>
      </c>
      <c r="I1727">
        <v>6281.4</v>
      </c>
      <c r="J1727">
        <v>1</v>
      </c>
    </row>
    <row r="1728" spans="1:10" x14ac:dyDescent="0.35">
      <c r="A1728">
        <v>319466</v>
      </c>
      <c r="B1728" t="s">
        <v>20</v>
      </c>
      <c r="C1728">
        <v>2015</v>
      </c>
      <c r="D1728">
        <v>4</v>
      </c>
      <c r="E1728" t="s">
        <v>6</v>
      </c>
      <c r="F1728" t="s">
        <v>6</v>
      </c>
      <c r="G1728" t="s">
        <v>6</v>
      </c>
      <c r="H1728">
        <v>1737.72</v>
      </c>
      <c r="I1728">
        <v>1682.51</v>
      </c>
      <c r="J1728">
        <v>0</v>
      </c>
    </row>
    <row r="1729" spans="1:10" x14ac:dyDescent="0.35">
      <c r="A1729">
        <v>319474</v>
      </c>
      <c r="B1729" t="s">
        <v>20</v>
      </c>
      <c r="C1729">
        <v>2015</v>
      </c>
      <c r="D1729">
        <v>4</v>
      </c>
      <c r="E1729" t="s">
        <v>6</v>
      </c>
      <c r="F1729" t="s">
        <v>6</v>
      </c>
      <c r="G1729" t="s">
        <v>6</v>
      </c>
      <c r="H1729">
        <v>2949.48</v>
      </c>
      <c r="I1729">
        <v>3232.28</v>
      </c>
      <c r="J1729">
        <v>1</v>
      </c>
    </row>
    <row r="1730" spans="1:10" x14ac:dyDescent="0.35">
      <c r="A1730">
        <v>319483</v>
      </c>
      <c r="B1730" t="s">
        <v>20</v>
      </c>
      <c r="C1730">
        <v>2015</v>
      </c>
      <c r="D1730">
        <v>4</v>
      </c>
      <c r="E1730" t="s">
        <v>6</v>
      </c>
      <c r="F1730" t="s">
        <v>6</v>
      </c>
      <c r="G1730" t="s">
        <v>6</v>
      </c>
      <c r="H1730">
        <v>5170.16</v>
      </c>
      <c r="I1730">
        <v>6281.4</v>
      </c>
      <c r="J1730">
        <v>1</v>
      </c>
    </row>
    <row r="1731" spans="1:10" x14ac:dyDescent="0.35">
      <c r="A1731">
        <v>319491</v>
      </c>
      <c r="B1731" t="s">
        <v>20</v>
      </c>
      <c r="C1731">
        <v>2015</v>
      </c>
      <c r="D1731">
        <v>4</v>
      </c>
      <c r="E1731" t="s">
        <v>6</v>
      </c>
      <c r="F1731" t="s">
        <v>6</v>
      </c>
      <c r="G1731" t="s">
        <v>6</v>
      </c>
      <c r="H1731">
        <v>7443.42</v>
      </c>
      <c r="I1731">
        <v>6921.72</v>
      </c>
      <c r="J1731">
        <v>0</v>
      </c>
    </row>
    <row r="1732" spans="1:10" x14ac:dyDescent="0.35">
      <c r="A1732">
        <v>319492</v>
      </c>
      <c r="B1732" t="s">
        <v>20</v>
      </c>
      <c r="C1732">
        <v>2015</v>
      </c>
      <c r="D1732">
        <v>4</v>
      </c>
      <c r="E1732" t="s">
        <v>6</v>
      </c>
      <c r="F1732" t="s">
        <v>6</v>
      </c>
      <c r="G1732" t="s">
        <v>6</v>
      </c>
      <c r="H1732">
        <v>4178.92</v>
      </c>
      <c r="I1732">
        <v>4786.28</v>
      </c>
      <c r="J1732">
        <v>1</v>
      </c>
    </row>
    <row r="1733" spans="1:10" x14ac:dyDescent="0.35">
      <c r="A1733">
        <v>319499</v>
      </c>
      <c r="B1733" t="s">
        <v>20</v>
      </c>
      <c r="C1733">
        <v>2015</v>
      </c>
      <c r="D1733">
        <v>4</v>
      </c>
      <c r="E1733" t="s">
        <v>6</v>
      </c>
      <c r="F1733" t="s">
        <v>6</v>
      </c>
      <c r="G1733" t="s">
        <v>6</v>
      </c>
      <c r="H1733">
        <v>3978.48</v>
      </c>
      <c r="I1733">
        <v>4736.57</v>
      </c>
      <c r="J1733">
        <v>1</v>
      </c>
    </row>
    <row r="1734" spans="1:10" x14ac:dyDescent="0.35">
      <c r="A1734">
        <v>319513</v>
      </c>
      <c r="B1734" t="s">
        <v>20</v>
      </c>
      <c r="C1734">
        <v>2015</v>
      </c>
      <c r="D1734">
        <v>4</v>
      </c>
      <c r="E1734" t="s">
        <v>6</v>
      </c>
      <c r="F1734" t="s">
        <v>6</v>
      </c>
      <c r="G1734" t="s">
        <v>6</v>
      </c>
      <c r="H1734">
        <v>4076.88</v>
      </c>
      <c r="I1734">
        <v>4760.9399999999996</v>
      </c>
      <c r="J1734">
        <v>1</v>
      </c>
    </row>
    <row r="1735" spans="1:10" x14ac:dyDescent="0.35">
      <c r="A1735">
        <v>319517</v>
      </c>
      <c r="B1735" t="s">
        <v>20</v>
      </c>
      <c r="C1735">
        <v>2015</v>
      </c>
      <c r="D1735">
        <v>4</v>
      </c>
      <c r="E1735" t="s">
        <v>6</v>
      </c>
      <c r="F1735" t="s">
        <v>6</v>
      </c>
      <c r="G1735" t="s">
        <v>6</v>
      </c>
      <c r="H1735">
        <v>24003.4</v>
      </c>
      <c r="I1735">
        <v>8371.8799999999992</v>
      </c>
      <c r="J1735">
        <v>0</v>
      </c>
    </row>
    <row r="1736" spans="1:10" x14ac:dyDescent="0.35">
      <c r="A1736">
        <v>319519</v>
      </c>
      <c r="B1736" t="s">
        <v>20</v>
      </c>
      <c r="C1736">
        <v>2015</v>
      </c>
      <c r="D1736">
        <v>4</v>
      </c>
      <c r="E1736" t="s">
        <v>6</v>
      </c>
      <c r="F1736" t="s">
        <v>6</v>
      </c>
      <c r="G1736" t="s">
        <v>6</v>
      </c>
      <c r="H1736">
        <v>23920.46</v>
      </c>
      <c r="I1736">
        <v>8366.5</v>
      </c>
      <c r="J1736">
        <v>0</v>
      </c>
    </row>
    <row r="1737" spans="1:10" x14ac:dyDescent="0.35">
      <c r="A1737">
        <v>319520</v>
      </c>
      <c r="B1737" t="s">
        <v>20</v>
      </c>
      <c r="C1737">
        <v>2015</v>
      </c>
      <c r="D1737">
        <v>4</v>
      </c>
      <c r="E1737" t="s">
        <v>6</v>
      </c>
      <c r="F1737" t="s">
        <v>6</v>
      </c>
      <c r="G1737" t="s">
        <v>6</v>
      </c>
      <c r="H1737">
        <v>4069.12</v>
      </c>
      <c r="I1737">
        <v>4759.08</v>
      </c>
      <c r="J1737">
        <v>1</v>
      </c>
    </row>
    <row r="1738" spans="1:10" x14ac:dyDescent="0.35">
      <c r="A1738">
        <v>319527</v>
      </c>
      <c r="B1738" t="s">
        <v>20</v>
      </c>
      <c r="C1738">
        <v>2015</v>
      </c>
      <c r="D1738">
        <v>4</v>
      </c>
      <c r="E1738" t="s">
        <v>6</v>
      </c>
      <c r="F1738" t="s">
        <v>6</v>
      </c>
      <c r="G1738" t="s">
        <v>6</v>
      </c>
      <c r="H1738">
        <v>5539.66</v>
      </c>
      <c r="I1738">
        <v>5156.05</v>
      </c>
      <c r="J1738">
        <v>0</v>
      </c>
    </row>
    <row r="1739" spans="1:10" x14ac:dyDescent="0.35">
      <c r="A1739">
        <v>319532</v>
      </c>
      <c r="B1739" t="s">
        <v>20</v>
      </c>
      <c r="C1739">
        <v>2015</v>
      </c>
      <c r="D1739">
        <v>4</v>
      </c>
      <c r="E1739" t="s">
        <v>6</v>
      </c>
      <c r="F1739" t="s">
        <v>6</v>
      </c>
      <c r="G1739" t="s">
        <v>6</v>
      </c>
      <c r="H1739">
        <v>6723.16</v>
      </c>
      <c r="I1739">
        <v>6699.41</v>
      </c>
      <c r="J1739">
        <v>0</v>
      </c>
    </row>
    <row r="1740" spans="1:10" x14ac:dyDescent="0.35">
      <c r="A1740">
        <v>319538</v>
      </c>
      <c r="B1740" t="s">
        <v>20</v>
      </c>
      <c r="C1740">
        <v>2015</v>
      </c>
      <c r="D1740">
        <v>4</v>
      </c>
      <c r="E1740" t="s">
        <v>6</v>
      </c>
      <c r="F1740" t="s">
        <v>6</v>
      </c>
      <c r="G1740" t="s">
        <v>6</v>
      </c>
      <c r="H1740">
        <v>3971.68</v>
      </c>
      <c r="I1740">
        <v>4731.29</v>
      </c>
      <c r="J1740">
        <v>1</v>
      </c>
    </row>
    <row r="1741" spans="1:10" x14ac:dyDescent="0.35">
      <c r="A1741">
        <v>319543</v>
      </c>
      <c r="B1741" t="s">
        <v>20</v>
      </c>
      <c r="C1741">
        <v>2015</v>
      </c>
      <c r="D1741">
        <v>4</v>
      </c>
      <c r="E1741" t="s">
        <v>6</v>
      </c>
      <c r="F1741" t="s">
        <v>6</v>
      </c>
      <c r="G1741" t="s">
        <v>6</v>
      </c>
      <c r="H1741">
        <v>3963.92</v>
      </c>
      <c r="I1741">
        <v>4729.43</v>
      </c>
      <c r="J1741">
        <v>1</v>
      </c>
    </row>
    <row r="1742" spans="1:10" x14ac:dyDescent="0.35">
      <c r="A1742">
        <v>319547</v>
      </c>
      <c r="B1742" t="s">
        <v>20</v>
      </c>
      <c r="C1742">
        <v>2015</v>
      </c>
      <c r="D1742">
        <v>4</v>
      </c>
      <c r="E1742" t="s">
        <v>6</v>
      </c>
      <c r="F1742" t="s">
        <v>6</v>
      </c>
      <c r="G1742" t="s">
        <v>6</v>
      </c>
      <c r="H1742">
        <v>2960.32</v>
      </c>
      <c r="I1742">
        <v>3234.89</v>
      </c>
      <c r="J1742">
        <v>1</v>
      </c>
    </row>
    <row r="1743" spans="1:10" x14ac:dyDescent="0.35">
      <c r="A1743">
        <v>319549</v>
      </c>
      <c r="B1743" t="s">
        <v>20</v>
      </c>
      <c r="C1743">
        <v>2015</v>
      </c>
      <c r="D1743">
        <v>4</v>
      </c>
      <c r="E1743" t="s">
        <v>6</v>
      </c>
      <c r="F1743" t="s">
        <v>6</v>
      </c>
      <c r="G1743" t="s">
        <v>6</v>
      </c>
      <c r="H1743">
        <v>7443.42</v>
      </c>
      <c r="I1743">
        <v>6921.72</v>
      </c>
      <c r="J1743">
        <v>0</v>
      </c>
    </row>
    <row r="1744" spans="1:10" x14ac:dyDescent="0.35">
      <c r="A1744">
        <v>319553</v>
      </c>
      <c r="B1744" t="s">
        <v>20</v>
      </c>
      <c r="C1744">
        <v>2015</v>
      </c>
      <c r="D1744">
        <v>4</v>
      </c>
      <c r="E1744" t="s">
        <v>6</v>
      </c>
      <c r="F1744" t="s">
        <v>6</v>
      </c>
      <c r="G1744" t="s">
        <v>6</v>
      </c>
      <c r="H1744">
        <v>6712.78</v>
      </c>
      <c r="I1744">
        <v>5491.4</v>
      </c>
      <c r="J1744">
        <v>0</v>
      </c>
    </row>
    <row r="1745" spans="1:10" x14ac:dyDescent="0.35">
      <c r="A1745">
        <v>319555</v>
      </c>
      <c r="B1745" t="s">
        <v>20</v>
      </c>
      <c r="C1745">
        <v>2015</v>
      </c>
      <c r="D1745">
        <v>4</v>
      </c>
      <c r="E1745" t="s">
        <v>6</v>
      </c>
      <c r="F1745" t="s">
        <v>6</v>
      </c>
      <c r="G1745" t="s">
        <v>6</v>
      </c>
      <c r="H1745">
        <v>5446.72</v>
      </c>
      <c r="I1745">
        <v>6349.85</v>
      </c>
      <c r="J1745">
        <v>1</v>
      </c>
    </row>
    <row r="1746" spans="1:10" x14ac:dyDescent="0.35">
      <c r="A1746">
        <v>319561</v>
      </c>
      <c r="B1746" t="s">
        <v>20</v>
      </c>
      <c r="C1746">
        <v>2015</v>
      </c>
      <c r="D1746">
        <v>4</v>
      </c>
      <c r="E1746" t="s">
        <v>6</v>
      </c>
      <c r="F1746" t="s">
        <v>6</v>
      </c>
      <c r="G1746" t="s">
        <v>6</v>
      </c>
      <c r="H1746">
        <v>24033.360000000001</v>
      </c>
      <c r="I1746">
        <v>8382.36</v>
      </c>
      <c r="J1746">
        <v>0</v>
      </c>
    </row>
    <row r="1747" spans="1:10" x14ac:dyDescent="0.35">
      <c r="A1747">
        <v>319565</v>
      </c>
      <c r="B1747" t="s">
        <v>20</v>
      </c>
      <c r="C1747">
        <v>2015</v>
      </c>
      <c r="D1747">
        <v>4</v>
      </c>
      <c r="E1747" t="s">
        <v>6</v>
      </c>
      <c r="F1747" t="s">
        <v>6</v>
      </c>
      <c r="G1747" t="s">
        <v>6</v>
      </c>
      <c r="H1747">
        <v>4076.88</v>
      </c>
      <c r="I1747">
        <v>4760.9399999999996</v>
      </c>
      <c r="J1747">
        <v>1</v>
      </c>
    </row>
    <row r="1748" spans="1:10" x14ac:dyDescent="0.35">
      <c r="A1748">
        <v>319578</v>
      </c>
      <c r="B1748" t="s">
        <v>20</v>
      </c>
      <c r="C1748">
        <v>2015</v>
      </c>
      <c r="D1748">
        <v>4</v>
      </c>
      <c r="E1748" t="s">
        <v>6</v>
      </c>
      <c r="F1748" t="s">
        <v>6</v>
      </c>
      <c r="G1748" t="s">
        <v>6</v>
      </c>
      <c r="H1748">
        <v>2952.56</v>
      </c>
      <c r="I1748">
        <v>3233.02</v>
      </c>
      <c r="J1748">
        <v>1</v>
      </c>
    </row>
    <row r="1749" spans="1:10" x14ac:dyDescent="0.35">
      <c r="A1749">
        <v>319580</v>
      </c>
      <c r="B1749" t="s">
        <v>20</v>
      </c>
      <c r="C1749">
        <v>2015</v>
      </c>
      <c r="D1749">
        <v>4</v>
      </c>
      <c r="E1749" t="s">
        <v>6</v>
      </c>
      <c r="F1749" t="s">
        <v>6</v>
      </c>
      <c r="G1749" t="s">
        <v>6</v>
      </c>
      <c r="H1749">
        <v>99895.88</v>
      </c>
      <c r="I1749">
        <v>84681.45</v>
      </c>
      <c r="J1749">
        <v>0</v>
      </c>
    </row>
    <row r="1750" spans="1:10" x14ac:dyDescent="0.35">
      <c r="A1750">
        <v>319586</v>
      </c>
      <c r="B1750" t="s">
        <v>20</v>
      </c>
      <c r="C1750">
        <v>2015</v>
      </c>
      <c r="D1750">
        <v>4</v>
      </c>
      <c r="E1750" t="s">
        <v>6</v>
      </c>
      <c r="F1750" t="s">
        <v>6</v>
      </c>
      <c r="G1750" t="s">
        <v>6</v>
      </c>
      <c r="H1750">
        <v>2237945.7999999998</v>
      </c>
      <c r="I1750">
        <v>783455.05</v>
      </c>
      <c r="J1750">
        <v>0</v>
      </c>
    </row>
    <row r="1751" spans="1:10" x14ac:dyDescent="0.35">
      <c r="A1751">
        <v>319601</v>
      </c>
      <c r="B1751" t="s">
        <v>20</v>
      </c>
      <c r="C1751">
        <v>2015</v>
      </c>
      <c r="D1751">
        <v>4</v>
      </c>
      <c r="E1751" t="s">
        <v>6</v>
      </c>
      <c r="F1751" t="s">
        <v>6</v>
      </c>
      <c r="G1751" t="s">
        <v>6</v>
      </c>
      <c r="H1751">
        <v>5177.92</v>
      </c>
      <c r="I1751">
        <v>6283.27</v>
      </c>
      <c r="J1751">
        <v>1</v>
      </c>
    </row>
    <row r="1752" spans="1:10" x14ac:dyDescent="0.35">
      <c r="A1752">
        <v>319605</v>
      </c>
      <c r="B1752" t="s">
        <v>20</v>
      </c>
      <c r="C1752">
        <v>2015</v>
      </c>
      <c r="D1752">
        <v>4</v>
      </c>
      <c r="E1752" t="s">
        <v>6</v>
      </c>
      <c r="F1752" t="s">
        <v>6</v>
      </c>
      <c r="G1752" t="s">
        <v>6</v>
      </c>
      <c r="H1752">
        <v>198105.46</v>
      </c>
      <c r="I1752">
        <v>94693.9</v>
      </c>
      <c r="J1752">
        <v>0</v>
      </c>
    </row>
    <row r="1753" spans="1:10" x14ac:dyDescent="0.35">
      <c r="A1753">
        <v>319608</v>
      </c>
      <c r="B1753" t="s">
        <v>20</v>
      </c>
      <c r="C1753">
        <v>2015</v>
      </c>
      <c r="D1753">
        <v>4</v>
      </c>
      <c r="E1753" t="s">
        <v>6</v>
      </c>
      <c r="F1753" t="s">
        <v>6</v>
      </c>
      <c r="G1753" t="s">
        <v>6</v>
      </c>
      <c r="H1753">
        <v>4061.36</v>
      </c>
      <c r="I1753">
        <v>4757.21</v>
      </c>
      <c r="J1753">
        <v>1</v>
      </c>
    </row>
    <row r="1754" spans="1:10" x14ac:dyDescent="0.35">
      <c r="A1754">
        <v>319616</v>
      </c>
      <c r="B1754" t="s">
        <v>20</v>
      </c>
      <c r="C1754">
        <v>2015</v>
      </c>
      <c r="D1754">
        <v>4</v>
      </c>
      <c r="E1754" t="s">
        <v>6</v>
      </c>
      <c r="F1754" t="s">
        <v>6</v>
      </c>
      <c r="G1754" t="s">
        <v>6</v>
      </c>
      <c r="H1754">
        <v>5177.92</v>
      </c>
      <c r="I1754">
        <v>6283.27</v>
      </c>
      <c r="J1754">
        <v>1</v>
      </c>
    </row>
    <row r="1755" spans="1:10" x14ac:dyDescent="0.35">
      <c r="A1755">
        <v>319644</v>
      </c>
      <c r="B1755" t="s">
        <v>20</v>
      </c>
      <c r="C1755">
        <v>2015</v>
      </c>
      <c r="D1755">
        <v>4</v>
      </c>
      <c r="E1755" t="s">
        <v>6</v>
      </c>
      <c r="F1755" t="s">
        <v>6</v>
      </c>
      <c r="G1755" t="s">
        <v>6</v>
      </c>
      <c r="H1755">
        <v>43382.57</v>
      </c>
      <c r="I1755">
        <v>34569.78</v>
      </c>
      <c r="J1755">
        <v>0</v>
      </c>
    </row>
    <row r="1756" spans="1:10" x14ac:dyDescent="0.35">
      <c r="A1756">
        <v>319670</v>
      </c>
      <c r="B1756" t="s">
        <v>20</v>
      </c>
      <c r="C1756">
        <v>2015</v>
      </c>
      <c r="D1756">
        <v>4</v>
      </c>
      <c r="E1756" t="s">
        <v>6</v>
      </c>
      <c r="F1756" t="s">
        <v>6</v>
      </c>
      <c r="G1756" t="s">
        <v>6</v>
      </c>
      <c r="H1756">
        <v>12642.72</v>
      </c>
      <c r="I1756">
        <v>3930.18</v>
      </c>
      <c r="J1756">
        <v>0</v>
      </c>
    </row>
    <row r="1757" spans="1:10" x14ac:dyDescent="0.35">
      <c r="A1757">
        <v>319678</v>
      </c>
      <c r="B1757" t="s">
        <v>20</v>
      </c>
      <c r="C1757">
        <v>2015</v>
      </c>
      <c r="D1757">
        <v>4</v>
      </c>
      <c r="E1757" t="s">
        <v>6</v>
      </c>
      <c r="F1757" t="s">
        <v>6</v>
      </c>
      <c r="G1757" t="s">
        <v>6</v>
      </c>
      <c r="H1757">
        <v>4069.12</v>
      </c>
      <c r="I1757">
        <v>4759.08</v>
      </c>
      <c r="J1757">
        <v>1</v>
      </c>
    </row>
    <row r="1758" spans="1:10" x14ac:dyDescent="0.35">
      <c r="A1758">
        <v>319686</v>
      </c>
      <c r="B1758" t="s">
        <v>20</v>
      </c>
      <c r="C1758">
        <v>2015</v>
      </c>
      <c r="D1758">
        <v>4</v>
      </c>
      <c r="E1758" t="s">
        <v>6</v>
      </c>
      <c r="F1758" t="s">
        <v>6</v>
      </c>
      <c r="G1758" t="s">
        <v>6</v>
      </c>
      <c r="H1758">
        <v>2817.28</v>
      </c>
      <c r="I1758">
        <v>3199.4</v>
      </c>
      <c r="J1758">
        <v>1</v>
      </c>
    </row>
    <row r="1759" spans="1:10" x14ac:dyDescent="0.35">
      <c r="A1759">
        <v>319688</v>
      </c>
      <c r="B1759" t="s">
        <v>20</v>
      </c>
      <c r="C1759">
        <v>2015</v>
      </c>
      <c r="D1759">
        <v>4</v>
      </c>
      <c r="E1759" t="s">
        <v>6</v>
      </c>
      <c r="F1759" t="s">
        <v>6</v>
      </c>
      <c r="G1759" t="s">
        <v>6</v>
      </c>
      <c r="H1759">
        <v>16631.740000000002</v>
      </c>
      <c r="I1759">
        <v>3194.64</v>
      </c>
      <c r="J1759">
        <v>0</v>
      </c>
    </row>
    <row r="1760" spans="1:10" x14ac:dyDescent="0.35">
      <c r="A1760">
        <v>319694</v>
      </c>
      <c r="B1760" t="s">
        <v>20</v>
      </c>
      <c r="C1760">
        <v>2015</v>
      </c>
      <c r="D1760">
        <v>4</v>
      </c>
      <c r="E1760" t="s">
        <v>6</v>
      </c>
      <c r="F1760" t="s">
        <v>6</v>
      </c>
      <c r="G1760" t="s">
        <v>6</v>
      </c>
      <c r="H1760">
        <v>23549.119999999999</v>
      </c>
      <c r="I1760">
        <v>8262.43</v>
      </c>
      <c r="J1760">
        <v>0</v>
      </c>
    </row>
    <row r="1761" spans="1:10" x14ac:dyDescent="0.35">
      <c r="A1761">
        <v>319700</v>
      </c>
      <c r="B1761" t="s">
        <v>20</v>
      </c>
      <c r="C1761">
        <v>2015</v>
      </c>
      <c r="D1761">
        <v>4</v>
      </c>
      <c r="E1761" t="s">
        <v>6</v>
      </c>
      <c r="F1761" t="s">
        <v>6</v>
      </c>
      <c r="G1761" t="s">
        <v>6</v>
      </c>
      <c r="H1761">
        <v>36841.96</v>
      </c>
      <c r="I1761">
        <v>6882.43</v>
      </c>
      <c r="J1761">
        <v>0</v>
      </c>
    </row>
    <row r="1762" spans="1:10" x14ac:dyDescent="0.35">
      <c r="A1762">
        <v>319740</v>
      </c>
      <c r="B1762" t="s">
        <v>20</v>
      </c>
      <c r="C1762">
        <v>2015</v>
      </c>
      <c r="D1762">
        <v>4</v>
      </c>
      <c r="E1762" t="s">
        <v>6</v>
      </c>
      <c r="F1762" t="s">
        <v>6</v>
      </c>
      <c r="G1762" t="s">
        <v>6</v>
      </c>
      <c r="H1762">
        <v>77266.64</v>
      </c>
      <c r="I1762">
        <v>24744.240000000002</v>
      </c>
      <c r="J1762">
        <v>0</v>
      </c>
    </row>
    <row r="1763" spans="1:10" x14ac:dyDescent="0.35">
      <c r="A1763">
        <v>319741</v>
      </c>
      <c r="B1763" t="s">
        <v>20</v>
      </c>
      <c r="C1763">
        <v>2015</v>
      </c>
      <c r="D1763">
        <v>4</v>
      </c>
      <c r="E1763" t="s">
        <v>6</v>
      </c>
      <c r="F1763" t="s">
        <v>6</v>
      </c>
      <c r="G1763" t="s">
        <v>6</v>
      </c>
      <c r="H1763">
        <v>3152.52</v>
      </c>
      <c r="I1763">
        <v>3414.46</v>
      </c>
      <c r="J1763">
        <v>1</v>
      </c>
    </row>
    <row r="1764" spans="1:10" x14ac:dyDescent="0.35">
      <c r="A1764">
        <v>319774</v>
      </c>
      <c r="B1764" t="s">
        <v>20</v>
      </c>
      <c r="C1764">
        <v>2015</v>
      </c>
      <c r="D1764">
        <v>4</v>
      </c>
      <c r="E1764" t="s">
        <v>6</v>
      </c>
      <c r="F1764" t="s">
        <v>6</v>
      </c>
      <c r="G1764" t="s">
        <v>6</v>
      </c>
      <c r="H1764">
        <v>3224.46</v>
      </c>
      <c r="I1764">
        <v>3300.24</v>
      </c>
      <c r="J1764">
        <v>1</v>
      </c>
    </row>
    <row r="1765" spans="1:10" x14ac:dyDescent="0.35">
      <c r="A1765">
        <v>319789</v>
      </c>
      <c r="B1765" t="s">
        <v>20</v>
      </c>
      <c r="C1765">
        <v>2015</v>
      </c>
      <c r="D1765">
        <v>4</v>
      </c>
      <c r="E1765" t="s">
        <v>6</v>
      </c>
      <c r="F1765" t="s">
        <v>6</v>
      </c>
      <c r="G1765" t="s">
        <v>6</v>
      </c>
      <c r="H1765">
        <v>4069.12</v>
      </c>
      <c r="I1765">
        <v>4759.08</v>
      </c>
      <c r="J1765">
        <v>1</v>
      </c>
    </row>
    <row r="1766" spans="1:10" x14ac:dyDescent="0.35">
      <c r="A1766">
        <v>319797</v>
      </c>
      <c r="B1766" t="s">
        <v>20</v>
      </c>
      <c r="C1766">
        <v>2015</v>
      </c>
      <c r="D1766">
        <v>4</v>
      </c>
      <c r="E1766" t="s">
        <v>6</v>
      </c>
      <c r="F1766" t="s">
        <v>6</v>
      </c>
      <c r="G1766" t="s">
        <v>6</v>
      </c>
      <c r="H1766">
        <v>65068.14</v>
      </c>
      <c r="I1766">
        <v>18431.13</v>
      </c>
      <c r="J1766">
        <v>0</v>
      </c>
    </row>
    <row r="1767" spans="1:10" x14ac:dyDescent="0.35">
      <c r="A1767">
        <v>319820</v>
      </c>
      <c r="B1767" t="s">
        <v>20</v>
      </c>
      <c r="C1767">
        <v>2015</v>
      </c>
      <c r="D1767">
        <v>4</v>
      </c>
      <c r="E1767" t="s">
        <v>6</v>
      </c>
      <c r="F1767" t="s">
        <v>6</v>
      </c>
      <c r="G1767" t="s">
        <v>6</v>
      </c>
      <c r="H1767">
        <v>24309.14</v>
      </c>
      <c r="I1767">
        <v>8447.7000000000007</v>
      </c>
      <c r="J1767">
        <v>0</v>
      </c>
    </row>
    <row r="1768" spans="1:10" x14ac:dyDescent="0.35">
      <c r="A1768">
        <v>319824</v>
      </c>
      <c r="B1768" t="s">
        <v>20</v>
      </c>
      <c r="C1768">
        <v>2015</v>
      </c>
      <c r="D1768">
        <v>4</v>
      </c>
      <c r="E1768" t="s">
        <v>6</v>
      </c>
      <c r="F1768" t="s">
        <v>6</v>
      </c>
      <c r="G1768" t="s">
        <v>6</v>
      </c>
      <c r="H1768">
        <v>53856.7</v>
      </c>
      <c r="I1768">
        <v>19752.990000000002</v>
      </c>
      <c r="J1768">
        <v>0</v>
      </c>
    </row>
    <row r="1769" spans="1:10" x14ac:dyDescent="0.35">
      <c r="A1769">
        <v>319830</v>
      </c>
      <c r="B1769" t="s">
        <v>20</v>
      </c>
      <c r="C1769">
        <v>2015</v>
      </c>
      <c r="D1769">
        <v>4</v>
      </c>
      <c r="E1769" t="s">
        <v>6</v>
      </c>
      <c r="F1769" t="s">
        <v>6</v>
      </c>
      <c r="G1769" t="s">
        <v>6</v>
      </c>
      <c r="H1769">
        <v>24018.34</v>
      </c>
      <c r="I1769">
        <v>8375.9599999999991</v>
      </c>
      <c r="J1769">
        <v>0</v>
      </c>
    </row>
    <row r="1770" spans="1:10" x14ac:dyDescent="0.35">
      <c r="A1770">
        <v>319867</v>
      </c>
      <c r="B1770" t="s">
        <v>20</v>
      </c>
      <c r="C1770">
        <v>2015</v>
      </c>
      <c r="D1770">
        <v>4</v>
      </c>
      <c r="E1770" t="s">
        <v>6</v>
      </c>
      <c r="F1770" t="s">
        <v>6</v>
      </c>
      <c r="G1770" t="s">
        <v>6</v>
      </c>
      <c r="H1770">
        <v>5087.12</v>
      </c>
      <c r="I1770">
        <v>6260.77</v>
      </c>
      <c r="J1770">
        <v>1</v>
      </c>
    </row>
    <row r="1771" spans="1:10" x14ac:dyDescent="0.35">
      <c r="A1771">
        <v>319875</v>
      </c>
      <c r="B1771" t="s">
        <v>20</v>
      </c>
      <c r="C1771">
        <v>2015</v>
      </c>
      <c r="D1771">
        <v>4</v>
      </c>
      <c r="E1771" t="s">
        <v>6</v>
      </c>
      <c r="F1771" t="s">
        <v>6</v>
      </c>
      <c r="G1771" t="s">
        <v>6</v>
      </c>
      <c r="H1771">
        <v>5170.16</v>
      </c>
      <c r="I1771">
        <v>6281.4</v>
      </c>
      <c r="J1771">
        <v>1</v>
      </c>
    </row>
    <row r="1772" spans="1:10" x14ac:dyDescent="0.35">
      <c r="A1772">
        <v>319881</v>
      </c>
      <c r="B1772" t="s">
        <v>20</v>
      </c>
      <c r="C1772">
        <v>2015</v>
      </c>
      <c r="D1772">
        <v>4</v>
      </c>
      <c r="E1772" t="s">
        <v>6</v>
      </c>
      <c r="F1772" t="s">
        <v>6</v>
      </c>
      <c r="G1772" t="s">
        <v>6</v>
      </c>
      <c r="H1772">
        <v>6103.52</v>
      </c>
      <c r="I1772">
        <v>6513.52</v>
      </c>
      <c r="J1772">
        <v>1</v>
      </c>
    </row>
    <row r="1773" spans="1:10" x14ac:dyDescent="0.35">
      <c r="A1773">
        <v>319892</v>
      </c>
      <c r="B1773" t="s">
        <v>20</v>
      </c>
      <c r="C1773">
        <v>2015</v>
      </c>
      <c r="D1773">
        <v>4</v>
      </c>
      <c r="E1773" t="s">
        <v>6</v>
      </c>
      <c r="F1773" t="s">
        <v>6</v>
      </c>
      <c r="G1773" t="s">
        <v>6</v>
      </c>
      <c r="H1773">
        <v>6180.56</v>
      </c>
      <c r="I1773">
        <v>7781.22</v>
      </c>
      <c r="J1773">
        <v>1</v>
      </c>
    </row>
    <row r="1774" spans="1:10" x14ac:dyDescent="0.35">
      <c r="A1774">
        <v>319930</v>
      </c>
      <c r="B1774" t="s">
        <v>20</v>
      </c>
      <c r="C1774">
        <v>2015</v>
      </c>
      <c r="D1774">
        <v>4</v>
      </c>
      <c r="E1774" t="s">
        <v>6</v>
      </c>
      <c r="F1774" t="s">
        <v>6</v>
      </c>
      <c r="G1774" t="s">
        <v>6</v>
      </c>
      <c r="H1774">
        <v>15846.72</v>
      </c>
      <c r="I1774">
        <v>4494.5600000000004</v>
      </c>
      <c r="J1774">
        <v>0</v>
      </c>
    </row>
    <row r="1775" spans="1:10" x14ac:dyDescent="0.35">
      <c r="A1775">
        <v>319935</v>
      </c>
      <c r="B1775" t="s">
        <v>20</v>
      </c>
      <c r="C1775">
        <v>2015</v>
      </c>
      <c r="D1775">
        <v>4</v>
      </c>
      <c r="E1775" t="s">
        <v>6</v>
      </c>
      <c r="F1775" t="s">
        <v>6</v>
      </c>
      <c r="G1775" t="s">
        <v>6</v>
      </c>
      <c r="H1775">
        <v>40136.22</v>
      </c>
      <c r="I1775">
        <v>16008.06</v>
      </c>
      <c r="J1775">
        <v>0</v>
      </c>
    </row>
    <row r="1776" spans="1:10" x14ac:dyDescent="0.35">
      <c r="A1776">
        <v>319941</v>
      </c>
      <c r="B1776" t="s">
        <v>20</v>
      </c>
      <c r="C1776">
        <v>2015</v>
      </c>
      <c r="D1776">
        <v>4</v>
      </c>
      <c r="E1776" t="s">
        <v>6</v>
      </c>
      <c r="F1776" t="s">
        <v>6</v>
      </c>
      <c r="G1776" t="s">
        <v>6</v>
      </c>
      <c r="H1776">
        <v>19619.419999999998</v>
      </c>
      <c r="I1776">
        <v>6910.43</v>
      </c>
      <c r="J1776">
        <v>0</v>
      </c>
    </row>
    <row r="1777" spans="1:10" x14ac:dyDescent="0.35">
      <c r="A1777">
        <v>319977</v>
      </c>
      <c r="B1777" t="s">
        <v>20</v>
      </c>
      <c r="C1777">
        <v>2015</v>
      </c>
      <c r="D1777">
        <v>4</v>
      </c>
      <c r="E1777" t="s">
        <v>6</v>
      </c>
      <c r="F1777" t="s">
        <v>6</v>
      </c>
      <c r="G1777" t="s">
        <v>6</v>
      </c>
      <c r="H1777">
        <v>95364.32</v>
      </c>
      <c r="I1777">
        <v>29215.66</v>
      </c>
      <c r="J1777">
        <v>0</v>
      </c>
    </row>
    <row r="1778" spans="1:10" x14ac:dyDescent="0.35">
      <c r="A1778">
        <v>319982</v>
      </c>
      <c r="B1778" t="s">
        <v>20</v>
      </c>
      <c r="C1778">
        <v>2015</v>
      </c>
      <c r="D1778">
        <v>4</v>
      </c>
      <c r="E1778" t="s">
        <v>6</v>
      </c>
      <c r="F1778" t="s">
        <v>6</v>
      </c>
      <c r="G1778" t="s">
        <v>6</v>
      </c>
      <c r="H1778">
        <v>5177.92</v>
      </c>
      <c r="I1778">
        <v>6283.27</v>
      </c>
      <c r="J1778">
        <v>1</v>
      </c>
    </row>
    <row r="1779" spans="1:10" x14ac:dyDescent="0.35">
      <c r="A1779">
        <v>319985</v>
      </c>
      <c r="B1779" t="s">
        <v>20</v>
      </c>
      <c r="C1779">
        <v>2015</v>
      </c>
      <c r="D1779">
        <v>4</v>
      </c>
      <c r="E1779" t="s">
        <v>6</v>
      </c>
      <c r="F1779" t="s">
        <v>6</v>
      </c>
      <c r="G1779" t="s">
        <v>6</v>
      </c>
      <c r="H1779">
        <v>26975.5</v>
      </c>
      <c r="I1779">
        <v>9166.59</v>
      </c>
      <c r="J1779">
        <v>0</v>
      </c>
    </row>
    <row r="1780" spans="1:10" x14ac:dyDescent="0.35">
      <c r="A1780">
        <v>319990</v>
      </c>
      <c r="B1780" t="s">
        <v>20</v>
      </c>
      <c r="C1780">
        <v>2015</v>
      </c>
      <c r="D1780">
        <v>4</v>
      </c>
      <c r="E1780" t="s">
        <v>6</v>
      </c>
      <c r="F1780" t="s">
        <v>6</v>
      </c>
      <c r="G1780" t="s">
        <v>6</v>
      </c>
      <c r="H1780">
        <v>4069.12</v>
      </c>
      <c r="I1780">
        <v>4759.08</v>
      </c>
      <c r="J1780">
        <v>1</v>
      </c>
    </row>
    <row r="1781" spans="1:10" x14ac:dyDescent="0.35">
      <c r="A1781">
        <v>319994</v>
      </c>
      <c r="B1781" t="s">
        <v>20</v>
      </c>
      <c r="C1781">
        <v>2015</v>
      </c>
      <c r="D1781">
        <v>4</v>
      </c>
      <c r="E1781" t="s">
        <v>6</v>
      </c>
      <c r="F1781" t="s">
        <v>6</v>
      </c>
      <c r="G1781" t="s">
        <v>6</v>
      </c>
      <c r="H1781">
        <v>7345.02</v>
      </c>
      <c r="I1781">
        <v>6897.35</v>
      </c>
      <c r="J1781">
        <v>0</v>
      </c>
    </row>
    <row r="1782" spans="1:10" x14ac:dyDescent="0.35">
      <c r="A1782">
        <v>320002</v>
      </c>
      <c r="B1782" t="s">
        <v>20</v>
      </c>
      <c r="C1782">
        <v>2015</v>
      </c>
      <c r="D1782">
        <v>4</v>
      </c>
      <c r="E1782" t="s">
        <v>6</v>
      </c>
      <c r="F1782" t="s">
        <v>6</v>
      </c>
      <c r="G1782" t="s">
        <v>6</v>
      </c>
      <c r="H1782">
        <v>2968.08</v>
      </c>
      <c r="I1782">
        <v>3236.75</v>
      </c>
      <c r="J1782">
        <v>1</v>
      </c>
    </row>
    <row r="1783" spans="1:10" x14ac:dyDescent="0.35">
      <c r="A1783">
        <v>320009</v>
      </c>
      <c r="B1783" t="s">
        <v>20</v>
      </c>
      <c r="C1783">
        <v>2015</v>
      </c>
      <c r="D1783">
        <v>4</v>
      </c>
      <c r="E1783" t="s">
        <v>6</v>
      </c>
      <c r="F1783" t="s">
        <v>6</v>
      </c>
      <c r="G1783" t="s">
        <v>6</v>
      </c>
      <c r="H1783">
        <v>42839.26</v>
      </c>
      <c r="I1783">
        <v>13056.38</v>
      </c>
      <c r="J1783">
        <v>0</v>
      </c>
    </row>
    <row r="1784" spans="1:10" x14ac:dyDescent="0.35">
      <c r="A1784">
        <v>320010</v>
      </c>
      <c r="B1784" t="s">
        <v>20</v>
      </c>
      <c r="C1784">
        <v>2015</v>
      </c>
      <c r="D1784">
        <v>4</v>
      </c>
      <c r="E1784" t="s">
        <v>6</v>
      </c>
      <c r="F1784" t="s">
        <v>6</v>
      </c>
      <c r="G1784" t="s">
        <v>6</v>
      </c>
      <c r="H1784">
        <v>5177.92</v>
      </c>
      <c r="I1784">
        <v>6283.27</v>
      </c>
      <c r="J1784">
        <v>1</v>
      </c>
    </row>
    <row r="1785" spans="1:10" x14ac:dyDescent="0.35">
      <c r="A1785">
        <v>320012</v>
      </c>
      <c r="B1785" t="s">
        <v>20</v>
      </c>
      <c r="C1785">
        <v>2015</v>
      </c>
      <c r="D1785">
        <v>4</v>
      </c>
      <c r="E1785" t="s">
        <v>6</v>
      </c>
      <c r="F1785" t="s">
        <v>6</v>
      </c>
      <c r="G1785" t="s">
        <v>6</v>
      </c>
      <c r="H1785">
        <v>5170.16</v>
      </c>
      <c r="I1785">
        <v>6281.4</v>
      </c>
      <c r="J1785">
        <v>1</v>
      </c>
    </row>
    <row r="1786" spans="1:10" x14ac:dyDescent="0.35">
      <c r="A1786">
        <v>320043</v>
      </c>
      <c r="B1786" t="s">
        <v>20</v>
      </c>
      <c r="C1786">
        <v>2015</v>
      </c>
      <c r="D1786">
        <v>4</v>
      </c>
      <c r="E1786" t="s">
        <v>6</v>
      </c>
      <c r="F1786" t="s">
        <v>6</v>
      </c>
      <c r="G1786" t="s">
        <v>6</v>
      </c>
      <c r="H1786">
        <v>16439.54</v>
      </c>
      <c r="I1786">
        <v>4741.41</v>
      </c>
      <c r="J1786">
        <v>0</v>
      </c>
    </row>
    <row r="1787" spans="1:10" x14ac:dyDescent="0.35">
      <c r="A1787">
        <v>320057</v>
      </c>
      <c r="B1787" t="s">
        <v>20</v>
      </c>
      <c r="C1787">
        <v>2015</v>
      </c>
      <c r="D1787">
        <v>4</v>
      </c>
      <c r="E1787" t="s">
        <v>6</v>
      </c>
      <c r="F1787" t="s">
        <v>6</v>
      </c>
      <c r="G1787" t="s">
        <v>6</v>
      </c>
      <c r="H1787">
        <v>23186.16</v>
      </c>
      <c r="I1787">
        <v>8133.1</v>
      </c>
      <c r="J1787">
        <v>0</v>
      </c>
    </row>
    <row r="1788" spans="1:10" x14ac:dyDescent="0.35">
      <c r="A1788">
        <v>320062</v>
      </c>
      <c r="B1788" t="s">
        <v>20</v>
      </c>
      <c r="C1788">
        <v>2015</v>
      </c>
      <c r="D1788">
        <v>4</v>
      </c>
      <c r="E1788" t="s">
        <v>6</v>
      </c>
      <c r="F1788" t="s">
        <v>6</v>
      </c>
      <c r="G1788" t="s">
        <v>6</v>
      </c>
      <c r="H1788">
        <v>56755.16</v>
      </c>
      <c r="I1788">
        <v>40489.980000000003</v>
      </c>
      <c r="J1788">
        <v>0</v>
      </c>
    </row>
    <row r="1789" spans="1:10" x14ac:dyDescent="0.35">
      <c r="A1789">
        <v>320072</v>
      </c>
      <c r="B1789" t="s">
        <v>20</v>
      </c>
      <c r="C1789">
        <v>2015</v>
      </c>
      <c r="D1789">
        <v>4</v>
      </c>
      <c r="E1789" t="s">
        <v>6</v>
      </c>
      <c r="F1789" t="s">
        <v>6</v>
      </c>
      <c r="G1789" t="s">
        <v>6</v>
      </c>
      <c r="H1789">
        <v>5177.92</v>
      </c>
      <c r="I1789">
        <v>6283.27</v>
      </c>
      <c r="J1789">
        <v>1</v>
      </c>
    </row>
    <row r="1790" spans="1:10" x14ac:dyDescent="0.35">
      <c r="A1790">
        <v>320080</v>
      </c>
      <c r="B1790" t="s">
        <v>20</v>
      </c>
      <c r="C1790">
        <v>2015</v>
      </c>
      <c r="D1790">
        <v>4</v>
      </c>
      <c r="E1790" t="s">
        <v>6</v>
      </c>
      <c r="F1790" t="s">
        <v>6</v>
      </c>
      <c r="G1790" t="s">
        <v>6</v>
      </c>
      <c r="H1790">
        <v>5177.92</v>
      </c>
      <c r="I1790">
        <v>6283.27</v>
      </c>
      <c r="J1790">
        <v>1</v>
      </c>
    </row>
    <row r="1791" spans="1:10" x14ac:dyDescent="0.35">
      <c r="A1791">
        <v>320088</v>
      </c>
      <c r="B1791" t="s">
        <v>20</v>
      </c>
      <c r="C1791">
        <v>2015</v>
      </c>
      <c r="D1791">
        <v>4</v>
      </c>
      <c r="E1791" t="s">
        <v>6</v>
      </c>
      <c r="F1791" t="s">
        <v>6</v>
      </c>
      <c r="G1791" t="s">
        <v>6</v>
      </c>
      <c r="H1791">
        <v>106896.02</v>
      </c>
      <c r="I1791">
        <v>33255.71</v>
      </c>
      <c r="J1791">
        <v>0</v>
      </c>
    </row>
    <row r="1792" spans="1:10" x14ac:dyDescent="0.35">
      <c r="A1792">
        <v>320125</v>
      </c>
      <c r="B1792" t="s">
        <v>20</v>
      </c>
      <c r="C1792">
        <v>2015</v>
      </c>
      <c r="D1792">
        <v>4</v>
      </c>
      <c r="E1792" t="s">
        <v>6</v>
      </c>
      <c r="F1792" t="s">
        <v>6</v>
      </c>
      <c r="G1792" t="s">
        <v>6</v>
      </c>
      <c r="H1792">
        <v>6286.72</v>
      </c>
      <c r="I1792">
        <v>7807.46</v>
      </c>
      <c r="J1792">
        <v>1</v>
      </c>
    </row>
    <row r="1793" spans="1:10" x14ac:dyDescent="0.35">
      <c r="A1793">
        <v>320128</v>
      </c>
      <c r="B1793" t="s">
        <v>20</v>
      </c>
      <c r="C1793">
        <v>2015</v>
      </c>
      <c r="D1793">
        <v>4</v>
      </c>
      <c r="E1793" t="s">
        <v>6</v>
      </c>
      <c r="F1793" t="s">
        <v>6</v>
      </c>
      <c r="G1793" t="s">
        <v>6</v>
      </c>
      <c r="H1793">
        <v>19014.54</v>
      </c>
      <c r="I1793">
        <v>8585.4699999999993</v>
      </c>
      <c r="J1793">
        <v>0</v>
      </c>
    </row>
    <row r="1794" spans="1:10" x14ac:dyDescent="0.35">
      <c r="A1794">
        <v>320136</v>
      </c>
      <c r="B1794" t="s">
        <v>20</v>
      </c>
      <c r="C1794">
        <v>2015</v>
      </c>
      <c r="D1794">
        <v>4</v>
      </c>
      <c r="E1794" t="s">
        <v>6</v>
      </c>
      <c r="F1794" t="s">
        <v>6</v>
      </c>
      <c r="G1794" t="s">
        <v>6</v>
      </c>
      <c r="H1794">
        <v>67409.740000000005</v>
      </c>
      <c r="I1794">
        <v>39455.279999999999</v>
      </c>
      <c r="J1794">
        <v>0</v>
      </c>
    </row>
    <row r="1795" spans="1:10" x14ac:dyDescent="0.35">
      <c r="A1795">
        <v>320154</v>
      </c>
      <c r="B1795" t="s">
        <v>20</v>
      </c>
      <c r="C1795">
        <v>2015</v>
      </c>
      <c r="D1795">
        <v>4</v>
      </c>
      <c r="E1795" t="s">
        <v>6</v>
      </c>
      <c r="F1795" t="s">
        <v>6</v>
      </c>
      <c r="G1795" t="s">
        <v>6</v>
      </c>
      <c r="H1795">
        <v>23102.74</v>
      </c>
      <c r="I1795">
        <v>6894.34</v>
      </c>
      <c r="J1795">
        <v>0</v>
      </c>
    </row>
    <row r="1796" spans="1:10" x14ac:dyDescent="0.35">
      <c r="A1796">
        <v>320218</v>
      </c>
      <c r="B1796" t="s">
        <v>20</v>
      </c>
      <c r="C1796">
        <v>2015</v>
      </c>
      <c r="D1796">
        <v>4</v>
      </c>
      <c r="E1796" t="s">
        <v>6</v>
      </c>
      <c r="F1796" t="s">
        <v>6</v>
      </c>
      <c r="G1796" t="s">
        <v>6</v>
      </c>
      <c r="H1796">
        <v>23457.48</v>
      </c>
      <c r="I1796">
        <v>5094.17</v>
      </c>
      <c r="J1796">
        <v>0</v>
      </c>
    </row>
    <row r="1797" spans="1:10" x14ac:dyDescent="0.35">
      <c r="A1797">
        <v>320232</v>
      </c>
      <c r="B1797" t="s">
        <v>20</v>
      </c>
      <c r="C1797">
        <v>2015</v>
      </c>
      <c r="D1797">
        <v>4</v>
      </c>
      <c r="E1797" t="s">
        <v>6</v>
      </c>
      <c r="F1797" t="s">
        <v>6</v>
      </c>
      <c r="G1797" t="s">
        <v>6</v>
      </c>
      <c r="H1797">
        <v>3436.02</v>
      </c>
      <c r="I1797">
        <v>2135.85</v>
      </c>
      <c r="J1797">
        <v>0</v>
      </c>
    </row>
    <row r="1798" spans="1:10" x14ac:dyDescent="0.35">
      <c r="A1798">
        <v>320239</v>
      </c>
      <c r="B1798" t="s">
        <v>20</v>
      </c>
      <c r="C1798">
        <v>2015</v>
      </c>
      <c r="D1798">
        <v>4</v>
      </c>
      <c r="E1798" t="s">
        <v>6</v>
      </c>
      <c r="F1798" t="s">
        <v>6</v>
      </c>
      <c r="G1798" t="s">
        <v>6</v>
      </c>
      <c r="H1798">
        <v>4069.12</v>
      </c>
      <c r="I1798">
        <v>4759.08</v>
      </c>
      <c r="J1798">
        <v>1</v>
      </c>
    </row>
    <row r="1799" spans="1:10" x14ac:dyDescent="0.35">
      <c r="A1799">
        <v>320242</v>
      </c>
      <c r="B1799" t="s">
        <v>20</v>
      </c>
      <c r="C1799">
        <v>2015</v>
      </c>
      <c r="D1799">
        <v>4</v>
      </c>
      <c r="E1799" t="s">
        <v>6</v>
      </c>
      <c r="F1799" t="s">
        <v>6</v>
      </c>
      <c r="G1799" t="s">
        <v>6</v>
      </c>
      <c r="H1799">
        <v>5170.16</v>
      </c>
      <c r="I1799">
        <v>6281.4</v>
      </c>
      <c r="J1799">
        <v>1</v>
      </c>
    </row>
    <row r="1800" spans="1:10" x14ac:dyDescent="0.35">
      <c r="A1800">
        <v>320253</v>
      </c>
      <c r="B1800" t="s">
        <v>20</v>
      </c>
      <c r="C1800">
        <v>2015</v>
      </c>
      <c r="D1800">
        <v>4</v>
      </c>
      <c r="E1800" t="s">
        <v>6</v>
      </c>
      <c r="F1800" t="s">
        <v>6</v>
      </c>
      <c r="G1800" t="s">
        <v>6</v>
      </c>
      <c r="H1800">
        <v>5177.92</v>
      </c>
      <c r="I1800">
        <v>6283.27</v>
      </c>
      <c r="J1800">
        <v>1</v>
      </c>
    </row>
    <row r="1801" spans="1:10" x14ac:dyDescent="0.35">
      <c r="A1801">
        <v>320275</v>
      </c>
      <c r="B1801" t="s">
        <v>20</v>
      </c>
      <c r="C1801">
        <v>2015</v>
      </c>
      <c r="D1801">
        <v>4</v>
      </c>
      <c r="E1801" t="s">
        <v>6</v>
      </c>
      <c r="F1801" t="s">
        <v>6</v>
      </c>
      <c r="G1801" t="s">
        <v>6</v>
      </c>
      <c r="H1801">
        <v>4099.76</v>
      </c>
      <c r="I1801">
        <v>4766.72</v>
      </c>
      <c r="J1801">
        <v>1</v>
      </c>
    </row>
    <row r="1802" spans="1:10" x14ac:dyDescent="0.35">
      <c r="A1802">
        <v>320280</v>
      </c>
      <c r="B1802" t="s">
        <v>20</v>
      </c>
      <c r="C1802">
        <v>2015</v>
      </c>
      <c r="D1802">
        <v>4</v>
      </c>
      <c r="E1802" t="s">
        <v>6</v>
      </c>
      <c r="F1802" t="s">
        <v>6</v>
      </c>
      <c r="G1802" t="s">
        <v>6</v>
      </c>
      <c r="H1802">
        <v>43225.4</v>
      </c>
      <c r="I1802">
        <v>24565.49</v>
      </c>
      <c r="J1802">
        <v>0</v>
      </c>
    </row>
    <row r="1803" spans="1:10" x14ac:dyDescent="0.35">
      <c r="A1803">
        <v>320284</v>
      </c>
      <c r="B1803" t="s">
        <v>20</v>
      </c>
      <c r="C1803">
        <v>2015</v>
      </c>
      <c r="D1803">
        <v>4</v>
      </c>
      <c r="E1803" t="s">
        <v>6</v>
      </c>
      <c r="F1803" t="s">
        <v>6</v>
      </c>
      <c r="G1803" t="s">
        <v>6</v>
      </c>
      <c r="H1803">
        <v>34903.620000000003</v>
      </c>
      <c r="I1803">
        <v>8800.7000000000007</v>
      </c>
      <c r="J1803">
        <v>0</v>
      </c>
    </row>
    <row r="1804" spans="1:10" x14ac:dyDescent="0.35">
      <c r="A1804">
        <v>320293</v>
      </c>
      <c r="B1804" t="s">
        <v>20</v>
      </c>
      <c r="C1804">
        <v>2015</v>
      </c>
      <c r="D1804">
        <v>4</v>
      </c>
      <c r="E1804" t="s">
        <v>6</v>
      </c>
      <c r="F1804" t="s">
        <v>6</v>
      </c>
      <c r="G1804" t="s">
        <v>6</v>
      </c>
      <c r="H1804">
        <v>2998.72</v>
      </c>
      <c r="I1804">
        <v>3244.4</v>
      </c>
      <c r="J1804">
        <v>1</v>
      </c>
    </row>
    <row r="1805" spans="1:10" x14ac:dyDescent="0.35">
      <c r="A1805">
        <v>320295</v>
      </c>
      <c r="B1805" t="s">
        <v>20</v>
      </c>
      <c r="C1805">
        <v>2015</v>
      </c>
      <c r="D1805">
        <v>4</v>
      </c>
      <c r="E1805" t="s">
        <v>6</v>
      </c>
      <c r="F1805" t="s">
        <v>6</v>
      </c>
      <c r="G1805" t="s">
        <v>6</v>
      </c>
      <c r="H1805">
        <v>5170.16</v>
      </c>
      <c r="I1805">
        <v>6281.4</v>
      </c>
      <c r="J1805">
        <v>1</v>
      </c>
    </row>
    <row r="1806" spans="1:10" x14ac:dyDescent="0.35">
      <c r="A1806">
        <v>320300</v>
      </c>
      <c r="B1806" t="s">
        <v>20</v>
      </c>
      <c r="C1806">
        <v>2015</v>
      </c>
      <c r="D1806">
        <v>4</v>
      </c>
      <c r="E1806" t="s">
        <v>6</v>
      </c>
      <c r="F1806" t="s">
        <v>6</v>
      </c>
      <c r="G1806" t="s">
        <v>6</v>
      </c>
      <c r="H1806">
        <v>4191</v>
      </c>
      <c r="I1806">
        <v>4788.3500000000004</v>
      </c>
      <c r="J1806">
        <v>1</v>
      </c>
    </row>
    <row r="1807" spans="1:10" x14ac:dyDescent="0.35">
      <c r="A1807">
        <v>320307</v>
      </c>
      <c r="B1807" t="s">
        <v>20</v>
      </c>
      <c r="C1807">
        <v>2015</v>
      </c>
      <c r="D1807">
        <v>4</v>
      </c>
      <c r="E1807" t="s">
        <v>6</v>
      </c>
      <c r="F1807" t="s">
        <v>6</v>
      </c>
      <c r="G1807" t="s">
        <v>6</v>
      </c>
      <c r="H1807">
        <v>5177.92</v>
      </c>
      <c r="I1807">
        <v>6283.27</v>
      </c>
      <c r="J1807">
        <v>1</v>
      </c>
    </row>
    <row r="1808" spans="1:10" x14ac:dyDescent="0.35">
      <c r="A1808">
        <v>320322</v>
      </c>
      <c r="B1808" t="s">
        <v>20</v>
      </c>
      <c r="C1808">
        <v>2015</v>
      </c>
      <c r="D1808">
        <v>4</v>
      </c>
      <c r="E1808" t="s">
        <v>6</v>
      </c>
      <c r="F1808" t="s">
        <v>6</v>
      </c>
      <c r="G1808" t="s">
        <v>6</v>
      </c>
      <c r="H1808">
        <v>4167.5200000000004</v>
      </c>
      <c r="I1808">
        <v>4783.45</v>
      </c>
      <c r="J1808">
        <v>1</v>
      </c>
    </row>
    <row r="1809" spans="1:10" x14ac:dyDescent="0.35">
      <c r="A1809">
        <v>320323</v>
      </c>
      <c r="B1809" t="s">
        <v>20</v>
      </c>
      <c r="C1809">
        <v>2015</v>
      </c>
      <c r="D1809">
        <v>4</v>
      </c>
      <c r="E1809" t="s">
        <v>6</v>
      </c>
      <c r="F1809" t="s">
        <v>6</v>
      </c>
      <c r="G1809" t="s">
        <v>6</v>
      </c>
      <c r="H1809">
        <v>23692.240000000002</v>
      </c>
      <c r="I1809">
        <v>8487.1299999999992</v>
      </c>
      <c r="J1809">
        <v>0</v>
      </c>
    </row>
    <row r="1810" spans="1:10" x14ac:dyDescent="0.35">
      <c r="A1810">
        <v>320379</v>
      </c>
      <c r="B1810" t="s">
        <v>20</v>
      </c>
      <c r="C1810">
        <v>2015</v>
      </c>
      <c r="D1810">
        <v>4</v>
      </c>
      <c r="E1810" t="s">
        <v>6</v>
      </c>
      <c r="F1810" t="s">
        <v>6</v>
      </c>
      <c r="G1810" t="s">
        <v>6</v>
      </c>
      <c r="H1810">
        <v>79822.460000000006</v>
      </c>
      <c r="I1810">
        <v>61860.88</v>
      </c>
      <c r="J1810">
        <v>0</v>
      </c>
    </row>
    <row r="1811" spans="1:10" x14ac:dyDescent="0.35">
      <c r="A1811">
        <v>320383</v>
      </c>
      <c r="B1811" t="s">
        <v>20</v>
      </c>
      <c r="C1811">
        <v>2015</v>
      </c>
      <c r="D1811">
        <v>4</v>
      </c>
      <c r="E1811" t="s">
        <v>6</v>
      </c>
      <c r="F1811" t="s">
        <v>6</v>
      </c>
      <c r="G1811" t="s">
        <v>6</v>
      </c>
      <c r="H1811">
        <v>17101.099999999999</v>
      </c>
      <c r="I1811">
        <v>5429.09</v>
      </c>
      <c r="J1811">
        <v>0</v>
      </c>
    </row>
    <row r="1812" spans="1:10" x14ac:dyDescent="0.35">
      <c r="A1812">
        <v>320387</v>
      </c>
      <c r="B1812" t="s">
        <v>20</v>
      </c>
      <c r="C1812">
        <v>2015</v>
      </c>
      <c r="D1812">
        <v>4</v>
      </c>
      <c r="E1812" t="s">
        <v>6</v>
      </c>
      <c r="F1812" t="s">
        <v>6</v>
      </c>
      <c r="G1812" t="s">
        <v>6</v>
      </c>
      <c r="H1812">
        <v>18895.599999999999</v>
      </c>
      <c r="I1812">
        <v>5046.9399999999996</v>
      </c>
      <c r="J1812">
        <v>0</v>
      </c>
    </row>
    <row r="1813" spans="1:10" x14ac:dyDescent="0.35">
      <c r="A1813">
        <v>320405</v>
      </c>
      <c r="B1813" t="s">
        <v>20</v>
      </c>
      <c r="C1813">
        <v>2015</v>
      </c>
      <c r="D1813">
        <v>4</v>
      </c>
      <c r="E1813" t="s">
        <v>6</v>
      </c>
      <c r="F1813" t="s">
        <v>6</v>
      </c>
      <c r="G1813" t="s">
        <v>6</v>
      </c>
      <c r="H1813">
        <v>86599.83</v>
      </c>
      <c r="I1813">
        <v>40034.92</v>
      </c>
      <c r="J1813">
        <v>0</v>
      </c>
    </row>
    <row r="1814" spans="1:10" x14ac:dyDescent="0.35">
      <c r="A1814">
        <v>320408</v>
      </c>
      <c r="B1814" t="s">
        <v>20</v>
      </c>
      <c r="C1814">
        <v>2015</v>
      </c>
      <c r="D1814">
        <v>4</v>
      </c>
      <c r="E1814" t="s">
        <v>6</v>
      </c>
      <c r="F1814" t="s">
        <v>6</v>
      </c>
      <c r="G1814" t="s">
        <v>6</v>
      </c>
      <c r="H1814">
        <v>1834233.22</v>
      </c>
      <c r="I1814">
        <v>619504.47</v>
      </c>
      <c r="J1814">
        <v>0</v>
      </c>
    </row>
    <row r="1815" spans="1:10" x14ac:dyDescent="0.35">
      <c r="A1815">
        <v>320411</v>
      </c>
      <c r="B1815" t="s">
        <v>20</v>
      </c>
      <c r="C1815">
        <v>2015</v>
      </c>
      <c r="D1815">
        <v>4</v>
      </c>
      <c r="E1815" t="s">
        <v>6</v>
      </c>
      <c r="F1815" t="s">
        <v>6</v>
      </c>
      <c r="G1815" t="s">
        <v>6</v>
      </c>
      <c r="H1815">
        <v>6365.26</v>
      </c>
      <c r="I1815">
        <v>5405.18</v>
      </c>
      <c r="J1815">
        <v>0</v>
      </c>
    </row>
    <row r="1816" spans="1:10" x14ac:dyDescent="0.35">
      <c r="A1816">
        <v>320423</v>
      </c>
      <c r="B1816" t="s">
        <v>20</v>
      </c>
      <c r="C1816">
        <v>2015</v>
      </c>
      <c r="D1816">
        <v>4</v>
      </c>
      <c r="E1816" t="s">
        <v>6</v>
      </c>
      <c r="F1816" t="s">
        <v>6</v>
      </c>
      <c r="G1816" t="s">
        <v>6</v>
      </c>
      <c r="H1816">
        <v>2968.08</v>
      </c>
      <c r="I1816">
        <v>3236.75</v>
      </c>
      <c r="J1816">
        <v>1</v>
      </c>
    </row>
    <row r="1817" spans="1:10" x14ac:dyDescent="0.35">
      <c r="A1817">
        <v>320430</v>
      </c>
      <c r="B1817" t="s">
        <v>20</v>
      </c>
      <c r="C1817">
        <v>2015</v>
      </c>
      <c r="D1817">
        <v>4</v>
      </c>
      <c r="E1817" t="s">
        <v>6</v>
      </c>
      <c r="F1817" t="s">
        <v>6</v>
      </c>
      <c r="G1817" t="s">
        <v>6</v>
      </c>
      <c r="H1817">
        <v>27369.34</v>
      </c>
      <c r="I1817">
        <v>9571.14</v>
      </c>
      <c r="J1817">
        <v>0</v>
      </c>
    </row>
    <row r="1818" spans="1:10" x14ac:dyDescent="0.35">
      <c r="A1818">
        <v>320443</v>
      </c>
      <c r="B1818" t="s">
        <v>20</v>
      </c>
      <c r="C1818">
        <v>2015</v>
      </c>
      <c r="D1818">
        <v>4</v>
      </c>
      <c r="E1818" t="s">
        <v>6</v>
      </c>
      <c r="F1818" t="s">
        <v>6</v>
      </c>
      <c r="G1818" t="s">
        <v>6</v>
      </c>
      <c r="H1818">
        <v>60377.16</v>
      </c>
      <c r="I1818">
        <v>19365.27</v>
      </c>
      <c r="J1818">
        <v>0</v>
      </c>
    </row>
    <row r="1819" spans="1:10" x14ac:dyDescent="0.35">
      <c r="A1819">
        <v>320480</v>
      </c>
      <c r="B1819" t="s">
        <v>20</v>
      </c>
      <c r="C1819">
        <v>2015</v>
      </c>
      <c r="D1819">
        <v>4</v>
      </c>
      <c r="E1819" t="s">
        <v>6</v>
      </c>
      <c r="F1819" t="s">
        <v>6</v>
      </c>
      <c r="G1819" t="s">
        <v>6</v>
      </c>
      <c r="H1819">
        <v>12574.7</v>
      </c>
      <c r="I1819">
        <v>2692.9</v>
      </c>
      <c r="J1819">
        <v>0</v>
      </c>
    </row>
    <row r="1820" spans="1:10" x14ac:dyDescent="0.35">
      <c r="A1820">
        <v>320485</v>
      </c>
      <c r="B1820" t="s">
        <v>20</v>
      </c>
      <c r="C1820">
        <v>2015</v>
      </c>
      <c r="D1820">
        <v>4</v>
      </c>
      <c r="E1820" t="s">
        <v>6</v>
      </c>
      <c r="F1820" t="s">
        <v>6</v>
      </c>
      <c r="G1820" t="s">
        <v>6</v>
      </c>
      <c r="H1820">
        <v>72836.08</v>
      </c>
      <c r="I1820">
        <v>54244.89</v>
      </c>
      <c r="J1820">
        <v>0</v>
      </c>
    </row>
    <row r="1821" spans="1:10" x14ac:dyDescent="0.35">
      <c r="A1821">
        <v>320488</v>
      </c>
      <c r="B1821" t="s">
        <v>20</v>
      </c>
      <c r="C1821">
        <v>2015</v>
      </c>
      <c r="D1821">
        <v>4</v>
      </c>
      <c r="E1821" t="s">
        <v>6</v>
      </c>
      <c r="F1821" t="s">
        <v>6</v>
      </c>
      <c r="G1821" t="s">
        <v>6</v>
      </c>
      <c r="H1821">
        <v>92220.5</v>
      </c>
      <c r="I1821">
        <v>46556.94</v>
      </c>
      <c r="J1821">
        <v>0</v>
      </c>
    </row>
    <row r="1822" spans="1:10" x14ac:dyDescent="0.35">
      <c r="A1822">
        <v>320511</v>
      </c>
      <c r="B1822" t="s">
        <v>20</v>
      </c>
      <c r="C1822">
        <v>2015</v>
      </c>
      <c r="D1822">
        <v>4</v>
      </c>
      <c r="E1822" t="s">
        <v>6</v>
      </c>
      <c r="F1822" t="s">
        <v>6</v>
      </c>
      <c r="G1822" t="s">
        <v>6</v>
      </c>
      <c r="H1822">
        <v>33578.03</v>
      </c>
      <c r="I1822">
        <v>19295.330000000002</v>
      </c>
      <c r="J1822">
        <v>0</v>
      </c>
    </row>
    <row r="1823" spans="1:10" x14ac:dyDescent="0.35">
      <c r="A1823">
        <v>320514</v>
      </c>
      <c r="B1823" t="s">
        <v>20</v>
      </c>
      <c r="C1823">
        <v>2015</v>
      </c>
      <c r="D1823">
        <v>4</v>
      </c>
      <c r="E1823" t="s">
        <v>6</v>
      </c>
      <c r="F1823" t="s">
        <v>6</v>
      </c>
      <c r="G1823" t="s">
        <v>6</v>
      </c>
      <c r="H1823">
        <v>10915.78</v>
      </c>
      <c r="I1823">
        <v>3022.24</v>
      </c>
      <c r="J1823">
        <v>0</v>
      </c>
    </row>
    <row r="1824" spans="1:10" x14ac:dyDescent="0.35">
      <c r="A1824">
        <v>320517</v>
      </c>
      <c r="B1824" t="s">
        <v>20</v>
      </c>
      <c r="C1824">
        <v>2015</v>
      </c>
      <c r="D1824">
        <v>4</v>
      </c>
      <c r="E1824" t="s">
        <v>6</v>
      </c>
      <c r="F1824" t="s">
        <v>6</v>
      </c>
      <c r="G1824" t="s">
        <v>6</v>
      </c>
      <c r="H1824">
        <v>2952.56</v>
      </c>
      <c r="I1824">
        <v>3233.02</v>
      </c>
      <c r="J1824">
        <v>1</v>
      </c>
    </row>
    <row r="1825" spans="1:10" x14ac:dyDescent="0.35">
      <c r="A1825">
        <v>320558</v>
      </c>
      <c r="B1825" t="s">
        <v>20</v>
      </c>
      <c r="C1825">
        <v>2015</v>
      </c>
      <c r="D1825">
        <v>4</v>
      </c>
      <c r="E1825" t="s">
        <v>6</v>
      </c>
      <c r="F1825" t="s">
        <v>6</v>
      </c>
      <c r="G1825" t="s">
        <v>6</v>
      </c>
      <c r="H1825">
        <v>12805.62</v>
      </c>
      <c r="I1825">
        <v>3960.45</v>
      </c>
      <c r="J1825">
        <v>0</v>
      </c>
    </row>
    <row r="1826" spans="1:10" x14ac:dyDescent="0.35">
      <c r="A1826">
        <v>320578</v>
      </c>
      <c r="B1826" t="s">
        <v>20</v>
      </c>
      <c r="C1826">
        <v>2015</v>
      </c>
      <c r="D1826">
        <v>4</v>
      </c>
      <c r="E1826" t="s">
        <v>6</v>
      </c>
      <c r="F1826" t="s">
        <v>6</v>
      </c>
      <c r="G1826" t="s">
        <v>6</v>
      </c>
      <c r="H1826">
        <v>37459.65</v>
      </c>
      <c r="I1826">
        <v>25662.16</v>
      </c>
      <c r="J1826">
        <v>0</v>
      </c>
    </row>
    <row r="1827" spans="1:10" x14ac:dyDescent="0.35">
      <c r="A1827">
        <v>320583</v>
      </c>
      <c r="B1827" t="s">
        <v>20</v>
      </c>
      <c r="C1827">
        <v>2015</v>
      </c>
      <c r="D1827">
        <v>4</v>
      </c>
      <c r="E1827" t="s">
        <v>6</v>
      </c>
      <c r="F1827" t="s">
        <v>6</v>
      </c>
      <c r="G1827" t="s">
        <v>6</v>
      </c>
      <c r="H1827">
        <v>23298.36</v>
      </c>
      <c r="I1827">
        <v>8388.69</v>
      </c>
      <c r="J1827">
        <v>0</v>
      </c>
    </row>
    <row r="1828" spans="1:10" x14ac:dyDescent="0.35">
      <c r="A1828">
        <v>320632</v>
      </c>
      <c r="B1828" t="s">
        <v>20</v>
      </c>
      <c r="C1828">
        <v>2015</v>
      </c>
      <c r="D1828">
        <v>4</v>
      </c>
      <c r="E1828" t="s">
        <v>6</v>
      </c>
      <c r="F1828" t="s">
        <v>6</v>
      </c>
      <c r="G1828" t="s">
        <v>6</v>
      </c>
      <c r="H1828">
        <v>36228.43</v>
      </c>
      <c r="I1828">
        <v>23728.59</v>
      </c>
      <c r="J1828">
        <v>0</v>
      </c>
    </row>
    <row r="1829" spans="1:10" x14ac:dyDescent="0.35">
      <c r="A1829">
        <v>320640</v>
      </c>
      <c r="B1829" t="s">
        <v>20</v>
      </c>
      <c r="C1829">
        <v>2015</v>
      </c>
      <c r="D1829">
        <v>4</v>
      </c>
      <c r="E1829" t="s">
        <v>6</v>
      </c>
      <c r="F1829" t="s">
        <v>6</v>
      </c>
      <c r="G1829" t="s">
        <v>6</v>
      </c>
      <c r="H1829">
        <v>5276.32</v>
      </c>
      <c r="I1829">
        <v>6307.64</v>
      </c>
      <c r="J1829">
        <v>1</v>
      </c>
    </row>
    <row r="1830" spans="1:10" x14ac:dyDescent="0.35">
      <c r="A1830">
        <v>320651</v>
      </c>
      <c r="B1830" t="s">
        <v>20</v>
      </c>
      <c r="C1830">
        <v>2015</v>
      </c>
      <c r="D1830">
        <v>4</v>
      </c>
      <c r="E1830" t="s">
        <v>6</v>
      </c>
      <c r="F1830" t="s">
        <v>6</v>
      </c>
      <c r="G1830" t="s">
        <v>6</v>
      </c>
      <c r="H1830">
        <v>2949.48</v>
      </c>
      <c r="I1830">
        <v>3232.28</v>
      </c>
      <c r="J1830">
        <v>1</v>
      </c>
    </row>
    <row r="1831" spans="1:10" x14ac:dyDescent="0.35">
      <c r="A1831">
        <v>320664</v>
      </c>
      <c r="B1831" t="s">
        <v>20</v>
      </c>
      <c r="C1831">
        <v>2015</v>
      </c>
      <c r="D1831">
        <v>4</v>
      </c>
      <c r="E1831" t="s">
        <v>6</v>
      </c>
      <c r="F1831" t="s">
        <v>6</v>
      </c>
      <c r="G1831" t="s">
        <v>6</v>
      </c>
      <c r="H1831">
        <v>6252.78</v>
      </c>
      <c r="I1831">
        <v>6579.18</v>
      </c>
      <c r="J1831">
        <v>1</v>
      </c>
    </row>
    <row r="1832" spans="1:10" x14ac:dyDescent="0.35">
      <c r="A1832">
        <v>320667</v>
      </c>
      <c r="B1832" t="s">
        <v>20</v>
      </c>
      <c r="C1832">
        <v>2015</v>
      </c>
      <c r="D1832">
        <v>4</v>
      </c>
      <c r="E1832" t="s">
        <v>6</v>
      </c>
      <c r="F1832" t="s">
        <v>6</v>
      </c>
      <c r="G1832" t="s">
        <v>6</v>
      </c>
      <c r="H1832">
        <v>56265.02</v>
      </c>
      <c r="I1832">
        <v>19909.810000000001</v>
      </c>
      <c r="J1832">
        <v>0</v>
      </c>
    </row>
    <row r="1833" spans="1:10" x14ac:dyDescent="0.35">
      <c r="A1833">
        <v>320677</v>
      </c>
      <c r="B1833" t="s">
        <v>20</v>
      </c>
      <c r="C1833">
        <v>2015</v>
      </c>
      <c r="D1833">
        <v>4</v>
      </c>
      <c r="E1833" t="s">
        <v>6</v>
      </c>
      <c r="F1833" t="s">
        <v>6</v>
      </c>
      <c r="G1833" t="s">
        <v>6</v>
      </c>
      <c r="H1833">
        <v>36347.58</v>
      </c>
      <c r="I1833">
        <v>10796.35</v>
      </c>
      <c r="J1833">
        <v>0</v>
      </c>
    </row>
    <row r="1834" spans="1:10" x14ac:dyDescent="0.35">
      <c r="A1834">
        <v>320684</v>
      </c>
      <c r="B1834" t="s">
        <v>20</v>
      </c>
      <c r="C1834">
        <v>2015</v>
      </c>
      <c r="D1834">
        <v>4</v>
      </c>
      <c r="E1834" t="s">
        <v>6</v>
      </c>
      <c r="F1834" t="s">
        <v>6</v>
      </c>
      <c r="G1834" t="s">
        <v>6</v>
      </c>
      <c r="H1834">
        <v>11129.54</v>
      </c>
      <c r="I1834">
        <v>3524.54</v>
      </c>
      <c r="J1834">
        <v>0</v>
      </c>
    </row>
    <row r="1835" spans="1:10" x14ac:dyDescent="0.35">
      <c r="A1835">
        <v>320688</v>
      </c>
      <c r="B1835" t="s">
        <v>20</v>
      </c>
      <c r="C1835">
        <v>2015</v>
      </c>
      <c r="D1835">
        <v>4</v>
      </c>
      <c r="E1835" t="s">
        <v>6</v>
      </c>
      <c r="F1835" t="s">
        <v>6</v>
      </c>
      <c r="G1835" t="s">
        <v>6</v>
      </c>
      <c r="H1835">
        <v>6677.32</v>
      </c>
      <c r="I1835">
        <v>7917.53</v>
      </c>
      <c r="J1835">
        <v>1</v>
      </c>
    </row>
    <row r="1836" spans="1:10" x14ac:dyDescent="0.35">
      <c r="A1836">
        <v>320695</v>
      </c>
      <c r="B1836" t="s">
        <v>20</v>
      </c>
      <c r="C1836">
        <v>2015</v>
      </c>
      <c r="D1836">
        <v>4</v>
      </c>
      <c r="E1836" t="s">
        <v>6</v>
      </c>
      <c r="F1836" t="s">
        <v>6</v>
      </c>
      <c r="G1836" t="s">
        <v>6</v>
      </c>
      <c r="H1836">
        <v>5177.92</v>
      </c>
      <c r="I1836">
        <v>6283.27</v>
      </c>
      <c r="J1836">
        <v>1</v>
      </c>
    </row>
    <row r="1837" spans="1:10" x14ac:dyDescent="0.35">
      <c r="A1837">
        <v>320701</v>
      </c>
      <c r="B1837" t="s">
        <v>20</v>
      </c>
      <c r="C1837">
        <v>2015</v>
      </c>
      <c r="D1837">
        <v>4</v>
      </c>
      <c r="E1837" t="s">
        <v>6</v>
      </c>
      <c r="F1837" t="s">
        <v>6</v>
      </c>
      <c r="G1837" t="s">
        <v>6</v>
      </c>
      <c r="H1837">
        <v>23424.2</v>
      </c>
      <c r="I1837">
        <v>8135.2</v>
      </c>
      <c r="J1837">
        <v>0</v>
      </c>
    </row>
    <row r="1838" spans="1:10" x14ac:dyDescent="0.35">
      <c r="A1838">
        <v>320710</v>
      </c>
      <c r="B1838" t="s">
        <v>20</v>
      </c>
      <c r="C1838">
        <v>2015</v>
      </c>
      <c r="D1838">
        <v>4</v>
      </c>
      <c r="E1838" t="s">
        <v>6</v>
      </c>
      <c r="F1838" t="s">
        <v>6</v>
      </c>
      <c r="G1838" t="s">
        <v>6</v>
      </c>
      <c r="H1838">
        <v>6236.22</v>
      </c>
      <c r="I1838">
        <v>5373.16</v>
      </c>
      <c r="J1838">
        <v>0</v>
      </c>
    </row>
    <row r="1839" spans="1:10" x14ac:dyDescent="0.35">
      <c r="A1839">
        <v>320724</v>
      </c>
      <c r="B1839" t="s">
        <v>20</v>
      </c>
      <c r="C1839">
        <v>2015</v>
      </c>
      <c r="D1839">
        <v>4</v>
      </c>
      <c r="E1839" t="s">
        <v>6</v>
      </c>
      <c r="F1839" t="s">
        <v>6</v>
      </c>
      <c r="G1839" t="s">
        <v>6</v>
      </c>
      <c r="H1839">
        <v>23626.68</v>
      </c>
      <c r="I1839">
        <v>8281.06</v>
      </c>
      <c r="J1839">
        <v>0</v>
      </c>
    </row>
    <row r="1840" spans="1:10" x14ac:dyDescent="0.35">
      <c r="A1840">
        <v>320726</v>
      </c>
      <c r="B1840" t="s">
        <v>20</v>
      </c>
      <c r="C1840">
        <v>2015</v>
      </c>
      <c r="D1840">
        <v>4</v>
      </c>
      <c r="E1840" t="s">
        <v>6</v>
      </c>
      <c r="F1840" t="s">
        <v>6</v>
      </c>
      <c r="G1840" t="s">
        <v>6</v>
      </c>
      <c r="H1840">
        <v>12982.98</v>
      </c>
      <c r="I1840">
        <v>3962.22</v>
      </c>
      <c r="J1840">
        <v>0</v>
      </c>
    </row>
    <row r="1841" spans="1:10" x14ac:dyDescent="0.35">
      <c r="A1841">
        <v>320731</v>
      </c>
      <c r="B1841" t="s">
        <v>20</v>
      </c>
      <c r="C1841">
        <v>2015</v>
      </c>
      <c r="D1841">
        <v>4</v>
      </c>
      <c r="E1841" t="s">
        <v>6</v>
      </c>
      <c r="F1841" t="s">
        <v>6</v>
      </c>
      <c r="G1841" t="s">
        <v>6</v>
      </c>
      <c r="H1841">
        <v>4069.12</v>
      </c>
      <c r="I1841">
        <v>4759.08</v>
      </c>
      <c r="J1841">
        <v>1</v>
      </c>
    </row>
    <row r="1842" spans="1:10" x14ac:dyDescent="0.35">
      <c r="A1842">
        <v>320743</v>
      </c>
      <c r="B1842" t="s">
        <v>20</v>
      </c>
      <c r="C1842">
        <v>2015</v>
      </c>
      <c r="D1842">
        <v>4</v>
      </c>
      <c r="E1842" t="s">
        <v>6</v>
      </c>
      <c r="F1842" t="s">
        <v>6</v>
      </c>
      <c r="G1842" t="s">
        <v>6</v>
      </c>
      <c r="H1842">
        <v>8855.52</v>
      </c>
      <c r="I1842">
        <v>8521.0400000000009</v>
      </c>
      <c r="J1842">
        <v>0</v>
      </c>
    </row>
    <row r="1843" spans="1:10" x14ac:dyDescent="0.35">
      <c r="A1843">
        <v>320748</v>
      </c>
      <c r="B1843" t="s">
        <v>20</v>
      </c>
      <c r="C1843">
        <v>2015</v>
      </c>
      <c r="D1843">
        <v>4</v>
      </c>
      <c r="E1843" t="s">
        <v>6</v>
      </c>
      <c r="F1843" t="s">
        <v>6</v>
      </c>
      <c r="G1843" t="s">
        <v>6</v>
      </c>
      <c r="H1843">
        <v>25790.14</v>
      </c>
      <c r="I1843">
        <v>17479.72</v>
      </c>
      <c r="J1843">
        <v>0</v>
      </c>
    </row>
    <row r="1844" spans="1:10" x14ac:dyDescent="0.35">
      <c r="A1844">
        <v>320749</v>
      </c>
      <c r="B1844" t="s">
        <v>20</v>
      </c>
      <c r="C1844">
        <v>2015</v>
      </c>
      <c r="D1844">
        <v>4</v>
      </c>
      <c r="E1844" t="s">
        <v>6</v>
      </c>
      <c r="F1844" t="s">
        <v>6</v>
      </c>
      <c r="G1844" t="s">
        <v>6</v>
      </c>
      <c r="H1844">
        <v>2968.08</v>
      </c>
      <c r="I1844">
        <v>3236.75</v>
      </c>
      <c r="J1844">
        <v>1</v>
      </c>
    </row>
    <row r="1845" spans="1:10" x14ac:dyDescent="0.35">
      <c r="A1845">
        <v>320757</v>
      </c>
      <c r="B1845" t="s">
        <v>20</v>
      </c>
      <c r="C1845">
        <v>2015</v>
      </c>
      <c r="D1845">
        <v>4</v>
      </c>
      <c r="E1845" t="s">
        <v>6</v>
      </c>
      <c r="F1845" t="s">
        <v>6</v>
      </c>
      <c r="G1845" t="s">
        <v>6</v>
      </c>
      <c r="H1845">
        <v>4076.88</v>
      </c>
      <c r="I1845">
        <v>4760.9399999999996</v>
      </c>
      <c r="J1845">
        <v>1</v>
      </c>
    </row>
    <row r="1846" spans="1:10" x14ac:dyDescent="0.35">
      <c r="A1846">
        <v>320767</v>
      </c>
      <c r="B1846" t="s">
        <v>20</v>
      </c>
      <c r="C1846">
        <v>2015</v>
      </c>
      <c r="D1846">
        <v>4</v>
      </c>
      <c r="E1846" t="s">
        <v>6</v>
      </c>
      <c r="F1846" t="s">
        <v>6</v>
      </c>
      <c r="G1846" t="s">
        <v>6</v>
      </c>
      <c r="H1846">
        <v>6965.78</v>
      </c>
      <c r="I1846">
        <v>6727.12</v>
      </c>
      <c r="J1846">
        <v>0</v>
      </c>
    </row>
    <row r="1847" spans="1:10" x14ac:dyDescent="0.35">
      <c r="A1847">
        <v>320773</v>
      </c>
      <c r="B1847" t="s">
        <v>20</v>
      </c>
      <c r="C1847">
        <v>2015</v>
      </c>
      <c r="D1847">
        <v>4</v>
      </c>
      <c r="E1847" t="s">
        <v>6</v>
      </c>
      <c r="F1847" t="s">
        <v>6</v>
      </c>
      <c r="G1847" t="s">
        <v>6</v>
      </c>
      <c r="H1847">
        <v>20218.7</v>
      </c>
      <c r="I1847">
        <v>4778.96</v>
      </c>
      <c r="J1847">
        <v>0</v>
      </c>
    </row>
    <row r="1848" spans="1:10" x14ac:dyDescent="0.35">
      <c r="A1848">
        <v>320775</v>
      </c>
      <c r="B1848" t="s">
        <v>20</v>
      </c>
      <c r="C1848">
        <v>2015</v>
      </c>
      <c r="D1848">
        <v>4</v>
      </c>
      <c r="E1848" t="s">
        <v>6</v>
      </c>
      <c r="F1848" t="s">
        <v>6</v>
      </c>
      <c r="G1848" t="s">
        <v>6</v>
      </c>
      <c r="H1848">
        <v>5177.92</v>
      </c>
      <c r="I1848">
        <v>6283.27</v>
      </c>
      <c r="J1848">
        <v>1</v>
      </c>
    </row>
    <row r="1849" spans="1:10" x14ac:dyDescent="0.35">
      <c r="A1849">
        <v>320780</v>
      </c>
      <c r="B1849" t="s">
        <v>20</v>
      </c>
      <c r="C1849">
        <v>2015</v>
      </c>
      <c r="D1849">
        <v>4</v>
      </c>
      <c r="E1849" t="s">
        <v>6</v>
      </c>
      <c r="F1849" t="s">
        <v>6</v>
      </c>
      <c r="G1849" t="s">
        <v>6</v>
      </c>
      <c r="H1849">
        <v>5177.92</v>
      </c>
      <c r="I1849">
        <v>6283.27</v>
      </c>
      <c r="J1849">
        <v>1</v>
      </c>
    </row>
    <row r="1850" spans="1:10" x14ac:dyDescent="0.35">
      <c r="A1850">
        <v>320781</v>
      </c>
      <c r="B1850" t="s">
        <v>20</v>
      </c>
      <c r="C1850">
        <v>2015</v>
      </c>
      <c r="D1850">
        <v>4</v>
      </c>
      <c r="E1850" t="s">
        <v>6</v>
      </c>
      <c r="F1850" t="s">
        <v>6</v>
      </c>
      <c r="G1850" t="s">
        <v>6</v>
      </c>
      <c r="H1850">
        <v>68944.240000000005</v>
      </c>
      <c r="I1850">
        <v>23699.74</v>
      </c>
      <c r="J1850">
        <v>0</v>
      </c>
    </row>
    <row r="1851" spans="1:10" x14ac:dyDescent="0.35">
      <c r="A1851">
        <v>320799</v>
      </c>
      <c r="B1851" t="s">
        <v>20</v>
      </c>
      <c r="C1851">
        <v>2015</v>
      </c>
      <c r="D1851">
        <v>4</v>
      </c>
      <c r="E1851" t="s">
        <v>6</v>
      </c>
      <c r="F1851" t="s">
        <v>6</v>
      </c>
      <c r="G1851" t="s">
        <v>6</v>
      </c>
      <c r="H1851">
        <v>22133</v>
      </c>
      <c r="I1851">
        <v>4892.8</v>
      </c>
      <c r="J1851">
        <v>0</v>
      </c>
    </row>
    <row r="1852" spans="1:10" x14ac:dyDescent="0.35">
      <c r="A1852">
        <v>320802</v>
      </c>
      <c r="B1852" t="s">
        <v>20</v>
      </c>
      <c r="C1852">
        <v>2015</v>
      </c>
      <c r="D1852">
        <v>4</v>
      </c>
      <c r="E1852" t="s">
        <v>6</v>
      </c>
      <c r="F1852" t="s">
        <v>6</v>
      </c>
      <c r="G1852" t="s">
        <v>6</v>
      </c>
      <c r="H1852">
        <v>8467.42</v>
      </c>
      <c r="I1852">
        <v>7176.35</v>
      </c>
      <c r="J1852">
        <v>0</v>
      </c>
    </row>
    <row r="1853" spans="1:10" x14ac:dyDescent="0.35">
      <c r="A1853">
        <v>320814</v>
      </c>
      <c r="B1853" t="s">
        <v>20</v>
      </c>
      <c r="C1853">
        <v>2015</v>
      </c>
      <c r="D1853">
        <v>4</v>
      </c>
      <c r="E1853" t="s">
        <v>6</v>
      </c>
      <c r="F1853" t="s">
        <v>6</v>
      </c>
      <c r="G1853" t="s">
        <v>6</v>
      </c>
      <c r="H1853">
        <v>3956.16</v>
      </c>
      <c r="I1853">
        <v>4727.57</v>
      </c>
      <c r="J1853">
        <v>1</v>
      </c>
    </row>
    <row r="1854" spans="1:10" x14ac:dyDescent="0.35">
      <c r="A1854">
        <v>320829</v>
      </c>
      <c r="B1854" t="s">
        <v>20</v>
      </c>
      <c r="C1854">
        <v>2015</v>
      </c>
      <c r="D1854">
        <v>4</v>
      </c>
      <c r="E1854" t="s">
        <v>6</v>
      </c>
      <c r="F1854" t="s">
        <v>6</v>
      </c>
      <c r="G1854" t="s">
        <v>6</v>
      </c>
      <c r="H1854">
        <v>18238.32</v>
      </c>
      <c r="I1854">
        <v>11753.33</v>
      </c>
      <c r="J1854">
        <v>0</v>
      </c>
    </row>
    <row r="1855" spans="1:10" x14ac:dyDescent="0.35">
      <c r="A1855">
        <v>320831</v>
      </c>
      <c r="B1855" t="s">
        <v>20</v>
      </c>
      <c r="C1855">
        <v>2015</v>
      </c>
      <c r="D1855">
        <v>4</v>
      </c>
      <c r="E1855" t="s">
        <v>6</v>
      </c>
      <c r="F1855" t="s">
        <v>6</v>
      </c>
      <c r="G1855" t="s">
        <v>6</v>
      </c>
      <c r="H1855">
        <v>4069.12</v>
      </c>
      <c r="I1855">
        <v>4759.08</v>
      </c>
      <c r="J1855">
        <v>1</v>
      </c>
    </row>
    <row r="1856" spans="1:10" x14ac:dyDescent="0.35">
      <c r="A1856">
        <v>320836</v>
      </c>
      <c r="B1856" t="s">
        <v>20</v>
      </c>
      <c r="C1856">
        <v>2015</v>
      </c>
      <c r="D1856">
        <v>4</v>
      </c>
      <c r="E1856" t="s">
        <v>6</v>
      </c>
      <c r="F1856" t="s">
        <v>6</v>
      </c>
      <c r="G1856" t="s">
        <v>6</v>
      </c>
      <c r="H1856">
        <v>4700.3999999999996</v>
      </c>
      <c r="I1856">
        <v>1622.32</v>
      </c>
      <c r="J1856">
        <v>0</v>
      </c>
    </row>
    <row r="1857" spans="1:10" x14ac:dyDescent="0.35">
      <c r="A1857">
        <v>320851</v>
      </c>
      <c r="B1857" t="s">
        <v>20</v>
      </c>
      <c r="C1857">
        <v>2015</v>
      </c>
      <c r="D1857">
        <v>4</v>
      </c>
      <c r="E1857" t="s">
        <v>6</v>
      </c>
      <c r="F1857" t="s">
        <v>6</v>
      </c>
      <c r="G1857" t="s">
        <v>6</v>
      </c>
      <c r="H1857">
        <v>4076.88</v>
      </c>
      <c r="I1857">
        <v>4760.9399999999996</v>
      </c>
      <c r="J1857">
        <v>1</v>
      </c>
    </row>
    <row r="1858" spans="1:10" x14ac:dyDescent="0.35">
      <c r="A1858">
        <v>320860</v>
      </c>
      <c r="B1858" t="s">
        <v>20</v>
      </c>
      <c r="C1858">
        <v>2015</v>
      </c>
      <c r="D1858">
        <v>4</v>
      </c>
      <c r="E1858" t="s">
        <v>6</v>
      </c>
      <c r="F1858" t="s">
        <v>6</v>
      </c>
      <c r="G1858" t="s">
        <v>6</v>
      </c>
      <c r="H1858">
        <v>6187.72</v>
      </c>
      <c r="I1858">
        <v>6534.38</v>
      </c>
      <c r="J1858">
        <v>1</v>
      </c>
    </row>
    <row r="1859" spans="1:10" x14ac:dyDescent="0.35">
      <c r="A1859">
        <v>320861</v>
      </c>
      <c r="B1859" t="s">
        <v>20</v>
      </c>
      <c r="C1859">
        <v>2015</v>
      </c>
      <c r="D1859">
        <v>4</v>
      </c>
      <c r="E1859" t="s">
        <v>6</v>
      </c>
      <c r="F1859" t="s">
        <v>6</v>
      </c>
      <c r="G1859" t="s">
        <v>6</v>
      </c>
      <c r="H1859">
        <v>36322.720000000001</v>
      </c>
      <c r="I1859">
        <v>10265</v>
      </c>
      <c r="J1859">
        <v>0</v>
      </c>
    </row>
    <row r="1860" spans="1:10" x14ac:dyDescent="0.35">
      <c r="A1860">
        <v>320863</v>
      </c>
      <c r="B1860" t="s">
        <v>20</v>
      </c>
      <c r="C1860">
        <v>2015</v>
      </c>
      <c r="D1860">
        <v>4</v>
      </c>
      <c r="E1860" t="s">
        <v>6</v>
      </c>
      <c r="F1860" t="s">
        <v>6</v>
      </c>
      <c r="G1860" t="s">
        <v>6</v>
      </c>
      <c r="H1860">
        <v>35950.39</v>
      </c>
      <c r="I1860">
        <v>22130.39</v>
      </c>
      <c r="J1860">
        <v>0</v>
      </c>
    </row>
    <row r="1861" spans="1:10" x14ac:dyDescent="0.35">
      <c r="A1861">
        <v>320864</v>
      </c>
      <c r="B1861" t="s">
        <v>20</v>
      </c>
      <c r="C1861">
        <v>2015</v>
      </c>
      <c r="D1861">
        <v>4</v>
      </c>
      <c r="E1861" t="s">
        <v>6</v>
      </c>
      <c r="F1861" t="s">
        <v>6</v>
      </c>
      <c r="G1861" t="s">
        <v>6</v>
      </c>
      <c r="H1861">
        <v>23847.119999999999</v>
      </c>
      <c r="I1861">
        <v>12874.03</v>
      </c>
      <c r="J1861">
        <v>0</v>
      </c>
    </row>
    <row r="1862" spans="1:10" x14ac:dyDescent="0.35">
      <c r="A1862">
        <v>320865</v>
      </c>
      <c r="B1862" t="s">
        <v>20</v>
      </c>
      <c r="C1862">
        <v>2015</v>
      </c>
      <c r="D1862">
        <v>4</v>
      </c>
      <c r="E1862" t="s">
        <v>6</v>
      </c>
      <c r="F1862" t="s">
        <v>6</v>
      </c>
      <c r="G1862" t="s">
        <v>6</v>
      </c>
      <c r="H1862">
        <v>61808.38</v>
      </c>
      <c r="I1862">
        <v>26315.52</v>
      </c>
      <c r="J1862">
        <v>0</v>
      </c>
    </row>
    <row r="1863" spans="1:10" x14ac:dyDescent="0.35">
      <c r="A1863">
        <v>320867</v>
      </c>
      <c r="B1863" t="s">
        <v>20</v>
      </c>
      <c r="C1863">
        <v>2015</v>
      </c>
      <c r="D1863">
        <v>4</v>
      </c>
      <c r="E1863" t="s">
        <v>6</v>
      </c>
      <c r="F1863" t="s">
        <v>6</v>
      </c>
      <c r="G1863" t="s">
        <v>6</v>
      </c>
      <c r="H1863">
        <v>19323.72</v>
      </c>
      <c r="I1863">
        <v>8806.5499999999993</v>
      </c>
      <c r="J1863">
        <v>0</v>
      </c>
    </row>
    <row r="1864" spans="1:10" x14ac:dyDescent="0.35">
      <c r="A1864">
        <v>320886</v>
      </c>
      <c r="B1864" t="s">
        <v>20</v>
      </c>
      <c r="C1864">
        <v>2015</v>
      </c>
      <c r="D1864">
        <v>4</v>
      </c>
      <c r="E1864" t="s">
        <v>6</v>
      </c>
      <c r="F1864" t="s">
        <v>6</v>
      </c>
      <c r="G1864" t="s">
        <v>6</v>
      </c>
      <c r="H1864">
        <v>2960.32</v>
      </c>
      <c r="I1864">
        <v>3234.89</v>
      </c>
      <c r="J1864">
        <v>1</v>
      </c>
    </row>
    <row r="1865" spans="1:10" x14ac:dyDescent="0.35">
      <c r="A1865">
        <v>320888</v>
      </c>
      <c r="B1865" t="s">
        <v>20</v>
      </c>
      <c r="C1865">
        <v>2015</v>
      </c>
      <c r="D1865">
        <v>4</v>
      </c>
      <c r="E1865" t="s">
        <v>6</v>
      </c>
      <c r="F1865" t="s">
        <v>6</v>
      </c>
      <c r="G1865" t="s">
        <v>6</v>
      </c>
      <c r="H1865">
        <v>19317.48</v>
      </c>
      <c r="I1865">
        <v>6672.7</v>
      </c>
      <c r="J1865">
        <v>0</v>
      </c>
    </row>
    <row r="1866" spans="1:10" x14ac:dyDescent="0.35">
      <c r="A1866">
        <v>320905</v>
      </c>
      <c r="B1866" t="s">
        <v>20</v>
      </c>
      <c r="C1866">
        <v>2015</v>
      </c>
      <c r="D1866">
        <v>4</v>
      </c>
      <c r="E1866" t="s">
        <v>6</v>
      </c>
      <c r="F1866" t="s">
        <v>6</v>
      </c>
      <c r="G1866" t="s">
        <v>6</v>
      </c>
      <c r="H1866">
        <v>54651.46</v>
      </c>
      <c r="I1866">
        <v>40085.83</v>
      </c>
      <c r="J1866">
        <v>0</v>
      </c>
    </row>
    <row r="1867" spans="1:10" x14ac:dyDescent="0.35">
      <c r="A1867">
        <v>320915</v>
      </c>
      <c r="B1867" t="s">
        <v>20</v>
      </c>
      <c r="C1867">
        <v>2015</v>
      </c>
      <c r="D1867">
        <v>4</v>
      </c>
      <c r="E1867" t="s">
        <v>6</v>
      </c>
      <c r="F1867" t="s">
        <v>6</v>
      </c>
      <c r="G1867" t="s">
        <v>6</v>
      </c>
      <c r="H1867">
        <v>13780.42</v>
      </c>
      <c r="I1867">
        <v>4059.53</v>
      </c>
      <c r="J1867">
        <v>0</v>
      </c>
    </row>
    <row r="1868" spans="1:10" x14ac:dyDescent="0.35">
      <c r="A1868">
        <v>320930</v>
      </c>
      <c r="B1868" t="s">
        <v>20</v>
      </c>
      <c r="C1868">
        <v>2015</v>
      </c>
      <c r="D1868">
        <v>4</v>
      </c>
      <c r="E1868" t="s">
        <v>6</v>
      </c>
      <c r="F1868" t="s">
        <v>6</v>
      </c>
      <c r="G1868" t="s">
        <v>6</v>
      </c>
      <c r="H1868">
        <v>16342.48</v>
      </c>
      <c r="I1868">
        <v>4812.25</v>
      </c>
      <c r="J1868">
        <v>0</v>
      </c>
    </row>
    <row r="1869" spans="1:10" x14ac:dyDescent="0.35">
      <c r="A1869">
        <v>320937</v>
      </c>
      <c r="B1869" t="s">
        <v>20</v>
      </c>
      <c r="C1869">
        <v>2015</v>
      </c>
      <c r="D1869">
        <v>4</v>
      </c>
      <c r="E1869" t="s">
        <v>6</v>
      </c>
      <c r="F1869" t="s">
        <v>6</v>
      </c>
      <c r="G1869" t="s">
        <v>6</v>
      </c>
      <c r="H1869">
        <v>28397.9</v>
      </c>
      <c r="I1869">
        <v>6781.1</v>
      </c>
      <c r="J1869">
        <v>0</v>
      </c>
    </row>
    <row r="1870" spans="1:10" x14ac:dyDescent="0.35">
      <c r="A1870">
        <v>320942</v>
      </c>
      <c r="B1870" t="s">
        <v>20</v>
      </c>
      <c r="C1870">
        <v>2015</v>
      </c>
      <c r="D1870">
        <v>4</v>
      </c>
      <c r="E1870" t="s">
        <v>6</v>
      </c>
      <c r="F1870" t="s">
        <v>6</v>
      </c>
      <c r="G1870" t="s">
        <v>6</v>
      </c>
      <c r="H1870">
        <v>25807.58</v>
      </c>
      <c r="I1870">
        <v>12511.72</v>
      </c>
      <c r="J1870">
        <v>0</v>
      </c>
    </row>
    <row r="1871" spans="1:10" x14ac:dyDescent="0.35">
      <c r="A1871">
        <v>320947</v>
      </c>
      <c r="B1871" t="s">
        <v>20</v>
      </c>
      <c r="C1871">
        <v>2015</v>
      </c>
      <c r="D1871">
        <v>4</v>
      </c>
      <c r="E1871" t="s">
        <v>6</v>
      </c>
      <c r="F1871" t="s">
        <v>6</v>
      </c>
      <c r="G1871" t="s">
        <v>6</v>
      </c>
      <c r="H1871">
        <v>5357.18</v>
      </c>
      <c r="I1871">
        <v>6334.24</v>
      </c>
      <c r="J1871">
        <v>1</v>
      </c>
    </row>
    <row r="1872" spans="1:10" x14ac:dyDescent="0.35">
      <c r="A1872">
        <v>320953</v>
      </c>
      <c r="B1872" t="s">
        <v>20</v>
      </c>
      <c r="C1872">
        <v>2015</v>
      </c>
      <c r="D1872">
        <v>4</v>
      </c>
      <c r="E1872" t="s">
        <v>6</v>
      </c>
      <c r="F1872" t="s">
        <v>6</v>
      </c>
      <c r="G1872" t="s">
        <v>6</v>
      </c>
      <c r="H1872">
        <v>82995.02</v>
      </c>
      <c r="I1872">
        <v>23655.48</v>
      </c>
      <c r="J1872">
        <v>0</v>
      </c>
    </row>
    <row r="1873" spans="1:10" x14ac:dyDescent="0.35">
      <c r="A1873">
        <v>320954</v>
      </c>
      <c r="B1873" t="s">
        <v>20</v>
      </c>
      <c r="C1873">
        <v>2015</v>
      </c>
      <c r="D1873">
        <v>4</v>
      </c>
      <c r="E1873" t="s">
        <v>6</v>
      </c>
      <c r="F1873" t="s">
        <v>6</v>
      </c>
      <c r="G1873" t="s">
        <v>6</v>
      </c>
      <c r="H1873">
        <v>24383.66</v>
      </c>
      <c r="I1873">
        <v>8428.68</v>
      </c>
      <c r="J1873">
        <v>0</v>
      </c>
    </row>
    <row r="1874" spans="1:10" x14ac:dyDescent="0.35">
      <c r="A1874">
        <v>320961</v>
      </c>
      <c r="B1874" t="s">
        <v>20</v>
      </c>
      <c r="C1874">
        <v>2015</v>
      </c>
      <c r="D1874">
        <v>4</v>
      </c>
      <c r="E1874" t="s">
        <v>6</v>
      </c>
      <c r="F1874" t="s">
        <v>6</v>
      </c>
      <c r="G1874" t="s">
        <v>6</v>
      </c>
      <c r="H1874">
        <v>4069.12</v>
      </c>
      <c r="I1874">
        <v>4759.08</v>
      </c>
      <c r="J1874">
        <v>1</v>
      </c>
    </row>
    <row r="1875" spans="1:10" x14ac:dyDescent="0.35">
      <c r="A1875">
        <v>320963</v>
      </c>
      <c r="B1875" t="s">
        <v>20</v>
      </c>
      <c r="C1875">
        <v>2015</v>
      </c>
      <c r="D1875">
        <v>4</v>
      </c>
      <c r="E1875" t="s">
        <v>6</v>
      </c>
      <c r="F1875" t="s">
        <v>6</v>
      </c>
      <c r="G1875" t="s">
        <v>6</v>
      </c>
      <c r="H1875">
        <v>24914.27</v>
      </c>
      <c r="I1875">
        <v>6694.75</v>
      </c>
      <c r="J1875">
        <v>0</v>
      </c>
    </row>
    <row r="1876" spans="1:10" x14ac:dyDescent="0.35">
      <c r="A1876">
        <v>320987</v>
      </c>
      <c r="B1876" t="s">
        <v>20</v>
      </c>
      <c r="C1876">
        <v>2015</v>
      </c>
      <c r="D1876">
        <v>4</v>
      </c>
      <c r="E1876" t="s">
        <v>6</v>
      </c>
      <c r="F1876" t="s">
        <v>6</v>
      </c>
      <c r="G1876" t="s">
        <v>6</v>
      </c>
      <c r="H1876">
        <v>19326.28</v>
      </c>
      <c r="I1876">
        <v>5941.85</v>
      </c>
      <c r="J1876">
        <v>0</v>
      </c>
    </row>
    <row r="1877" spans="1:10" x14ac:dyDescent="0.35">
      <c r="A1877">
        <v>321011</v>
      </c>
      <c r="B1877" t="s">
        <v>20</v>
      </c>
      <c r="C1877">
        <v>2015</v>
      </c>
      <c r="D1877">
        <v>4</v>
      </c>
      <c r="E1877" t="s">
        <v>6</v>
      </c>
      <c r="F1877" t="s">
        <v>6</v>
      </c>
      <c r="G1877" t="s">
        <v>6</v>
      </c>
      <c r="H1877">
        <v>12663.48</v>
      </c>
      <c r="I1877">
        <v>6675.62</v>
      </c>
      <c r="J1877">
        <v>0</v>
      </c>
    </row>
    <row r="1878" spans="1:10" x14ac:dyDescent="0.35">
      <c r="A1878">
        <v>321029</v>
      </c>
      <c r="B1878" t="s">
        <v>20</v>
      </c>
      <c r="C1878">
        <v>2015</v>
      </c>
      <c r="D1878">
        <v>4</v>
      </c>
      <c r="E1878" t="s">
        <v>6</v>
      </c>
      <c r="F1878" t="s">
        <v>6</v>
      </c>
      <c r="G1878" t="s">
        <v>6</v>
      </c>
      <c r="H1878">
        <v>4076.88</v>
      </c>
      <c r="I1878">
        <v>4760.9399999999996</v>
      </c>
      <c r="J1878">
        <v>1</v>
      </c>
    </row>
    <row r="1879" spans="1:10" x14ac:dyDescent="0.35">
      <c r="A1879">
        <v>321038</v>
      </c>
      <c r="B1879" t="s">
        <v>20</v>
      </c>
      <c r="C1879">
        <v>2015</v>
      </c>
      <c r="D1879">
        <v>4</v>
      </c>
      <c r="E1879" t="s">
        <v>6</v>
      </c>
      <c r="F1879" t="s">
        <v>6</v>
      </c>
      <c r="G1879" t="s">
        <v>6</v>
      </c>
      <c r="H1879">
        <v>4076.88</v>
      </c>
      <c r="I1879">
        <v>4760.9399999999996</v>
      </c>
      <c r="J1879">
        <v>1</v>
      </c>
    </row>
    <row r="1880" spans="1:10" x14ac:dyDescent="0.35">
      <c r="A1880">
        <v>321039</v>
      </c>
      <c r="B1880" t="s">
        <v>20</v>
      </c>
      <c r="C1880">
        <v>2015</v>
      </c>
      <c r="D1880">
        <v>4</v>
      </c>
      <c r="E1880" t="s">
        <v>6</v>
      </c>
      <c r="F1880" t="s">
        <v>6</v>
      </c>
      <c r="G1880" t="s">
        <v>6</v>
      </c>
      <c r="H1880">
        <v>4229.62</v>
      </c>
      <c r="I1880">
        <v>4798.83</v>
      </c>
      <c r="J1880">
        <v>1</v>
      </c>
    </row>
    <row r="1881" spans="1:10" x14ac:dyDescent="0.35">
      <c r="A1881">
        <v>321056</v>
      </c>
      <c r="B1881" t="s">
        <v>20</v>
      </c>
      <c r="C1881">
        <v>2015</v>
      </c>
      <c r="D1881">
        <v>4</v>
      </c>
      <c r="E1881" t="s">
        <v>6</v>
      </c>
      <c r="F1881" t="s">
        <v>6</v>
      </c>
      <c r="G1881" t="s">
        <v>6</v>
      </c>
      <c r="H1881">
        <v>58330.9</v>
      </c>
      <c r="I1881">
        <v>18730.580000000002</v>
      </c>
      <c r="J1881">
        <v>0</v>
      </c>
    </row>
    <row r="1882" spans="1:10" x14ac:dyDescent="0.35">
      <c r="A1882">
        <v>321060</v>
      </c>
      <c r="B1882" t="s">
        <v>20</v>
      </c>
      <c r="C1882">
        <v>2015</v>
      </c>
      <c r="D1882">
        <v>4</v>
      </c>
      <c r="E1882" t="s">
        <v>6</v>
      </c>
      <c r="F1882" t="s">
        <v>6</v>
      </c>
      <c r="G1882" t="s">
        <v>6</v>
      </c>
      <c r="H1882">
        <v>2952.56</v>
      </c>
      <c r="I1882">
        <v>3233.02</v>
      </c>
      <c r="J1882">
        <v>1</v>
      </c>
    </row>
    <row r="1883" spans="1:10" x14ac:dyDescent="0.35">
      <c r="A1883">
        <v>321062</v>
      </c>
      <c r="B1883" t="s">
        <v>20</v>
      </c>
      <c r="C1883">
        <v>2015</v>
      </c>
      <c r="D1883">
        <v>4</v>
      </c>
      <c r="E1883" t="s">
        <v>6</v>
      </c>
      <c r="F1883" t="s">
        <v>6</v>
      </c>
      <c r="G1883" t="s">
        <v>6</v>
      </c>
      <c r="H1883">
        <v>69617.759999999995</v>
      </c>
      <c r="I1883">
        <v>42589.31</v>
      </c>
      <c r="J1883">
        <v>0</v>
      </c>
    </row>
    <row r="1884" spans="1:10" x14ac:dyDescent="0.35">
      <c r="A1884">
        <v>321067</v>
      </c>
      <c r="B1884" t="s">
        <v>20</v>
      </c>
      <c r="C1884">
        <v>2015</v>
      </c>
      <c r="D1884">
        <v>4</v>
      </c>
      <c r="E1884" t="s">
        <v>6</v>
      </c>
      <c r="F1884" t="s">
        <v>6</v>
      </c>
      <c r="G1884" t="s">
        <v>6</v>
      </c>
      <c r="H1884">
        <v>143575.01999999999</v>
      </c>
      <c r="I1884">
        <v>92016.37</v>
      </c>
      <c r="J1884">
        <v>0</v>
      </c>
    </row>
    <row r="1885" spans="1:10" x14ac:dyDescent="0.35">
      <c r="A1885">
        <v>321072</v>
      </c>
      <c r="B1885" t="s">
        <v>20</v>
      </c>
      <c r="C1885">
        <v>2015</v>
      </c>
      <c r="D1885">
        <v>4</v>
      </c>
      <c r="E1885" t="s">
        <v>6</v>
      </c>
      <c r="F1885" t="s">
        <v>6</v>
      </c>
      <c r="G1885" t="s">
        <v>6</v>
      </c>
      <c r="H1885">
        <v>23584.76</v>
      </c>
      <c r="I1885">
        <v>8270.99</v>
      </c>
      <c r="J1885">
        <v>0</v>
      </c>
    </row>
    <row r="1886" spans="1:10" x14ac:dyDescent="0.35">
      <c r="A1886">
        <v>321078</v>
      </c>
      <c r="B1886" t="s">
        <v>20</v>
      </c>
      <c r="C1886">
        <v>2015</v>
      </c>
      <c r="D1886">
        <v>4</v>
      </c>
      <c r="E1886" t="s">
        <v>6</v>
      </c>
      <c r="F1886" t="s">
        <v>6</v>
      </c>
      <c r="G1886" t="s">
        <v>6</v>
      </c>
      <c r="H1886">
        <v>10009.74</v>
      </c>
      <c r="I1886">
        <v>11250.91</v>
      </c>
      <c r="J1886">
        <v>1</v>
      </c>
    </row>
    <row r="1887" spans="1:10" x14ac:dyDescent="0.35">
      <c r="A1887">
        <v>321080</v>
      </c>
      <c r="B1887" t="s">
        <v>20</v>
      </c>
      <c r="C1887">
        <v>2015</v>
      </c>
      <c r="D1887">
        <v>4</v>
      </c>
      <c r="E1887" t="s">
        <v>6</v>
      </c>
      <c r="F1887" t="s">
        <v>6</v>
      </c>
      <c r="G1887" t="s">
        <v>6</v>
      </c>
      <c r="H1887">
        <v>52922.9</v>
      </c>
      <c r="I1887">
        <v>33871.599999999999</v>
      </c>
      <c r="J1887">
        <v>0</v>
      </c>
    </row>
    <row r="1888" spans="1:10" x14ac:dyDescent="0.35">
      <c r="A1888">
        <v>321101</v>
      </c>
      <c r="B1888" t="s">
        <v>20</v>
      </c>
      <c r="C1888">
        <v>2015</v>
      </c>
      <c r="D1888">
        <v>4</v>
      </c>
      <c r="E1888" t="s">
        <v>6</v>
      </c>
      <c r="F1888" t="s">
        <v>6</v>
      </c>
      <c r="G1888" t="s">
        <v>6</v>
      </c>
      <c r="H1888">
        <v>6587.74</v>
      </c>
      <c r="I1888">
        <v>4061.65</v>
      </c>
      <c r="J1888">
        <v>0</v>
      </c>
    </row>
    <row r="1889" spans="1:10" x14ac:dyDescent="0.35">
      <c r="A1889">
        <v>321114</v>
      </c>
      <c r="B1889" t="s">
        <v>20</v>
      </c>
      <c r="C1889">
        <v>2015</v>
      </c>
      <c r="D1889">
        <v>4</v>
      </c>
      <c r="E1889" t="s">
        <v>6</v>
      </c>
      <c r="F1889" t="s">
        <v>6</v>
      </c>
      <c r="G1889" t="s">
        <v>6</v>
      </c>
      <c r="H1889">
        <v>69010.42</v>
      </c>
      <c r="I1889">
        <v>47761.48</v>
      </c>
      <c r="J1889">
        <v>0</v>
      </c>
    </row>
    <row r="1890" spans="1:10" x14ac:dyDescent="0.35">
      <c r="A1890">
        <v>321117</v>
      </c>
      <c r="B1890" t="s">
        <v>20</v>
      </c>
      <c r="C1890">
        <v>2015</v>
      </c>
      <c r="D1890">
        <v>4</v>
      </c>
      <c r="E1890" t="s">
        <v>6</v>
      </c>
      <c r="F1890" t="s">
        <v>6</v>
      </c>
      <c r="G1890" t="s">
        <v>6</v>
      </c>
      <c r="H1890">
        <v>6286.72</v>
      </c>
      <c r="I1890">
        <v>7807.46</v>
      </c>
      <c r="J1890">
        <v>1</v>
      </c>
    </row>
    <row r="1891" spans="1:10" x14ac:dyDescent="0.35">
      <c r="A1891">
        <v>321123</v>
      </c>
      <c r="B1891" t="s">
        <v>20</v>
      </c>
      <c r="C1891">
        <v>2015</v>
      </c>
      <c r="D1891">
        <v>4</v>
      </c>
      <c r="E1891" t="s">
        <v>6</v>
      </c>
      <c r="F1891" t="s">
        <v>6</v>
      </c>
      <c r="G1891" t="s">
        <v>6</v>
      </c>
      <c r="H1891">
        <v>5050.5200000000004</v>
      </c>
      <c r="I1891">
        <v>1683.23</v>
      </c>
      <c r="J1891">
        <v>0</v>
      </c>
    </row>
    <row r="1892" spans="1:10" x14ac:dyDescent="0.35">
      <c r="A1892">
        <v>321127</v>
      </c>
      <c r="B1892" t="s">
        <v>20</v>
      </c>
      <c r="C1892">
        <v>2015</v>
      </c>
      <c r="D1892">
        <v>4</v>
      </c>
      <c r="E1892" t="s">
        <v>6</v>
      </c>
      <c r="F1892" t="s">
        <v>6</v>
      </c>
      <c r="G1892" t="s">
        <v>6</v>
      </c>
      <c r="H1892">
        <v>14150.24</v>
      </c>
      <c r="I1892">
        <v>2934.65</v>
      </c>
      <c r="J1892">
        <v>0</v>
      </c>
    </row>
    <row r="1893" spans="1:10" x14ac:dyDescent="0.35">
      <c r="A1893">
        <v>321136</v>
      </c>
      <c r="B1893" t="s">
        <v>20</v>
      </c>
      <c r="C1893">
        <v>2015</v>
      </c>
      <c r="D1893">
        <v>4</v>
      </c>
      <c r="E1893" t="s">
        <v>6</v>
      </c>
      <c r="F1893" t="s">
        <v>6</v>
      </c>
      <c r="G1893" t="s">
        <v>6</v>
      </c>
      <c r="H1893">
        <v>5216.32</v>
      </c>
      <c r="I1893">
        <v>6292.78</v>
      </c>
      <c r="J1893">
        <v>1</v>
      </c>
    </row>
    <row r="1894" spans="1:10" x14ac:dyDescent="0.35">
      <c r="A1894">
        <v>321137</v>
      </c>
      <c r="B1894" t="s">
        <v>20</v>
      </c>
      <c r="C1894">
        <v>2015</v>
      </c>
      <c r="D1894">
        <v>4</v>
      </c>
      <c r="E1894" t="s">
        <v>6</v>
      </c>
      <c r="F1894" t="s">
        <v>6</v>
      </c>
      <c r="G1894" t="s">
        <v>6</v>
      </c>
      <c r="H1894">
        <v>9209.2800000000007</v>
      </c>
      <c r="I1894">
        <v>2633.24</v>
      </c>
      <c r="J1894">
        <v>0</v>
      </c>
    </row>
    <row r="1895" spans="1:10" x14ac:dyDescent="0.35">
      <c r="A1895">
        <v>321142</v>
      </c>
      <c r="B1895" t="s">
        <v>20</v>
      </c>
      <c r="C1895">
        <v>2015</v>
      </c>
      <c r="D1895">
        <v>4</v>
      </c>
      <c r="E1895" t="s">
        <v>6</v>
      </c>
      <c r="F1895" t="s">
        <v>6</v>
      </c>
      <c r="G1895" t="s">
        <v>6</v>
      </c>
      <c r="H1895">
        <v>14426.76</v>
      </c>
      <c r="I1895">
        <v>4951.22</v>
      </c>
      <c r="J1895">
        <v>0</v>
      </c>
    </row>
    <row r="1896" spans="1:10" x14ac:dyDescent="0.35">
      <c r="A1896">
        <v>321151</v>
      </c>
      <c r="B1896" t="s">
        <v>20</v>
      </c>
      <c r="C1896">
        <v>2015</v>
      </c>
      <c r="D1896">
        <v>4</v>
      </c>
      <c r="E1896" t="s">
        <v>6</v>
      </c>
      <c r="F1896" t="s">
        <v>6</v>
      </c>
      <c r="G1896" t="s">
        <v>6</v>
      </c>
      <c r="H1896">
        <v>5177.92</v>
      </c>
      <c r="I1896">
        <v>6283.27</v>
      </c>
      <c r="J1896">
        <v>1</v>
      </c>
    </row>
    <row r="1897" spans="1:10" x14ac:dyDescent="0.35">
      <c r="A1897">
        <v>321155</v>
      </c>
      <c r="B1897" t="s">
        <v>20</v>
      </c>
      <c r="C1897">
        <v>2015</v>
      </c>
      <c r="D1897">
        <v>4</v>
      </c>
      <c r="E1897" t="s">
        <v>6</v>
      </c>
      <c r="F1897" t="s">
        <v>6</v>
      </c>
      <c r="G1897" t="s">
        <v>6</v>
      </c>
      <c r="H1897">
        <v>5345.36</v>
      </c>
      <c r="I1897">
        <v>6324.8</v>
      </c>
      <c r="J1897">
        <v>1</v>
      </c>
    </row>
    <row r="1898" spans="1:10" x14ac:dyDescent="0.35">
      <c r="A1898">
        <v>321159</v>
      </c>
      <c r="B1898" t="s">
        <v>20</v>
      </c>
      <c r="C1898">
        <v>2015</v>
      </c>
      <c r="D1898">
        <v>4</v>
      </c>
      <c r="E1898" t="s">
        <v>6</v>
      </c>
      <c r="F1898" t="s">
        <v>6</v>
      </c>
      <c r="G1898" t="s">
        <v>6</v>
      </c>
      <c r="H1898">
        <v>3947.2</v>
      </c>
      <c r="I1898">
        <v>4729.79</v>
      </c>
      <c r="J1898">
        <v>1</v>
      </c>
    </row>
    <row r="1899" spans="1:10" x14ac:dyDescent="0.35">
      <c r="A1899">
        <v>321174</v>
      </c>
      <c r="B1899" t="s">
        <v>20</v>
      </c>
      <c r="C1899">
        <v>2015</v>
      </c>
      <c r="D1899">
        <v>4</v>
      </c>
      <c r="E1899" t="s">
        <v>6</v>
      </c>
      <c r="F1899" t="s">
        <v>6</v>
      </c>
      <c r="G1899" t="s">
        <v>6</v>
      </c>
      <c r="H1899">
        <v>61263.12</v>
      </c>
      <c r="I1899">
        <v>23196.16</v>
      </c>
      <c r="J1899">
        <v>0</v>
      </c>
    </row>
    <row r="1900" spans="1:10" x14ac:dyDescent="0.35">
      <c r="A1900">
        <v>321178</v>
      </c>
      <c r="B1900" t="s">
        <v>20</v>
      </c>
      <c r="C1900">
        <v>2015</v>
      </c>
      <c r="D1900">
        <v>4</v>
      </c>
      <c r="E1900" t="s">
        <v>6</v>
      </c>
      <c r="F1900" t="s">
        <v>6</v>
      </c>
      <c r="G1900" t="s">
        <v>6</v>
      </c>
      <c r="H1900">
        <v>30146.36</v>
      </c>
      <c r="I1900">
        <v>9386.36</v>
      </c>
      <c r="J1900">
        <v>0</v>
      </c>
    </row>
    <row r="1901" spans="1:10" x14ac:dyDescent="0.35">
      <c r="A1901">
        <v>321183</v>
      </c>
      <c r="B1901" t="s">
        <v>20</v>
      </c>
      <c r="C1901">
        <v>2015</v>
      </c>
      <c r="D1901">
        <v>4</v>
      </c>
      <c r="E1901" t="s">
        <v>6</v>
      </c>
      <c r="F1901" t="s">
        <v>6</v>
      </c>
      <c r="G1901" t="s">
        <v>6</v>
      </c>
      <c r="H1901">
        <v>23542.94</v>
      </c>
      <c r="I1901">
        <v>8260.82</v>
      </c>
      <c r="J1901">
        <v>0</v>
      </c>
    </row>
    <row r="1902" spans="1:10" x14ac:dyDescent="0.35">
      <c r="A1902">
        <v>321189</v>
      </c>
      <c r="B1902" t="s">
        <v>20</v>
      </c>
      <c r="C1902">
        <v>2015</v>
      </c>
      <c r="D1902">
        <v>4</v>
      </c>
      <c r="E1902" t="s">
        <v>6</v>
      </c>
      <c r="F1902" t="s">
        <v>6</v>
      </c>
      <c r="G1902" t="s">
        <v>6</v>
      </c>
      <c r="H1902">
        <v>5177.92</v>
      </c>
      <c r="I1902">
        <v>6283.27</v>
      </c>
      <c r="J1902">
        <v>1</v>
      </c>
    </row>
    <row r="1903" spans="1:10" x14ac:dyDescent="0.35">
      <c r="A1903">
        <v>321193</v>
      </c>
      <c r="B1903" t="s">
        <v>20</v>
      </c>
      <c r="C1903">
        <v>2015</v>
      </c>
      <c r="D1903">
        <v>4</v>
      </c>
      <c r="E1903" t="s">
        <v>6</v>
      </c>
      <c r="F1903" t="s">
        <v>6</v>
      </c>
      <c r="G1903" t="s">
        <v>6</v>
      </c>
      <c r="H1903">
        <v>67695.740000000005</v>
      </c>
      <c r="I1903">
        <v>53646.55</v>
      </c>
      <c r="J1903">
        <v>0</v>
      </c>
    </row>
    <row r="1904" spans="1:10" x14ac:dyDescent="0.35">
      <c r="A1904">
        <v>321224</v>
      </c>
      <c r="B1904" t="s">
        <v>20</v>
      </c>
      <c r="C1904">
        <v>2015</v>
      </c>
      <c r="D1904">
        <v>4</v>
      </c>
      <c r="E1904" t="s">
        <v>6</v>
      </c>
      <c r="F1904" t="s">
        <v>6</v>
      </c>
      <c r="G1904" t="s">
        <v>6</v>
      </c>
      <c r="H1904">
        <v>4178.92</v>
      </c>
      <c r="I1904">
        <v>4786.28</v>
      </c>
      <c r="J1904">
        <v>1</v>
      </c>
    </row>
    <row r="1905" spans="1:10" x14ac:dyDescent="0.35">
      <c r="A1905">
        <v>321228</v>
      </c>
      <c r="B1905" t="s">
        <v>20</v>
      </c>
      <c r="C1905">
        <v>2015</v>
      </c>
      <c r="D1905">
        <v>4</v>
      </c>
      <c r="E1905" t="s">
        <v>6</v>
      </c>
      <c r="F1905" t="s">
        <v>6</v>
      </c>
      <c r="G1905" t="s">
        <v>6</v>
      </c>
      <c r="H1905">
        <v>17224.599999999999</v>
      </c>
      <c r="I1905">
        <v>5428.69</v>
      </c>
      <c r="J1905">
        <v>0</v>
      </c>
    </row>
    <row r="1906" spans="1:10" x14ac:dyDescent="0.35">
      <c r="A1906">
        <v>321232</v>
      </c>
      <c r="B1906" t="s">
        <v>20</v>
      </c>
      <c r="C1906">
        <v>2015</v>
      </c>
      <c r="D1906">
        <v>4</v>
      </c>
      <c r="E1906" t="s">
        <v>6</v>
      </c>
      <c r="F1906" t="s">
        <v>6</v>
      </c>
      <c r="G1906" t="s">
        <v>6</v>
      </c>
      <c r="H1906">
        <v>8992.34</v>
      </c>
      <c r="I1906">
        <v>2443.2399999999998</v>
      </c>
      <c r="J1906">
        <v>0</v>
      </c>
    </row>
    <row r="1907" spans="1:10" x14ac:dyDescent="0.35">
      <c r="A1907">
        <v>321238</v>
      </c>
      <c r="B1907" t="s">
        <v>20</v>
      </c>
      <c r="C1907">
        <v>2015</v>
      </c>
      <c r="D1907">
        <v>4</v>
      </c>
      <c r="E1907" t="s">
        <v>6</v>
      </c>
      <c r="F1907" t="s">
        <v>6</v>
      </c>
      <c r="G1907" t="s">
        <v>6</v>
      </c>
      <c r="H1907">
        <v>17200.66</v>
      </c>
      <c r="I1907">
        <v>6949.05</v>
      </c>
      <c r="J1907">
        <v>0</v>
      </c>
    </row>
    <row r="1908" spans="1:10" x14ac:dyDescent="0.35">
      <c r="A1908">
        <v>321243</v>
      </c>
      <c r="B1908" t="s">
        <v>20</v>
      </c>
      <c r="C1908">
        <v>2015</v>
      </c>
      <c r="D1908">
        <v>4</v>
      </c>
      <c r="E1908" t="s">
        <v>6</v>
      </c>
      <c r="F1908" t="s">
        <v>6</v>
      </c>
      <c r="G1908" t="s">
        <v>6</v>
      </c>
      <c r="H1908">
        <v>24384.34</v>
      </c>
      <c r="I1908">
        <v>8428.9699999999993</v>
      </c>
      <c r="J1908">
        <v>0</v>
      </c>
    </row>
    <row r="1909" spans="1:10" x14ac:dyDescent="0.35">
      <c r="A1909">
        <v>321250</v>
      </c>
      <c r="B1909" t="s">
        <v>20</v>
      </c>
      <c r="C1909">
        <v>2015</v>
      </c>
      <c r="D1909">
        <v>4</v>
      </c>
      <c r="E1909" t="s">
        <v>6</v>
      </c>
      <c r="F1909" t="s">
        <v>6</v>
      </c>
      <c r="G1909" t="s">
        <v>6</v>
      </c>
      <c r="H1909">
        <v>25803.46</v>
      </c>
      <c r="I1909">
        <v>7016.63</v>
      </c>
      <c r="J1909">
        <v>0</v>
      </c>
    </row>
    <row r="1910" spans="1:10" x14ac:dyDescent="0.35">
      <c r="A1910">
        <v>321289</v>
      </c>
      <c r="B1910" t="s">
        <v>20</v>
      </c>
      <c r="C1910">
        <v>2015</v>
      </c>
      <c r="D1910">
        <v>4</v>
      </c>
      <c r="E1910" t="s">
        <v>6</v>
      </c>
      <c r="F1910" t="s">
        <v>6</v>
      </c>
      <c r="G1910" t="s">
        <v>6</v>
      </c>
      <c r="H1910">
        <v>5225.82</v>
      </c>
      <c r="I1910">
        <v>3873.34</v>
      </c>
      <c r="J1910">
        <v>0</v>
      </c>
    </row>
    <row r="1911" spans="1:10" x14ac:dyDescent="0.35">
      <c r="A1911">
        <v>321299</v>
      </c>
      <c r="B1911" t="s">
        <v>20</v>
      </c>
      <c r="C1911">
        <v>2015</v>
      </c>
      <c r="D1911">
        <v>4</v>
      </c>
      <c r="E1911" t="s">
        <v>6</v>
      </c>
      <c r="F1911" t="s">
        <v>6</v>
      </c>
      <c r="G1911" t="s">
        <v>6</v>
      </c>
      <c r="H1911">
        <v>4076.88</v>
      </c>
      <c r="I1911">
        <v>4760.9399999999996</v>
      </c>
      <c r="J1911">
        <v>1</v>
      </c>
    </row>
    <row r="1912" spans="1:10" x14ac:dyDescent="0.35">
      <c r="A1912">
        <v>321309</v>
      </c>
      <c r="B1912" t="s">
        <v>20</v>
      </c>
      <c r="C1912">
        <v>2015</v>
      </c>
      <c r="D1912">
        <v>4</v>
      </c>
      <c r="E1912" t="s">
        <v>6</v>
      </c>
      <c r="F1912" t="s">
        <v>6</v>
      </c>
      <c r="G1912" t="s">
        <v>6</v>
      </c>
      <c r="H1912">
        <v>29511.58</v>
      </c>
      <c r="I1912">
        <v>9847.27</v>
      </c>
      <c r="J1912">
        <v>0</v>
      </c>
    </row>
    <row r="1913" spans="1:10" x14ac:dyDescent="0.35">
      <c r="A1913">
        <v>321311</v>
      </c>
      <c r="B1913" t="s">
        <v>20</v>
      </c>
      <c r="C1913">
        <v>2015</v>
      </c>
      <c r="D1913">
        <v>4</v>
      </c>
      <c r="E1913" t="s">
        <v>6</v>
      </c>
      <c r="F1913" t="s">
        <v>6</v>
      </c>
      <c r="G1913" t="s">
        <v>6</v>
      </c>
      <c r="H1913">
        <v>4061.36</v>
      </c>
      <c r="I1913">
        <v>4757.21</v>
      </c>
      <c r="J1913">
        <v>1</v>
      </c>
    </row>
    <row r="1914" spans="1:10" x14ac:dyDescent="0.35">
      <c r="A1914">
        <v>321315</v>
      </c>
      <c r="B1914" t="s">
        <v>20</v>
      </c>
      <c r="C1914">
        <v>2015</v>
      </c>
      <c r="D1914">
        <v>4</v>
      </c>
      <c r="E1914" t="s">
        <v>6</v>
      </c>
      <c r="F1914" t="s">
        <v>6</v>
      </c>
      <c r="G1914" t="s">
        <v>6</v>
      </c>
      <c r="H1914">
        <v>5177.92</v>
      </c>
      <c r="I1914">
        <v>6283.27</v>
      </c>
      <c r="J1914">
        <v>1</v>
      </c>
    </row>
    <row r="1915" spans="1:10" x14ac:dyDescent="0.35">
      <c r="A1915">
        <v>321317</v>
      </c>
      <c r="B1915" t="s">
        <v>20</v>
      </c>
      <c r="C1915">
        <v>2015</v>
      </c>
      <c r="D1915">
        <v>4</v>
      </c>
      <c r="E1915" t="s">
        <v>6</v>
      </c>
      <c r="F1915" t="s">
        <v>6</v>
      </c>
      <c r="G1915" t="s">
        <v>6</v>
      </c>
      <c r="H1915">
        <v>28493.96</v>
      </c>
      <c r="I1915">
        <v>18712.72</v>
      </c>
      <c r="J1915">
        <v>0</v>
      </c>
    </row>
    <row r="1916" spans="1:10" x14ac:dyDescent="0.35">
      <c r="A1916">
        <v>321324</v>
      </c>
      <c r="B1916" t="s">
        <v>20</v>
      </c>
      <c r="C1916">
        <v>2015</v>
      </c>
      <c r="D1916">
        <v>4</v>
      </c>
      <c r="E1916" t="s">
        <v>6</v>
      </c>
      <c r="F1916" t="s">
        <v>6</v>
      </c>
      <c r="G1916" t="s">
        <v>6</v>
      </c>
      <c r="H1916">
        <v>3620.06</v>
      </c>
      <c r="I1916">
        <v>3398.37</v>
      </c>
      <c r="J1916">
        <v>0</v>
      </c>
    </row>
    <row r="1917" spans="1:10" x14ac:dyDescent="0.35">
      <c r="A1917">
        <v>321352</v>
      </c>
      <c r="B1917" t="s">
        <v>20</v>
      </c>
      <c r="C1917">
        <v>2015</v>
      </c>
      <c r="D1917">
        <v>4</v>
      </c>
      <c r="E1917" t="s">
        <v>6</v>
      </c>
      <c r="F1917" t="s">
        <v>6</v>
      </c>
      <c r="G1917" t="s">
        <v>6</v>
      </c>
      <c r="H1917">
        <v>3255.52</v>
      </c>
      <c r="I1917">
        <v>3308.01</v>
      </c>
      <c r="J1917">
        <v>1</v>
      </c>
    </row>
    <row r="1918" spans="1:10" x14ac:dyDescent="0.35">
      <c r="A1918">
        <v>321374</v>
      </c>
      <c r="B1918" t="s">
        <v>20</v>
      </c>
      <c r="C1918">
        <v>2015</v>
      </c>
      <c r="D1918">
        <v>4</v>
      </c>
      <c r="E1918" t="s">
        <v>6</v>
      </c>
      <c r="F1918" t="s">
        <v>6</v>
      </c>
      <c r="G1918" t="s">
        <v>6</v>
      </c>
      <c r="H1918">
        <v>4069.12</v>
      </c>
      <c r="I1918">
        <v>4759.08</v>
      </c>
      <c r="J1918">
        <v>1</v>
      </c>
    </row>
    <row r="1919" spans="1:10" x14ac:dyDescent="0.35">
      <c r="A1919">
        <v>321382</v>
      </c>
      <c r="B1919" t="s">
        <v>20</v>
      </c>
      <c r="C1919">
        <v>2015</v>
      </c>
      <c r="D1919">
        <v>4</v>
      </c>
      <c r="E1919" t="s">
        <v>6</v>
      </c>
      <c r="F1919" t="s">
        <v>6</v>
      </c>
      <c r="G1919" t="s">
        <v>6</v>
      </c>
      <c r="H1919">
        <v>4069.12</v>
      </c>
      <c r="I1919">
        <v>4759.08</v>
      </c>
      <c r="J1919">
        <v>1</v>
      </c>
    </row>
    <row r="1920" spans="1:10" x14ac:dyDescent="0.35">
      <c r="A1920">
        <v>321417</v>
      </c>
      <c r="B1920" t="s">
        <v>20</v>
      </c>
      <c r="C1920">
        <v>2015</v>
      </c>
      <c r="D1920">
        <v>4</v>
      </c>
      <c r="E1920" t="s">
        <v>6</v>
      </c>
      <c r="F1920" t="s">
        <v>6</v>
      </c>
      <c r="G1920" t="s">
        <v>6</v>
      </c>
      <c r="H1920">
        <v>17643.66</v>
      </c>
      <c r="I1920">
        <v>4425.3900000000003</v>
      </c>
      <c r="J1920">
        <v>0</v>
      </c>
    </row>
    <row r="1921" spans="1:10" x14ac:dyDescent="0.35">
      <c r="A1921">
        <v>321429</v>
      </c>
      <c r="B1921" t="s">
        <v>20</v>
      </c>
      <c r="C1921">
        <v>2015</v>
      </c>
      <c r="D1921">
        <v>4</v>
      </c>
      <c r="E1921" t="s">
        <v>6</v>
      </c>
      <c r="F1921" t="s">
        <v>6</v>
      </c>
      <c r="G1921" t="s">
        <v>6</v>
      </c>
      <c r="H1921">
        <v>37357.65</v>
      </c>
      <c r="I1921">
        <v>27542.82</v>
      </c>
      <c r="J1921">
        <v>0</v>
      </c>
    </row>
    <row r="1922" spans="1:10" x14ac:dyDescent="0.35">
      <c r="A1922">
        <v>321437</v>
      </c>
      <c r="B1922" t="s">
        <v>20</v>
      </c>
      <c r="C1922">
        <v>2015</v>
      </c>
      <c r="D1922">
        <v>4</v>
      </c>
      <c r="E1922" t="s">
        <v>6</v>
      </c>
      <c r="F1922" t="s">
        <v>6</v>
      </c>
      <c r="G1922" t="s">
        <v>6</v>
      </c>
      <c r="H1922">
        <v>4222.72</v>
      </c>
      <c r="I1922">
        <v>4797.12</v>
      </c>
      <c r="J1922">
        <v>1</v>
      </c>
    </row>
    <row r="1923" spans="1:10" x14ac:dyDescent="0.35">
      <c r="A1923">
        <v>321447</v>
      </c>
      <c r="B1923" t="s">
        <v>20</v>
      </c>
      <c r="C1923">
        <v>2015</v>
      </c>
      <c r="D1923">
        <v>4</v>
      </c>
      <c r="E1923" t="s">
        <v>6</v>
      </c>
      <c r="F1923" t="s">
        <v>6</v>
      </c>
      <c r="G1923" t="s">
        <v>6</v>
      </c>
      <c r="H1923">
        <v>24200.959999999999</v>
      </c>
      <c r="I1923">
        <v>11874.37</v>
      </c>
      <c r="J1923">
        <v>0</v>
      </c>
    </row>
    <row r="1924" spans="1:10" x14ac:dyDescent="0.35">
      <c r="A1924">
        <v>321453</v>
      </c>
      <c r="B1924" t="s">
        <v>20</v>
      </c>
      <c r="C1924">
        <v>2015</v>
      </c>
      <c r="D1924">
        <v>4</v>
      </c>
      <c r="E1924" t="s">
        <v>6</v>
      </c>
      <c r="F1924" t="s">
        <v>6</v>
      </c>
      <c r="G1924" t="s">
        <v>6</v>
      </c>
      <c r="H1924">
        <v>2960.32</v>
      </c>
      <c r="I1924">
        <v>3234.89</v>
      </c>
      <c r="J1924">
        <v>1</v>
      </c>
    </row>
    <row r="1925" spans="1:10" x14ac:dyDescent="0.35">
      <c r="A1925">
        <v>321463</v>
      </c>
      <c r="B1925" t="s">
        <v>20</v>
      </c>
      <c r="C1925">
        <v>2015</v>
      </c>
      <c r="D1925">
        <v>4</v>
      </c>
      <c r="E1925" t="s">
        <v>6</v>
      </c>
      <c r="F1925" t="s">
        <v>6</v>
      </c>
      <c r="G1925" t="s">
        <v>6</v>
      </c>
      <c r="H1925">
        <v>7443.42</v>
      </c>
      <c r="I1925">
        <v>6921.72</v>
      </c>
      <c r="J1925">
        <v>0</v>
      </c>
    </row>
    <row r="1926" spans="1:10" x14ac:dyDescent="0.35">
      <c r="A1926">
        <v>321482</v>
      </c>
      <c r="B1926" t="s">
        <v>20</v>
      </c>
      <c r="C1926">
        <v>2015</v>
      </c>
      <c r="D1926">
        <v>4</v>
      </c>
      <c r="E1926" t="s">
        <v>6</v>
      </c>
      <c r="F1926" t="s">
        <v>6</v>
      </c>
      <c r="G1926" t="s">
        <v>6</v>
      </c>
      <c r="H1926">
        <v>23503.84</v>
      </c>
      <c r="I1926">
        <v>8209.4</v>
      </c>
      <c r="J1926">
        <v>0</v>
      </c>
    </row>
    <row r="1927" spans="1:10" x14ac:dyDescent="0.35">
      <c r="A1927">
        <v>321486</v>
      </c>
      <c r="B1927" t="s">
        <v>20</v>
      </c>
      <c r="C1927">
        <v>2015</v>
      </c>
      <c r="D1927">
        <v>4</v>
      </c>
      <c r="E1927" t="s">
        <v>6</v>
      </c>
      <c r="F1927" t="s">
        <v>6</v>
      </c>
      <c r="G1927" t="s">
        <v>6</v>
      </c>
      <c r="H1927">
        <v>26693.84</v>
      </c>
      <c r="I1927">
        <v>7856.65</v>
      </c>
      <c r="J1927">
        <v>0</v>
      </c>
    </row>
    <row r="1928" spans="1:10" x14ac:dyDescent="0.35">
      <c r="A1928">
        <v>321488</v>
      </c>
      <c r="B1928" t="s">
        <v>20</v>
      </c>
      <c r="C1928">
        <v>2015</v>
      </c>
      <c r="D1928">
        <v>4</v>
      </c>
      <c r="E1928" t="s">
        <v>6</v>
      </c>
      <c r="F1928" t="s">
        <v>6</v>
      </c>
      <c r="G1928" t="s">
        <v>6</v>
      </c>
      <c r="H1928">
        <v>5072.72</v>
      </c>
      <c r="I1928">
        <v>6253.62</v>
      </c>
      <c r="J1928">
        <v>1</v>
      </c>
    </row>
    <row r="1929" spans="1:10" x14ac:dyDescent="0.35">
      <c r="A1929">
        <v>321491</v>
      </c>
      <c r="B1929" t="s">
        <v>20</v>
      </c>
      <c r="C1929">
        <v>2015</v>
      </c>
      <c r="D1929">
        <v>4</v>
      </c>
      <c r="E1929" t="s">
        <v>6</v>
      </c>
      <c r="F1929" t="s">
        <v>6</v>
      </c>
      <c r="G1929" t="s">
        <v>6</v>
      </c>
      <c r="H1929">
        <v>4830.62</v>
      </c>
      <c r="I1929">
        <v>6197.03</v>
      </c>
      <c r="J1929">
        <v>1</v>
      </c>
    </row>
    <row r="1930" spans="1:10" x14ac:dyDescent="0.35">
      <c r="A1930">
        <v>321494</v>
      </c>
      <c r="B1930" t="s">
        <v>20</v>
      </c>
      <c r="C1930">
        <v>2015</v>
      </c>
      <c r="D1930">
        <v>4</v>
      </c>
      <c r="E1930" t="s">
        <v>6</v>
      </c>
      <c r="F1930" t="s">
        <v>6</v>
      </c>
      <c r="G1930" t="s">
        <v>6</v>
      </c>
      <c r="H1930">
        <v>35786.199999999997</v>
      </c>
      <c r="I1930">
        <v>10509.64</v>
      </c>
      <c r="J1930">
        <v>0</v>
      </c>
    </row>
    <row r="1931" spans="1:10" x14ac:dyDescent="0.35">
      <c r="A1931">
        <v>321495</v>
      </c>
      <c r="B1931" t="s">
        <v>20</v>
      </c>
      <c r="C1931">
        <v>2015</v>
      </c>
      <c r="D1931">
        <v>4</v>
      </c>
      <c r="E1931" t="s">
        <v>6</v>
      </c>
      <c r="F1931" t="s">
        <v>6</v>
      </c>
      <c r="G1931" t="s">
        <v>6</v>
      </c>
      <c r="H1931">
        <v>6286.72</v>
      </c>
      <c r="I1931">
        <v>7807.46</v>
      </c>
      <c r="J1931">
        <v>1</v>
      </c>
    </row>
    <row r="1932" spans="1:10" x14ac:dyDescent="0.35">
      <c r="A1932">
        <v>321496</v>
      </c>
      <c r="B1932" t="s">
        <v>20</v>
      </c>
      <c r="C1932">
        <v>2015</v>
      </c>
      <c r="D1932">
        <v>4</v>
      </c>
      <c r="E1932" t="s">
        <v>6</v>
      </c>
      <c r="F1932" t="s">
        <v>6</v>
      </c>
      <c r="G1932" t="s">
        <v>6</v>
      </c>
      <c r="H1932">
        <v>12616.08</v>
      </c>
      <c r="I1932">
        <v>3248.74</v>
      </c>
      <c r="J1932">
        <v>0</v>
      </c>
    </row>
    <row r="1933" spans="1:10" x14ac:dyDescent="0.35">
      <c r="A1933">
        <v>321505</v>
      </c>
      <c r="B1933" t="s">
        <v>20</v>
      </c>
      <c r="C1933">
        <v>2015</v>
      </c>
      <c r="D1933">
        <v>4</v>
      </c>
      <c r="E1933" t="s">
        <v>6</v>
      </c>
      <c r="F1933" t="s">
        <v>6</v>
      </c>
      <c r="G1933" t="s">
        <v>6</v>
      </c>
      <c r="H1933">
        <v>38610.22</v>
      </c>
      <c r="I1933">
        <v>10063.799999999999</v>
      </c>
      <c r="J1933">
        <v>0</v>
      </c>
    </row>
    <row r="1934" spans="1:10" x14ac:dyDescent="0.35">
      <c r="A1934">
        <v>321510</v>
      </c>
      <c r="B1934" t="s">
        <v>20</v>
      </c>
      <c r="C1934">
        <v>2015</v>
      </c>
      <c r="D1934">
        <v>4</v>
      </c>
      <c r="E1934" t="s">
        <v>6</v>
      </c>
      <c r="F1934" t="s">
        <v>6</v>
      </c>
      <c r="G1934" t="s">
        <v>6</v>
      </c>
      <c r="H1934">
        <v>6810.06</v>
      </c>
      <c r="I1934">
        <v>7937.87</v>
      </c>
      <c r="J1934">
        <v>1</v>
      </c>
    </row>
    <row r="1935" spans="1:10" x14ac:dyDescent="0.35">
      <c r="A1935">
        <v>321518</v>
      </c>
      <c r="B1935" t="s">
        <v>20</v>
      </c>
      <c r="C1935">
        <v>2015</v>
      </c>
      <c r="D1935">
        <v>4</v>
      </c>
      <c r="E1935" t="s">
        <v>6</v>
      </c>
      <c r="F1935" t="s">
        <v>6</v>
      </c>
      <c r="G1935" t="s">
        <v>6</v>
      </c>
      <c r="H1935">
        <v>21608</v>
      </c>
      <c r="I1935">
        <v>4780.29</v>
      </c>
      <c r="J1935">
        <v>0</v>
      </c>
    </row>
    <row r="1936" spans="1:10" x14ac:dyDescent="0.35">
      <c r="A1936">
        <v>321520</v>
      </c>
      <c r="B1936" t="s">
        <v>20</v>
      </c>
      <c r="C1936">
        <v>2015</v>
      </c>
      <c r="D1936">
        <v>4</v>
      </c>
      <c r="E1936" t="s">
        <v>6</v>
      </c>
      <c r="F1936" t="s">
        <v>6</v>
      </c>
      <c r="G1936" t="s">
        <v>6</v>
      </c>
      <c r="H1936">
        <v>15526.66</v>
      </c>
      <c r="I1936">
        <v>4536.59</v>
      </c>
      <c r="J1936">
        <v>0</v>
      </c>
    </row>
    <row r="1937" spans="1:10" x14ac:dyDescent="0.35">
      <c r="A1937">
        <v>321527</v>
      </c>
      <c r="B1937" t="s">
        <v>20</v>
      </c>
      <c r="C1937">
        <v>2015</v>
      </c>
      <c r="D1937">
        <v>4</v>
      </c>
      <c r="E1937" t="s">
        <v>6</v>
      </c>
      <c r="F1937" t="s">
        <v>6</v>
      </c>
      <c r="G1937" t="s">
        <v>6</v>
      </c>
      <c r="H1937">
        <v>7527.22</v>
      </c>
      <c r="I1937">
        <v>8149.03</v>
      </c>
      <c r="J1937">
        <v>1</v>
      </c>
    </row>
    <row r="1938" spans="1:10" x14ac:dyDescent="0.35">
      <c r="A1938">
        <v>321537</v>
      </c>
      <c r="B1938" t="s">
        <v>20</v>
      </c>
      <c r="C1938">
        <v>2015</v>
      </c>
      <c r="D1938">
        <v>4</v>
      </c>
      <c r="E1938" t="s">
        <v>6</v>
      </c>
      <c r="F1938" t="s">
        <v>6</v>
      </c>
      <c r="G1938" t="s">
        <v>6</v>
      </c>
      <c r="H1938">
        <v>4923.42</v>
      </c>
      <c r="I1938">
        <v>6220.02</v>
      </c>
      <c r="J1938">
        <v>1</v>
      </c>
    </row>
    <row r="1939" spans="1:10" x14ac:dyDescent="0.35">
      <c r="A1939">
        <v>321544</v>
      </c>
      <c r="B1939" t="s">
        <v>20</v>
      </c>
      <c r="C1939">
        <v>2015</v>
      </c>
      <c r="D1939">
        <v>4</v>
      </c>
      <c r="E1939" t="s">
        <v>6</v>
      </c>
      <c r="F1939" t="s">
        <v>6</v>
      </c>
      <c r="G1939" t="s">
        <v>6</v>
      </c>
      <c r="H1939">
        <v>44954.01</v>
      </c>
      <c r="I1939">
        <v>26614.880000000001</v>
      </c>
      <c r="J1939">
        <v>0</v>
      </c>
    </row>
    <row r="1940" spans="1:10" x14ac:dyDescent="0.35">
      <c r="A1940">
        <v>321547</v>
      </c>
      <c r="B1940" t="s">
        <v>20</v>
      </c>
      <c r="C1940">
        <v>2015</v>
      </c>
      <c r="D1940">
        <v>4</v>
      </c>
      <c r="E1940" t="s">
        <v>6</v>
      </c>
      <c r="F1940" t="s">
        <v>6</v>
      </c>
      <c r="G1940" t="s">
        <v>6</v>
      </c>
      <c r="H1940">
        <v>39467.269999999997</v>
      </c>
      <c r="I1940">
        <v>26555.02</v>
      </c>
      <c r="J1940">
        <v>0</v>
      </c>
    </row>
    <row r="1941" spans="1:10" x14ac:dyDescent="0.35">
      <c r="A1941">
        <v>321548</v>
      </c>
      <c r="B1941" t="s">
        <v>20</v>
      </c>
      <c r="C1941">
        <v>2015</v>
      </c>
      <c r="D1941">
        <v>4</v>
      </c>
      <c r="E1941" t="s">
        <v>6</v>
      </c>
      <c r="F1941" t="s">
        <v>6</v>
      </c>
      <c r="G1941" t="s">
        <v>6</v>
      </c>
      <c r="H1941">
        <v>23325.38</v>
      </c>
      <c r="I1941">
        <v>7267.24</v>
      </c>
      <c r="J1941">
        <v>0</v>
      </c>
    </row>
    <row r="1942" spans="1:10" x14ac:dyDescent="0.35">
      <c r="A1942">
        <v>321550</v>
      </c>
      <c r="B1942" t="s">
        <v>20</v>
      </c>
      <c r="C1942">
        <v>2015</v>
      </c>
      <c r="D1942">
        <v>4</v>
      </c>
      <c r="E1942" t="s">
        <v>6</v>
      </c>
      <c r="F1942" t="s">
        <v>6</v>
      </c>
      <c r="G1942" t="s">
        <v>6</v>
      </c>
      <c r="H1942">
        <v>28738.97</v>
      </c>
      <c r="I1942">
        <v>17442.21</v>
      </c>
      <c r="J1942">
        <v>0</v>
      </c>
    </row>
    <row r="1943" spans="1:10" x14ac:dyDescent="0.35">
      <c r="A1943">
        <v>321552</v>
      </c>
      <c r="B1943" t="s">
        <v>20</v>
      </c>
      <c r="C1943">
        <v>2015</v>
      </c>
      <c r="D1943">
        <v>4</v>
      </c>
      <c r="E1943" t="s">
        <v>6</v>
      </c>
      <c r="F1943" t="s">
        <v>6</v>
      </c>
      <c r="G1943" t="s">
        <v>6</v>
      </c>
      <c r="H1943">
        <v>14657.34</v>
      </c>
      <c r="I1943">
        <v>4283.7299999999996</v>
      </c>
      <c r="J1943">
        <v>0</v>
      </c>
    </row>
    <row r="1944" spans="1:10" x14ac:dyDescent="0.35">
      <c r="A1944">
        <v>321554</v>
      </c>
      <c r="B1944" t="s">
        <v>20</v>
      </c>
      <c r="C1944">
        <v>2015</v>
      </c>
      <c r="D1944">
        <v>4</v>
      </c>
      <c r="E1944" t="s">
        <v>6</v>
      </c>
      <c r="F1944" t="s">
        <v>6</v>
      </c>
      <c r="G1944" t="s">
        <v>6</v>
      </c>
      <c r="H1944">
        <v>4977.22</v>
      </c>
      <c r="I1944">
        <v>6233.35</v>
      </c>
      <c r="J1944">
        <v>1</v>
      </c>
    </row>
    <row r="1945" spans="1:10" x14ac:dyDescent="0.35">
      <c r="A1945">
        <v>321563</v>
      </c>
      <c r="B1945" t="s">
        <v>20</v>
      </c>
      <c r="C1945">
        <v>2015</v>
      </c>
      <c r="D1945">
        <v>4</v>
      </c>
      <c r="E1945" t="s">
        <v>6</v>
      </c>
      <c r="F1945" t="s">
        <v>6</v>
      </c>
      <c r="G1945" t="s">
        <v>6</v>
      </c>
      <c r="H1945">
        <v>42943.48</v>
      </c>
      <c r="I1945">
        <v>12466.67</v>
      </c>
      <c r="J1945">
        <v>0</v>
      </c>
    </row>
    <row r="1946" spans="1:10" x14ac:dyDescent="0.35">
      <c r="A1946">
        <v>321567</v>
      </c>
      <c r="B1946" t="s">
        <v>20</v>
      </c>
      <c r="C1946">
        <v>2015</v>
      </c>
      <c r="D1946">
        <v>4</v>
      </c>
      <c r="E1946" t="s">
        <v>6</v>
      </c>
      <c r="F1946" t="s">
        <v>6</v>
      </c>
      <c r="G1946" t="s">
        <v>6</v>
      </c>
      <c r="H1946">
        <v>29635.26</v>
      </c>
      <c r="I1946">
        <v>9139.01</v>
      </c>
      <c r="J1946">
        <v>0</v>
      </c>
    </row>
    <row r="1947" spans="1:10" x14ac:dyDescent="0.35">
      <c r="A1947">
        <v>321571</v>
      </c>
      <c r="B1947" t="s">
        <v>20</v>
      </c>
      <c r="C1947">
        <v>2015</v>
      </c>
      <c r="D1947">
        <v>4</v>
      </c>
      <c r="E1947" t="s">
        <v>6</v>
      </c>
      <c r="F1947" t="s">
        <v>6</v>
      </c>
      <c r="G1947" t="s">
        <v>6</v>
      </c>
      <c r="H1947">
        <v>21008.240000000002</v>
      </c>
      <c r="I1947">
        <v>4812.84</v>
      </c>
      <c r="J1947">
        <v>0</v>
      </c>
    </row>
    <row r="1948" spans="1:10" x14ac:dyDescent="0.35">
      <c r="A1948">
        <v>321573</v>
      </c>
      <c r="B1948" t="s">
        <v>20</v>
      </c>
      <c r="C1948">
        <v>2015</v>
      </c>
      <c r="D1948">
        <v>4</v>
      </c>
      <c r="E1948" t="s">
        <v>6</v>
      </c>
      <c r="F1948" t="s">
        <v>6</v>
      </c>
      <c r="G1948" t="s">
        <v>6</v>
      </c>
      <c r="H1948">
        <v>69778.14</v>
      </c>
      <c r="I1948">
        <v>28885.79</v>
      </c>
      <c r="J1948">
        <v>0</v>
      </c>
    </row>
    <row r="1949" spans="1:10" x14ac:dyDescent="0.35">
      <c r="A1949">
        <v>321574</v>
      </c>
      <c r="B1949" t="s">
        <v>20</v>
      </c>
      <c r="C1949">
        <v>2015</v>
      </c>
      <c r="D1949">
        <v>4</v>
      </c>
      <c r="E1949" t="s">
        <v>6</v>
      </c>
      <c r="F1949" t="s">
        <v>6</v>
      </c>
      <c r="G1949" t="s">
        <v>6</v>
      </c>
      <c r="H1949">
        <v>6326.86</v>
      </c>
      <c r="I1949">
        <v>5395.67</v>
      </c>
      <c r="J1949">
        <v>0</v>
      </c>
    </row>
    <row r="1950" spans="1:10" x14ac:dyDescent="0.35">
      <c r="A1950">
        <v>321575</v>
      </c>
      <c r="B1950" t="s">
        <v>20</v>
      </c>
      <c r="C1950">
        <v>2015</v>
      </c>
      <c r="D1950">
        <v>4</v>
      </c>
      <c r="E1950" t="s">
        <v>6</v>
      </c>
      <c r="F1950" t="s">
        <v>6</v>
      </c>
      <c r="G1950" t="s">
        <v>6</v>
      </c>
      <c r="H1950">
        <v>80312.820000000007</v>
      </c>
      <c r="I1950">
        <v>42237.75</v>
      </c>
      <c r="J1950">
        <v>0</v>
      </c>
    </row>
    <row r="1951" spans="1:10" x14ac:dyDescent="0.35">
      <c r="A1951">
        <v>321590</v>
      </c>
      <c r="B1951" t="s">
        <v>20</v>
      </c>
      <c r="C1951">
        <v>2015</v>
      </c>
      <c r="D1951">
        <v>4</v>
      </c>
      <c r="E1951" t="s">
        <v>6</v>
      </c>
      <c r="F1951" t="s">
        <v>6</v>
      </c>
      <c r="G1951" t="s">
        <v>6</v>
      </c>
      <c r="H1951">
        <v>15870.78</v>
      </c>
      <c r="I1951">
        <v>4843.84</v>
      </c>
      <c r="J1951">
        <v>0</v>
      </c>
    </row>
    <row r="1952" spans="1:10" x14ac:dyDescent="0.35">
      <c r="A1952">
        <v>321601</v>
      </c>
      <c r="B1952" t="s">
        <v>20</v>
      </c>
      <c r="C1952">
        <v>2015</v>
      </c>
      <c r="D1952">
        <v>4</v>
      </c>
      <c r="E1952" t="s">
        <v>6</v>
      </c>
      <c r="F1952" t="s">
        <v>6</v>
      </c>
      <c r="G1952" t="s">
        <v>6</v>
      </c>
      <c r="H1952">
        <v>22295.24</v>
      </c>
      <c r="I1952">
        <v>5266.15</v>
      </c>
      <c r="J1952">
        <v>0</v>
      </c>
    </row>
    <row r="1953" spans="1:10" x14ac:dyDescent="0.35">
      <c r="A1953">
        <v>321602</v>
      </c>
      <c r="B1953" t="s">
        <v>20</v>
      </c>
      <c r="C1953">
        <v>2015</v>
      </c>
      <c r="D1953">
        <v>4</v>
      </c>
      <c r="E1953" t="s">
        <v>6</v>
      </c>
      <c r="F1953" t="s">
        <v>6</v>
      </c>
      <c r="G1953" t="s">
        <v>6</v>
      </c>
      <c r="H1953">
        <v>5143.63</v>
      </c>
      <c r="I1953">
        <v>6274.57</v>
      </c>
      <c r="J1953">
        <v>1</v>
      </c>
    </row>
    <row r="1954" spans="1:10" x14ac:dyDescent="0.35">
      <c r="A1954">
        <v>321608</v>
      </c>
      <c r="B1954" t="s">
        <v>20</v>
      </c>
      <c r="C1954">
        <v>2015</v>
      </c>
      <c r="D1954">
        <v>4</v>
      </c>
      <c r="E1954" t="s">
        <v>6</v>
      </c>
      <c r="F1954" t="s">
        <v>6</v>
      </c>
      <c r="G1954" t="s">
        <v>6</v>
      </c>
      <c r="H1954">
        <v>5216.32</v>
      </c>
      <c r="I1954">
        <v>6292.78</v>
      </c>
      <c r="J1954">
        <v>1</v>
      </c>
    </row>
    <row r="1955" spans="1:10" x14ac:dyDescent="0.35">
      <c r="A1955">
        <v>321621</v>
      </c>
      <c r="B1955" t="s">
        <v>20</v>
      </c>
      <c r="C1955">
        <v>2015</v>
      </c>
      <c r="D1955">
        <v>4</v>
      </c>
      <c r="E1955" t="s">
        <v>6</v>
      </c>
      <c r="F1955" t="s">
        <v>6</v>
      </c>
      <c r="G1955" t="s">
        <v>6</v>
      </c>
      <c r="H1955">
        <v>24680.959999999999</v>
      </c>
      <c r="I1955">
        <v>8500.41</v>
      </c>
      <c r="J1955">
        <v>0</v>
      </c>
    </row>
    <row r="1956" spans="1:10" x14ac:dyDescent="0.35">
      <c r="A1956">
        <v>321622</v>
      </c>
      <c r="B1956" t="s">
        <v>20</v>
      </c>
      <c r="C1956">
        <v>2015</v>
      </c>
      <c r="D1956">
        <v>4</v>
      </c>
      <c r="E1956" t="s">
        <v>6</v>
      </c>
      <c r="F1956" t="s">
        <v>6</v>
      </c>
      <c r="G1956" t="s">
        <v>6</v>
      </c>
      <c r="H1956">
        <v>13721.38</v>
      </c>
      <c r="I1956">
        <v>2972.92</v>
      </c>
      <c r="J1956">
        <v>0</v>
      </c>
    </row>
    <row r="1957" spans="1:10" x14ac:dyDescent="0.35">
      <c r="A1957">
        <v>321631</v>
      </c>
      <c r="B1957" t="s">
        <v>20</v>
      </c>
      <c r="C1957">
        <v>2015</v>
      </c>
      <c r="D1957">
        <v>4</v>
      </c>
      <c r="E1957" t="s">
        <v>6</v>
      </c>
      <c r="F1957" t="s">
        <v>6</v>
      </c>
      <c r="G1957" t="s">
        <v>6</v>
      </c>
      <c r="H1957">
        <v>24229.8</v>
      </c>
      <c r="I1957">
        <v>8351.5</v>
      </c>
      <c r="J1957">
        <v>0</v>
      </c>
    </row>
    <row r="1958" spans="1:10" x14ac:dyDescent="0.35">
      <c r="A1958">
        <v>321644</v>
      </c>
      <c r="B1958" t="s">
        <v>20</v>
      </c>
      <c r="C1958">
        <v>2015</v>
      </c>
      <c r="D1958">
        <v>4</v>
      </c>
      <c r="E1958" t="s">
        <v>6</v>
      </c>
      <c r="F1958" t="s">
        <v>6</v>
      </c>
      <c r="G1958" t="s">
        <v>6</v>
      </c>
      <c r="H1958">
        <v>41558.6</v>
      </c>
      <c r="I1958">
        <v>20864.27</v>
      </c>
      <c r="J1958">
        <v>0</v>
      </c>
    </row>
    <row r="1959" spans="1:10" x14ac:dyDescent="0.35">
      <c r="A1959">
        <v>321645</v>
      </c>
      <c r="B1959" t="s">
        <v>20</v>
      </c>
      <c r="C1959">
        <v>2015</v>
      </c>
      <c r="D1959">
        <v>4</v>
      </c>
      <c r="E1959" t="s">
        <v>6</v>
      </c>
      <c r="F1959" t="s">
        <v>6</v>
      </c>
      <c r="G1959" t="s">
        <v>6</v>
      </c>
      <c r="H1959">
        <v>5731.73</v>
      </c>
      <c r="I1959">
        <v>6420.25</v>
      </c>
      <c r="J1959">
        <v>1</v>
      </c>
    </row>
    <row r="1960" spans="1:10" x14ac:dyDescent="0.35">
      <c r="A1960">
        <v>321665</v>
      </c>
      <c r="B1960" t="s">
        <v>20</v>
      </c>
      <c r="C1960">
        <v>2015</v>
      </c>
      <c r="D1960">
        <v>4</v>
      </c>
      <c r="E1960" t="s">
        <v>6</v>
      </c>
      <c r="F1960" t="s">
        <v>6</v>
      </c>
      <c r="G1960" t="s">
        <v>6</v>
      </c>
      <c r="H1960">
        <v>25514.32</v>
      </c>
      <c r="I1960">
        <v>8331.3799999999992</v>
      </c>
      <c r="J1960">
        <v>0</v>
      </c>
    </row>
    <row r="1961" spans="1:10" x14ac:dyDescent="0.35">
      <c r="A1961">
        <v>321672</v>
      </c>
      <c r="B1961" t="s">
        <v>20</v>
      </c>
      <c r="C1961">
        <v>2015</v>
      </c>
      <c r="D1961">
        <v>4</v>
      </c>
      <c r="E1961" t="s">
        <v>6</v>
      </c>
      <c r="F1961" t="s">
        <v>6</v>
      </c>
      <c r="G1961" t="s">
        <v>6</v>
      </c>
      <c r="H1961">
        <v>5170.16</v>
      </c>
      <c r="I1961">
        <v>6281.4</v>
      </c>
      <c r="J1961">
        <v>1</v>
      </c>
    </row>
    <row r="1962" spans="1:10" x14ac:dyDescent="0.35">
      <c r="A1962">
        <v>321681</v>
      </c>
      <c r="B1962" t="s">
        <v>20</v>
      </c>
      <c r="C1962">
        <v>2015</v>
      </c>
      <c r="D1962">
        <v>4</v>
      </c>
      <c r="E1962" t="s">
        <v>6</v>
      </c>
      <c r="F1962" t="s">
        <v>6</v>
      </c>
      <c r="G1962" t="s">
        <v>6</v>
      </c>
      <c r="H1962">
        <v>5177.92</v>
      </c>
      <c r="I1962">
        <v>6283.27</v>
      </c>
      <c r="J1962">
        <v>1</v>
      </c>
    </row>
    <row r="1963" spans="1:10" x14ac:dyDescent="0.35">
      <c r="A1963">
        <v>321688</v>
      </c>
      <c r="B1963" t="s">
        <v>20</v>
      </c>
      <c r="C1963">
        <v>2015</v>
      </c>
      <c r="D1963">
        <v>4</v>
      </c>
      <c r="E1963" t="s">
        <v>6</v>
      </c>
      <c r="F1963" t="s">
        <v>6</v>
      </c>
      <c r="G1963" t="s">
        <v>6</v>
      </c>
      <c r="H1963">
        <v>6853.6</v>
      </c>
      <c r="I1963">
        <v>7948.8</v>
      </c>
      <c r="J1963">
        <v>1</v>
      </c>
    </row>
    <row r="1964" spans="1:10" x14ac:dyDescent="0.35">
      <c r="A1964">
        <v>321693</v>
      </c>
      <c r="B1964" t="s">
        <v>20</v>
      </c>
      <c r="C1964">
        <v>2015</v>
      </c>
      <c r="D1964">
        <v>4</v>
      </c>
      <c r="E1964" t="s">
        <v>6</v>
      </c>
      <c r="F1964" t="s">
        <v>6</v>
      </c>
      <c r="G1964" t="s">
        <v>6</v>
      </c>
      <c r="H1964">
        <v>15163.12</v>
      </c>
      <c r="I1964">
        <v>4013.67</v>
      </c>
      <c r="J1964">
        <v>0</v>
      </c>
    </row>
    <row r="1965" spans="1:10" x14ac:dyDescent="0.35">
      <c r="A1965">
        <v>321694</v>
      </c>
      <c r="B1965" t="s">
        <v>20</v>
      </c>
      <c r="C1965">
        <v>2015</v>
      </c>
      <c r="D1965">
        <v>4</v>
      </c>
      <c r="E1965" t="s">
        <v>6</v>
      </c>
      <c r="F1965" t="s">
        <v>6</v>
      </c>
      <c r="G1965" t="s">
        <v>6</v>
      </c>
      <c r="H1965">
        <v>4145.92</v>
      </c>
      <c r="I1965">
        <v>4778.1000000000004</v>
      </c>
      <c r="J1965">
        <v>1</v>
      </c>
    </row>
    <row r="1966" spans="1:10" x14ac:dyDescent="0.35">
      <c r="A1966">
        <v>321696</v>
      </c>
      <c r="B1966" t="s">
        <v>20</v>
      </c>
      <c r="C1966">
        <v>2015</v>
      </c>
      <c r="D1966">
        <v>4</v>
      </c>
      <c r="E1966" t="s">
        <v>6</v>
      </c>
      <c r="F1966" t="s">
        <v>6</v>
      </c>
      <c r="G1966" t="s">
        <v>6</v>
      </c>
      <c r="H1966">
        <v>5170.16</v>
      </c>
      <c r="I1966">
        <v>6281.4</v>
      </c>
      <c r="J1966">
        <v>1</v>
      </c>
    </row>
    <row r="1967" spans="1:10" x14ac:dyDescent="0.35">
      <c r="A1967">
        <v>321697</v>
      </c>
      <c r="B1967" t="s">
        <v>20</v>
      </c>
      <c r="C1967">
        <v>2015</v>
      </c>
      <c r="D1967">
        <v>4</v>
      </c>
      <c r="E1967" t="s">
        <v>6</v>
      </c>
      <c r="F1967" t="s">
        <v>6</v>
      </c>
      <c r="G1967" t="s">
        <v>6</v>
      </c>
      <c r="H1967">
        <v>42042.91</v>
      </c>
      <c r="I1967">
        <v>28558.54</v>
      </c>
      <c r="J1967">
        <v>0</v>
      </c>
    </row>
    <row r="1968" spans="1:10" x14ac:dyDescent="0.35">
      <c r="A1968">
        <v>321707</v>
      </c>
      <c r="B1968" t="s">
        <v>20</v>
      </c>
      <c r="C1968">
        <v>2015</v>
      </c>
      <c r="D1968">
        <v>4</v>
      </c>
      <c r="E1968" t="s">
        <v>6</v>
      </c>
      <c r="F1968" t="s">
        <v>6</v>
      </c>
      <c r="G1968" t="s">
        <v>6</v>
      </c>
      <c r="H1968">
        <v>6334.62</v>
      </c>
      <c r="I1968">
        <v>5397.53</v>
      </c>
      <c r="J1968">
        <v>0</v>
      </c>
    </row>
    <row r="1969" spans="1:10" x14ac:dyDescent="0.35">
      <c r="A1969">
        <v>321711</v>
      </c>
      <c r="B1969" t="s">
        <v>20</v>
      </c>
      <c r="C1969">
        <v>2015</v>
      </c>
      <c r="D1969">
        <v>4</v>
      </c>
      <c r="E1969" t="s">
        <v>6</v>
      </c>
      <c r="F1969" t="s">
        <v>6</v>
      </c>
      <c r="G1969" t="s">
        <v>6</v>
      </c>
      <c r="H1969">
        <v>11780.2</v>
      </c>
      <c r="I1969">
        <v>3632.41</v>
      </c>
      <c r="J1969">
        <v>0</v>
      </c>
    </row>
    <row r="1970" spans="1:10" x14ac:dyDescent="0.35">
      <c r="A1970">
        <v>321726</v>
      </c>
      <c r="B1970" t="s">
        <v>20</v>
      </c>
      <c r="C1970">
        <v>2015</v>
      </c>
      <c r="D1970">
        <v>4</v>
      </c>
      <c r="E1970" t="s">
        <v>6</v>
      </c>
      <c r="F1970" t="s">
        <v>6</v>
      </c>
      <c r="G1970" t="s">
        <v>6</v>
      </c>
      <c r="H1970">
        <v>5208.5600000000004</v>
      </c>
      <c r="I1970">
        <v>6290.91</v>
      </c>
      <c r="J1970">
        <v>1</v>
      </c>
    </row>
    <row r="1971" spans="1:10" x14ac:dyDescent="0.35">
      <c r="A1971">
        <v>321731</v>
      </c>
      <c r="B1971" t="s">
        <v>20</v>
      </c>
      <c r="C1971">
        <v>2015</v>
      </c>
      <c r="D1971">
        <v>4</v>
      </c>
      <c r="E1971" t="s">
        <v>6</v>
      </c>
      <c r="F1971" t="s">
        <v>6</v>
      </c>
      <c r="G1971" t="s">
        <v>6</v>
      </c>
      <c r="H1971">
        <v>6663.03</v>
      </c>
      <c r="I1971">
        <v>5474.51</v>
      </c>
      <c r="J1971">
        <v>0</v>
      </c>
    </row>
    <row r="1972" spans="1:10" x14ac:dyDescent="0.35">
      <c r="A1972">
        <v>321738</v>
      </c>
      <c r="B1972" t="s">
        <v>20</v>
      </c>
      <c r="C1972">
        <v>2015</v>
      </c>
      <c r="D1972">
        <v>4</v>
      </c>
      <c r="E1972" t="s">
        <v>6</v>
      </c>
      <c r="F1972" t="s">
        <v>6</v>
      </c>
      <c r="G1972" t="s">
        <v>6</v>
      </c>
      <c r="H1972">
        <v>3334.89</v>
      </c>
      <c r="I1972">
        <v>2105.0700000000002</v>
      </c>
      <c r="J1972">
        <v>0</v>
      </c>
    </row>
    <row r="1973" spans="1:10" x14ac:dyDescent="0.35">
      <c r="A1973">
        <v>321752</v>
      </c>
      <c r="B1973" t="s">
        <v>20</v>
      </c>
      <c r="C1973">
        <v>2015</v>
      </c>
      <c r="D1973">
        <v>4</v>
      </c>
      <c r="E1973" t="s">
        <v>6</v>
      </c>
      <c r="F1973" t="s">
        <v>6</v>
      </c>
      <c r="G1973" t="s">
        <v>6</v>
      </c>
      <c r="H1973">
        <v>26438</v>
      </c>
      <c r="I1973">
        <v>7079.87</v>
      </c>
      <c r="J1973">
        <v>0</v>
      </c>
    </row>
    <row r="1974" spans="1:10" x14ac:dyDescent="0.35">
      <c r="A1974">
        <v>321769</v>
      </c>
      <c r="B1974" t="s">
        <v>20</v>
      </c>
      <c r="C1974">
        <v>2015</v>
      </c>
      <c r="D1974">
        <v>4</v>
      </c>
      <c r="E1974" t="s">
        <v>6</v>
      </c>
      <c r="F1974" t="s">
        <v>6</v>
      </c>
      <c r="G1974" t="s">
        <v>6</v>
      </c>
      <c r="H1974">
        <v>2968.08</v>
      </c>
      <c r="I1974">
        <v>3236.75</v>
      </c>
      <c r="J1974">
        <v>1</v>
      </c>
    </row>
    <row r="1975" spans="1:10" x14ac:dyDescent="0.35">
      <c r="A1975">
        <v>321773</v>
      </c>
      <c r="B1975" t="s">
        <v>20</v>
      </c>
      <c r="C1975">
        <v>2015</v>
      </c>
      <c r="D1975">
        <v>4</v>
      </c>
      <c r="E1975" t="s">
        <v>6</v>
      </c>
      <c r="F1975" t="s">
        <v>6</v>
      </c>
      <c r="G1975" t="s">
        <v>6</v>
      </c>
      <c r="H1975">
        <v>49733.54</v>
      </c>
      <c r="I1975">
        <v>22966.46</v>
      </c>
      <c r="J1975">
        <v>0</v>
      </c>
    </row>
    <row r="1976" spans="1:10" x14ac:dyDescent="0.35">
      <c r="A1976">
        <v>321776</v>
      </c>
      <c r="B1976" t="s">
        <v>20</v>
      </c>
      <c r="C1976">
        <v>2015</v>
      </c>
      <c r="D1976">
        <v>4</v>
      </c>
      <c r="E1976" t="s">
        <v>6</v>
      </c>
      <c r="F1976" t="s">
        <v>6</v>
      </c>
      <c r="G1976" t="s">
        <v>6</v>
      </c>
      <c r="H1976">
        <v>7689.36</v>
      </c>
      <c r="I1976">
        <v>6907.45</v>
      </c>
      <c r="J1976">
        <v>0</v>
      </c>
    </row>
    <row r="1977" spans="1:10" x14ac:dyDescent="0.35">
      <c r="A1977">
        <v>321782</v>
      </c>
      <c r="B1977" t="s">
        <v>20</v>
      </c>
      <c r="C1977">
        <v>2015</v>
      </c>
      <c r="D1977">
        <v>4</v>
      </c>
      <c r="E1977" t="s">
        <v>6</v>
      </c>
      <c r="F1977" t="s">
        <v>6</v>
      </c>
      <c r="G1977" t="s">
        <v>6</v>
      </c>
      <c r="H1977">
        <v>4118.3599999999997</v>
      </c>
      <c r="I1977">
        <v>4771.1899999999996</v>
      </c>
      <c r="J1977">
        <v>1</v>
      </c>
    </row>
    <row r="1978" spans="1:10" x14ac:dyDescent="0.35">
      <c r="A1978">
        <v>321783</v>
      </c>
      <c r="B1978" t="s">
        <v>20</v>
      </c>
      <c r="C1978">
        <v>2015</v>
      </c>
      <c r="D1978">
        <v>4</v>
      </c>
      <c r="E1978" t="s">
        <v>6</v>
      </c>
      <c r="F1978" t="s">
        <v>6</v>
      </c>
      <c r="G1978" t="s">
        <v>6</v>
      </c>
      <c r="H1978">
        <v>4069.12</v>
      </c>
      <c r="I1978">
        <v>4759.08</v>
      </c>
      <c r="J1978">
        <v>1</v>
      </c>
    </row>
    <row r="1979" spans="1:10" x14ac:dyDescent="0.35">
      <c r="A1979">
        <v>321786</v>
      </c>
      <c r="B1979" t="s">
        <v>20</v>
      </c>
      <c r="C1979">
        <v>2015</v>
      </c>
      <c r="D1979">
        <v>4</v>
      </c>
      <c r="E1979" t="s">
        <v>6</v>
      </c>
      <c r="F1979" t="s">
        <v>6</v>
      </c>
      <c r="G1979" t="s">
        <v>6</v>
      </c>
      <c r="H1979">
        <v>67920.22</v>
      </c>
      <c r="I1979">
        <v>39354.54</v>
      </c>
      <c r="J1979">
        <v>0</v>
      </c>
    </row>
    <row r="1980" spans="1:10" x14ac:dyDescent="0.35">
      <c r="A1980">
        <v>321787</v>
      </c>
      <c r="B1980" t="s">
        <v>20</v>
      </c>
      <c r="C1980">
        <v>2015</v>
      </c>
      <c r="D1980">
        <v>4</v>
      </c>
      <c r="E1980" t="s">
        <v>6</v>
      </c>
      <c r="F1980" t="s">
        <v>6</v>
      </c>
      <c r="G1980" t="s">
        <v>6</v>
      </c>
      <c r="H1980">
        <v>4034.83</v>
      </c>
      <c r="I1980">
        <v>4750.38</v>
      </c>
      <c r="J1980">
        <v>1</v>
      </c>
    </row>
    <row r="1981" spans="1:10" x14ac:dyDescent="0.35">
      <c r="A1981">
        <v>321789</v>
      </c>
      <c r="B1981" t="s">
        <v>20</v>
      </c>
      <c r="C1981">
        <v>2015</v>
      </c>
      <c r="D1981">
        <v>4</v>
      </c>
      <c r="E1981" t="s">
        <v>6</v>
      </c>
      <c r="F1981" t="s">
        <v>6</v>
      </c>
      <c r="G1981" t="s">
        <v>6</v>
      </c>
      <c r="H1981">
        <v>7403.28</v>
      </c>
      <c r="I1981">
        <v>9333.51</v>
      </c>
      <c r="J1981">
        <v>1</v>
      </c>
    </row>
    <row r="1982" spans="1:10" x14ac:dyDescent="0.35">
      <c r="A1982">
        <v>321793</v>
      </c>
      <c r="B1982" t="s">
        <v>20</v>
      </c>
      <c r="C1982">
        <v>2015</v>
      </c>
      <c r="D1982">
        <v>4</v>
      </c>
      <c r="E1982" t="s">
        <v>6</v>
      </c>
      <c r="F1982" t="s">
        <v>6</v>
      </c>
      <c r="G1982" t="s">
        <v>6</v>
      </c>
      <c r="H1982">
        <v>3189.62</v>
      </c>
      <c r="I1982">
        <v>3291.69</v>
      </c>
      <c r="J1982">
        <v>1</v>
      </c>
    </row>
    <row r="1983" spans="1:10" x14ac:dyDescent="0.35">
      <c r="A1983">
        <v>321796</v>
      </c>
      <c r="B1983" t="s">
        <v>20</v>
      </c>
      <c r="C1983">
        <v>2015</v>
      </c>
      <c r="D1983">
        <v>4</v>
      </c>
      <c r="E1983" t="s">
        <v>6</v>
      </c>
      <c r="F1983" t="s">
        <v>6</v>
      </c>
      <c r="G1983" t="s">
        <v>6</v>
      </c>
      <c r="H1983">
        <v>6252.43</v>
      </c>
      <c r="I1983">
        <v>7798.76</v>
      </c>
      <c r="J1983">
        <v>1</v>
      </c>
    </row>
    <row r="1984" spans="1:10" x14ac:dyDescent="0.35">
      <c r="A1984">
        <v>321799</v>
      </c>
      <c r="B1984" t="s">
        <v>20</v>
      </c>
      <c r="C1984">
        <v>2015</v>
      </c>
      <c r="D1984">
        <v>4</v>
      </c>
      <c r="E1984" t="s">
        <v>6</v>
      </c>
      <c r="F1984" t="s">
        <v>6</v>
      </c>
      <c r="G1984" t="s">
        <v>6</v>
      </c>
      <c r="H1984">
        <v>191781.23</v>
      </c>
      <c r="I1984">
        <v>56697.36</v>
      </c>
      <c r="J1984">
        <v>0</v>
      </c>
    </row>
    <row r="1985" spans="1:10" x14ac:dyDescent="0.35">
      <c r="A1985">
        <v>321803</v>
      </c>
      <c r="B1985" t="s">
        <v>20</v>
      </c>
      <c r="C1985">
        <v>2015</v>
      </c>
      <c r="D1985">
        <v>4</v>
      </c>
      <c r="E1985" t="s">
        <v>6</v>
      </c>
      <c r="F1985" t="s">
        <v>6</v>
      </c>
      <c r="G1985" t="s">
        <v>6</v>
      </c>
      <c r="H1985">
        <v>4069.12</v>
      </c>
      <c r="I1985">
        <v>4759.08</v>
      </c>
      <c r="J1985">
        <v>1</v>
      </c>
    </row>
    <row r="1986" spans="1:10" x14ac:dyDescent="0.35">
      <c r="A1986">
        <v>321804</v>
      </c>
      <c r="B1986" t="s">
        <v>20</v>
      </c>
      <c r="C1986">
        <v>2015</v>
      </c>
      <c r="D1986">
        <v>4</v>
      </c>
      <c r="E1986" t="s">
        <v>6</v>
      </c>
      <c r="F1986" t="s">
        <v>6</v>
      </c>
      <c r="G1986" t="s">
        <v>6</v>
      </c>
      <c r="H1986">
        <v>24908.9</v>
      </c>
      <c r="I1986">
        <v>8521.73</v>
      </c>
      <c r="J1986">
        <v>0</v>
      </c>
    </row>
    <row r="1987" spans="1:10" x14ac:dyDescent="0.35">
      <c r="A1987">
        <v>321813</v>
      </c>
      <c r="B1987" t="s">
        <v>20</v>
      </c>
      <c r="C1987">
        <v>2015</v>
      </c>
      <c r="D1987">
        <v>4</v>
      </c>
      <c r="E1987" t="s">
        <v>6</v>
      </c>
      <c r="F1987" t="s">
        <v>6</v>
      </c>
      <c r="G1987" t="s">
        <v>6</v>
      </c>
      <c r="H1987">
        <v>19311.419999999998</v>
      </c>
      <c r="I1987">
        <v>6794.05</v>
      </c>
      <c r="J1987">
        <v>0</v>
      </c>
    </row>
    <row r="1988" spans="1:10" x14ac:dyDescent="0.35">
      <c r="A1988">
        <v>321844</v>
      </c>
      <c r="B1988" t="s">
        <v>20</v>
      </c>
      <c r="C1988">
        <v>2015</v>
      </c>
      <c r="D1988">
        <v>4</v>
      </c>
      <c r="E1988" t="s">
        <v>6</v>
      </c>
      <c r="F1988" t="s">
        <v>6</v>
      </c>
      <c r="G1988" t="s">
        <v>6</v>
      </c>
      <c r="H1988">
        <v>71986.94</v>
      </c>
      <c r="I1988">
        <v>22299.57</v>
      </c>
      <c r="J1988">
        <v>0</v>
      </c>
    </row>
    <row r="1989" spans="1:10" x14ac:dyDescent="0.35">
      <c r="A1989">
        <v>321846</v>
      </c>
      <c r="B1989" t="s">
        <v>20</v>
      </c>
      <c r="C1989">
        <v>2015</v>
      </c>
      <c r="D1989">
        <v>4</v>
      </c>
      <c r="E1989" t="s">
        <v>6</v>
      </c>
      <c r="F1989" t="s">
        <v>6</v>
      </c>
      <c r="G1989" t="s">
        <v>6</v>
      </c>
      <c r="H1989">
        <v>28034.28</v>
      </c>
      <c r="I1989">
        <v>9711.52</v>
      </c>
      <c r="J1989">
        <v>0</v>
      </c>
    </row>
    <row r="1990" spans="1:10" x14ac:dyDescent="0.35">
      <c r="A1990">
        <v>321872</v>
      </c>
      <c r="B1990" t="s">
        <v>20</v>
      </c>
      <c r="C1990">
        <v>2015</v>
      </c>
      <c r="D1990">
        <v>4</v>
      </c>
      <c r="E1990" t="s">
        <v>6</v>
      </c>
      <c r="F1990" t="s">
        <v>6</v>
      </c>
      <c r="G1990" t="s">
        <v>6</v>
      </c>
      <c r="H1990">
        <v>25068.16</v>
      </c>
      <c r="I1990">
        <v>11090.77</v>
      </c>
      <c r="J1990">
        <v>0</v>
      </c>
    </row>
    <row r="1991" spans="1:10" x14ac:dyDescent="0.35">
      <c r="A1991">
        <v>321874</v>
      </c>
      <c r="B1991" t="s">
        <v>20</v>
      </c>
      <c r="C1991">
        <v>2015</v>
      </c>
      <c r="D1991">
        <v>4</v>
      </c>
      <c r="E1991" t="s">
        <v>6</v>
      </c>
      <c r="F1991" t="s">
        <v>6</v>
      </c>
      <c r="G1991" t="s">
        <v>6</v>
      </c>
      <c r="H1991">
        <v>251193.8</v>
      </c>
      <c r="I1991">
        <v>74878.899999999994</v>
      </c>
      <c r="J1991">
        <v>0</v>
      </c>
    </row>
    <row r="1992" spans="1:10" x14ac:dyDescent="0.35">
      <c r="A1992">
        <v>321894</v>
      </c>
      <c r="B1992" t="s">
        <v>20</v>
      </c>
      <c r="C1992">
        <v>2015</v>
      </c>
      <c r="D1992">
        <v>4</v>
      </c>
      <c r="E1992" t="s">
        <v>6</v>
      </c>
      <c r="F1992" t="s">
        <v>6</v>
      </c>
      <c r="G1992" t="s">
        <v>6</v>
      </c>
      <c r="H1992">
        <v>17547.900000000001</v>
      </c>
      <c r="I1992">
        <v>5533.65</v>
      </c>
      <c r="J1992">
        <v>0</v>
      </c>
    </row>
    <row r="1993" spans="1:10" x14ac:dyDescent="0.35">
      <c r="A1993">
        <v>321905</v>
      </c>
      <c r="B1993" t="s">
        <v>20</v>
      </c>
      <c r="C1993">
        <v>2015</v>
      </c>
      <c r="D1993">
        <v>4</v>
      </c>
      <c r="E1993" t="s">
        <v>6</v>
      </c>
      <c r="F1993" t="s">
        <v>6</v>
      </c>
      <c r="G1993" t="s">
        <v>6</v>
      </c>
      <c r="H1993">
        <v>4076.88</v>
      </c>
      <c r="I1993">
        <v>4760.9399999999996</v>
      </c>
      <c r="J1993">
        <v>1</v>
      </c>
    </row>
    <row r="1994" spans="1:10" x14ac:dyDescent="0.35">
      <c r="A1994">
        <v>321910</v>
      </c>
      <c r="B1994" t="s">
        <v>20</v>
      </c>
      <c r="C1994">
        <v>2015</v>
      </c>
      <c r="D1994">
        <v>4</v>
      </c>
      <c r="E1994" t="s">
        <v>6</v>
      </c>
      <c r="F1994" t="s">
        <v>6</v>
      </c>
      <c r="G1994" t="s">
        <v>6</v>
      </c>
      <c r="H1994">
        <v>4069.12</v>
      </c>
      <c r="I1994">
        <v>4759.08</v>
      </c>
      <c r="J1994">
        <v>1</v>
      </c>
    </row>
    <row r="1995" spans="1:10" x14ac:dyDescent="0.35">
      <c r="A1995">
        <v>321919</v>
      </c>
      <c r="B1995" t="s">
        <v>20</v>
      </c>
      <c r="C1995">
        <v>2015</v>
      </c>
      <c r="D1995">
        <v>4</v>
      </c>
      <c r="E1995" t="s">
        <v>6</v>
      </c>
      <c r="F1995" t="s">
        <v>6</v>
      </c>
      <c r="G1995" t="s">
        <v>6</v>
      </c>
      <c r="H1995">
        <v>26411.64</v>
      </c>
      <c r="I1995">
        <v>10629.65</v>
      </c>
      <c r="J1995">
        <v>0</v>
      </c>
    </row>
    <row r="1996" spans="1:10" x14ac:dyDescent="0.35">
      <c r="A1996">
        <v>321921</v>
      </c>
      <c r="B1996" t="s">
        <v>20</v>
      </c>
      <c r="C1996">
        <v>2015</v>
      </c>
      <c r="D1996">
        <v>4</v>
      </c>
      <c r="E1996" t="s">
        <v>6</v>
      </c>
      <c r="F1996" t="s">
        <v>6</v>
      </c>
      <c r="G1996" t="s">
        <v>6</v>
      </c>
      <c r="H1996">
        <v>6359.39</v>
      </c>
      <c r="I1996">
        <v>7828.58</v>
      </c>
      <c r="J1996">
        <v>1</v>
      </c>
    </row>
    <row r="1997" spans="1:10" x14ac:dyDescent="0.35">
      <c r="A1997">
        <v>321922</v>
      </c>
      <c r="B1997" t="s">
        <v>20</v>
      </c>
      <c r="C1997">
        <v>2015</v>
      </c>
      <c r="D1997">
        <v>4</v>
      </c>
      <c r="E1997" t="s">
        <v>6</v>
      </c>
      <c r="F1997" t="s">
        <v>6</v>
      </c>
      <c r="G1997" t="s">
        <v>6</v>
      </c>
      <c r="H1997">
        <v>4212.62</v>
      </c>
      <c r="I1997">
        <v>4794.62</v>
      </c>
      <c r="J1997">
        <v>1</v>
      </c>
    </row>
    <row r="1998" spans="1:10" x14ac:dyDescent="0.35">
      <c r="A1998">
        <v>321924</v>
      </c>
      <c r="B1998" t="s">
        <v>20</v>
      </c>
      <c r="C1998">
        <v>2015</v>
      </c>
      <c r="D1998">
        <v>4</v>
      </c>
      <c r="E1998" t="s">
        <v>6</v>
      </c>
      <c r="F1998" t="s">
        <v>6</v>
      </c>
      <c r="G1998" t="s">
        <v>6</v>
      </c>
      <c r="H1998">
        <v>10269.56</v>
      </c>
      <c r="I1998">
        <v>2789.08</v>
      </c>
      <c r="J1998">
        <v>0</v>
      </c>
    </row>
    <row r="1999" spans="1:10" x14ac:dyDescent="0.35">
      <c r="A1999">
        <v>321957</v>
      </c>
      <c r="B1999" t="s">
        <v>20</v>
      </c>
      <c r="C1999">
        <v>2015</v>
      </c>
      <c r="D1999">
        <v>4</v>
      </c>
      <c r="E1999" t="s">
        <v>6</v>
      </c>
      <c r="F1999" t="s">
        <v>6</v>
      </c>
      <c r="G1999" t="s">
        <v>6</v>
      </c>
      <c r="H1999">
        <v>16558.560000000001</v>
      </c>
      <c r="I1999">
        <v>4973.54</v>
      </c>
      <c r="J1999">
        <v>0</v>
      </c>
    </row>
    <row r="2000" spans="1:10" x14ac:dyDescent="0.35">
      <c r="A2000">
        <v>321961</v>
      </c>
      <c r="B2000" t="s">
        <v>20</v>
      </c>
      <c r="C2000">
        <v>2015</v>
      </c>
      <c r="D2000">
        <v>4</v>
      </c>
      <c r="E2000" t="s">
        <v>6</v>
      </c>
      <c r="F2000" t="s">
        <v>6</v>
      </c>
      <c r="G2000" t="s">
        <v>6</v>
      </c>
      <c r="H2000">
        <v>17252.3</v>
      </c>
      <c r="I2000">
        <v>4336.1000000000004</v>
      </c>
      <c r="J2000">
        <v>0</v>
      </c>
    </row>
    <row r="2001" spans="1:10" x14ac:dyDescent="0.35">
      <c r="A2001">
        <v>321973</v>
      </c>
      <c r="B2001" t="s">
        <v>20</v>
      </c>
      <c r="C2001">
        <v>2015</v>
      </c>
      <c r="D2001">
        <v>4</v>
      </c>
      <c r="E2001" t="s">
        <v>6</v>
      </c>
      <c r="F2001" t="s">
        <v>6</v>
      </c>
      <c r="G2001" t="s">
        <v>6</v>
      </c>
      <c r="H2001">
        <v>32412.799999999999</v>
      </c>
      <c r="I2001">
        <v>14721.09</v>
      </c>
      <c r="J2001">
        <v>0</v>
      </c>
    </row>
    <row r="2002" spans="1:10" x14ac:dyDescent="0.35">
      <c r="A2002">
        <v>321978</v>
      </c>
      <c r="B2002" t="s">
        <v>20</v>
      </c>
      <c r="C2002">
        <v>2015</v>
      </c>
      <c r="D2002">
        <v>4</v>
      </c>
      <c r="E2002" t="s">
        <v>6</v>
      </c>
      <c r="F2002" t="s">
        <v>6</v>
      </c>
      <c r="G2002" t="s">
        <v>6</v>
      </c>
      <c r="H2002">
        <v>4167.58</v>
      </c>
      <c r="I2002">
        <v>4783.41</v>
      </c>
      <c r="J2002">
        <v>1</v>
      </c>
    </row>
    <row r="2003" spans="1:10" x14ac:dyDescent="0.35">
      <c r="A2003">
        <v>321980</v>
      </c>
      <c r="B2003" t="s">
        <v>20</v>
      </c>
      <c r="C2003">
        <v>2015</v>
      </c>
      <c r="D2003">
        <v>4</v>
      </c>
      <c r="E2003" t="s">
        <v>6</v>
      </c>
      <c r="F2003" t="s">
        <v>6</v>
      </c>
      <c r="G2003" t="s">
        <v>6</v>
      </c>
      <c r="H2003">
        <v>16382.22</v>
      </c>
      <c r="I2003">
        <v>4201.45</v>
      </c>
      <c r="J2003">
        <v>0</v>
      </c>
    </row>
    <row r="2004" spans="1:10" x14ac:dyDescent="0.35">
      <c r="A2004">
        <v>322004</v>
      </c>
      <c r="B2004" t="s">
        <v>20</v>
      </c>
      <c r="C2004">
        <v>2015</v>
      </c>
      <c r="D2004">
        <v>4</v>
      </c>
      <c r="E2004" t="s">
        <v>6</v>
      </c>
      <c r="F2004" t="s">
        <v>6</v>
      </c>
      <c r="G2004" t="s">
        <v>6</v>
      </c>
      <c r="H2004">
        <v>51408.56</v>
      </c>
      <c r="I2004">
        <v>30974.83</v>
      </c>
      <c r="J2004">
        <v>0</v>
      </c>
    </row>
    <row r="2005" spans="1:10" x14ac:dyDescent="0.35">
      <c r="A2005">
        <v>322007</v>
      </c>
      <c r="B2005" t="s">
        <v>20</v>
      </c>
      <c r="C2005">
        <v>2015</v>
      </c>
      <c r="D2005">
        <v>4</v>
      </c>
      <c r="E2005" t="s">
        <v>6</v>
      </c>
      <c r="F2005" t="s">
        <v>6</v>
      </c>
      <c r="G2005" t="s">
        <v>6</v>
      </c>
      <c r="H2005">
        <v>34269.64</v>
      </c>
      <c r="I2005">
        <v>10503.37</v>
      </c>
      <c r="J2005">
        <v>0</v>
      </c>
    </row>
    <row r="2006" spans="1:10" x14ac:dyDescent="0.35">
      <c r="A2006">
        <v>322012</v>
      </c>
      <c r="B2006" t="s">
        <v>20</v>
      </c>
      <c r="C2006">
        <v>2015</v>
      </c>
      <c r="D2006">
        <v>4</v>
      </c>
      <c r="E2006" t="s">
        <v>6</v>
      </c>
      <c r="F2006" t="s">
        <v>6</v>
      </c>
      <c r="G2006" t="s">
        <v>6</v>
      </c>
      <c r="H2006">
        <v>5177.92</v>
      </c>
      <c r="I2006">
        <v>6283.27</v>
      </c>
      <c r="J2006">
        <v>1</v>
      </c>
    </row>
    <row r="2007" spans="1:10" x14ac:dyDescent="0.35">
      <c r="A2007">
        <v>322018</v>
      </c>
      <c r="B2007" t="s">
        <v>20</v>
      </c>
      <c r="C2007">
        <v>2015</v>
      </c>
      <c r="D2007">
        <v>4</v>
      </c>
      <c r="E2007" t="s">
        <v>6</v>
      </c>
      <c r="F2007" t="s">
        <v>6</v>
      </c>
      <c r="G2007" t="s">
        <v>6</v>
      </c>
      <c r="H2007">
        <v>22276.799999999999</v>
      </c>
      <c r="I2007">
        <v>8555.99</v>
      </c>
      <c r="J2007">
        <v>0</v>
      </c>
    </row>
    <row r="2008" spans="1:10" x14ac:dyDescent="0.35">
      <c r="A2008">
        <v>322024</v>
      </c>
      <c r="B2008" t="s">
        <v>20</v>
      </c>
      <c r="C2008">
        <v>2015</v>
      </c>
      <c r="D2008">
        <v>4</v>
      </c>
      <c r="E2008" t="s">
        <v>6</v>
      </c>
      <c r="F2008" t="s">
        <v>6</v>
      </c>
      <c r="G2008" t="s">
        <v>6</v>
      </c>
      <c r="H2008">
        <v>6362.82</v>
      </c>
      <c r="I2008">
        <v>7826.31</v>
      </c>
      <c r="J2008">
        <v>1</v>
      </c>
    </row>
    <row r="2009" spans="1:10" x14ac:dyDescent="0.35">
      <c r="A2009">
        <v>322027</v>
      </c>
      <c r="B2009" t="s">
        <v>20</v>
      </c>
      <c r="C2009">
        <v>2015</v>
      </c>
      <c r="D2009">
        <v>4</v>
      </c>
      <c r="E2009" t="s">
        <v>6</v>
      </c>
      <c r="F2009" t="s">
        <v>6</v>
      </c>
      <c r="G2009" t="s">
        <v>6</v>
      </c>
      <c r="H2009">
        <v>39420.06</v>
      </c>
      <c r="I2009">
        <v>7592.7</v>
      </c>
      <c r="J2009">
        <v>0</v>
      </c>
    </row>
    <row r="2010" spans="1:10" x14ac:dyDescent="0.35">
      <c r="A2010">
        <v>322033</v>
      </c>
      <c r="B2010" t="s">
        <v>20</v>
      </c>
      <c r="C2010">
        <v>2015</v>
      </c>
      <c r="D2010">
        <v>4</v>
      </c>
      <c r="E2010" t="s">
        <v>6</v>
      </c>
      <c r="F2010" t="s">
        <v>6</v>
      </c>
      <c r="G2010" t="s">
        <v>6</v>
      </c>
      <c r="H2010">
        <v>18314.98</v>
      </c>
      <c r="I2010">
        <v>4720.18</v>
      </c>
      <c r="J2010">
        <v>0</v>
      </c>
    </row>
    <row r="2011" spans="1:10" x14ac:dyDescent="0.35">
      <c r="A2011">
        <v>322036</v>
      </c>
      <c r="B2011" t="s">
        <v>20</v>
      </c>
      <c r="C2011">
        <v>2015</v>
      </c>
      <c r="D2011">
        <v>4</v>
      </c>
      <c r="E2011" t="s">
        <v>6</v>
      </c>
      <c r="F2011" t="s">
        <v>6</v>
      </c>
      <c r="G2011" t="s">
        <v>6</v>
      </c>
      <c r="H2011">
        <v>11154.02</v>
      </c>
      <c r="I2011">
        <v>3008.95</v>
      </c>
      <c r="J2011">
        <v>0</v>
      </c>
    </row>
    <row r="2012" spans="1:10" x14ac:dyDescent="0.35">
      <c r="A2012">
        <v>322050</v>
      </c>
      <c r="B2012" t="s">
        <v>20</v>
      </c>
      <c r="C2012">
        <v>2015</v>
      </c>
      <c r="D2012">
        <v>4</v>
      </c>
      <c r="E2012" t="s">
        <v>6</v>
      </c>
      <c r="F2012" t="s">
        <v>6</v>
      </c>
      <c r="G2012" t="s">
        <v>6</v>
      </c>
      <c r="H2012">
        <v>6570.92</v>
      </c>
      <c r="I2012">
        <v>7884.05</v>
      </c>
      <c r="J2012">
        <v>1</v>
      </c>
    </row>
    <row r="2013" spans="1:10" x14ac:dyDescent="0.35">
      <c r="A2013">
        <v>322054</v>
      </c>
      <c r="B2013" t="s">
        <v>20</v>
      </c>
      <c r="C2013">
        <v>2015</v>
      </c>
      <c r="D2013">
        <v>4</v>
      </c>
      <c r="E2013" t="s">
        <v>6</v>
      </c>
      <c r="F2013" t="s">
        <v>6</v>
      </c>
      <c r="G2013" t="s">
        <v>6</v>
      </c>
      <c r="H2013">
        <v>26138.46</v>
      </c>
      <c r="I2013">
        <v>6355.14</v>
      </c>
      <c r="J2013">
        <v>0</v>
      </c>
    </row>
    <row r="2014" spans="1:10" x14ac:dyDescent="0.35">
      <c r="A2014">
        <v>322055</v>
      </c>
      <c r="B2014" t="s">
        <v>20</v>
      </c>
      <c r="C2014">
        <v>2015</v>
      </c>
      <c r="D2014">
        <v>4</v>
      </c>
      <c r="E2014" t="s">
        <v>6</v>
      </c>
      <c r="F2014" t="s">
        <v>6</v>
      </c>
      <c r="G2014" t="s">
        <v>6</v>
      </c>
      <c r="H2014">
        <v>77433.3</v>
      </c>
      <c r="I2014">
        <v>59085.95</v>
      </c>
      <c r="J2014">
        <v>0</v>
      </c>
    </row>
    <row r="2015" spans="1:10" x14ac:dyDescent="0.35">
      <c r="A2015">
        <v>322057</v>
      </c>
      <c r="B2015" t="s">
        <v>20</v>
      </c>
      <c r="C2015">
        <v>2015</v>
      </c>
      <c r="D2015">
        <v>4</v>
      </c>
      <c r="E2015" t="s">
        <v>6</v>
      </c>
      <c r="F2015" t="s">
        <v>6</v>
      </c>
      <c r="G2015" t="s">
        <v>6</v>
      </c>
      <c r="H2015">
        <v>4069.12</v>
      </c>
      <c r="I2015">
        <v>4759.08</v>
      </c>
      <c r="J2015">
        <v>1</v>
      </c>
    </row>
    <row r="2016" spans="1:10" x14ac:dyDescent="0.35">
      <c r="A2016">
        <v>322061</v>
      </c>
      <c r="B2016" t="s">
        <v>20</v>
      </c>
      <c r="C2016">
        <v>2015</v>
      </c>
      <c r="D2016">
        <v>4</v>
      </c>
      <c r="E2016" t="s">
        <v>6</v>
      </c>
      <c r="F2016" t="s">
        <v>6</v>
      </c>
      <c r="G2016" t="s">
        <v>6</v>
      </c>
      <c r="H2016">
        <v>8298.59</v>
      </c>
      <c r="I2016">
        <v>5952.43</v>
      </c>
      <c r="J2016">
        <v>0</v>
      </c>
    </row>
    <row r="2017" spans="1:10" x14ac:dyDescent="0.35">
      <c r="A2017">
        <v>322064</v>
      </c>
      <c r="B2017" t="s">
        <v>20</v>
      </c>
      <c r="C2017">
        <v>2015</v>
      </c>
      <c r="D2017">
        <v>4</v>
      </c>
      <c r="E2017" t="s">
        <v>6</v>
      </c>
      <c r="F2017" t="s">
        <v>6</v>
      </c>
      <c r="G2017" t="s">
        <v>6</v>
      </c>
      <c r="H2017">
        <v>40208.18</v>
      </c>
      <c r="I2017">
        <v>16872.7</v>
      </c>
      <c r="J2017">
        <v>0</v>
      </c>
    </row>
    <row r="2018" spans="1:10" x14ac:dyDescent="0.35">
      <c r="A2018">
        <v>322069</v>
      </c>
      <c r="B2018" t="s">
        <v>20</v>
      </c>
      <c r="C2018">
        <v>2015</v>
      </c>
      <c r="D2018">
        <v>4</v>
      </c>
      <c r="E2018" t="s">
        <v>6</v>
      </c>
      <c r="F2018" t="s">
        <v>6</v>
      </c>
      <c r="G2018" t="s">
        <v>6</v>
      </c>
      <c r="H2018">
        <v>22609.78</v>
      </c>
      <c r="I2018">
        <v>6168.81</v>
      </c>
      <c r="J2018">
        <v>0</v>
      </c>
    </row>
    <row r="2019" spans="1:10" x14ac:dyDescent="0.35">
      <c r="A2019">
        <v>322075</v>
      </c>
      <c r="B2019" t="s">
        <v>20</v>
      </c>
      <c r="C2019">
        <v>2015</v>
      </c>
      <c r="D2019">
        <v>4</v>
      </c>
      <c r="E2019" t="s">
        <v>6</v>
      </c>
      <c r="F2019" t="s">
        <v>6</v>
      </c>
      <c r="G2019" t="s">
        <v>6</v>
      </c>
      <c r="H2019">
        <v>19495.189999999999</v>
      </c>
      <c r="I2019">
        <v>4642.87</v>
      </c>
      <c r="J2019">
        <v>0</v>
      </c>
    </row>
    <row r="2020" spans="1:10" x14ac:dyDescent="0.35">
      <c r="A2020">
        <v>322078</v>
      </c>
      <c r="B2020" t="s">
        <v>20</v>
      </c>
      <c r="C2020">
        <v>2015</v>
      </c>
      <c r="D2020">
        <v>4</v>
      </c>
      <c r="E2020" t="s">
        <v>6</v>
      </c>
      <c r="F2020" t="s">
        <v>6</v>
      </c>
      <c r="G2020" t="s">
        <v>6</v>
      </c>
      <c r="H2020">
        <v>75435.179999999993</v>
      </c>
      <c r="I2020">
        <v>23462.28</v>
      </c>
      <c r="J2020">
        <v>0</v>
      </c>
    </row>
    <row r="2021" spans="1:10" x14ac:dyDescent="0.35">
      <c r="A2021">
        <v>322080</v>
      </c>
      <c r="B2021" t="s">
        <v>20</v>
      </c>
      <c r="C2021">
        <v>2015</v>
      </c>
      <c r="D2021">
        <v>4</v>
      </c>
      <c r="E2021" t="s">
        <v>6</v>
      </c>
      <c r="F2021" t="s">
        <v>6</v>
      </c>
      <c r="G2021" t="s">
        <v>6</v>
      </c>
      <c r="H2021">
        <v>4050.52</v>
      </c>
      <c r="I2021">
        <v>4754.6099999999997</v>
      </c>
      <c r="J2021">
        <v>1</v>
      </c>
    </row>
    <row r="2022" spans="1:10" x14ac:dyDescent="0.35">
      <c r="A2022">
        <v>322086</v>
      </c>
      <c r="B2022" t="s">
        <v>20</v>
      </c>
      <c r="C2022">
        <v>2015</v>
      </c>
      <c r="D2022">
        <v>4</v>
      </c>
      <c r="E2022" t="s">
        <v>6</v>
      </c>
      <c r="F2022" t="s">
        <v>6</v>
      </c>
      <c r="G2022" t="s">
        <v>6</v>
      </c>
      <c r="H2022">
        <v>4069.12</v>
      </c>
      <c r="I2022">
        <v>4759.08</v>
      </c>
      <c r="J2022">
        <v>1</v>
      </c>
    </row>
    <row r="2023" spans="1:10" x14ac:dyDescent="0.35">
      <c r="A2023">
        <v>322087</v>
      </c>
      <c r="B2023" t="s">
        <v>20</v>
      </c>
      <c r="C2023">
        <v>2015</v>
      </c>
      <c r="D2023">
        <v>4</v>
      </c>
      <c r="E2023" t="s">
        <v>6</v>
      </c>
      <c r="F2023" t="s">
        <v>6</v>
      </c>
      <c r="G2023" t="s">
        <v>6</v>
      </c>
      <c r="H2023">
        <v>62585.68</v>
      </c>
      <c r="I2023">
        <v>45700.959999999999</v>
      </c>
      <c r="J2023">
        <v>0</v>
      </c>
    </row>
    <row r="2024" spans="1:10" x14ac:dyDescent="0.35">
      <c r="A2024">
        <v>322094</v>
      </c>
      <c r="B2024" t="s">
        <v>20</v>
      </c>
      <c r="C2024">
        <v>2015</v>
      </c>
      <c r="D2024">
        <v>4</v>
      </c>
      <c r="E2024" t="s">
        <v>6</v>
      </c>
      <c r="F2024" t="s">
        <v>6</v>
      </c>
      <c r="G2024" t="s">
        <v>6</v>
      </c>
      <c r="H2024">
        <v>2918.27</v>
      </c>
      <c r="I2024">
        <v>3224.32</v>
      </c>
      <c r="J2024">
        <v>1</v>
      </c>
    </row>
    <row r="2025" spans="1:10" x14ac:dyDescent="0.35">
      <c r="A2025">
        <v>322095</v>
      </c>
      <c r="B2025" t="s">
        <v>20</v>
      </c>
      <c r="C2025">
        <v>2015</v>
      </c>
      <c r="D2025">
        <v>4</v>
      </c>
      <c r="E2025" t="s">
        <v>6</v>
      </c>
      <c r="F2025" t="s">
        <v>6</v>
      </c>
      <c r="G2025" t="s">
        <v>6</v>
      </c>
      <c r="H2025">
        <v>22338.16</v>
      </c>
      <c r="I2025">
        <v>4418.43</v>
      </c>
      <c r="J2025">
        <v>0</v>
      </c>
    </row>
    <row r="2026" spans="1:10" x14ac:dyDescent="0.35">
      <c r="A2026">
        <v>322100</v>
      </c>
      <c r="B2026" t="s">
        <v>20</v>
      </c>
      <c r="C2026">
        <v>2015</v>
      </c>
      <c r="D2026">
        <v>4</v>
      </c>
      <c r="E2026" t="s">
        <v>6</v>
      </c>
      <c r="F2026" t="s">
        <v>6</v>
      </c>
      <c r="G2026" t="s">
        <v>6</v>
      </c>
      <c r="H2026">
        <v>11578</v>
      </c>
      <c r="I2026">
        <v>3064.43</v>
      </c>
      <c r="J2026">
        <v>0</v>
      </c>
    </row>
    <row r="2027" spans="1:10" x14ac:dyDescent="0.35">
      <c r="A2027">
        <v>322103</v>
      </c>
      <c r="B2027" t="s">
        <v>20</v>
      </c>
      <c r="C2027">
        <v>2015</v>
      </c>
      <c r="D2027">
        <v>4</v>
      </c>
      <c r="E2027" t="s">
        <v>6</v>
      </c>
      <c r="F2027" t="s">
        <v>6</v>
      </c>
      <c r="G2027" t="s">
        <v>6</v>
      </c>
      <c r="H2027">
        <v>10520.36</v>
      </c>
      <c r="I2027">
        <v>3395.83</v>
      </c>
      <c r="J2027">
        <v>0</v>
      </c>
    </row>
    <row r="2028" spans="1:10" x14ac:dyDescent="0.35">
      <c r="A2028">
        <v>322104</v>
      </c>
      <c r="B2028" t="s">
        <v>20</v>
      </c>
      <c r="C2028">
        <v>2015</v>
      </c>
      <c r="D2028">
        <v>4</v>
      </c>
      <c r="E2028" t="s">
        <v>6</v>
      </c>
      <c r="F2028" t="s">
        <v>6</v>
      </c>
      <c r="G2028" t="s">
        <v>6</v>
      </c>
      <c r="H2028">
        <v>24517.040000000001</v>
      </c>
      <c r="I2028">
        <v>8460.59</v>
      </c>
      <c r="J2028">
        <v>0</v>
      </c>
    </row>
    <row r="2029" spans="1:10" x14ac:dyDescent="0.35">
      <c r="A2029">
        <v>322106</v>
      </c>
      <c r="B2029" t="s">
        <v>20</v>
      </c>
      <c r="C2029">
        <v>2015</v>
      </c>
      <c r="D2029">
        <v>4</v>
      </c>
      <c r="E2029" t="s">
        <v>6</v>
      </c>
      <c r="F2029" t="s">
        <v>6</v>
      </c>
      <c r="G2029" t="s">
        <v>6</v>
      </c>
      <c r="H2029">
        <v>5216.03</v>
      </c>
      <c r="I2029">
        <v>6292.5</v>
      </c>
      <c r="J2029">
        <v>1</v>
      </c>
    </row>
    <row r="2030" spans="1:10" x14ac:dyDescent="0.35">
      <c r="A2030">
        <v>322108</v>
      </c>
      <c r="B2030" t="s">
        <v>20</v>
      </c>
      <c r="C2030">
        <v>2015</v>
      </c>
      <c r="D2030">
        <v>4</v>
      </c>
      <c r="E2030" t="s">
        <v>6</v>
      </c>
      <c r="F2030" t="s">
        <v>6</v>
      </c>
      <c r="G2030" t="s">
        <v>6</v>
      </c>
      <c r="H2030">
        <v>9955.6200000000008</v>
      </c>
      <c r="I2030">
        <v>2219.6799999999998</v>
      </c>
      <c r="J2030">
        <v>0</v>
      </c>
    </row>
    <row r="2031" spans="1:10" x14ac:dyDescent="0.35">
      <c r="A2031">
        <v>322109</v>
      </c>
      <c r="B2031" t="s">
        <v>20</v>
      </c>
      <c r="C2031">
        <v>2015</v>
      </c>
      <c r="D2031">
        <v>4</v>
      </c>
      <c r="E2031" t="s">
        <v>6</v>
      </c>
      <c r="F2031" t="s">
        <v>6</v>
      </c>
      <c r="G2031" t="s">
        <v>6</v>
      </c>
      <c r="H2031">
        <v>33220.379999999997</v>
      </c>
      <c r="I2031">
        <v>10708.38</v>
      </c>
      <c r="J2031">
        <v>0</v>
      </c>
    </row>
    <row r="2032" spans="1:10" x14ac:dyDescent="0.35">
      <c r="A2032">
        <v>322133</v>
      </c>
      <c r="B2032" t="s">
        <v>20</v>
      </c>
      <c r="C2032">
        <v>2015</v>
      </c>
      <c r="D2032">
        <v>4</v>
      </c>
      <c r="E2032" t="s">
        <v>6</v>
      </c>
      <c r="F2032" t="s">
        <v>6</v>
      </c>
      <c r="G2032" t="s">
        <v>6</v>
      </c>
      <c r="H2032">
        <v>5216.32</v>
      </c>
      <c r="I2032">
        <v>6292.78</v>
      </c>
      <c r="J2032">
        <v>1</v>
      </c>
    </row>
    <row r="2033" spans="1:10" x14ac:dyDescent="0.35">
      <c r="A2033">
        <v>322135</v>
      </c>
      <c r="B2033" t="s">
        <v>20</v>
      </c>
      <c r="C2033">
        <v>2015</v>
      </c>
      <c r="D2033">
        <v>4</v>
      </c>
      <c r="E2033" t="s">
        <v>6</v>
      </c>
      <c r="F2033" t="s">
        <v>6</v>
      </c>
      <c r="G2033" t="s">
        <v>6</v>
      </c>
      <c r="H2033">
        <v>17098.54</v>
      </c>
      <c r="I2033">
        <v>5017.12</v>
      </c>
      <c r="J2033">
        <v>0</v>
      </c>
    </row>
    <row r="2034" spans="1:10" x14ac:dyDescent="0.35">
      <c r="A2034">
        <v>322140</v>
      </c>
      <c r="B2034" t="s">
        <v>20</v>
      </c>
      <c r="C2034">
        <v>2015</v>
      </c>
      <c r="D2034">
        <v>4</v>
      </c>
      <c r="E2034" t="s">
        <v>6</v>
      </c>
      <c r="F2034" t="s">
        <v>6</v>
      </c>
      <c r="G2034" t="s">
        <v>6</v>
      </c>
      <c r="H2034">
        <v>5177.92</v>
      </c>
      <c r="I2034">
        <v>6283.27</v>
      </c>
      <c r="J2034">
        <v>1</v>
      </c>
    </row>
    <row r="2035" spans="1:10" x14ac:dyDescent="0.35">
      <c r="A2035">
        <v>322141</v>
      </c>
      <c r="B2035" t="s">
        <v>20</v>
      </c>
      <c r="C2035">
        <v>2015</v>
      </c>
      <c r="D2035">
        <v>4</v>
      </c>
      <c r="E2035" t="s">
        <v>6</v>
      </c>
      <c r="F2035" t="s">
        <v>6</v>
      </c>
      <c r="G2035" t="s">
        <v>6</v>
      </c>
      <c r="H2035">
        <v>70776.84</v>
      </c>
      <c r="I2035">
        <v>26095.01</v>
      </c>
      <c r="J2035">
        <v>0</v>
      </c>
    </row>
    <row r="2036" spans="1:10" x14ac:dyDescent="0.35">
      <c r="A2036">
        <v>322159</v>
      </c>
      <c r="B2036" t="s">
        <v>20</v>
      </c>
      <c r="C2036">
        <v>2015</v>
      </c>
      <c r="D2036">
        <v>4</v>
      </c>
      <c r="E2036" t="s">
        <v>6</v>
      </c>
      <c r="F2036" t="s">
        <v>6</v>
      </c>
      <c r="G2036" t="s">
        <v>6</v>
      </c>
      <c r="H2036">
        <v>20685.48</v>
      </c>
      <c r="I2036">
        <v>4733.1000000000004</v>
      </c>
      <c r="J2036">
        <v>0</v>
      </c>
    </row>
    <row r="2037" spans="1:10" x14ac:dyDescent="0.35">
      <c r="A2037">
        <v>322161</v>
      </c>
      <c r="B2037" t="s">
        <v>20</v>
      </c>
      <c r="C2037">
        <v>2015</v>
      </c>
      <c r="D2037">
        <v>4</v>
      </c>
      <c r="E2037" t="s">
        <v>6</v>
      </c>
      <c r="F2037" t="s">
        <v>6</v>
      </c>
      <c r="G2037" t="s">
        <v>6</v>
      </c>
      <c r="H2037">
        <v>40373.660000000003</v>
      </c>
      <c r="I2037">
        <v>11622.24</v>
      </c>
      <c r="J2037">
        <v>0</v>
      </c>
    </row>
    <row r="2038" spans="1:10" x14ac:dyDescent="0.35">
      <c r="A2038">
        <v>322163</v>
      </c>
      <c r="B2038" t="s">
        <v>20</v>
      </c>
      <c r="C2038">
        <v>2015</v>
      </c>
      <c r="D2038">
        <v>4</v>
      </c>
      <c r="E2038" t="s">
        <v>6</v>
      </c>
      <c r="F2038" t="s">
        <v>6</v>
      </c>
      <c r="G2038" t="s">
        <v>6</v>
      </c>
      <c r="H2038">
        <v>26864.16</v>
      </c>
      <c r="I2038">
        <v>10354.83</v>
      </c>
      <c r="J2038">
        <v>0</v>
      </c>
    </row>
    <row r="2039" spans="1:10" x14ac:dyDescent="0.35">
      <c r="A2039">
        <v>322172</v>
      </c>
      <c r="B2039" t="s">
        <v>20</v>
      </c>
      <c r="C2039">
        <v>2015</v>
      </c>
      <c r="D2039">
        <v>4</v>
      </c>
      <c r="E2039" t="s">
        <v>6</v>
      </c>
      <c r="F2039" t="s">
        <v>6</v>
      </c>
      <c r="G2039" t="s">
        <v>6</v>
      </c>
      <c r="H2039">
        <v>33503.480000000003</v>
      </c>
      <c r="I2039">
        <v>9934.52</v>
      </c>
      <c r="J2039">
        <v>0</v>
      </c>
    </row>
    <row r="2040" spans="1:10" x14ac:dyDescent="0.35">
      <c r="A2040">
        <v>322178</v>
      </c>
      <c r="B2040" t="s">
        <v>20</v>
      </c>
      <c r="C2040">
        <v>2015</v>
      </c>
      <c r="D2040">
        <v>4</v>
      </c>
      <c r="E2040" t="s">
        <v>6</v>
      </c>
      <c r="F2040" t="s">
        <v>6</v>
      </c>
      <c r="G2040" t="s">
        <v>6</v>
      </c>
      <c r="H2040">
        <v>19242.259999999998</v>
      </c>
      <c r="I2040">
        <v>4329.8</v>
      </c>
      <c r="J2040">
        <v>0</v>
      </c>
    </row>
    <row r="2041" spans="1:10" x14ac:dyDescent="0.35">
      <c r="A2041">
        <v>322181</v>
      </c>
      <c r="B2041" t="s">
        <v>20</v>
      </c>
      <c r="C2041">
        <v>2015</v>
      </c>
      <c r="D2041">
        <v>4</v>
      </c>
      <c r="E2041" t="s">
        <v>6</v>
      </c>
      <c r="F2041" t="s">
        <v>6</v>
      </c>
      <c r="G2041" t="s">
        <v>6</v>
      </c>
      <c r="H2041">
        <v>13140.02</v>
      </c>
      <c r="I2041">
        <v>3086.28</v>
      </c>
      <c r="J2041">
        <v>0</v>
      </c>
    </row>
    <row r="2042" spans="1:10" x14ac:dyDescent="0.35">
      <c r="A2042">
        <v>322195</v>
      </c>
      <c r="B2042" t="s">
        <v>20</v>
      </c>
      <c r="C2042">
        <v>2015</v>
      </c>
      <c r="D2042">
        <v>4</v>
      </c>
      <c r="E2042" t="s">
        <v>6</v>
      </c>
      <c r="F2042" t="s">
        <v>6</v>
      </c>
      <c r="G2042" t="s">
        <v>6</v>
      </c>
      <c r="H2042">
        <v>42605.94</v>
      </c>
      <c r="I2042">
        <v>11950.45</v>
      </c>
      <c r="J2042">
        <v>0</v>
      </c>
    </row>
    <row r="2043" spans="1:10" x14ac:dyDescent="0.35">
      <c r="A2043">
        <v>322199</v>
      </c>
      <c r="B2043" t="s">
        <v>20</v>
      </c>
      <c r="C2043">
        <v>2015</v>
      </c>
      <c r="D2043">
        <v>4</v>
      </c>
      <c r="E2043" t="s">
        <v>6</v>
      </c>
      <c r="F2043" t="s">
        <v>6</v>
      </c>
      <c r="G2043" t="s">
        <v>6</v>
      </c>
      <c r="H2043">
        <v>15302.98</v>
      </c>
      <c r="I2043">
        <v>6034.96</v>
      </c>
      <c r="J2043">
        <v>0</v>
      </c>
    </row>
    <row r="2044" spans="1:10" x14ac:dyDescent="0.35">
      <c r="A2044">
        <v>322200</v>
      </c>
      <c r="B2044" t="s">
        <v>20</v>
      </c>
      <c r="C2044">
        <v>2015</v>
      </c>
      <c r="D2044">
        <v>4</v>
      </c>
      <c r="E2044" t="s">
        <v>6</v>
      </c>
      <c r="F2044" t="s">
        <v>6</v>
      </c>
      <c r="G2044" t="s">
        <v>6</v>
      </c>
      <c r="H2044">
        <v>37887.81</v>
      </c>
      <c r="I2044">
        <v>21726.47</v>
      </c>
      <c r="J2044">
        <v>0</v>
      </c>
    </row>
    <row r="2045" spans="1:10" x14ac:dyDescent="0.35">
      <c r="A2045">
        <v>322202</v>
      </c>
      <c r="B2045" t="s">
        <v>20</v>
      </c>
      <c r="C2045">
        <v>2015</v>
      </c>
      <c r="D2045">
        <v>4</v>
      </c>
      <c r="E2045" t="s">
        <v>6</v>
      </c>
      <c r="F2045" t="s">
        <v>6</v>
      </c>
      <c r="G2045" t="s">
        <v>6</v>
      </c>
      <c r="H2045">
        <v>35573.199999999997</v>
      </c>
      <c r="I2045">
        <v>9776.86</v>
      </c>
      <c r="J2045">
        <v>0</v>
      </c>
    </row>
    <row r="2046" spans="1:10" x14ac:dyDescent="0.35">
      <c r="A2046">
        <v>322204</v>
      </c>
      <c r="B2046" t="s">
        <v>20</v>
      </c>
      <c r="C2046">
        <v>2015</v>
      </c>
      <c r="D2046">
        <v>4</v>
      </c>
      <c r="E2046" t="s">
        <v>6</v>
      </c>
      <c r="F2046" t="s">
        <v>6</v>
      </c>
      <c r="G2046" t="s">
        <v>6</v>
      </c>
      <c r="H2046">
        <v>59926.400000000001</v>
      </c>
      <c r="I2046">
        <v>41956.6</v>
      </c>
      <c r="J2046">
        <v>0</v>
      </c>
    </row>
    <row r="2047" spans="1:10" x14ac:dyDescent="0.35">
      <c r="A2047">
        <v>322222</v>
      </c>
      <c r="B2047" t="s">
        <v>20</v>
      </c>
      <c r="C2047">
        <v>2015</v>
      </c>
      <c r="D2047">
        <v>4</v>
      </c>
      <c r="E2047" t="s">
        <v>6</v>
      </c>
      <c r="F2047" t="s">
        <v>6</v>
      </c>
      <c r="G2047" t="s">
        <v>6</v>
      </c>
      <c r="H2047">
        <v>4034.95</v>
      </c>
      <c r="I2047">
        <v>4750.41</v>
      </c>
      <c r="J2047">
        <v>1</v>
      </c>
    </row>
    <row r="2048" spans="1:10" x14ac:dyDescent="0.35">
      <c r="A2048">
        <v>322226</v>
      </c>
      <c r="B2048" t="s">
        <v>20</v>
      </c>
      <c r="C2048">
        <v>2015</v>
      </c>
      <c r="D2048">
        <v>4</v>
      </c>
      <c r="E2048" t="s">
        <v>6</v>
      </c>
      <c r="F2048" t="s">
        <v>6</v>
      </c>
      <c r="G2048" t="s">
        <v>6</v>
      </c>
      <c r="H2048">
        <v>17342.18</v>
      </c>
      <c r="I2048">
        <v>4426.28</v>
      </c>
      <c r="J2048">
        <v>0</v>
      </c>
    </row>
    <row r="2049" spans="1:10" x14ac:dyDescent="0.35">
      <c r="A2049">
        <v>322228</v>
      </c>
      <c r="B2049" t="s">
        <v>20</v>
      </c>
      <c r="C2049">
        <v>2015</v>
      </c>
      <c r="D2049">
        <v>4</v>
      </c>
      <c r="E2049" t="s">
        <v>6</v>
      </c>
      <c r="F2049" t="s">
        <v>6</v>
      </c>
      <c r="G2049" t="s">
        <v>6</v>
      </c>
      <c r="H2049">
        <v>4027.19</v>
      </c>
      <c r="I2049">
        <v>4748.54</v>
      </c>
      <c r="J2049">
        <v>1</v>
      </c>
    </row>
    <row r="2050" spans="1:10" x14ac:dyDescent="0.35">
      <c r="A2050">
        <v>322239</v>
      </c>
      <c r="B2050" t="s">
        <v>20</v>
      </c>
      <c r="C2050">
        <v>2015</v>
      </c>
      <c r="D2050">
        <v>4</v>
      </c>
      <c r="E2050" t="s">
        <v>6</v>
      </c>
      <c r="F2050" t="s">
        <v>6</v>
      </c>
      <c r="G2050" t="s">
        <v>6</v>
      </c>
      <c r="H2050">
        <v>21174.880000000001</v>
      </c>
      <c r="I2050">
        <v>7218.13</v>
      </c>
      <c r="J2050">
        <v>0</v>
      </c>
    </row>
    <row r="2051" spans="1:10" x14ac:dyDescent="0.35">
      <c r="A2051">
        <v>322244</v>
      </c>
      <c r="B2051" t="s">
        <v>20</v>
      </c>
      <c r="C2051">
        <v>2015</v>
      </c>
      <c r="D2051">
        <v>4</v>
      </c>
      <c r="E2051" t="s">
        <v>6</v>
      </c>
      <c r="F2051" t="s">
        <v>6</v>
      </c>
      <c r="G2051" t="s">
        <v>6</v>
      </c>
      <c r="H2051">
        <v>20428.62</v>
      </c>
      <c r="I2051">
        <v>6187.96</v>
      </c>
      <c r="J2051">
        <v>0</v>
      </c>
    </row>
    <row r="2052" spans="1:10" x14ac:dyDescent="0.35">
      <c r="A2052">
        <v>322245</v>
      </c>
      <c r="B2052" t="s">
        <v>20</v>
      </c>
      <c r="C2052">
        <v>2015</v>
      </c>
      <c r="D2052">
        <v>4</v>
      </c>
      <c r="E2052" t="s">
        <v>6</v>
      </c>
      <c r="F2052" t="s">
        <v>6</v>
      </c>
      <c r="G2052" t="s">
        <v>6</v>
      </c>
      <c r="H2052">
        <v>27464.12</v>
      </c>
      <c r="I2052">
        <v>8076.22</v>
      </c>
      <c r="J2052">
        <v>0</v>
      </c>
    </row>
    <row r="2053" spans="1:10" x14ac:dyDescent="0.35">
      <c r="A2053">
        <v>322264</v>
      </c>
      <c r="B2053" t="s">
        <v>20</v>
      </c>
      <c r="C2053">
        <v>2015</v>
      </c>
      <c r="D2053">
        <v>4</v>
      </c>
      <c r="E2053" t="s">
        <v>6</v>
      </c>
      <c r="F2053" t="s">
        <v>6</v>
      </c>
      <c r="G2053" t="s">
        <v>6</v>
      </c>
      <c r="H2053">
        <v>40505.699999999997</v>
      </c>
      <c r="I2053">
        <v>11210.98</v>
      </c>
      <c r="J2053">
        <v>0</v>
      </c>
    </row>
    <row r="2054" spans="1:10" x14ac:dyDescent="0.35">
      <c r="A2054">
        <v>322267</v>
      </c>
      <c r="B2054" t="s">
        <v>20</v>
      </c>
      <c r="C2054">
        <v>2015</v>
      </c>
      <c r="D2054">
        <v>4</v>
      </c>
      <c r="E2054" t="s">
        <v>6</v>
      </c>
      <c r="F2054" t="s">
        <v>6</v>
      </c>
      <c r="G2054" t="s">
        <v>6</v>
      </c>
      <c r="H2054">
        <v>4351.6099999999997</v>
      </c>
      <c r="I2054">
        <v>3580.24</v>
      </c>
      <c r="J2054">
        <v>0</v>
      </c>
    </row>
    <row r="2055" spans="1:10" x14ac:dyDescent="0.35">
      <c r="A2055">
        <v>322271</v>
      </c>
      <c r="B2055" t="s">
        <v>20</v>
      </c>
      <c r="C2055">
        <v>2015</v>
      </c>
      <c r="D2055">
        <v>4</v>
      </c>
      <c r="E2055" t="s">
        <v>6</v>
      </c>
      <c r="F2055" t="s">
        <v>6</v>
      </c>
      <c r="G2055" t="s">
        <v>6</v>
      </c>
      <c r="H2055">
        <v>45394.82</v>
      </c>
      <c r="I2055">
        <v>15319.79</v>
      </c>
      <c r="J2055">
        <v>0</v>
      </c>
    </row>
    <row r="2056" spans="1:10" x14ac:dyDescent="0.35">
      <c r="A2056">
        <v>322279</v>
      </c>
      <c r="B2056" t="s">
        <v>20</v>
      </c>
      <c r="C2056">
        <v>2015</v>
      </c>
      <c r="D2056">
        <v>4</v>
      </c>
      <c r="E2056" t="s">
        <v>6</v>
      </c>
      <c r="F2056" t="s">
        <v>6</v>
      </c>
      <c r="G2056" t="s">
        <v>6</v>
      </c>
      <c r="H2056">
        <v>27430.26</v>
      </c>
      <c r="I2056">
        <v>8091.97</v>
      </c>
      <c r="J2056">
        <v>0</v>
      </c>
    </row>
    <row r="2057" spans="1:10" x14ac:dyDescent="0.35">
      <c r="A2057">
        <v>322284</v>
      </c>
      <c r="B2057" t="s">
        <v>20</v>
      </c>
      <c r="C2057">
        <v>2015</v>
      </c>
      <c r="D2057">
        <v>4</v>
      </c>
      <c r="E2057" t="s">
        <v>6</v>
      </c>
      <c r="F2057" t="s">
        <v>6</v>
      </c>
      <c r="G2057" t="s">
        <v>6</v>
      </c>
      <c r="H2057">
        <v>4088.7</v>
      </c>
      <c r="I2057">
        <v>1447.47</v>
      </c>
      <c r="J2057">
        <v>0</v>
      </c>
    </row>
    <row r="2058" spans="1:10" x14ac:dyDescent="0.35">
      <c r="A2058">
        <v>322288</v>
      </c>
      <c r="B2058" t="s">
        <v>20</v>
      </c>
      <c r="C2058">
        <v>2015</v>
      </c>
      <c r="D2058">
        <v>4</v>
      </c>
      <c r="E2058" t="s">
        <v>6</v>
      </c>
      <c r="F2058" t="s">
        <v>6</v>
      </c>
      <c r="G2058" t="s">
        <v>6</v>
      </c>
      <c r="H2058">
        <v>17022.62</v>
      </c>
      <c r="I2058">
        <v>2839.44</v>
      </c>
      <c r="J2058">
        <v>0</v>
      </c>
    </row>
    <row r="2059" spans="1:10" x14ac:dyDescent="0.35">
      <c r="A2059">
        <v>322290</v>
      </c>
      <c r="B2059" t="s">
        <v>20</v>
      </c>
      <c r="C2059">
        <v>2015</v>
      </c>
      <c r="D2059">
        <v>4</v>
      </c>
      <c r="E2059" t="s">
        <v>6</v>
      </c>
      <c r="F2059" t="s">
        <v>6</v>
      </c>
      <c r="G2059" t="s">
        <v>6</v>
      </c>
      <c r="H2059">
        <v>117243.6</v>
      </c>
      <c r="I2059">
        <v>58043.72</v>
      </c>
      <c r="J2059">
        <v>0</v>
      </c>
    </row>
    <row r="2060" spans="1:10" x14ac:dyDescent="0.35">
      <c r="A2060">
        <v>322303</v>
      </c>
      <c r="B2060" t="s">
        <v>20</v>
      </c>
      <c r="C2060">
        <v>2015</v>
      </c>
      <c r="D2060">
        <v>4</v>
      </c>
      <c r="E2060" t="s">
        <v>6</v>
      </c>
      <c r="F2060" t="s">
        <v>6</v>
      </c>
      <c r="G2060" t="s">
        <v>6</v>
      </c>
      <c r="H2060">
        <v>2918.39</v>
      </c>
      <c r="I2060">
        <v>3224.35</v>
      </c>
      <c r="J2060">
        <v>1</v>
      </c>
    </row>
    <row r="2061" spans="1:10" x14ac:dyDescent="0.35">
      <c r="A2061">
        <v>322312</v>
      </c>
      <c r="B2061" t="s">
        <v>20</v>
      </c>
      <c r="C2061">
        <v>2015</v>
      </c>
      <c r="D2061">
        <v>4</v>
      </c>
      <c r="E2061" t="s">
        <v>6</v>
      </c>
      <c r="F2061" t="s">
        <v>6</v>
      </c>
      <c r="G2061" t="s">
        <v>6</v>
      </c>
      <c r="H2061">
        <v>5315.39</v>
      </c>
      <c r="I2061">
        <v>6317.17</v>
      </c>
      <c r="J2061">
        <v>1</v>
      </c>
    </row>
    <row r="2062" spans="1:10" x14ac:dyDescent="0.35">
      <c r="A2062">
        <v>322314</v>
      </c>
      <c r="B2062" t="s">
        <v>20</v>
      </c>
      <c r="C2062">
        <v>2015</v>
      </c>
      <c r="D2062">
        <v>4</v>
      </c>
      <c r="E2062" t="s">
        <v>6</v>
      </c>
      <c r="F2062" t="s">
        <v>6</v>
      </c>
      <c r="G2062" t="s">
        <v>6</v>
      </c>
      <c r="H2062">
        <v>13188.18</v>
      </c>
      <c r="I2062">
        <v>4196.38</v>
      </c>
      <c r="J2062">
        <v>0</v>
      </c>
    </row>
    <row r="2063" spans="1:10" x14ac:dyDescent="0.35">
      <c r="A2063">
        <v>322317</v>
      </c>
      <c r="B2063" t="s">
        <v>20</v>
      </c>
      <c r="C2063">
        <v>2015</v>
      </c>
      <c r="D2063">
        <v>4</v>
      </c>
      <c r="E2063" t="s">
        <v>6</v>
      </c>
      <c r="F2063" t="s">
        <v>6</v>
      </c>
      <c r="G2063" t="s">
        <v>6</v>
      </c>
      <c r="H2063">
        <v>14494.2</v>
      </c>
      <c r="I2063">
        <v>4039.08</v>
      </c>
      <c r="J2063">
        <v>0</v>
      </c>
    </row>
    <row r="2064" spans="1:10" x14ac:dyDescent="0.35">
      <c r="A2064">
        <v>322321</v>
      </c>
      <c r="B2064" t="s">
        <v>20</v>
      </c>
      <c r="C2064">
        <v>2015</v>
      </c>
      <c r="D2064">
        <v>4</v>
      </c>
      <c r="E2064" t="s">
        <v>6</v>
      </c>
      <c r="F2064" t="s">
        <v>6</v>
      </c>
      <c r="G2064" t="s">
        <v>6</v>
      </c>
      <c r="H2064">
        <v>13471.1</v>
      </c>
      <c r="I2064">
        <v>4258.54</v>
      </c>
      <c r="J2064">
        <v>0</v>
      </c>
    </row>
    <row r="2065" spans="1:10" x14ac:dyDescent="0.35">
      <c r="A2065">
        <v>322328</v>
      </c>
      <c r="B2065" t="s">
        <v>20</v>
      </c>
      <c r="C2065">
        <v>2015</v>
      </c>
      <c r="D2065">
        <v>4</v>
      </c>
      <c r="E2065" t="s">
        <v>6</v>
      </c>
      <c r="F2065" t="s">
        <v>6</v>
      </c>
      <c r="G2065" t="s">
        <v>6</v>
      </c>
      <c r="H2065">
        <v>37390.67</v>
      </c>
      <c r="I2065">
        <v>27340.11</v>
      </c>
      <c r="J2065">
        <v>0</v>
      </c>
    </row>
    <row r="2066" spans="1:10" x14ac:dyDescent="0.35">
      <c r="A2066">
        <v>322330</v>
      </c>
      <c r="B2066" t="s">
        <v>20</v>
      </c>
      <c r="C2066">
        <v>2015</v>
      </c>
      <c r="D2066">
        <v>4</v>
      </c>
      <c r="E2066" t="s">
        <v>6</v>
      </c>
      <c r="F2066" t="s">
        <v>6</v>
      </c>
      <c r="G2066" t="s">
        <v>6</v>
      </c>
      <c r="H2066">
        <v>31612.54</v>
      </c>
      <c r="I2066">
        <v>14614.54</v>
      </c>
      <c r="J2066">
        <v>0</v>
      </c>
    </row>
    <row r="2067" spans="1:10" x14ac:dyDescent="0.35">
      <c r="A2067">
        <v>322333</v>
      </c>
      <c r="B2067" t="s">
        <v>20</v>
      </c>
      <c r="C2067">
        <v>2015</v>
      </c>
      <c r="D2067">
        <v>4</v>
      </c>
      <c r="E2067" t="s">
        <v>6</v>
      </c>
      <c r="F2067" t="s">
        <v>6</v>
      </c>
      <c r="G2067" t="s">
        <v>6</v>
      </c>
      <c r="H2067">
        <v>118803.08</v>
      </c>
      <c r="I2067">
        <v>37202.800000000003</v>
      </c>
      <c r="J2067">
        <v>0</v>
      </c>
    </row>
    <row r="2068" spans="1:10" x14ac:dyDescent="0.35">
      <c r="A2068">
        <v>322337</v>
      </c>
      <c r="B2068" t="s">
        <v>20</v>
      </c>
      <c r="C2068">
        <v>2015</v>
      </c>
      <c r="D2068">
        <v>4</v>
      </c>
      <c r="E2068" t="s">
        <v>6</v>
      </c>
      <c r="F2068" t="s">
        <v>6</v>
      </c>
      <c r="G2068" t="s">
        <v>6</v>
      </c>
      <c r="H2068">
        <v>31184.880000000001</v>
      </c>
      <c r="I2068">
        <v>9677.51</v>
      </c>
      <c r="J2068">
        <v>0</v>
      </c>
    </row>
    <row r="2069" spans="1:10" x14ac:dyDescent="0.35">
      <c r="A2069">
        <v>322346</v>
      </c>
      <c r="B2069" t="s">
        <v>20</v>
      </c>
      <c r="C2069">
        <v>2015</v>
      </c>
      <c r="D2069">
        <v>4</v>
      </c>
      <c r="E2069" t="s">
        <v>6</v>
      </c>
      <c r="F2069" t="s">
        <v>6</v>
      </c>
      <c r="G2069" t="s">
        <v>6</v>
      </c>
      <c r="H2069">
        <v>26303.759999999998</v>
      </c>
      <c r="I2069">
        <v>7846</v>
      </c>
      <c r="J2069">
        <v>0</v>
      </c>
    </row>
    <row r="2070" spans="1:10" x14ac:dyDescent="0.35">
      <c r="A2070">
        <v>322353</v>
      </c>
      <c r="B2070" t="s">
        <v>20</v>
      </c>
      <c r="C2070">
        <v>2015</v>
      </c>
      <c r="D2070">
        <v>4</v>
      </c>
      <c r="E2070" t="s">
        <v>6</v>
      </c>
      <c r="F2070" t="s">
        <v>6</v>
      </c>
      <c r="G2070" t="s">
        <v>6</v>
      </c>
      <c r="H2070">
        <v>11405.74</v>
      </c>
      <c r="I2070">
        <v>2519.09</v>
      </c>
      <c r="J2070">
        <v>0</v>
      </c>
    </row>
    <row r="2071" spans="1:10" x14ac:dyDescent="0.35">
      <c r="A2071">
        <v>322370</v>
      </c>
      <c r="B2071" t="s">
        <v>20</v>
      </c>
      <c r="C2071">
        <v>2015</v>
      </c>
      <c r="D2071">
        <v>4</v>
      </c>
      <c r="E2071" t="s">
        <v>6</v>
      </c>
      <c r="F2071" t="s">
        <v>6</v>
      </c>
      <c r="G2071" t="s">
        <v>6</v>
      </c>
      <c r="H2071">
        <v>2926.15</v>
      </c>
      <c r="I2071">
        <v>3226.22</v>
      </c>
      <c r="J2071">
        <v>1</v>
      </c>
    </row>
    <row r="2072" spans="1:10" x14ac:dyDescent="0.35">
      <c r="A2072">
        <v>322371</v>
      </c>
      <c r="B2072" t="s">
        <v>20</v>
      </c>
      <c r="C2072">
        <v>2015</v>
      </c>
      <c r="D2072">
        <v>4</v>
      </c>
      <c r="E2072" t="s">
        <v>6</v>
      </c>
      <c r="F2072" t="s">
        <v>6</v>
      </c>
      <c r="G2072" t="s">
        <v>6</v>
      </c>
      <c r="H2072">
        <v>12706.28</v>
      </c>
      <c r="I2072">
        <v>3779.97</v>
      </c>
      <c r="J2072">
        <v>0</v>
      </c>
    </row>
    <row r="2073" spans="1:10" x14ac:dyDescent="0.35">
      <c r="A2073">
        <v>322377</v>
      </c>
      <c r="B2073" t="s">
        <v>20</v>
      </c>
      <c r="C2073">
        <v>2015</v>
      </c>
      <c r="D2073">
        <v>4</v>
      </c>
      <c r="E2073" t="s">
        <v>6</v>
      </c>
      <c r="F2073" t="s">
        <v>6</v>
      </c>
      <c r="G2073" t="s">
        <v>6</v>
      </c>
      <c r="H2073">
        <v>236245.87</v>
      </c>
      <c r="I2073">
        <v>68889.58</v>
      </c>
      <c r="J2073">
        <v>0</v>
      </c>
    </row>
    <row r="2074" spans="1:10" x14ac:dyDescent="0.35">
      <c r="A2074">
        <v>322379</v>
      </c>
      <c r="B2074" t="s">
        <v>20</v>
      </c>
      <c r="C2074">
        <v>2015</v>
      </c>
      <c r="D2074">
        <v>4</v>
      </c>
      <c r="E2074" t="s">
        <v>6</v>
      </c>
      <c r="F2074" t="s">
        <v>6</v>
      </c>
      <c r="G2074" t="s">
        <v>6</v>
      </c>
      <c r="H2074">
        <v>5135.99</v>
      </c>
      <c r="I2074">
        <v>6272.73</v>
      </c>
      <c r="J2074">
        <v>1</v>
      </c>
    </row>
    <row r="2075" spans="1:10" x14ac:dyDescent="0.35">
      <c r="A2075">
        <v>322380</v>
      </c>
      <c r="B2075" t="s">
        <v>20</v>
      </c>
      <c r="C2075">
        <v>2015</v>
      </c>
      <c r="D2075">
        <v>4</v>
      </c>
      <c r="E2075" t="s">
        <v>6</v>
      </c>
      <c r="F2075" t="s">
        <v>6</v>
      </c>
      <c r="G2075" t="s">
        <v>6</v>
      </c>
      <c r="H2075">
        <v>100634.46</v>
      </c>
      <c r="I2075">
        <v>52739.16</v>
      </c>
      <c r="J2075">
        <v>0</v>
      </c>
    </row>
    <row r="2076" spans="1:10" x14ac:dyDescent="0.35">
      <c r="A2076">
        <v>322381</v>
      </c>
      <c r="B2076" t="s">
        <v>20</v>
      </c>
      <c r="C2076">
        <v>2015</v>
      </c>
      <c r="D2076">
        <v>4</v>
      </c>
      <c r="E2076" t="s">
        <v>6</v>
      </c>
      <c r="F2076" t="s">
        <v>6</v>
      </c>
      <c r="G2076" t="s">
        <v>6</v>
      </c>
      <c r="H2076">
        <v>78003.240000000005</v>
      </c>
      <c r="I2076">
        <v>59338.67</v>
      </c>
      <c r="J2076">
        <v>0</v>
      </c>
    </row>
    <row r="2077" spans="1:10" x14ac:dyDescent="0.35">
      <c r="A2077">
        <v>322390</v>
      </c>
      <c r="B2077" t="s">
        <v>20</v>
      </c>
      <c r="C2077">
        <v>2015</v>
      </c>
      <c r="D2077">
        <v>4</v>
      </c>
      <c r="E2077" t="s">
        <v>6</v>
      </c>
      <c r="F2077" t="s">
        <v>6</v>
      </c>
      <c r="G2077" t="s">
        <v>6</v>
      </c>
      <c r="H2077">
        <v>16625.68</v>
      </c>
      <c r="I2077">
        <v>4717.47</v>
      </c>
      <c r="J2077">
        <v>0</v>
      </c>
    </row>
    <row r="2078" spans="1:10" x14ac:dyDescent="0.35">
      <c r="A2078">
        <v>322394</v>
      </c>
      <c r="B2078" t="s">
        <v>20</v>
      </c>
      <c r="C2078">
        <v>2015</v>
      </c>
      <c r="D2078">
        <v>4</v>
      </c>
      <c r="E2078" t="s">
        <v>6</v>
      </c>
      <c r="F2078" t="s">
        <v>6</v>
      </c>
      <c r="G2078" t="s">
        <v>6</v>
      </c>
      <c r="H2078">
        <v>5253.39</v>
      </c>
      <c r="I2078">
        <v>6301.81</v>
      </c>
      <c r="J2078">
        <v>1</v>
      </c>
    </row>
    <row r="2079" spans="1:10" x14ac:dyDescent="0.35">
      <c r="A2079">
        <v>322396</v>
      </c>
      <c r="B2079" t="s">
        <v>20</v>
      </c>
      <c r="C2079">
        <v>2015</v>
      </c>
      <c r="D2079">
        <v>4</v>
      </c>
      <c r="E2079" t="s">
        <v>6</v>
      </c>
      <c r="F2079" t="s">
        <v>6</v>
      </c>
      <c r="G2079" t="s">
        <v>6</v>
      </c>
      <c r="H2079">
        <v>11243.7</v>
      </c>
      <c r="I2079">
        <v>2985.75</v>
      </c>
      <c r="J2079">
        <v>0</v>
      </c>
    </row>
    <row r="2080" spans="1:10" x14ac:dyDescent="0.35">
      <c r="A2080">
        <v>322401</v>
      </c>
      <c r="B2080" t="s">
        <v>20</v>
      </c>
      <c r="C2080">
        <v>2015</v>
      </c>
      <c r="D2080">
        <v>4</v>
      </c>
      <c r="E2080" t="s">
        <v>6</v>
      </c>
      <c r="F2080" t="s">
        <v>6</v>
      </c>
      <c r="G2080" t="s">
        <v>6</v>
      </c>
      <c r="H2080">
        <v>5143.75</v>
      </c>
      <c r="I2080">
        <v>6274.6</v>
      </c>
      <c r="J2080">
        <v>1</v>
      </c>
    </row>
    <row r="2081" spans="1:10" x14ac:dyDescent="0.35">
      <c r="A2081">
        <v>322404</v>
      </c>
      <c r="B2081" t="s">
        <v>20</v>
      </c>
      <c r="C2081">
        <v>2015</v>
      </c>
      <c r="D2081">
        <v>4</v>
      </c>
      <c r="E2081" t="s">
        <v>6</v>
      </c>
      <c r="F2081" t="s">
        <v>6</v>
      </c>
      <c r="G2081" t="s">
        <v>6</v>
      </c>
      <c r="H2081">
        <v>75097.52</v>
      </c>
      <c r="I2081">
        <v>27050.799999999999</v>
      </c>
      <c r="J2081">
        <v>0</v>
      </c>
    </row>
    <row r="2082" spans="1:10" x14ac:dyDescent="0.35">
      <c r="A2082">
        <v>322405</v>
      </c>
      <c r="B2082" t="s">
        <v>20</v>
      </c>
      <c r="C2082">
        <v>2015</v>
      </c>
      <c r="D2082">
        <v>4</v>
      </c>
      <c r="E2082" t="s">
        <v>6</v>
      </c>
      <c r="F2082" t="s">
        <v>6</v>
      </c>
      <c r="G2082" t="s">
        <v>6</v>
      </c>
      <c r="H2082">
        <v>17011.32</v>
      </c>
      <c r="I2082">
        <v>2694.42</v>
      </c>
      <c r="J2082">
        <v>0</v>
      </c>
    </row>
    <row r="2083" spans="1:10" x14ac:dyDescent="0.35">
      <c r="A2083">
        <v>322406</v>
      </c>
      <c r="B2083" t="s">
        <v>20</v>
      </c>
      <c r="C2083">
        <v>2015</v>
      </c>
      <c r="D2083">
        <v>4</v>
      </c>
      <c r="E2083" t="s">
        <v>6</v>
      </c>
      <c r="F2083" t="s">
        <v>6</v>
      </c>
      <c r="G2083" t="s">
        <v>6</v>
      </c>
      <c r="H2083">
        <v>124914.5</v>
      </c>
      <c r="I2083">
        <v>35956.519999999997</v>
      </c>
      <c r="J2083">
        <v>0</v>
      </c>
    </row>
    <row r="2084" spans="1:10" x14ac:dyDescent="0.35">
      <c r="A2084">
        <v>322410</v>
      </c>
      <c r="B2084" t="s">
        <v>20</v>
      </c>
      <c r="C2084">
        <v>2015</v>
      </c>
      <c r="D2084">
        <v>4</v>
      </c>
      <c r="E2084" t="s">
        <v>6</v>
      </c>
      <c r="F2084" t="s">
        <v>6</v>
      </c>
      <c r="G2084" t="s">
        <v>6</v>
      </c>
      <c r="H2084">
        <v>51287.44</v>
      </c>
      <c r="I2084">
        <v>22828.13</v>
      </c>
      <c r="J2084">
        <v>0</v>
      </c>
    </row>
    <row r="2085" spans="1:10" x14ac:dyDescent="0.35">
      <c r="A2085">
        <v>322411</v>
      </c>
      <c r="B2085" t="s">
        <v>20</v>
      </c>
      <c r="C2085">
        <v>2015</v>
      </c>
      <c r="D2085">
        <v>4</v>
      </c>
      <c r="E2085" t="s">
        <v>6</v>
      </c>
      <c r="F2085" t="s">
        <v>6</v>
      </c>
      <c r="G2085" t="s">
        <v>6</v>
      </c>
      <c r="H2085">
        <v>6252.55</v>
      </c>
      <c r="I2085">
        <v>7798.79</v>
      </c>
      <c r="J2085">
        <v>1</v>
      </c>
    </row>
    <row r="2086" spans="1:10" x14ac:dyDescent="0.35">
      <c r="A2086">
        <v>322412</v>
      </c>
      <c r="B2086" t="s">
        <v>20</v>
      </c>
      <c r="C2086">
        <v>2015</v>
      </c>
      <c r="D2086">
        <v>4</v>
      </c>
      <c r="E2086" t="s">
        <v>6</v>
      </c>
      <c r="F2086" t="s">
        <v>6</v>
      </c>
      <c r="G2086" t="s">
        <v>6</v>
      </c>
      <c r="H2086">
        <v>60835.72</v>
      </c>
      <c r="I2086">
        <v>18551.64</v>
      </c>
      <c r="J2086">
        <v>0</v>
      </c>
    </row>
    <row r="2087" spans="1:10" x14ac:dyDescent="0.35">
      <c r="A2087">
        <v>322435</v>
      </c>
      <c r="B2087" t="s">
        <v>20</v>
      </c>
      <c r="C2087">
        <v>2015</v>
      </c>
      <c r="D2087">
        <v>4</v>
      </c>
      <c r="E2087" t="s">
        <v>6</v>
      </c>
      <c r="F2087" t="s">
        <v>6</v>
      </c>
      <c r="G2087" t="s">
        <v>6</v>
      </c>
      <c r="H2087">
        <v>48156.42</v>
      </c>
      <c r="I2087">
        <v>19784.82</v>
      </c>
      <c r="J2087">
        <v>0</v>
      </c>
    </row>
    <row r="2088" spans="1:10" x14ac:dyDescent="0.35">
      <c r="A2088">
        <v>322440</v>
      </c>
      <c r="B2088" t="s">
        <v>20</v>
      </c>
      <c r="C2088">
        <v>2015</v>
      </c>
      <c r="D2088">
        <v>4</v>
      </c>
      <c r="E2088" t="s">
        <v>6</v>
      </c>
      <c r="F2088" t="s">
        <v>6</v>
      </c>
      <c r="G2088" t="s">
        <v>6</v>
      </c>
      <c r="H2088">
        <v>76293.52</v>
      </c>
      <c r="I2088">
        <v>23601.74</v>
      </c>
      <c r="J2088">
        <v>0</v>
      </c>
    </row>
    <row r="2089" spans="1:10" x14ac:dyDescent="0.35">
      <c r="A2089">
        <v>322445</v>
      </c>
      <c r="B2089" t="s">
        <v>20</v>
      </c>
      <c r="C2089">
        <v>2015</v>
      </c>
      <c r="D2089">
        <v>4</v>
      </c>
      <c r="E2089" t="s">
        <v>6</v>
      </c>
      <c r="F2089" t="s">
        <v>6</v>
      </c>
      <c r="G2089" t="s">
        <v>6</v>
      </c>
      <c r="H2089">
        <v>38411.39</v>
      </c>
      <c r="I2089">
        <v>27617.51</v>
      </c>
      <c r="J2089">
        <v>0</v>
      </c>
    </row>
    <row r="2090" spans="1:10" x14ac:dyDescent="0.35">
      <c r="A2090">
        <v>322448</v>
      </c>
      <c r="B2090" t="s">
        <v>20</v>
      </c>
      <c r="C2090">
        <v>2015</v>
      </c>
      <c r="D2090">
        <v>4</v>
      </c>
      <c r="E2090" t="s">
        <v>6</v>
      </c>
      <c r="F2090" t="s">
        <v>6</v>
      </c>
      <c r="G2090" t="s">
        <v>6</v>
      </c>
      <c r="H2090">
        <v>10192.719999999999</v>
      </c>
      <c r="I2090">
        <v>2369.19</v>
      </c>
      <c r="J2090">
        <v>0</v>
      </c>
    </row>
    <row r="2091" spans="1:10" x14ac:dyDescent="0.35">
      <c r="A2091">
        <v>322450</v>
      </c>
      <c r="B2091" t="s">
        <v>20</v>
      </c>
      <c r="C2091">
        <v>2015</v>
      </c>
      <c r="D2091">
        <v>4</v>
      </c>
      <c r="E2091" t="s">
        <v>6</v>
      </c>
      <c r="F2091" t="s">
        <v>6</v>
      </c>
      <c r="G2091" t="s">
        <v>6</v>
      </c>
      <c r="H2091">
        <v>14473.34</v>
      </c>
      <c r="I2091">
        <v>3803.85</v>
      </c>
      <c r="J2091">
        <v>0</v>
      </c>
    </row>
    <row r="2092" spans="1:10" x14ac:dyDescent="0.35">
      <c r="A2092">
        <v>322451</v>
      </c>
      <c r="B2092" t="s">
        <v>20</v>
      </c>
      <c r="C2092">
        <v>2015</v>
      </c>
      <c r="D2092">
        <v>4</v>
      </c>
      <c r="E2092" t="s">
        <v>6</v>
      </c>
      <c r="F2092" t="s">
        <v>6</v>
      </c>
      <c r="G2092" t="s">
        <v>6</v>
      </c>
      <c r="H2092">
        <v>26494.44</v>
      </c>
      <c r="I2092">
        <v>8564.83</v>
      </c>
      <c r="J2092">
        <v>0</v>
      </c>
    </row>
    <row r="2093" spans="1:10" x14ac:dyDescent="0.35">
      <c r="A2093">
        <v>322453</v>
      </c>
      <c r="B2093" t="s">
        <v>20</v>
      </c>
      <c r="C2093">
        <v>2015</v>
      </c>
      <c r="D2093">
        <v>4</v>
      </c>
      <c r="E2093" t="s">
        <v>6</v>
      </c>
      <c r="F2093" t="s">
        <v>6</v>
      </c>
      <c r="G2093" t="s">
        <v>6</v>
      </c>
      <c r="H2093">
        <v>18590.3</v>
      </c>
      <c r="I2093">
        <v>8436.02</v>
      </c>
      <c r="J2093">
        <v>0</v>
      </c>
    </row>
    <row r="2094" spans="1:10" x14ac:dyDescent="0.35">
      <c r="A2094">
        <v>322455</v>
      </c>
      <c r="B2094" t="s">
        <v>20</v>
      </c>
      <c r="C2094">
        <v>2015</v>
      </c>
      <c r="D2094">
        <v>4</v>
      </c>
      <c r="E2094" t="s">
        <v>6</v>
      </c>
      <c r="F2094" t="s">
        <v>6</v>
      </c>
      <c r="G2094" t="s">
        <v>6</v>
      </c>
      <c r="H2094">
        <v>41416.370000000003</v>
      </c>
      <c r="I2094">
        <v>28815.54</v>
      </c>
      <c r="J2094">
        <v>0</v>
      </c>
    </row>
    <row r="2095" spans="1:10" x14ac:dyDescent="0.35">
      <c r="A2095">
        <v>322462</v>
      </c>
      <c r="B2095" t="s">
        <v>20</v>
      </c>
      <c r="C2095">
        <v>2015</v>
      </c>
      <c r="D2095">
        <v>4</v>
      </c>
      <c r="E2095" t="s">
        <v>6</v>
      </c>
      <c r="F2095" t="s">
        <v>6</v>
      </c>
      <c r="G2095" t="s">
        <v>6</v>
      </c>
      <c r="H2095">
        <v>4034.95</v>
      </c>
      <c r="I2095">
        <v>4750.41</v>
      </c>
      <c r="J2095">
        <v>1</v>
      </c>
    </row>
    <row r="2096" spans="1:10" x14ac:dyDescent="0.35">
      <c r="A2096">
        <v>322468</v>
      </c>
      <c r="B2096" t="s">
        <v>20</v>
      </c>
      <c r="C2096">
        <v>2015</v>
      </c>
      <c r="D2096">
        <v>4</v>
      </c>
      <c r="E2096" t="s">
        <v>6</v>
      </c>
      <c r="F2096" t="s">
        <v>6</v>
      </c>
      <c r="G2096" t="s">
        <v>6</v>
      </c>
      <c r="H2096">
        <v>12315.82</v>
      </c>
      <c r="I2096">
        <v>3380.9</v>
      </c>
      <c r="J2096">
        <v>0</v>
      </c>
    </row>
    <row r="2097" spans="1:10" x14ac:dyDescent="0.35">
      <c r="A2097">
        <v>322471</v>
      </c>
      <c r="B2097" t="s">
        <v>20</v>
      </c>
      <c r="C2097">
        <v>2015</v>
      </c>
      <c r="D2097">
        <v>4</v>
      </c>
      <c r="E2097" t="s">
        <v>6</v>
      </c>
      <c r="F2097" t="s">
        <v>6</v>
      </c>
      <c r="G2097" t="s">
        <v>6</v>
      </c>
      <c r="H2097">
        <v>5185.68</v>
      </c>
      <c r="I2097">
        <v>6285.13</v>
      </c>
      <c r="J2097">
        <v>1</v>
      </c>
    </row>
    <row r="2098" spans="1:10" x14ac:dyDescent="0.35">
      <c r="A2098">
        <v>322472</v>
      </c>
      <c r="B2098" t="s">
        <v>20</v>
      </c>
      <c r="C2098">
        <v>2015</v>
      </c>
      <c r="D2098">
        <v>4</v>
      </c>
      <c r="E2098" t="s">
        <v>6</v>
      </c>
      <c r="F2098" t="s">
        <v>6</v>
      </c>
      <c r="G2098" t="s">
        <v>6</v>
      </c>
      <c r="H2098">
        <v>2933.91</v>
      </c>
      <c r="I2098">
        <v>3228.08</v>
      </c>
      <c r="J2098">
        <v>1</v>
      </c>
    </row>
    <row r="2099" spans="1:10" x14ac:dyDescent="0.35">
      <c r="A2099">
        <v>322477</v>
      </c>
      <c r="B2099" t="s">
        <v>20</v>
      </c>
      <c r="C2099">
        <v>2015</v>
      </c>
      <c r="D2099">
        <v>4</v>
      </c>
      <c r="E2099" t="s">
        <v>6</v>
      </c>
      <c r="F2099" t="s">
        <v>6</v>
      </c>
      <c r="G2099" t="s">
        <v>6</v>
      </c>
      <c r="H2099">
        <v>22281.96</v>
      </c>
      <c r="I2099">
        <v>6232.42</v>
      </c>
      <c r="J2099">
        <v>0</v>
      </c>
    </row>
    <row r="2100" spans="1:10" x14ac:dyDescent="0.35">
      <c r="A2100">
        <v>322479</v>
      </c>
      <c r="B2100" t="s">
        <v>20</v>
      </c>
      <c r="C2100">
        <v>2015</v>
      </c>
      <c r="D2100">
        <v>4</v>
      </c>
      <c r="E2100" t="s">
        <v>6</v>
      </c>
      <c r="F2100" t="s">
        <v>6</v>
      </c>
      <c r="G2100" t="s">
        <v>6</v>
      </c>
      <c r="H2100">
        <v>3943.51</v>
      </c>
      <c r="I2100">
        <v>4724.32</v>
      </c>
      <c r="J2100">
        <v>1</v>
      </c>
    </row>
    <row r="2101" spans="1:10" x14ac:dyDescent="0.35">
      <c r="A2101">
        <v>322483</v>
      </c>
      <c r="B2101" t="s">
        <v>20</v>
      </c>
      <c r="C2101">
        <v>2015</v>
      </c>
      <c r="D2101">
        <v>4</v>
      </c>
      <c r="E2101" t="s">
        <v>6</v>
      </c>
      <c r="F2101" t="s">
        <v>6</v>
      </c>
      <c r="G2101" t="s">
        <v>6</v>
      </c>
      <c r="H2101">
        <v>34486.870000000003</v>
      </c>
      <c r="I2101">
        <v>20181.62</v>
      </c>
      <c r="J2101">
        <v>0</v>
      </c>
    </row>
    <row r="2102" spans="1:10" x14ac:dyDescent="0.35">
      <c r="A2102">
        <v>322485</v>
      </c>
      <c r="B2102" t="s">
        <v>20</v>
      </c>
      <c r="C2102">
        <v>2015</v>
      </c>
      <c r="D2102">
        <v>4</v>
      </c>
      <c r="E2102" t="s">
        <v>6</v>
      </c>
      <c r="F2102" t="s">
        <v>6</v>
      </c>
      <c r="G2102" t="s">
        <v>6</v>
      </c>
      <c r="H2102">
        <v>19780.97</v>
      </c>
      <c r="I2102">
        <v>6845.36</v>
      </c>
      <c r="J2102">
        <v>0</v>
      </c>
    </row>
    <row r="2103" spans="1:10" x14ac:dyDescent="0.35">
      <c r="A2103">
        <v>322489</v>
      </c>
      <c r="B2103" t="s">
        <v>20</v>
      </c>
      <c r="C2103">
        <v>2015</v>
      </c>
      <c r="D2103">
        <v>4</v>
      </c>
      <c r="E2103" t="s">
        <v>6</v>
      </c>
      <c r="F2103" t="s">
        <v>6</v>
      </c>
      <c r="G2103" t="s">
        <v>6</v>
      </c>
      <c r="H2103">
        <v>27104.38</v>
      </c>
      <c r="I2103">
        <v>8419.9500000000007</v>
      </c>
      <c r="J2103">
        <v>0</v>
      </c>
    </row>
    <row r="2104" spans="1:10" x14ac:dyDescent="0.35">
      <c r="A2104">
        <v>322494</v>
      </c>
      <c r="B2104" t="s">
        <v>20</v>
      </c>
      <c r="C2104">
        <v>2015</v>
      </c>
      <c r="D2104">
        <v>4</v>
      </c>
      <c r="E2104" t="s">
        <v>6</v>
      </c>
      <c r="F2104" t="s">
        <v>6</v>
      </c>
      <c r="G2104" t="s">
        <v>6</v>
      </c>
      <c r="H2104">
        <v>35109.47</v>
      </c>
      <c r="I2104">
        <v>19909.96</v>
      </c>
      <c r="J2104">
        <v>0</v>
      </c>
    </row>
    <row r="2105" spans="1:10" x14ac:dyDescent="0.35">
      <c r="A2105">
        <v>322495</v>
      </c>
      <c r="B2105" t="s">
        <v>20</v>
      </c>
      <c r="C2105">
        <v>2015</v>
      </c>
      <c r="D2105">
        <v>4</v>
      </c>
      <c r="E2105" t="s">
        <v>6</v>
      </c>
      <c r="F2105" t="s">
        <v>6</v>
      </c>
      <c r="G2105" t="s">
        <v>6</v>
      </c>
      <c r="H2105">
        <v>4034.95</v>
      </c>
      <c r="I2105">
        <v>4750.41</v>
      </c>
      <c r="J2105">
        <v>1</v>
      </c>
    </row>
    <row r="2106" spans="1:10" x14ac:dyDescent="0.35">
      <c r="A2106">
        <v>322523</v>
      </c>
      <c r="B2106" t="s">
        <v>20</v>
      </c>
      <c r="C2106">
        <v>2015</v>
      </c>
      <c r="D2106">
        <v>4</v>
      </c>
      <c r="E2106" t="s">
        <v>6</v>
      </c>
      <c r="F2106" t="s">
        <v>6</v>
      </c>
      <c r="G2106" t="s">
        <v>6</v>
      </c>
      <c r="H2106">
        <v>39535.68</v>
      </c>
      <c r="I2106">
        <v>11090.5</v>
      </c>
      <c r="J2106">
        <v>0</v>
      </c>
    </row>
    <row r="2107" spans="1:10" x14ac:dyDescent="0.35">
      <c r="A2107">
        <v>322531</v>
      </c>
      <c r="B2107" t="s">
        <v>20</v>
      </c>
      <c r="C2107">
        <v>2015</v>
      </c>
      <c r="D2107">
        <v>4</v>
      </c>
      <c r="E2107" t="s">
        <v>6</v>
      </c>
      <c r="F2107" t="s">
        <v>6</v>
      </c>
      <c r="G2107" t="s">
        <v>6</v>
      </c>
      <c r="H2107">
        <v>12240.84</v>
      </c>
      <c r="I2107">
        <v>3398.91</v>
      </c>
      <c r="J2107">
        <v>0</v>
      </c>
    </row>
    <row r="2108" spans="1:10" x14ac:dyDescent="0.35">
      <c r="A2108">
        <v>322533</v>
      </c>
      <c r="B2108" t="s">
        <v>20</v>
      </c>
      <c r="C2108">
        <v>2015</v>
      </c>
      <c r="D2108">
        <v>4</v>
      </c>
      <c r="E2108" t="s">
        <v>6</v>
      </c>
      <c r="F2108" t="s">
        <v>6</v>
      </c>
      <c r="G2108" t="s">
        <v>6</v>
      </c>
      <c r="H2108">
        <v>76617.38</v>
      </c>
      <c r="I2108">
        <v>23056.55</v>
      </c>
      <c r="J2108">
        <v>0</v>
      </c>
    </row>
    <row r="2109" spans="1:10" x14ac:dyDescent="0.35">
      <c r="A2109">
        <v>322534</v>
      </c>
      <c r="B2109" t="s">
        <v>20</v>
      </c>
      <c r="C2109">
        <v>2015</v>
      </c>
      <c r="D2109">
        <v>4</v>
      </c>
      <c r="E2109" t="s">
        <v>6</v>
      </c>
      <c r="F2109" t="s">
        <v>6</v>
      </c>
      <c r="G2109" t="s">
        <v>6</v>
      </c>
      <c r="H2109">
        <v>15305.94</v>
      </c>
      <c r="I2109">
        <v>3550.96</v>
      </c>
      <c r="J2109">
        <v>0</v>
      </c>
    </row>
    <row r="2110" spans="1:10" x14ac:dyDescent="0.35">
      <c r="A2110">
        <v>322537</v>
      </c>
      <c r="B2110" t="s">
        <v>20</v>
      </c>
      <c r="C2110">
        <v>2015</v>
      </c>
      <c r="D2110">
        <v>4</v>
      </c>
      <c r="E2110" t="s">
        <v>6</v>
      </c>
      <c r="F2110" t="s">
        <v>6</v>
      </c>
      <c r="G2110" t="s">
        <v>6</v>
      </c>
      <c r="H2110">
        <v>27384.080000000002</v>
      </c>
      <c r="I2110">
        <v>7781.16</v>
      </c>
      <c r="J2110">
        <v>0</v>
      </c>
    </row>
    <row r="2111" spans="1:10" x14ac:dyDescent="0.35">
      <c r="A2111">
        <v>322541</v>
      </c>
      <c r="B2111" t="s">
        <v>20</v>
      </c>
      <c r="C2111">
        <v>2015</v>
      </c>
      <c r="D2111">
        <v>4</v>
      </c>
      <c r="E2111" t="s">
        <v>6</v>
      </c>
      <c r="F2111" t="s">
        <v>6</v>
      </c>
      <c r="G2111" t="s">
        <v>6</v>
      </c>
      <c r="H2111">
        <v>27988.22</v>
      </c>
      <c r="I2111">
        <v>6786.23</v>
      </c>
      <c r="J2111">
        <v>0</v>
      </c>
    </row>
    <row r="2112" spans="1:10" x14ac:dyDescent="0.35">
      <c r="A2112">
        <v>322554</v>
      </c>
      <c r="B2112" t="s">
        <v>20</v>
      </c>
      <c r="C2112">
        <v>2015</v>
      </c>
      <c r="D2112">
        <v>4</v>
      </c>
      <c r="E2112" t="s">
        <v>6</v>
      </c>
      <c r="F2112" t="s">
        <v>6</v>
      </c>
      <c r="G2112" t="s">
        <v>6</v>
      </c>
      <c r="H2112">
        <v>60420.63</v>
      </c>
      <c r="I2112">
        <v>26277.08</v>
      </c>
      <c r="J2112">
        <v>0</v>
      </c>
    </row>
    <row r="2113" spans="1:10" x14ac:dyDescent="0.35">
      <c r="A2113">
        <v>322557</v>
      </c>
      <c r="B2113" t="s">
        <v>20</v>
      </c>
      <c r="C2113">
        <v>2015</v>
      </c>
      <c r="D2113">
        <v>4</v>
      </c>
      <c r="E2113" t="s">
        <v>6</v>
      </c>
      <c r="F2113" t="s">
        <v>6</v>
      </c>
      <c r="G2113" t="s">
        <v>6</v>
      </c>
      <c r="H2113">
        <v>34950.82</v>
      </c>
      <c r="I2113">
        <v>10823.99</v>
      </c>
      <c r="J2113">
        <v>0</v>
      </c>
    </row>
    <row r="2114" spans="1:10" x14ac:dyDescent="0.35">
      <c r="A2114">
        <v>322558</v>
      </c>
      <c r="B2114" t="s">
        <v>20</v>
      </c>
      <c r="C2114">
        <v>2015</v>
      </c>
      <c r="D2114">
        <v>4</v>
      </c>
      <c r="E2114" t="s">
        <v>6</v>
      </c>
      <c r="F2114" t="s">
        <v>6</v>
      </c>
      <c r="G2114" t="s">
        <v>6</v>
      </c>
      <c r="H2114">
        <v>28924.32</v>
      </c>
      <c r="I2114">
        <v>7484.41</v>
      </c>
      <c r="J2114">
        <v>0</v>
      </c>
    </row>
    <row r="2115" spans="1:10" x14ac:dyDescent="0.35">
      <c r="A2115">
        <v>322562</v>
      </c>
      <c r="B2115" t="s">
        <v>20</v>
      </c>
      <c r="C2115">
        <v>2015</v>
      </c>
      <c r="D2115">
        <v>4</v>
      </c>
      <c r="E2115" t="s">
        <v>6</v>
      </c>
      <c r="F2115" t="s">
        <v>6</v>
      </c>
      <c r="G2115" t="s">
        <v>6</v>
      </c>
      <c r="H2115">
        <v>39173.14</v>
      </c>
      <c r="I2115">
        <v>19926.07</v>
      </c>
      <c r="J2115">
        <v>0</v>
      </c>
    </row>
    <row r="2116" spans="1:10" x14ac:dyDescent="0.35">
      <c r="A2116">
        <v>322568</v>
      </c>
      <c r="B2116" t="s">
        <v>20</v>
      </c>
      <c r="C2116">
        <v>2015</v>
      </c>
      <c r="D2116">
        <v>4</v>
      </c>
      <c r="E2116" t="s">
        <v>6</v>
      </c>
      <c r="F2116" t="s">
        <v>6</v>
      </c>
      <c r="G2116" t="s">
        <v>6</v>
      </c>
      <c r="H2116">
        <v>29575.56</v>
      </c>
      <c r="I2116">
        <v>14878.46</v>
      </c>
      <c r="J2116">
        <v>0</v>
      </c>
    </row>
    <row r="2117" spans="1:10" x14ac:dyDescent="0.35">
      <c r="A2117">
        <v>322572</v>
      </c>
      <c r="B2117" t="s">
        <v>20</v>
      </c>
      <c r="C2117">
        <v>2015</v>
      </c>
      <c r="D2117">
        <v>4</v>
      </c>
      <c r="E2117" t="s">
        <v>6</v>
      </c>
      <c r="F2117" t="s">
        <v>6</v>
      </c>
      <c r="G2117" t="s">
        <v>6</v>
      </c>
      <c r="H2117">
        <v>31731.360000000001</v>
      </c>
      <c r="I2117">
        <v>8929.7199999999993</v>
      </c>
      <c r="J2117">
        <v>0</v>
      </c>
    </row>
    <row r="2118" spans="1:10" x14ac:dyDescent="0.35">
      <c r="A2118">
        <v>322591</v>
      </c>
      <c r="B2118" t="s">
        <v>20</v>
      </c>
      <c r="C2118">
        <v>2015</v>
      </c>
      <c r="D2118">
        <v>4</v>
      </c>
      <c r="E2118" t="s">
        <v>6</v>
      </c>
      <c r="F2118" t="s">
        <v>6</v>
      </c>
      <c r="G2118" t="s">
        <v>6</v>
      </c>
      <c r="H2118">
        <v>19155.599999999999</v>
      </c>
      <c r="I2118">
        <v>5469.15</v>
      </c>
      <c r="J2118">
        <v>0</v>
      </c>
    </row>
    <row r="2119" spans="1:10" x14ac:dyDescent="0.35">
      <c r="A2119">
        <v>322607</v>
      </c>
      <c r="B2119" t="s">
        <v>20</v>
      </c>
      <c r="C2119">
        <v>2015</v>
      </c>
      <c r="D2119">
        <v>4</v>
      </c>
      <c r="E2119" t="s">
        <v>6</v>
      </c>
      <c r="F2119" t="s">
        <v>6</v>
      </c>
      <c r="G2119" t="s">
        <v>6</v>
      </c>
      <c r="H2119">
        <v>16967.060000000001</v>
      </c>
      <c r="I2119">
        <v>7611.79</v>
      </c>
      <c r="J2119">
        <v>0</v>
      </c>
    </row>
    <row r="2120" spans="1:10" x14ac:dyDescent="0.35">
      <c r="A2120">
        <v>322610</v>
      </c>
      <c r="B2120" t="s">
        <v>20</v>
      </c>
      <c r="C2120">
        <v>2015</v>
      </c>
      <c r="D2120">
        <v>4</v>
      </c>
      <c r="E2120" t="s">
        <v>6</v>
      </c>
      <c r="F2120" t="s">
        <v>6</v>
      </c>
      <c r="G2120" t="s">
        <v>6</v>
      </c>
      <c r="H2120">
        <v>66977.62</v>
      </c>
      <c r="I2120">
        <v>49959.03</v>
      </c>
      <c r="J2120">
        <v>0</v>
      </c>
    </row>
    <row r="2121" spans="1:10" x14ac:dyDescent="0.35">
      <c r="A2121">
        <v>322620</v>
      </c>
      <c r="B2121" t="s">
        <v>20</v>
      </c>
      <c r="C2121">
        <v>2015</v>
      </c>
      <c r="D2121">
        <v>4</v>
      </c>
      <c r="E2121" t="s">
        <v>6</v>
      </c>
      <c r="F2121" t="s">
        <v>6</v>
      </c>
      <c r="G2121" t="s">
        <v>6</v>
      </c>
      <c r="H2121">
        <v>41790.019999999997</v>
      </c>
      <c r="I2121">
        <v>12953.32</v>
      </c>
      <c r="J2121">
        <v>0</v>
      </c>
    </row>
    <row r="2122" spans="1:10" x14ac:dyDescent="0.35">
      <c r="A2122">
        <v>322624</v>
      </c>
      <c r="B2122" t="s">
        <v>20</v>
      </c>
      <c r="C2122">
        <v>2015</v>
      </c>
      <c r="D2122">
        <v>4</v>
      </c>
      <c r="E2122" t="s">
        <v>6</v>
      </c>
      <c r="F2122" t="s">
        <v>6</v>
      </c>
      <c r="G2122" t="s">
        <v>6</v>
      </c>
      <c r="H2122">
        <v>18558.580000000002</v>
      </c>
      <c r="I2122">
        <v>5036.5600000000004</v>
      </c>
      <c r="J2122">
        <v>0</v>
      </c>
    </row>
    <row r="2123" spans="1:10" x14ac:dyDescent="0.35">
      <c r="A2123">
        <v>322628</v>
      </c>
      <c r="B2123" t="s">
        <v>20</v>
      </c>
      <c r="C2123">
        <v>2015</v>
      </c>
      <c r="D2123">
        <v>4</v>
      </c>
      <c r="E2123" t="s">
        <v>6</v>
      </c>
      <c r="F2123" t="s">
        <v>6</v>
      </c>
      <c r="G2123" t="s">
        <v>6</v>
      </c>
      <c r="H2123">
        <v>19780.96</v>
      </c>
      <c r="I2123">
        <v>5295.18</v>
      </c>
      <c r="J2123">
        <v>0</v>
      </c>
    </row>
    <row r="2124" spans="1:10" x14ac:dyDescent="0.35">
      <c r="A2124">
        <v>322631</v>
      </c>
      <c r="B2124" t="s">
        <v>20</v>
      </c>
      <c r="C2124">
        <v>2015</v>
      </c>
      <c r="D2124">
        <v>4</v>
      </c>
      <c r="E2124" t="s">
        <v>6</v>
      </c>
      <c r="F2124" t="s">
        <v>6</v>
      </c>
      <c r="G2124" t="s">
        <v>6</v>
      </c>
      <c r="H2124">
        <v>14563.04</v>
      </c>
      <c r="I2124">
        <v>7095.52</v>
      </c>
      <c r="J2124">
        <v>0</v>
      </c>
    </row>
    <row r="2125" spans="1:10" x14ac:dyDescent="0.35">
      <c r="A2125">
        <v>322633</v>
      </c>
      <c r="B2125" t="s">
        <v>20</v>
      </c>
      <c r="C2125">
        <v>2015</v>
      </c>
      <c r="D2125">
        <v>4</v>
      </c>
      <c r="E2125" t="s">
        <v>6</v>
      </c>
      <c r="F2125" t="s">
        <v>6</v>
      </c>
      <c r="G2125" t="s">
        <v>6</v>
      </c>
      <c r="H2125">
        <v>22749.279999999999</v>
      </c>
      <c r="I2125">
        <v>6680.09</v>
      </c>
      <c r="J2125">
        <v>0</v>
      </c>
    </row>
    <row r="2126" spans="1:10" x14ac:dyDescent="0.35">
      <c r="A2126">
        <v>322635</v>
      </c>
      <c r="B2126" t="s">
        <v>20</v>
      </c>
      <c r="C2126">
        <v>2015</v>
      </c>
      <c r="D2126">
        <v>4</v>
      </c>
      <c r="E2126" t="s">
        <v>6</v>
      </c>
      <c r="F2126" t="s">
        <v>6</v>
      </c>
      <c r="G2126" t="s">
        <v>6</v>
      </c>
      <c r="H2126">
        <v>45642</v>
      </c>
      <c r="I2126">
        <v>13077.82</v>
      </c>
      <c r="J2126">
        <v>0</v>
      </c>
    </row>
    <row r="2127" spans="1:10" x14ac:dyDescent="0.35">
      <c r="A2127">
        <v>322636</v>
      </c>
      <c r="B2127" t="s">
        <v>20</v>
      </c>
      <c r="C2127">
        <v>2015</v>
      </c>
      <c r="D2127">
        <v>4</v>
      </c>
      <c r="E2127" t="s">
        <v>6</v>
      </c>
      <c r="F2127" t="s">
        <v>6</v>
      </c>
      <c r="G2127" t="s">
        <v>6</v>
      </c>
      <c r="H2127">
        <v>59081.72</v>
      </c>
      <c r="I2127">
        <v>21786.09</v>
      </c>
      <c r="J2127">
        <v>0</v>
      </c>
    </row>
    <row r="2128" spans="1:10" x14ac:dyDescent="0.35">
      <c r="A2128">
        <v>322643</v>
      </c>
      <c r="B2128" t="s">
        <v>20</v>
      </c>
      <c r="C2128">
        <v>2015</v>
      </c>
      <c r="D2128">
        <v>4</v>
      </c>
      <c r="E2128" t="s">
        <v>6</v>
      </c>
      <c r="F2128" t="s">
        <v>6</v>
      </c>
      <c r="G2128" t="s">
        <v>6</v>
      </c>
      <c r="H2128">
        <v>8876.5400000000009</v>
      </c>
      <c r="I2128">
        <v>2473.75</v>
      </c>
      <c r="J2128">
        <v>0</v>
      </c>
    </row>
    <row r="2129" spans="1:10" x14ac:dyDescent="0.35">
      <c r="A2129">
        <v>322648</v>
      </c>
      <c r="B2129" t="s">
        <v>20</v>
      </c>
      <c r="C2129">
        <v>2015</v>
      </c>
      <c r="D2129">
        <v>4</v>
      </c>
      <c r="E2129" t="s">
        <v>6</v>
      </c>
      <c r="F2129" t="s">
        <v>6</v>
      </c>
      <c r="G2129" t="s">
        <v>6</v>
      </c>
      <c r="H2129">
        <v>43206.5</v>
      </c>
      <c r="I2129">
        <v>12626.3</v>
      </c>
      <c r="J2129">
        <v>0</v>
      </c>
    </row>
    <row r="2130" spans="1:10" x14ac:dyDescent="0.35">
      <c r="A2130">
        <v>322651</v>
      </c>
      <c r="B2130" t="s">
        <v>20</v>
      </c>
      <c r="C2130">
        <v>2015</v>
      </c>
      <c r="D2130">
        <v>4</v>
      </c>
      <c r="E2130" t="s">
        <v>6</v>
      </c>
      <c r="F2130" t="s">
        <v>6</v>
      </c>
      <c r="G2130" t="s">
        <v>6</v>
      </c>
      <c r="H2130">
        <v>11112.78</v>
      </c>
      <c r="I2130">
        <v>2884.64</v>
      </c>
      <c r="J2130">
        <v>0</v>
      </c>
    </row>
    <row r="2131" spans="1:10" x14ac:dyDescent="0.35">
      <c r="A2131">
        <v>322653</v>
      </c>
      <c r="B2131" t="s">
        <v>20</v>
      </c>
      <c r="C2131">
        <v>2015</v>
      </c>
      <c r="D2131">
        <v>4</v>
      </c>
      <c r="E2131" t="s">
        <v>6</v>
      </c>
      <c r="F2131" t="s">
        <v>6</v>
      </c>
      <c r="G2131" t="s">
        <v>6</v>
      </c>
      <c r="H2131">
        <v>38935.480000000003</v>
      </c>
      <c r="I2131">
        <v>18190.38</v>
      </c>
      <c r="J2131">
        <v>0</v>
      </c>
    </row>
    <row r="2132" spans="1:10" x14ac:dyDescent="0.35">
      <c r="A2132">
        <v>322656</v>
      </c>
      <c r="B2132" t="s">
        <v>20</v>
      </c>
      <c r="C2132">
        <v>2015</v>
      </c>
      <c r="D2132">
        <v>4</v>
      </c>
      <c r="E2132" t="s">
        <v>6</v>
      </c>
      <c r="F2132" t="s">
        <v>6</v>
      </c>
      <c r="G2132" t="s">
        <v>6</v>
      </c>
      <c r="H2132">
        <v>16419.599999999999</v>
      </c>
      <c r="I2132">
        <v>4830.96</v>
      </c>
      <c r="J2132">
        <v>0</v>
      </c>
    </row>
    <row r="2133" spans="1:10" x14ac:dyDescent="0.35">
      <c r="A2133">
        <v>322659</v>
      </c>
      <c r="B2133" t="s">
        <v>20</v>
      </c>
      <c r="C2133">
        <v>2015</v>
      </c>
      <c r="D2133">
        <v>4</v>
      </c>
      <c r="E2133" t="s">
        <v>6</v>
      </c>
      <c r="F2133" t="s">
        <v>6</v>
      </c>
      <c r="G2133" t="s">
        <v>6</v>
      </c>
      <c r="H2133">
        <v>30658.76</v>
      </c>
      <c r="I2133">
        <v>9347.56</v>
      </c>
      <c r="J2133">
        <v>0</v>
      </c>
    </row>
    <row r="2134" spans="1:10" x14ac:dyDescent="0.35">
      <c r="A2134">
        <v>322662</v>
      </c>
      <c r="B2134" t="s">
        <v>20</v>
      </c>
      <c r="C2134">
        <v>2015</v>
      </c>
      <c r="D2134">
        <v>4</v>
      </c>
      <c r="E2134" t="s">
        <v>6</v>
      </c>
      <c r="F2134" t="s">
        <v>6</v>
      </c>
      <c r="G2134" t="s">
        <v>6</v>
      </c>
      <c r="H2134">
        <v>72141.119999999995</v>
      </c>
      <c r="I2134">
        <v>55101.45</v>
      </c>
      <c r="J2134">
        <v>0</v>
      </c>
    </row>
    <row r="2135" spans="1:10" x14ac:dyDescent="0.35">
      <c r="A2135">
        <v>322664</v>
      </c>
      <c r="B2135" t="s">
        <v>20</v>
      </c>
      <c r="C2135">
        <v>2015</v>
      </c>
      <c r="D2135">
        <v>4</v>
      </c>
      <c r="E2135" t="s">
        <v>6</v>
      </c>
      <c r="F2135" t="s">
        <v>6</v>
      </c>
      <c r="G2135" t="s">
        <v>6</v>
      </c>
      <c r="H2135">
        <v>26582.080000000002</v>
      </c>
      <c r="I2135">
        <v>10092.6</v>
      </c>
      <c r="J2135">
        <v>0</v>
      </c>
    </row>
    <row r="2136" spans="1:10" x14ac:dyDescent="0.35">
      <c r="A2136">
        <v>322665</v>
      </c>
      <c r="B2136" t="s">
        <v>20</v>
      </c>
      <c r="C2136">
        <v>2015</v>
      </c>
      <c r="D2136">
        <v>4</v>
      </c>
      <c r="E2136" t="s">
        <v>6</v>
      </c>
      <c r="F2136" t="s">
        <v>6</v>
      </c>
      <c r="G2136" t="s">
        <v>6</v>
      </c>
      <c r="H2136">
        <v>32057.24</v>
      </c>
      <c r="I2136">
        <v>9026.1200000000008</v>
      </c>
      <c r="J2136">
        <v>0</v>
      </c>
    </row>
    <row r="2137" spans="1:10" x14ac:dyDescent="0.35">
      <c r="A2137">
        <v>322669</v>
      </c>
      <c r="B2137" t="s">
        <v>20</v>
      </c>
      <c r="C2137">
        <v>2015</v>
      </c>
      <c r="D2137">
        <v>4</v>
      </c>
      <c r="E2137" t="s">
        <v>6</v>
      </c>
      <c r="F2137" t="s">
        <v>6</v>
      </c>
      <c r="G2137" t="s">
        <v>6</v>
      </c>
      <c r="H2137">
        <v>16868.36</v>
      </c>
      <c r="I2137">
        <v>4227.8500000000004</v>
      </c>
      <c r="J2137">
        <v>0</v>
      </c>
    </row>
    <row r="2138" spans="1:10" x14ac:dyDescent="0.35">
      <c r="A2138">
        <v>322673</v>
      </c>
      <c r="B2138" t="s">
        <v>20</v>
      </c>
      <c r="C2138">
        <v>2015</v>
      </c>
      <c r="D2138">
        <v>4</v>
      </c>
      <c r="E2138" t="s">
        <v>6</v>
      </c>
      <c r="F2138" t="s">
        <v>6</v>
      </c>
      <c r="G2138" t="s">
        <v>6</v>
      </c>
      <c r="H2138">
        <v>4034.95</v>
      </c>
      <c r="I2138">
        <v>4750.41</v>
      </c>
      <c r="J2138">
        <v>1</v>
      </c>
    </row>
    <row r="2139" spans="1:10" x14ac:dyDescent="0.35">
      <c r="A2139">
        <v>322684</v>
      </c>
      <c r="B2139" t="s">
        <v>20</v>
      </c>
      <c r="C2139">
        <v>2015</v>
      </c>
      <c r="D2139">
        <v>4</v>
      </c>
      <c r="E2139" t="s">
        <v>6</v>
      </c>
      <c r="F2139" t="s">
        <v>6</v>
      </c>
      <c r="G2139" t="s">
        <v>6</v>
      </c>
      <c r="H2139">
        <v>16319.4</v>
      </c>
      <c r="I2139">
        <v>4070.22</v>
      </c>
      <c r="J2139">
        <v>0</v>
      </c>
    </row>
    <row r="2140" spans="1:10" x14ac:dyDescent="0.35">
      <c r="A2140">
        <v>322689</v>
      </c>
      <c r="B2140" t="s">
        <v>20</v>
      </c>
      <c r="C2140">
        <v>2015</v>
      </c>
      <c r="D2140">
        <v>4</v>
      </c>
      <c r="E2140" t="s">
        <v>6</v>
      </c>
      <c r="F2140" t="s">
        <v>6</v>
      </c>
      <c r="G2140" t="s">
        <v>6</v>
      </c>
      <c r="H2140">
        <v>28477.360000000001</v>
      </c>
      <c r="I2140">
        <v>11405.43</v>
      </c>
      <c r="J2140">
        <v>0</v>
      </c>
    </row>
    <row r="2141" spans="1:10" x14ac:dyDescent="0.35">
      <c r="A2141">
        <v>322691</v>
      </c>
      <c r="B2141" t="s">
        <v>20</v>
      </c>
      <c r="C2141">
        <v>2015</v>
      </c>
      <c r="D2141">
        <v>4</v>
      </c>
      <c r="E2141" t="s">
        <v>6</v>
      </c>
      <c r="F2141" t="s">
        <v>6</v>
      </c>
      <c r="G2141" t="s">
        <v>6</v>
      </c>
      <c r="H2141">
        <v>29809.22</v>
      </c>
      <c r="I2141">
        <v>8978.26</v>
      </c>
      <c r="J2141">
        <v>0</v>
      </c>
    </row>
    <row r="2142" spans="1:10" x14ac:dyDescent="0.35">
      <c r="A2142">
        <v>322695</v>
      </c>
      <c r="B2142" t="s">
        <v>20</v>
      </c>
      <c r="C2142">
        <v>2015</v>
      </c>
      <c r="D2142">
        <v>4</v>
      </c>
      <c r="E2142" t="s">
        <v>6</v>
      </c>
      <c r="F2142" t="s">
        <v>6</v>
      </c>
      <c r="G2142" t="s">
        <v>6</v>
      </c>
      <c r="H2142">
        <v>21767.98</v>
      </c>
      <c r="I2142">
        <v>8500.9</v>
      </c>
      <c r="J2142">
        <v>0</v>
      </c>
    </row>
    <row r="2143" spans="1:10" x14ac:dyDescent="0.35">
      <c r="A2143">
        <v>322703</v>
      </c>
      <c r="B2143" t="s">
        <v>20</v>
      </c>
      <c r="C2143">
        <v>2015</v>
      </c>
      <c r="D2143">
        <v>4</v>
      </c>
      <c r="E2143" t="s">
        <v>6</v>
      </c>
      <c r="F2143" t="s">
        <v>6</v>
      </c>
      <c r="G2143" t="s">
        <v>6</v>
      </c>
      <c r="H2143">
        <v>84121.54</v>
      </c>
      <c r="I2143">
        <v>31151.91</v>
      </c>
      <c r="J2143">
        <v>0</v>
      </c>
    </row>
    <row r="2144" spans="1:10" x14ac:dyDescent="0.35">
      <c r="A2144">
        <v>322723</v>
      </c>
      <c r="B2144" t="s">
        <v>20</v>
      </c>
      <c r="C2144">
        <v>2015</v>
      </c>
      <c r="D2144">
        <v>4</v>
      </c>
      <c r="E2144" t="s">
        <v>6</v>
      </c>
      <c r="F2144" t="s">
        <v>6</v>
      </c>
      <c r="G2144" t="s">
        <v>6</v>
      </c>
      <c r="H2144">
        <v>62229.38</v>
      </c>
      <c r="I2144">
        <v>41824.089999999997</v>
      </c>
      <c r="J2144">
        <v>0</v>
      </c>
    </row>
    <row r="2145" spans="1:10" x14ac:dyDescent="0.35">
      <c r="A2145">
        <v>322732</v>
      </c>
      <c r="B2145" t="s">
        <v>20</v>
      </c>
      <c r="C2145">
        <v>2015</v>
      </c>
      <c r="D2145">
        <v>4</v>
      </c>
      <c r="E2145" t="s">
        <v>6</v>
      </c>
      <c r="F2145" t="s">
        <v>6</v>
      </c>
      <c r="G2145" t="s">
        <v>6</v>
      </c>
      <c r="H2145">
        <v>44224.9</v>
      </c>
      <c r="I2145">
        <v>13009.34</v>
      </c>
      <c r="J2145">
        <v>0</v>
      </c>
    </row>
    <row r="2146" spans="1:10" x14ac:dyDescent="0.35">
      <c r="A2146">
        <v>322733</v>
      </c>
      <c r="B2146" t="s">
        <v>20</v>
      </c>
      <c r="C2146">
        <v>2015</v>
      </c>
      <c r="D2146">
        <v>4</v>
      </c>
      <c r="E2146" t="s">
        <v>6</v>
      </c>
      <c r="F2146" t="s">
        <v>6</v>
      </c>
      <c r="G2146" t="s">
        <v>6</v>
      </c>
      <c r="H2146">
        <v>47480.84</v>
      </c>
      <c r="I2146">
        <v>30427.49</v>
      </c>
      <c r="J2146">
        <v>0</v>
      </c>
    </row>
    <row r="2147" spans="1:10" x14ac:dyDescent="0.35">
      <c r="A2147">
        <v>322737</v>
      </c>
      <c r="B2147" t="s">
        <v>20</v>
      </c>
      <c r="C2147">
        <v>2015</v>
      </c>
      <c r="D2147">
        <v>4</v>
      </c>
      <c r="E2147" t="s">
        <v>6</v>
      </c>
      <c r="F2147" t="s">
        <v>6</v>
      </c>
      <c r="G2147" t="s">
        <v>6</v>
      </c>
      <c r="H2147">
        <v>23982.2</v>
      </c>
      <c r="I2147">
        <v>7320.37</v>
      </c>
      <c r="J2147">
        <v>0</v>
      </c>
    </row>
    <row r="2148" spans="1:10" x14ac:dyDescent="0.35">
      <c r="A2148">
        <v>322740</v>
      </c>
      <c r="B2148" t="s">
        <v>20</v>
      </c>
      <c r="C2148">
        <v>2015</v>
      </c>
      <c r="D2148">
        <v>4</v>
      </c>
      <c r="E2148" t="s">
        <v>6</v>
      </c>
      <c r="F2148" t="s">
        <v>6</v>
      </c>
      <c r="G2148" t="s">
        <v>6</v>
      </c>
      <c r="H2148">
        <v>29319.94</v>
      </c>
      <c r="I2148">
        <v>9255.0400000000009</v>
      </c>
      <c r="J2148">
        <v>0</v>
      </c>
    </row>
    <row r="2149" spans="1:10" x14ac:dyDescent="0.35">
      <c r="A2149">
        <v>322770</v>
      </c>
      <c r="B2149" t="s">
        <v>20</v>
      </c>
      <c r="C2149">
        <v>2015</v>
      </c>
      <c r="D2149">
        <v>4</v>
      </c>
      <c r="E2149" t="s">
        <v>6</v>
      </c>
      <c r="F2149" t="s">
        <v>6</v>
      </c>
      <c r="G2149" t="s">
        <v>6</v>
      </c>
      <c r="H2149">
        <v>33938.92</v>
      </c>
      <c r="I2149">
        <v>10219.68</v>
      </c>
      <c r="J2149">
        <v>0</v>
      </c>
    </row>
    <row r="2150" spans="1:10" x14ac:dyDescent="0.35">
      <c r="A2150">
        <v>322771</v>
      </c>
      <c r="B2150" t="s">
        <v>20</v>
      </c>
      <c r="C2150">
        <v>2015</v>
      </c>
      <c r="D2150">
        <v>4</v>
      </c>
      <c r="E2150" t="s">
        <v>6</v>
      </c>
      <c r="F2150" t="s">
        <v>6</v>
      </c>
      <c r="G2150" t="s">
        <v>6</v>
      </c>
      <c r="H2150">
        <v>17699.18</v>
      </c>
      <c r="I2150">
        <v>4459.17</v>
      </c>
      <c r="J2150">
        <v>0</v>
      </c>
    </row>
    <row r="2151" spans="1:10" x14ac:dyDescent="0.35">
      <c r="A2151">
        <v>322784</v>
      </c>
      <c r="B2151" t="s">
        <v>20</v>
      </c>
      <c r="C2151">
        <v>2015</v>
      </c>
      <c r="D2151">
        <v>4</v>
      </c>
      <c r="E2151" t="s">
        <v>6</v>
      </c>
      <c r="F2151" t="s">
        <v>6</v>
      </c>
      <c r="G2151" t="s">
        <v>6</v>
      </c>
      <c r="H2151">
        <v>25405.5</v>
      </c>
      <c r="I2151">
        <v>7606.28</v>
      </c>
      <c r="J2151">
        <v>0</v>
      </c>
    </row>
    <row r="2152" spans="1:10" x14ac:dyDescent="0.35">
      <c r="A2152">
        <v>322786</v>
      </c>
      <c r="B2152" t="s">
        <v>20</v>
      </c>
      <c r="C2152">
        <v>2015</v>
      </c>
      <c r="D2152">
        <v>4</v>
      </c>
      <c r="E2152" t="s">
        <v>6</v>
      </c>
      <c r="F2152" t="s">
        <v>6</v>
      </c>
      <c r="G2152" t="s">
        <v>6</v>
      </c>
      <c r="H2152">
        <v>37562.639999999999</v>
      </c>
      <c r="I2152">
        <v>9780.23</v>
      </c>
      <c r="J2152">
        <v>0</v>
      </c>
    </row>
    <row r="2153" spans="1:10" x14ac:dyDescent="0.35">
      <c r="A2153">
        <v>322788</v>
      </c>
      <c r="B2153" t="s">
        <v>20</v>
      </c>
      <c r="C2153">
        <v>2015</v>
      </c>
      <c r="D2153">
        <v>4</v>
      </c>
      <c r="E2153" t="s">
        <v>6</v>
      </c>
      <c r="F2153" t="s">
        <v>6</v>
      </c>
      <c r="G2153" t="s">
        <v>6</v>
      </c>
      <c r="H2153">
        <v>50339.66</v>
      </c>
      <c r="I2153">
        <v>15858.62</v>
      </c>
      <c r="J2153">
        <v>0</v>
      </c>
    </row>
    <row r="2154" spans="1:10" x14ac:dyDescent="0.35">
      <c r="A2154">
        <v>322789</v>
      </c>
      <c r="B2154" t="s">
        <v>20</v>
      </c>
      <c r="C2154">
        <v>2015</v>
      </c>
      <c r="D2154">
        <v>4</v>
      </c>
      <c r="E2154" t="s">
        <v>6</v>
      </c>
      <c r="F2154" t="s">
        <v>6</v>
      </c>
      <c r="G2154" t="s">
        <v>6</v>
      </c>
      <c r="H2154">
        <v>5180.7</v>
      </c>
      <c r="I2154">
        <v>3863.08</v>
      </c>
      <c r="J2154">
        <v>0</v>
      </c>
    </row>
    <row r="2155" spans="1:10" x14ac:dyDescent="0.35">
      <c r="A2155">
        <v>322797</v>
      </c>
      <c r="B2155" t="s">
        <v>20</v>
      </c>
      <c r="C2155">
        <v>2015</v>
      </c>
      <c r="D2155">
        <v>4</v>
      </c>
      <c r="E2155" t="s">
        <v>6</v>
      </c>
      <c r="F2155" t="s">
        <v>6</v>
      </c>
      <c r="G2155" t="s">
        <v>6</v>
      </c>
      <c r="H2155">
        <v>72907.360000000001</v>
      </c>
      <c r="I2155">
        <v>20732.63</v>
      </c>
      <c r="J2155">
        <v>0</v>
      </c>
    </row>
    <row r="2156" spans="1:10" x14ac:dyDescent="0.35">
      <c r="A2156">
        <v>322799</v>
      </c>
      <c r="B2156" t="s">
        <v>20</v>
      </c>
      <c r="C2156">
        <v>2015</v>
      </c>
      <c r="D2156">
        <v>4</v>
      </c>
      <c r="E2156" t="s">
        <v>6</v>
      </c>
      <c r="F2156" t="s">
        <v>6</v>
      </c>
      <c r="G2156" t="s">
        <v>6</v>
      </c>
      <c r="H2156">
        <v>19407.22</v>
      </c>
      <c r="I2156">
        <v>5950.78</v>
      </c>
      <c r="J2156">
        <v>0</v>
      </c>
    </row>
    <row r="2157" spans="1:10" x14ac:dyDescent="0.35">
      <c r="A2157">
        <v>322819</v>
      </c>
      <c r="B2157" t="s">
        <v>20</v>
      </c>
      <c r="C2157">
        <v>2015</v>
      </c>
      <c r="D2157">
        <v>4</v>
      </c>
      <c r="E2157" t="s">
        <v>6</v>
      </c>
      <c r="F2157" t="s">
        <v>6</v>
      </c>
      <c r="G2157" t="s">
        <v>6</v>
      </c>
      <c r="H2157">
        <v>5177.92</v>
      </c>
      <c r="I2157">
        <v>6283.27</v>
      </c>
      <c r="J2157">
        <v>1</v>
      </c>
    </row>
    <row r="2158" spans="1:10" x14ac:dyDescent="0.35">
      <c r="A2158">
        <v>322823</v>
      </c>
      <c r="B2158" t="s">
        <v>20</v>
      </c>
      <c r="C2158">
        <v>2015</v>
      </c>
      <c r="D2158">
        <v>4</v>
      </c>
      <c r="E2158" t="s">
        <v>6</v>
      </c>
      <c r="F2158" t="s">
        <v>6</v>
      </c>
      <c r="G2158" t="s">
        <v>6</v>
      </c>
      <c r="H2158">
        <v>19869.62</v>
      </c>
      <c r="I2158">
        <v>5267.8</v>
      </c>
      <c r="J2158">
        <v>0</v>
      </c>
    </row>
    <row r="2159" spans="1:10" x14ac:dyDescent="0.35">
      <c r="A2159">
        <v>322829</v>
      </c>
      <c r="B2159" t="s">
        <v>20</v>
      </c>
      <c r="C2159">
        <v>2015</v>
      </c>
      <c r="D2159">
        <v>4</v>
      </c>
      <c r="E2159" t="s">
        <v>6</v>
      </c>
      <c r="F2159" t="s">
        <v>6</v>
      </c>
      <c r="G2159" t="s">
        <v>6</v>
      </c>
      <c r="H2159">
        <v>19686.14</v>
      </c>
      <c r="I2159">
        <v>7768.13</v>
      </c>
      <c r="J2159">
        <v>0</v>
      </c>
    </row>
    <row r="2160" spans="1:10" x14ac:dyDescent="0.35">
      <c r="A2160">
        <v>322830</v>
      </c>
      <c r="B2160" t="s">
        <v>20</v>
      </c>
      <c r="C2160">
        <v>2015</v>
      </c>
      <c r="D2160">
        <v>4</v>
      </c>
      <c r="E2160" t="s">
        <v>6</v>
      </c>
      <c r="F2160" t="s">
        <v>6</v>
      </c>
      <c r="G2160" t="s">
        <v>6</v>
      </c>
      <c r="H2160">
        <v>12866.02</v>
      </c>
      <c r="I2160">
        <v>3305.06</v>
      </c>
      <c r="J2160">
        <v>0</v>
      </c>
    </row>
    <row r="2161" spans="1:10" x14ac:dyDescent="0.35">
      <c r="A2161">
        <v>322837</v>
      </c>
      <c r="B2161" t="s">
        <v>20</v>
      </c>
      <c r="C2161">
        <v>2015</v>
      </c>
      <c r="D2161">
        <v>4</v>
      </c>
      <c r="E2161" t="s">
        <v>6</v>
      </c>
      <c r="F2161" t="s">
        <v>6</v>
      </c>
      <c r="G2161" t="s">
        <v>6</v>
      </c>
      <c r="H2161">
        <v>15286.54</v>
      </c>
      <c r="I2161">
        <v>5574.34</v>
      </c>
      <c r="J2161">
        <v>0</v>
      </c>
    </row>
    <row r="2162" spans="1:10" x14ac:dyDescent="0.35">
      <c r="A2162">
        <v>322839</v>
      </c>
      <c r="B2162" t="s">
        <v>20</v>
      </c>
      <c r="C2162">
        <v>2015</v>
      </c>
      <c r="D2162">
        <v>4</v>
      </c>
      <c r="E2162" t="s">
        <v>6</v>
      </c>
      <c r="F2162" t="s">
        <v>6</v>
      </c>
      <c r="G2162" t="s">
        <v>6</v>
      </c>
      <c r="H2162">
        <v>18552.46</v>
      </c>
      <c r="I2162">
        <v>4652.87</v>
      </c>
      <c r="J2162">
        <v>0</v>
      </c>
    </row>
    <row r="2163" spans="1:10" x14ac:dyDescent="0.35">
      <c r="A2163">
        <v>322859</v>
      </c>
      <c r="B2163" t="s">
        <v>20</v>
      </c>
      <c r="C2163">
        <v>2015</v>
      </c>
      <c r="D2163">
        <v>4</v>
      </c>
      <c r="E2163" t="s">
        <v>6</v>
      </c>
      <c r="F2163" t="s">
        <v>6</v>
      </c>
      <c r="G2163" t="s">
        <v>6</v>
      </c>
      <c r="H2163">
        <v>23777.52</v>
      </c>
      <c r="I2163">
        <v>6718.24</v>
      </c>
      <c r="J2163">
        <v>0</v>
      </c>
    </row>
    <row r="2164" spans="1:10" x14ac:dyDescent="0.35">
      <c r="A2164">
        <v>322861</v>
      </c>
      <c r="B2164" t="s">
        <v>20</v>
      </c>
      <c r="C2164">
        <v>2015</v>
      </c>
      <c r="D2164">
        <v>4</v>
      </c>
      <c r="E2164" t="s">
        <v>6</v>
      </c>
      <c r="F2164" t="s">
        <v>6</v>
      </c>
      <c r="G2164" t="s">
        <v>6</v>
      </c>
      <c r="H2164">
        <v>25661.98</v>
      </c>
      <c r="I2164">
        <v>6875.91</v>
      </c>
      <c r="J2164">
        <v>0</v>
      </c>
    </row>
    <row r="2165" spans="1:10" x14ac:dyDescent="0.35">
      <c r="A2165">
        <v>322863</v>
      </c>
      <c r="B2165" t="s">
        <v>20</v>
      </c>
      <c r="C2165">
        <v>2015</v>
      </c>
      <c r="D2165">
        <v>4</v>
      </c>
      <c r="E2165" t="s">
        <v>6</v>
      </c>
      <c r="F2165" t="s">
        <v>6</v>
      </c>
      <c r="G2165" t="s">
        <v>6</v>
      </c>
      <c r="H2165">
        <v>20965.18</v>
      </c>
      <c r="I2165">
        <v>5113.93</v>
      </c>
      <c r="J2165">
        <v>0</v>
      </c>
    </row>
    <row r="2166" spans="1:10" x14ac:dyDescent="0.35">
      <c r="A2166">
        <v>322868</v>
      </c>
      <c r="B2166" t="s">
        <v>20</v>
      </c>
      <c r="C2166">
        <v>2015</v>
      </c>
      <c r="D2166">
        <v>4</v>
      </c>
      <c r="E2166" t="s">
        <v>6</v>
      </c>
      <c r="F2166" t="s">
        <v>6</v>
      </c>
      <c r="G2166" t="s">
        <v>6</v>
      </c>
      <c r="H2166">
        <v>46999.58</v>
      </c>
      <c r="I2166">
        <v>15031.22</v>
      </c>
      <c r="J2166">
        <v>0</v>
      </c>
    </row>
    <row r="2167" spans="1:10" x14ac:dyDescent="0.35">
      <c r="A2167">
        <v>322881</v>
      </c>
      <c r="B2167" t="s">
        <v>20</v>
      </c>
      <c r="C2167">
        <v>2015</v>
      </c>
      <c r="D2167">
        <v>4</v>
      </c>
      <c r="E2167" t="s">
        <v>6</v>
      </c>
      <c r="F2167" t="s">
        <v>6</v>
      </c>
      <c r="G2167" t="s">
        <v>6</v>
      </c>
      <c r="H2167">
        <v>26622.880000000001</v>
      </c>
      <c r="I2167">
        <v>8846.6299999999992</v>
      </c>
      <c r="J2167">
        <v>0</v>
      </c>
    </row>
    <row r="2168" spans="1:10" x14ac:dyDescent="0.35">
      <c r="A2168">
        <v>322884</v>
      </c>
      <c r="B2168" t="s">
        <v>20</v>
      </c>
      <c r="C2168">
        <v>2015</v>
      </c>
      <c r="D2168">
        <v>4</v>
      </c>
      <c r="E2168" t="s">
        <v>6</v>
      </c>
      <c r="F2168" t="s">
        <v>6</v>
      </c>
      <c r="G2168" t="s">
        <v>6</v>
      </c>
      <c r="H2168">
        <v>22470.76</v>
      </c>
      <c r="I2168">
        <v>7086.91</v>
      </c>
      <c r="J2168">
        <v>0</v>
      </c>
    </row>
    <row r="2169" spans="1:10" x14ac:dyDescent="0.35">
      <c r="A2169">
        <v>322893</v>
      </c>
      <c r="B2169" t="s">
        <v>20</v>
      </c>
      <c r="C2169">
        <v>2015</v>
      </c>
      <c r="D2169">
        <v>4</v>
      </c>
      <c r="E2169" t="s">
        <v>6</v>
      </c>
      <c r="F2169" t="s">
        <v>6</v>
      </c>
      <c r="G2169" t="s">
        <v>6</v>
      </c>
      <c r="H2169">
        <v>38097.699999999997</v>
      </c>
      <c r="I2169">
        <v>7629.01</v>
      </c>
      <c r="J2169">
        <v>0</v>
      </c>
    </row>
    <row r="2170" spans="1:10" x14ac:dyDescent="0.35">
      <c r="A2170">
        <v>322912</v>
      </c>
      <c r="B2170" t="s">
        <v>20</v>
      </c>
      <c r="C2170">
        <v>2015</v>
      </c>
      <c r="D2170">
        <v>4</v>
      </c>
      <c r="E2170" t="s">
        <v>6</v>
      </c>
      <c r="F2170" t="s">
        <v>6</v>
      </c>
      <c r="G2170" t="s">
        <v>6</v>
      </c>
      <c r="H2170">
        <v>5326.12</v>
      </c>
      <c r="I2170">
        <v>6319.98</v>
      </c>
      <c r="J2170">
        <v>1</v>
      </c>
    </row>
    <row r="2171" spans="1:10" x14ac:dyDescent="0.35">
      <c r="A2171">
        <v>322914</v>
      </c>
      <c r="B2171" t="s">
        <v>20</v>
      </c>
      <c r="C2171">
        <v>2015</v>
      </c>
      <c r="D2171">
        <v>4</v>
      </c>
      <c r="E2171" t="s">
        <v>6</v>
      </c>
      <c r="F2171" t="s">
        <v>6</v>
      </c>
      <c r="G2171" t="s">
        <v>6</v>
      </c>
      <c r="H2171">
        <v>17994.12</v>
      </c>
      <c r="I2171">
        <v>5151.47</v>
      </c>
      <c r="J2171">
        <v>0</v>
      </c>
    </row>
    <row r="2172" spans="1:10" x14ac:dyDescent="0.35">
      <c r="A2172">
        <v>322917</v>
      </c>
      <c r="B2172" t="s">
        <v>20</v>
      </c>
      <c r="C2172">
        <v>2015</v>
      </c>
      <c r="D2172">
        <v>4</v>
      </c>
      <c r="E2172" t="s">
        <v>6</v>
      </c>
      <c r="F2172" t="s">
        <v>6</v>
      </c>
      <c r="G2172" t="s">
        <v>6</v>
      </c>
      <c r="H2172">
        <v>14967.04</v>
      </c>
      <c r="I2172">
        <v>4270.5</v>
      </c>
      <c r="J2172">
        <v>0</v>
      </c>
    </row>
    <row r="2173" spans="1:10" x14ac:dyDescent="0.35">
      <c r="A2173">
        <v>322921</v>
      </c>
      <c r="B2173" t="s">
        <v>20</v>
      </c>
      <c r="C2173">
        <v>2015</v>
      </c>
      <c r="D2173">
        <v>4</v>
      </c>
      <c r="E2173" t="s">
        <v>6</v>
      </c>
      <c r="F2173" t="s">
        <v>6</v>
      </c>
      <c r="G2173" t="s">
        <v>6</v>
      </c>
      <c r="H2173">
        <v>6193.02</v>
      </c>
      <c r="I2173">
        <v>6568.03</v>
      </c>
      <c r="J2173">
        <v>1</v>
      </c>
    </row>
    <row r="2174" spans="1:10" x14ac:dyDescent="0.35">
      <c r="A2174">
        <v>322924</v>
      </c>
      <c r="B2174" t="s">
        <v>20</v>
      </c>
      <c r="C2174">
        <v>2015</v>
      </c>
      <c r="D2174">
        <v>4</v>
      </c>
      <c r="E2174" t="s">
        <v>6</v>
      </c>
      <c r="F2174" t="s">
        <v>6</v>
      </c>
      <c r="G2174" t="s">
        <v>6</v>
      </c>
      <c r="H2174">
        <v>18406.900000000001</v>
      </c>
      <c r="I2174">
        <v>8438.58</v>
      </c>
      <c r="J2174">
        <v>0</v>
      </c>
    </row>
    <row r="2175" spans="1:10" x14ac:dyDescent="0.35">
      <c r="A2175">
        <v>322926</v>
      </c>
      <c r="B2175" t="s">
        <v>20</v>
      </c>
      <c r="C2175">
        <v>2015</v>
      </c>
      <c r="D2175">
        <v>4</v>
      </c>
      <c r="E2175" t="s">
        <v>6</v>
      </c>
      <c r="F2175" t="s">
        <v>6</v>
      </c>
      <c r="G2175" t="s">
        <v>6</v>
      </c>
      <c r="H2175">
        <v>16198.72</v>
      </c>
      <c r="I2175">
        <v>4611.07</v>
      </c>
      <c r="J2175">
        <v>0</v>
      </c>
    </row>
    <row r="2176" spans="1:10" x14ac:dyDescent="0.35">
      <c r="A2176">
        <v>322930</v>
      </c>
      <c r="B2176" t="s">
        <v>20</v>
      </c>
      <c r="C2176">
        <v>2015</v>
      </c>
      <c r="D2176">
        <v>4</v>
      </c>
      <c r="E2176" t="s">
        <v>6</v>
      </c>
      <c r="F2176" t="s">
        <v>6</v>
      </c>
      <c r="G2176" t="s">
        <v>6</v>
      </c>
      <c r="H2176">
        <v>19612.04</v>
      </c>
      <c r="I2176">
        <v>5870.34</v>
      </c>
      <c r="J2176">
        <v>0</v>
      </c>
    </row>
    <row r="2177" spans="1:10" x14ac:dyDescent="0.35">
      <c r="A2177">
        <v>322936</v>
      </c>
      <c r="B2177" t="s">
        <v>20</v>
      </c>
      <c r="C2177">
        <v>2015</v>
      </c>
      <c r="D2177">
        <v>4</v>
      </c>
      <c r="E2177" t="s">
        <v>6</v>
      </c>
      <c r="F2177" t="s">
        <v>6</v>
      </c>
      <c r="G2177" t="s">
        <v>6</v>
      </c>
      <c r="H2177">
        <v>150678.68</v>
      </c>
      <c r="I2177">
        <v>68675.009999999995</v>
      </c>
      <c r="J2177">
        <v>0</v>
      </c>
    </row>
    <row r="2178" spans="1:10" x14ac:dyDescent="0.35">
      <c r="A2178">
        <v>322938</v>
      </c>
      <c r="B2178" t="s">
        <v>20</v>
      </c>
      <c r="C2178">
        <v>2015</v>
      </c>
      <c r="D2178">
        <v>4</v>
      </c>
      <c r="E2178" t="s">
        <v>6</v>
      </c>
      <c r="F2178" t="s">
        <v>6</v>
      </c>
      <c r="G2178" t="s">
        <v>6</v>
      </c>
      <c r="H2178">
        <v>14227.28</v>
      </c>
      <c r="I2178">
        <v>4241.0600000000004</v>
      </c>
      <c r="J2178">
        <v>0</v>
      </c>
    </row>
    <row r="2179" spans="1:10" x14ac:dyDescent="0.35">
      <c r="A2179">
        <v>322944</v>
      </c>
      <c r="B2179" t="s">
        <v>20</v>
      </c>
      <c r="C2179">
        <v>2015</v>
      </c>
      <c r="D2179">
        <v>4</v>
      </c>
      <c r="E2179" t="s">
        <v>6</v>
      </c>
      <c r="F2179" t="s">
        <v>6</v>
      </c>
      <c r="G2179" t="s">
        <v>6</v>
      </c>
      <c r="H2179">
        <v>10077.219999999999</v>
      </c>
      <c r="I2179">
        <v>2885.74</v>
      </c>
      <c r="J2179">
        <v>0</v>
      </c>
    </row>
    <row r="2180" spans="1:10" x14ac:dyDescent="0.35">
      <c r="A2180">
        <v>322948</v>
      </c>
      <c r="B2180" t="s">
        <v>20</v>
      </c>
      <c r="C2180">
        <v>2015</v>
      </c>
      <c r="D2180">
        <v>4</v>
      </c>
      <c r="E2180" t="s">
        <v>6</v>
      </c>
      <c r="F2180" t="s">
        <v>6</v>
      </c>
      <c r="G2180" t="s">
        <v>6</v>
      </c>
      <c r="H2180">
        <v>23760.84</v>
      </c>
      <c r="I2180">
        <v>6793.45</v>
      </c>
      <c r="J2180">
        <v>0</v>
      </c>
    </row>
    <row r="2181" spans="1:10" x14ac:dyDescent="0.35">
      <c r="A2181">
        <v>322950</v>
      </c>
      <c r="B2181" t="s">
        <v>20</v>
      </c>
      <c r="C2181">
        <v>2015</v>
      </c>
      <c r="D2181">
        <v>4</v>
      </c>
      <c r="E2181" t="s">
        <v>6</v>
      </c>
      <c r="F2181" t="s">
        <v>6</v>
      </c>
      <c r="G2181" t="s">
        <v>6</v>
      </c>
      <c r="H2181">
        <v>38467.879999999997</v>
      </c>
      <c r="I2181">
        <v>11322.29</v>
      </c>
      <c r="J2181">
        <v>0</v>
      </c>
    </row>
    <row r="2182" spans="1:10" x14ac:dyDescent="0.35">
      <c r="A2182">
        <v>322951</v>
      </c>
      <c r="B2182" t="s">
        <v>20</v>
      </c>
      <c r="C2182">
        <v>2015</v>
      </c>
      <c r="D2182">
        <v>4</v>
      </c>
      <c r="E2182" t="s">
        <v>6</v>
      </c>
      <c r="F2182" t="s">
        <v>6</v>
      </c>
      <c r="G2182" t="s">
        <v>6</v>
      </c>
      <c r="H2182">
        <v>17139.900000000001</v>
      </c>
      <c r="I2182">
        <v>4990.2</v>
      </c>
      <c r="J2182">
        <v>0</v>
      </c>
    </row>
    <row r="2183" spans="1:10" x14ac:dyDescent="0.35">
      <c r="A2183">
        <v>322962</v>
      </c>
      <c r="B2183" t="s">
        <v>20</v>
      </c>
      <c r="C2183">
        <v>2015</v>
      </c>
      <c r="D2183">
        <v>4</v>
      </c>
      <c r="E2183" t="s">
        <v>6</v>
      </c>
      <c r="F2183" t="s">
        <v>6</v>
      </c>
      <c r="G2183" t="s">
        <v>6</v>
      </c>
      <c r="H2183">
        <v>2998.72</v>
      </c>
      <c r="I2183">
        <v>3244.4</v>
      </c>
      <c r="J2183">
        <v>1</v>
      </c>
    </row>
    <row r="2184" spans="1:10" x14ac:dyDescent="0.35">
      <c r="A2184">
        <v>322963</v>
      </c>
      <c r="B2184" t="s">
        <v>20</v>
      </c>
      <c r="C2184">
        <v>2015</v>
      </c>
      <c r="D2184">
        <v>4</v>
      </c>
      <c r="E2184" t="s">
        <v>6</v>
      </c>
      <c r="F2184" t="s">
        <v>6</v>
      </c>
      <c r="G2184" t="s">
        <v>6</v>
      </c>
      <c r="H2184">
        <v>16024.94</v>
      </c>
      <c r="I2184">
        <v>5113.53</v>
      </c>
      <c r="J2184">
        <v>0</v>
      </c>
    </row>
    <row r="2185" spans="1:10" x14ac:dyDescent="0.35">
      <c r="A2185">
        <v>322970</v>
      </c>
      <c r="B2185" t="s">
        <v>20</v>
      </c>
      <c r="C2185">
        <v>2015</v>
      </c>
      <c r="D2185">
        <v>4</v>
      </c>
      <c r="E2185" t="s">
        <v>6</v>
      </c>
      <c r="F2185" t="s">
        <v>6</v>
      </c>
      <c r="G2185" t="s">
        <v>6</v>
      </c>
      <c r="H2185">
        <v>21447.62</v>
      </c>
      <c r="I2185">
        <v>12141.84</v>
      </c>
      <c r="J2185">
        <v>0</v>
      </c>
    </row>
    <row r="2186" spans="1:10" x14ac:dyDescent="0.35">
      <c r="A2186">
        <v>322974</v>
      </c>
      <c r="B2186" t="s">
        <v>20</v>
      </c>
      <c r="C2186">
        <v>2015</v>
      </c>
      <c r="D2186">
        <v>4</v>
      </c>
      <c r="E2186" t="s">
        <v>6</v>
      </c>
      <c r="F2186" t="s">
        <v>6</v>
      </c>
      <c r="G2186" t="s">
        <v>6</v>
      </c>
      <c r="H2186">
        <v>11344.62</v>
      </c>
      <c r="I2186">
        <v>3067.07</v>
      </c>
      <c r="J2186">
        <v>0</v>
      </c>
    </row>
    <row r="2187" spans="1:10" x14ac:dyDescent="0.35">
      <c r="A2187">
        <v>322987</v>
      </c>
      <c r="B2187" t="s">
        <v>20</v>
      </c>
      <c r="C2187">
        <v>2015</v>
      </c>
      <c r="D2187">
        <v>4</v>
      </c>
      <c r="E2187" t="s">
        <v>6</v>
      </c>
      <c r="F2187" t="s">
        <v>6</v>
      </c>
      <c r="G2187" t="s">
        <v>6</v>
      </c>
      <c r="H2187">
        <v>22495.66</v>
      </c>
      <c r="I2187">
        <v>14052.66</v>
      </c>
      <c r="J2187">
        <v>0</v>
      </c>
    </row>
    <row r="2188" spans="1:10" x14ac:dyDescent="0.35">
      <c r="A2188">
        <v>322991</v>
      </c>
      <c r="B2188" t="s">
        <v>20</v>
      </c>
      <c r="C2188">
        <v>2015</v>
      </c>
      <c r="D2188">
        <v>4</v>
      </c>
      <c r="E2188" t="s">
        <v>6</v>
      </c>
      <c r="F2188" t="s">
        <v>6</v>
      </c>
      <c r="G2188" t="s">
        <v>6</v>
      </c>
      <c r="H2188">
        <v>19216.22</v>
      </c>
      <c r="I2188">
        <v>5439.28</v>
      </c>
      <c r="J2188">
        <v>0</v>
      </c>
    </row>
    <row r="2189" spans="1:10" x14ac:dyDescent="0.35">
      <c r="A2189">
        <v>322992</v>
      </c>
      <c r="B2189" t="s">
        <v>20</v>
      </c>
      <c r="C2189">
        <v>2015</v>
      </c>
      <c r="D2189">
        <v>4</v>
      </c>
      <c r="E2189" t="s">
        <v>6</v>
      </c>
      <c r="F2189" t="s">
        <v>6</v>
      </c>
      <c r="G2189" t="s">
        <v>6</v>
      </c>
      <c r="H2189">
        <v>39030.9</v>
      </c>
      <c r="I2189">
        <v>12151.3</v>
      </c>
      <c r="J2189">
        <v>0</v>
      </c>
    </row>
    <row r="2190" spans="1:10" x14ac:dyDescent="0.35">
      <c r="A2190">
        <v>322993</v>
      </c>
      <c r="B2190" t="s">
        <v>20</v>
      </c>
      <c r="C2190">
        <v>2015</v>
      </c>
      <c r="D2190">
        <v>4</v>
      </c>
      <c r="E2190" t="s">
        <v>6</v>
      </c>
      <c r="F2190" t="s">
        <v>6</v>
      </c>
      <c r="G2190" t="s">
        <v>6</v>
      </c>
      <c r="H2190">
        <v>27716.66</v>
      </c>
      <c r="I2190">
        <v>11338.34</v>
      </c>
      <c r="J2190">
        <v>0</v>
      </c>
    </row>
    <row r="2191" spans="1:10" x14ac:dyDescent="0.35">
      <c r="A2191">
        <v>323002</v>
      </c>
      <c r="B2191" t="s">
        <v>20</v>
      </c>
      <c r="C2191">
        <v>2015</v>
      </c>
      <c r="D2191">
        <v>4</v>
      </c>
      <c r="E2191" t="s">
        <v>6</v>
      </c>
      <c r="F2191" t="s">
        <v>6</v>
      </c>
      <c r="G2191" t="s">
        <v>6</v>
      </c>
      <c r="H2191">
        <v>44972.7</v>
      </c>
      <c r="I2191">
        <v>21371.55</v>
      </c>
      <c r="J2191">
        <v>0</v>
      </c>
    </row>
    <row r="2192" spans="1:10" x14ac:dyDescent="0.35">
      <c r="A2192">
        <v>323005</v>
      </c>
      <c r="B2192" t="s">
        <v>20</v>
      </c>
      <c r="C2192">
        <v>2015</v>
      </c>
      <c r="D2192">
        <v>4</v>
      </c>
      <c r="E2192" t="s">
        <v>6</v>
      </c>
      <c r="F2192" t="s">
        <v>6</v>
      </c>
      <c r="G2192" t="s">
        <v>6</v>
      </c>
      <c r="H2192">
        <v>18845.68</v>
      </c>
      <c r="I2192">
        <v>4154.7</v>
      </c>
      <c r="J2192">
        <v>0</v>
      </c>
    </row>
    <row r="2193" spans="1:10" x14ac:dyDescent="0.35">
      <c r="A2193">
        <v>323007</v>
      </c>
      <c r="B2193" t="s">
        <v>20</v>
      </c>
      <c r="C2193">
        <v>2015</v>
      </c>
      <c r="D2193">
        <v>4</v>
      </c>
      <c r="E2193" t="s">
        <v>6</v>
      </c>
      <c r="F2193" t="s">
        <v>6</v>
      </c>
      <c r="G2193" t="s">
        <v>6</v>
      </c>
      <c r="H2193">
        <v>17041.18</v>
      </c>
      <c r="I2193">
        <v>4889.87</v>
      </c>
      <c r="J2193">
        <v>0</v>
      </c>
    </row>
    <row r="2194" spans="1:10" x14ac:dyDescent="0.35">
      <c r="A2194">
        <v>323011</v>
      </c>
      <c r="B2194" t="s">
        <v>20</v>
      </c>
      <c r="C2194">
        <v>2015</v>
      </c>
      <c r="D2194">
        <v>4</v>
      </c>
      <c r="E2194" t="s">
        <v>6</v>
      </c>
      <c r="F2194" t="s">
        <v>6</v>
      </c>
      <c r="G2194" t="s">
        <v>6</v>
      </c>
      <c r="H2194">
        <v>65288.98</v>
      </c>
      <c r="I2194">
        <v>20590.060000000001</v>
      </c>
      <c r="J2194">
        <v>0</v>
      </c>
    </row>
    <row r="2195" spans="1:10" x14ac:dyDescent="0.35">
      <c r="A2195">
        <v>323012</v>
      </c>
      <c r="B2195" t="s">
        <v>20</v>
      </c>
      <c r="C2195">
        <v>2015</v>
      </c>
      <c r="D2195">
        <v>4</v>
      </c>
      <c r="E2195" t="s">
        <v>6</v>
      </c>
      <c r="F2195" t="s">
        <v>6</v>
      </c>
      <c r="G2195" t="s">
        <v>6</v>
      </c>
      <c r="H2195">
        <v>46156.52</v>
      </c>
      <c r="I2195">
        <v>23072.93</v>
      </c>
      <c r="J2195">
        <v>0</v>
      </c>
    </row>
    <row r="2196" spans="1:10" x14ac:dyDescent="0.35">
      <c r="A2196">
        <v>323013</v>
      </c>
      <c r="B2196" t="s">
        <v>20</v>
      </c>
      <c r="C2196">
        <v>2015</v>
      </c>
      <c r="D2196">
        <v>4</v>
      </c>
      <c r="E2196" t="s">
        <v>6</v>
      </c>
      <c r="F2196" t="s">
        <v>6</v>
      </c>
      <c r="G2196" t="s">
        <v>6</v>
      </c>
      <c r="H2196">
        <v>9145.56</v>
      </c>
      <c r="I2196">
        <v>2460.39</v>
      </c>
      <c r="J2196">
        <v>0</v>
      </c>
    </row>
    <row r="2197" spans="1:10" x14ac:dyDescent="0.35">
      <c r="A2197">
        <v>323027</v>
      </c>
      <c r="B2197" t="s">
        <v>20</v>
      </c>
      <c r="C2197">
        <v>2015</v>
      </c>
      <c r="D2197">
        <v>4</v>
      </c>
      <c r="E2197" t="s">
        <v>6</v>
      </c>
      <c r="F2197" t="s">
        <v>6</v>
      </c>
      <c r="G2197" t="s">
        <v>6</v>
      </c>
      <c r="H2197">
        <v>10158.879999999999</v>
      </c>
      <c r="I2197">
        <v>2875.57</v>
      </c>
      <c r="J2197">
        <v>0</v>
      </c>
    </row>
    <row r="2198" spans="1:10" x14ac:dyDescent="0.35">
      <c r="A2198">
        <v>323044</v>
      </c>
      <c r="B2198" t="s">
        <v>20</v>
      </c>
      <c r="C2198">
        <v>2015</v>
      </c>
      <c r="D2198">
        <v>4</v>
      </c>
      <c r="E2198" t="s">
        <v>6</v>
      </c>
      <c r="F2198" t="s">
        <v>6</v>
      </c>
      <c r="G2198" t="s">
        <v>6</v>
      </c>
      <c r="H2198">
        <v>13122.96</v>
      </c>
      <c r="I2198">
        <v>4062.05</v>
      </c>
      <c r="J2198">
        <v>0</v>
      </c>
    </row>
    <row r="2199" spans="1:10" x14ac:dyDescent="0.35">
      <c r="A2199">
        <v>323050</v>
      </c>
      <c r="B2199" t="s">
        <v>20</v>
      </c>
      <c r="C2199">
        <v>2015</v>
      </c>
      <c r="D2199">
        <v>4</v>
      </c>
      <c r="E2199" t="s">
        <v>6</v>
      </c>
      <c r="F2199" t="s">
        <v>6</v>
      </c>
      <c r="G2199" t="s">
        <v>6</v>
      </c>
      <c r="H2199">
        <v>44057.22</v>
      </c>
      <c r="I2199">
        <v>12974.25</v>
      </c>
      <c r="J2199">
        <v>0</v>
      </c>
    </row>
    <row r="2200" spans="1:10" x14ac:dyDescent="0.35">
      <c r="A2200">
        <v>323065</v>
      </c>
      <c r="B2200" t="s">
        <v>20</v>
      </c>
      <c r="C2200">
        <v>2015</v>
      </c>
      <c r="D2200">
        <v>4</v>
      </c>
      <c r="E2200" t="s">
        <v>6</v>
      </c>
      <c r="F2200" t="s">
        <v>6</v>
      </c>
      <c r="G2200" t="s">
        <v>6</v>
      </c>
      <c r="H2200">
        <v>16441.16</v>
      </c>
      <c r="I2200">
        <v>3951.53</v>
      </c>
      <c r="J2200">
        <v>0</v>
      </c>
    </row>
    <row r="2201" spans="1:10" x14ac:dyDescent="0.35">
      <c r="A2201">
        <v>323068</v>
      </c>
      <c r="B2201" t="s">
        <v>20</v>
      </c>
      <c r="C2201">
        <v>2015</v>
      </c>
      <c r="D2201">
        <v>4</v>
      </c>
      <c r="E2201" t="s">
        <v>6</v>
      </c>
      <c r="F2201" t="s">
        <v>6</v>
      </c>
      <c r="G2201" t="s">
        <v>6</v>
      </c>
      <c r="H2201">
        <v>14340.22</v>
      </c>
      <c r="I2201">
        <v>4502.75</v>
      </c>
      <c r="J2201">
        <v>0</v>
      </c>
    </row>
    <row r="2202" spans="1:10" x14ac:dyDescent="0.35">
      <c r="A2202">
        <v>323071</v>
      </c>
      <c r="B2202" t="s">
        <v>20</v>
      </c>
      <c r="C2202">
        <v>2015</v>
      </c>
      <c r="D2202">
        <v>4</v>
      </c>
      <c r="E2202" t="s">
        <v>6</v>
      </c>
      <c r="F2202" t="s">
        <v>6</v>
      </c>
      <c r="G2202" t="s">
        <v>6</v>
      </c>
      <c r="H2202">
        <v>31237.22</v>
      </c>
      <c r="I2202">
        <v>9689.34</v>
      </c>
      <c r="J2202">
        <v>0</v>
      </c>
    </row>
    <row r="2203" spans="1:10" x14ac:dyDescent="0.35">
      <c r="A2203">
        <v>323072</v>
      </c>
      <c r="B2203" t="s">
        <v>20</v>
      </c>
      <c r="C2203">
        <v>2015</v>
      </c>
      <c r="D2203">
        <v>4</v>
      </c>
      <c r="E2203" t="s">
        <v>6</v>
      </c>
      <c r="F2203" t="s">
        <v>6</v>
      </c>
      <c r="G2203" t="s">
        <v>6</v>
      </c>
      <c r="H2203">
        <v>11252.32</v>
      </c>
      <c r="I2203">
        <v>6575.61</v>
      </c>
      <c r="J2203">
        <v>0</v>
      </c>
    </row>
    <row r="2204" spans="1:10" x14ac:dyDescent="0.35">
      <c r="A2204">
        <v>323075</v>
      </c>
      <c r="B2204" t="s">
        <v>20</v>
      </c>
      <c r="C2204">
        <v>2015</v>
      </c>
      <c r="D2204">
        <v>4</v>
      </c>
      <c r="E2204" t="s">
        <v>6</v>
      </c>
      <c r="F2204" t="s">
        <v>6</v>
      </c>
      <c r="G2204" t="s">
        <v>6</v>
      </c>
      <c r="H2204">
        <v>41834.160000000003</v>
      </c>
      <c r="I2204">
        <v>13757.63</v>
      </c>
      <c r="J2204">
        <v>0</v>
      </c>
    </row>
    <row r="2205" spans="1:10" x14ac:dyDescent="0.35">
      <c r="A2205">
        <v>323081</v>
      </c>
      <c r="B2205" t="s">
        <v>20</v>
      </c>
      <c r="C2205">
        <v>2015</v>
      </c>
      <c r="D2205">
        <v>4</v>
      </c>
      <c r="E2205" t="s">
        <v>6</v>
      </c>
      <c r="F2205" t="s">
        <v>6</v>
      </c>
      <c r="G2205" t="s">
        <v>6</v>
      </c>
      <c r="H2205">
        <v>16022.84</v>
      </c>
      <c r="I2205">
        <v>4629</v>
      </c>
      <c r="J2205">
        <v>0</v>
      </c>
    </row>
    <row r="2206" spans="1:10" x14ac:dyDescent="0.35">
      <c r="A2206">
        <v>323090</v>
      </c>
      <c r="B2206" t="s">
        <v>20</v>
      </c>
      <c r="C2206">
        <v>2015</v>
      </c>
      <c r="D2206">
        <v>4</v>
      </c>
      <c r="E2206" t="s">
        <v>6</v>
      </c>
      <c r="F2206" t="s">
        <v>6</v>
      </c>
      <c r="G2206" t="s">
        <v>6</v>
      </c>
      <c r="H2206">
        <v>58085.26</v>
      </c>
      <c r="I2206">
        <v>26101.89</v>
      </c>
      <c r="J2206">
        <v>0</v>
      </c>
    </row>
    <row r="2207" spans="1:10" x14ac:dyDescent="0.35">
      <c r="A2207">
        <v>323102</v>
      </c>
      <c r="B2207" t="s">
        <v>20</v>
      </c>
      <c r="C2207">
        <v>2015</v>
      </c>
      <c r="D2207">
        <v>4</v>
      </c>
      <c r="E2207" t="s">
        <v>6</v>
      </c>
      <c r="F2207" t="s">
        <v>6</v>
      </c>
      <c r="G2207" t="s">
        <v>6</v>
      </c>
      <c r="H2207">
        <v>16858.5</v>
      </c>
      <c r="I2207">
        <v>4511.1499999999996</v>
      </c>
      <c r="J2207">
        <v>0</v>
      </c>
    </row>
    <row r="2208" spans="1:10" x14ac:dyDescent="0.35">
      <c r="A2208">
        <v>323107</v>
      </c>
      <c r="B2208" t="s">
        <v>20</v>
      </c>
      <c r="C2208">
        <v>2015</v>
      </c>
      <c r="D2208">
        <v>4</v>
      </c>
      <c r="E2208" t="s">
        <v>6</v>
      </c>
      <c r="F2208" t="s">
        <v>6</v>
      </c>
      <c r="G2208" t="s">
        <v>6</v>
      </c>
      <c r="H2208">
        <v>12960.58</v>
      </c>
      <c r="I2208">
        <v>3507.4</v>
      </c>
      <c r="J2208">
        <v>0</v>
      </c>
    </row>
    <row r="2209" spans="1:10" x14ac:dyDescent="0.35">
      <c r="A2209">
        <v>323112</v>
      </c>
      <c r="B2209" t="s">
        <v>20</v>
      </c>
      <c r="C2209">
        <v>2015</v>
      </c>
      <c r="D2209">
        <v>4</v>
      </c>
      <c r="E2209" t="s">
        <v>6</v>
      </c>
      <c r="F2209" t="s">
        <v>6</v>
      </c>
      <c r="G2209" t="s">
        <v>6</v>
      </c>
      <c r="H2209">
        <v>29546.6</v>
      </c>
      <c r="I2209">
        <v>9783.35</v>
      </c>
      <c r="J2209">
        <v>0</v>
      </c>
    </row>
    <row r="2210" spans="1:10" x14ac:dyDescent="0.35">
      <c r="A2210">
        <v>323113</v>
      </c>
      <c r="B2210" t="s">
        <v>20</v>
      </c>
      <c r="C2210">
        <v>2015</v>
      </c>
      <c r="D2210">
        <v>4</v>
      </c>
      <c r="E2210" t="s">
        <v>6</v>
      </c>
      <c r="F2210" t="s">
        <v>6</v>
      </c>
      <c r="G2210" t="s">
        <v>6</v>
      </c>
      <c r="H2210">
        <v>4618.32</v>
      </c>
      <c r="I2210">
        <v>4895.12</v>
      </c>
      <c r="J2210">
        <v>1</v>
      </c>
    </row>
    <row r="2211" spans="1:10" x14ac:dyDescent="0.35">
      <c r="A2211">
        <v>323116</v>
      </c>
      <c r="B2211" t="s">
        <v>20</v>
      </c>
      <c r="C2211">
        <v>2015</v>
      </c>
      <c r="D2211">
        <v>4</v>
      </c>
      <c r="E2211" t="s">
        <v>6</v>
      </c>
      <c r="F2211" t="s">
        <v>6</v>
      </c>
      <c r="G2211" t="s">
        <v>6</v>
      </c>
      <c r="H2211">
        <v>19258.759999999998</v>
      </c>
      <c r="I2211">
        <v>5482.44</v>
      </c>
      <c r="J2211">
        <v>0</v>
      </c>
    </row>
    <row r="2212" spans="1:10" x14ac:dyDescent="0.35">
      <c r="A2212">
        <v>323121</v>
      </c>
      <c r="B2212" t="s">
        <v>20</v>
      </c>
      <c r="C2212">
        <v>2015</v>
      </c>
      <c r="D2212">
        <v>4</v>
      </c>
      <c r="E2212" t="s">
        <v>6</v>
      </c>
      <c r="F2212" t="s">
        <v>6</v>
      </c>
      <c r="G2212" t="s">
        <v>6</v>
      </c>
      <c r="H2212">
        <v>4174.32</v>
      </c>
      <c r="I2212">
        <v>4788.72</v>
      </c>
      <c r="J2212">
        <v>1</v>
      </c>
    </row>
    <row r="2213" spans="1:10" x14ac:dyDescent="0.35">
      <c r="A2213">
        <v>323127</v>
      </c>
      <c r="B2213" t="s">
        <v>20</v>
      </c>
      <c r="C2213">
        <v>2015</v>
      </c>
      <c r="D2213">
        <v>4</v>
      </c>
      <c r="E2213" t="s">
        <v>6</v>
      </c>
      <c r="F2213" t="s">
        <v>6</v>
      </c>
      <c r="G2213" t="s">
        <v>6</v>
      </c>
      <c r="H2213">
        <v>37122.300000000003</v>
      </c>
      <c r="I2213">
        <v>17087.52</v>
      </c>
      <c r="J2213">
        <v>0</v>
      </c>
    </row>
    <row r="2214" spans="1:10" x14ac:dyDescent="0.35">
      <c r="A2214">
        <v>323129</v>
      </c>
      <c r="B2214" t="s">
        <v>20</v>
      </c>
      <c r="C2214">
        <v>2015</v>
      </c>
      <c r="D2214">
        <v>4</v>
      </c>
      <c r="E2214" t="s">
        <v>6</v>
      </c>
      <c r="F2214" t="s">
        <v>6</v>
      </c>
      <c r="G2214" t="s">
        <v>6</v>
      </c>
      <c r="H2214">
        <v>13394.2</v>
      </c>
      <c r="I2214">
        <v>2847.09</v>
      </c>
      <c r="J2214">
        <v>0</v>
      </c>
    </row>
    <row r="2215" spans="1:10" x14ac:dyDescent="0.35">
      <c r="A2215">
        <v>323132</v>
      </c>
      <c r="B2215" t="s">
        <v>20</v>
      </c>
      <c r="C2215">
        <v>2015</v>
      </c>
      <c r="D2215">
        <v>4</v>
      </c>
      <c r="E2215" t="s">
        <v>6</v>
      </c>
      <c r="F2215" t="s">
        <v>6</v>
      </c>
      <c r="G2215" t="s">
        <v>6</v>
      </c>
      <c r="H2215">
        <v>4256.96</v>
      </c>
      <c r="I2215">
        <v>4805.67</v>
      </c>
      <c r="J2215">
        <v>1</v>
      </c>
    </row>
    <row r="2216" spans="1:10" x14ac:dyDescent="0.35">
      <c r="A2216">
        <v>323133</v>
      </c>
      <c r="B2216" t="s">
        <v>20</v>
      </c>
      <c r="C2216">
        <v>2015</v>
      </c>
      <c r="D2216">
        <v>4</v>
      </c>
      <c r="E2216" t="s">
        <v>6</v>
      </c>
      <c r="F2216" t="s">
        <v>6</v>
      </c>
      <c r="G2216" t="s">
        <v>6</v>
      </c>
      <c r="H2216">
        <v>43217.440000000002</v>
      </c>
      <c r="I2216">
        <v>12734.94</v>
      </c>
      <c r="J2216">
        <v>0</v>
      </c>
    </row>
    <row r="2217" spans="1:10" x14ac:dyDescent="0.35">
      <c r="A2217">
        <v>323136</v>
      </c>
      <c r="B2217" t="s">
        <v>20</v>
      </c>
      <c r="C2217">
        <v>2015</v>
      </c>
      <c r="D2217">
        <v>4</v>
      </c>
      <c r="E2217" t="s">
        <v>6</v>
      </c>
      <c r="F2217" t="s">
        <v>6</v>
      </c>
      <c r="G2217" t="s">
        <v>6</v>
      </c>
      <c r="H2217">
        <v>8149.56</v>
      </c>
      <c r="I2217">
        <v>2247.1999999999998</v>
      </c>
      <c r="J2217">
        <v>0</v>
      </c>
    </row>
    <row r="2218" spans="1:10" x14ac:dyDescent="0.35">
      <c r="A2218">
        <v>323150</v>
      </c>
      <c r="B2218" t="s">
        <v>20</v>
      </c>
      <c r="C2218">
        <v>2015</v>
      </c>
      <c r="D2218">
        <v>4</v>
      </c>
      <c r="E2218" t="s">
        <v>6</v>
      </c>
      <c r="F2218" t="s">
        <v>6</v>
      </c>
      <c r="G2218" t="s">
        <v>6</v>
      </c>
      <c r="H2218">
        <v>58848.160000000003</v>
      </c>
      <c r="I2218">
        <v>19174.38</v>
      </c>
      <c r="J2218">
        <v>0</v>
      </c>
    </row>
    <row r="2219" spans="1:10" x14ac:dyDescent="0.35">
      <c r="A2219">
        <v>323155</v>
      </c>
      <c r="B2219" t="s">
        <v>20</v>
      </c>
      <c r="C2219">
        <v>2015</v>
      </c>
      <c r="D2219">
        <v>4</v>
      </c>
      <c r="E2219" t="s">
        <v>6</v>
      </c>
      <c r="F2219" t="s">
        <v>6</v>
      </c>
      <c r="G2219" t="s">
        <v>6</v>
      </c>
      <c r="H2219">
        <v>19008.900000000001</v>
      </c>
      <c r="I2219">
        <v>3032.64</v>
      </c>
      <c r="J2219">
        <v>0</v>
      </c>
    </row>
    <row r="2220" spans="1:10" x14ac:dyDescent="0.35">
      <c r="A2220">
        <v>323171</v>
      </c>
      <c r="B2220" t="s">
        <v>20</v>
      </c>
      <c r="C2220">
        <v>2015</v>
      </c>
      <c r="D2220">
        <v>4</v>
      </c>
      <c r="E2220" t="s">
        <v>6</v>
      </c>
      <c r="F2220" t="s">
        <v>6</v>
      </c>
      <c r="G2220" t="s">
        <v>6</v>
      </c>
      <c r="H2220">
        <v>14776.8</v>
      </c>
      <c r="I2220">
        <v>3014.51</v>
      </c>
      <c r="J2220">
        <v>0</v>
      </c>
    </row>
    <row r="2221" spans="1:10" x14ac:dyDescent="0.35">
      <c r="A2221">
        <v>323203</v>
      </c>
      <c r="B2221" t="s">
        <v>20</v>
      </c>
      <c r="C2221">
        <v>2015</v>
      </c>
      <c r="D2221">
        <v>4</v>
      </c>
      <c r="E2221" t="s">
        <v>6</v>
      </c>
      <c r="F2221" t="s">
        <v>6</v>
      </c>
      <c r="G2221" t="s">
        <v>6</v>
      </c>
      <c r="H2221">
        <v>14663.78</v>
      </c>
      <c r="I2221">
        <v>3905.16</v>
      </c>
      <c r="J2221">
        <v>0</v>
      </c>
    </row>
    <row r="2222" spans="1:10" x14ac:dyDescent="0.35">
      <c r="A2222">
        <v>323205</v>
      </c>
      <c r="B2222" t="s">
        <v>20</v>
      </c>
      <c r="C2222">
        <v>2015</v>
      </c>
      <c r="D2222">
        <v>4</v>
      </c>
      <c r="E2222" t="s">
        <v>6</v>
      </c>
      <c r="F2222" t="s">
        <v>6</v>
      </c>
      <c r="G2222" t="s">
        <v>6</v>
      </c>
      <c r="H2222">
        <v>32132.82</v>
      </c>
      <c r="I2222">
        <v>18833.330000000002</v>
      </c>
      <c r="J2222">
        <v>0</v>
      </c>
    </row>
    <row r="2223" spans="1:10" x14ac:dyDescent="0.35">
      <c r="A2223">
        <v>323214</v>
      </c>
      <c r="B2223" t="s">
        <v>20</v>
      </c>
      <c r="C2223">
        <v>2015</v>
      </c>
      <c r="D2223">
        <v>4</v>
      </c>
      <c r="E2223" t="s">
        <v>6</v>
      </c>
      <c r="F2223" t="s">
        <v>6</v>
      </c>
      <c r="G2223" t="s">
        <v>6</v>
      </c>
      <c r="H2223">
        <v>23801.52</v>
      </c>
      <c r="I2223">
        <v>8323.0499999999993</v>
      </c>
      <c r="J2223">
        <v>0</v>
      </c>
    </row>
    <row r="2224" spans="1:10" x14ac:dyDescent="0.35">
      <c r="A2224">
        <v>323215</v>
      </c>
      <c r="B2224" t="s">
        <v>20</v>
      </c>
      <c r="C2224">
        <v>2015</v>
      </c>
      <c r="D2224">
        <v>4</v>
      </c>
      <c r="E2224" t="s">
        <v>6</v>
      </c>
      <c r="F2224" t="s">
        <v>6</v>
      </c>
      <c r="G2224" t="s">
        <v>6</v>
      </c>
      <c r="H2224">
        <v>21989.02</v>
      </c>
      <c r="I2224">
        <v>8460.57</v>
      </c>
      <c r="J2224">
        <v>0</v>
      </c>
    </row>
    <row r="2225" spans="1:10" x14ac:dyDescent="0.35">
      <c r="A2225">
        <v>323224</v>
      </c>
      <c r="B2225" t="s">
        <v>20</v>
      </c>
      <c r="C2225">
        <v>2015</v>
      </c>
      <c r="D2225">
        <v>4</v>
      </c>
      <c r="E2225" t="s">
        <v>6</v>
      </c>
      <c r="F2225" t="s">
        <v>6</v>
      </c>
      <c r="G2225" t="s">
        <v>6</v>
      </c>
      <c r="H2225">
        <v>42141.56</v>
      </c>
      <c r="I2225">
        <v>12509.21</v>
      </c>
      <c r="J2225">
        <v>0</v>
      </c>
    </row>
    <row r="2226" spans="1:10" x14ac:dyDescent="0.35">
      <c r="A2226">
        <v>323230</v>
      </c>
      <c r="B2226" t="s">
        <v>20</v>
      </c>
      <c r="C2226">
        <v>2015</v>
      </c>
      <c r="D2226">
        <v>4</v>
      </c>
      <c r="E2226" t="s">
        <v>6</v>
      </c>
      <c r="F2226" t="s">
        <v>6</v>
      </c>
      <c r="G2226" t="s">
        <v>6</v>
      </c>
      <c r="H2226">
        <v>51052.38</v>
      </c>
      <c r="I2226">
        <v>24329.57</v>
      </c>
      <c r="J2226">
        <v>0</v>
      </c>
    </row>
    <row r="2227" spans="1:10" x14ac:dyDescent="0.35">
      <c r="A2227">
        <v>323238</v>
      </c>
      <c r="B2227" t="s">
        <v>20</v>
      </c>
      <c r="C2227">
        <v>2015</v>
      </c>
      <c r="D2227">
        <v>4</v>
      </c>
      <c r="E2227" t="s">
        <v>6</v>
      </c>
      <c r="F2227" t="s">
        <v>6</v>
      </c>
      <c r="G2227" t="s">
        <v>6</v>
      </c>
      <c r="H2227">
        <v>11990.32</v>
      </c>
      <c r="I2227">
        <v>2425.08</v>
      </c>
      <c r="J2227">
        <v>0</v>
      </c>
    </row>
    <row r="2228" spans="1:10" x14ac:dyDescent="0.35">
      <c r="A2228">
        <v>323255</v>
      </c>
      <c r="B2228" t="s">
        <v>20</v>
      </c>
      <c r="C2228">
        <v>2015</v>
      </c>
      <c r="D2228">
        <v>4</v>
      </c>
      <c r="E2228" t="s">
        <v>6</v>
      </c>
      <c r="F2228" t="s">
        <v>6</v>
      </c>
      <c r="G2228" t="s">
        <v>6</v>
      </c>
      <c r="H2228">
        <v>10501.66</v>
      </c>
      <c r="I2228">
        <v>2760.65</v>
      </c>
      <c r="J2228">
        <v>0</v>
      </c>
    </row>
    <row r="2229" spans="1:10" x14ac:dyDescent="0.35">
      <c r="A2229">
        <v>323262</v>
      </c>
      <c r="B2229" t="s">
        <v>20</v>
      </c>
      <c r="C2229">
        <v>2015</v>
      </c>
      <c r="D2229">
        <v>4</v>
      </c>
      <c r="E2229" t="s">
        <v>6</v>
      </c>
      <c r="F2229" t="s">
        <v>6</v>
      </c>
      <c r="G2229" t="s">
        <v>6</v>
      </c>
      <c r="H2229">
        <v>40072.14</v>
      </c>
      <c r="I2229">
        <v>16197.58</v>
      </c>
      <c r="J2229">
        <v>0</v>
      </c>
    </row>
    <row r="2230" spans="1:10" x14ac:dyDescent="0.35">
      <c r="A2230">
        <v>323267</v>
      </c>
      <c r="B2230" t="s">
        <v>20</v>
      </c>
      <c r="C2230">
        <v>2015</v>
      </c>
      <c r="D2230">
        <v>4</v>
      </c>
      <c r="E2230" t="s">
        <v>6</v>
      </c>
      <c r="F2230" t="s">
        <v>6</v>
      </c>
      <c r="G2230" t="s">
        <v>6</v>
      </c>
      <c r="H2230">
        <v>9499.6</v>
      </c>
      <c r="I2230">
        <v>2566.1999999999998</v>
      </c>
      <c r="J2230">
        <v>0</v>
      </c>
    </row>
    <row r="2231" spans="1:10" x14ac:dyDescent="0.35">
      <c r="A2231">
        <v>323281</v>
      </c>
      <c r="B2231" t="s">
        <v>20</v>
      </c>
      <c r="C2231">
        <v>2015</v>
      </c>
      <c r="D2231">
        <v>4</v>
      </c>
      <c r="E2231" t="s">
        <v>6</v>
      </c>
      <c r="F2231" t="s">
        <v>6</v>
      </c>
      <c r="G2231" t="s">
        <v>6</v>
      </c>
      <c r="H2231">
        <v>31154.06</v>
      </c>
      <c r="I2231">
        <v>10894.78</v>
      </c>
      <c r="J2231">
        <v>0</v>
      </c>
    </row>
    <row r="2232" spans="1:10" x14ac:dyDescent="0.35">
      <c r="A2232">
        <v>323295</v>
      </c>
      <c r="B2232" t="s">
        <v>20</v>
      </c>
      <c r="C2232">
        <v>2015</v>
      </c>
      <c r="D2232">
        <v>4</v>
      </c>
      <c r="E2232" t="s">
        <v>6</v>
      </c>
      <c r="F2232" t="s">
        <v>6</v>
      </c>
      <c r="G2232" t="s">
        <v>6</v>
      </c>
      <c r="H2232">
        <v>31289.52</v>
      </c>
      <c r="I2232">
        <v>9118.3799999999992</v>
      </c>
      <c r="J2232">
        <v>0</v>
      </c>
    </row>
    <row r="2233" spans="1:10" x14ac:dyDescent="0.35">
      <c r="A2233">
        <v>323297</v>
      </c>
      <c r="B2233" t="s">
        <v>20</v>
      </c>
      <c r="C2233">
        <v>2015</v>
      </c>
      <c r="D2233">
        <v>4</v>
      </c>
      <c r="E2233" t="s">
        <v>6</v>
      </c>
      <c r="F2233" t="s">
        <v>6</v>
      </c>
      <c r="G2233" t="s">
        <v>6</v>
      </c>
      <c r="H2233">
        <v>39013.440000000002</v>
      </c>
      <c r="I2233">
        <v>22065.94</v>
      </c>
      <c r="J2233">
        <v>0</v>
      </c>
    </row>
    <row r="2234" spans="1:10" x14ac:dyDescent="0.35">
      <c r="A2234">
        <v>323298</v>
      </c>
      <c r="B2234" t="s">
        <v>20</v>
      </c>
      <c r="C2234">
        <v>2015</v>
      </c>
      <c r="D2234">
        <v>4</v>
      </c>
      <c r="E2234" t="s">
        <v>6</v>
      </c>
      <c r="F2234" t="s">
        <v>6</v>
      </c>
      <c r="G2234" t="s">
        <v>6</v>
      </c>
      <c r="H2234">
        <v>22962.240000000002</v>
      </c>
      <c r="I2234">
        <v>5224.9799999999996</v>
      </c>
      <c r="J2234">
        <v>0</v>
      </c>
    </row>
    <row r="2235" spans="1:10" x14ac:dyDescent="0.35">
      <c r="A2235">
        <v>323302</v>
      </c>
      <c r="B2235" t="s">
        <v>20</v>
      </c>
      <c r="C2235">
        <v>2015</v>
      </c>
      <c r="D2235">
        <v>4</v>
      </c>
      <c r="E2235" t="s">
        <v>6</v>
      </c>
      <c r="F2235" t="s">
        <v>6</v>
      </c>
      <c r="G2235" t="s">
        <v>6</v>
      </c>
      <c r="H2235">
        <v>17540.5</v>
      </c>
      <c r="I2235">
        <v>3028.11</v>
      </c>
      <c r="J2235">
        <v>0</v>
      </c>
    </row>
    <row r="2236" spans="1:10" x14ac:dyDescent="0.35">
      <c r="A2236">
        <v>323309</v>
      </c>
      <c r="B2236" t="s">
        <v>20</v>
      </c>
      <c r="C2236">
        <v>2015</v>
      </c>
      <c r="D2236">
        <v>4</v>
      </c>
      <c r="E2236" t="s">
        <v>6</v>
      </c>
      <c r="F2236" t="s">
        <v>6</v>
      </c>
      <c r="G2236" t="s">
        <v>6</v>
      </c>
      <c r="H2236">
        <v>27369.07</v>
      </c>
      <c r="I2236">
        <v>13226.98</v>
      </c>
      <c r="J2236">
        <v>0</v>
      </c>
    </row>
    <row r="2237" spans="1:10" x14ac:dyDescent="0.35">
      <c r="A2237">
        <v>323319</v>
      </c>
      <c r="B2237" t="s">
        <v>20</v>
      </c>
      <c r="C2237">
        <v>2015</v>
      </c>
      <c r="D2237">
        <v>4</v>
      </c>
      <c r="E2237" t="s">
        <v>6</v>
      </c>
      <c r="F2237" t="s">
        <v>6</v>
      </c>
      <c r="G2237" t="s">
        <v>6</v>
      </c>
      <c r="H2237">
        <v>71353.5</v>
      </c>
      <c r="I2237">
        <v>35927.919999999998</v>
      </c>
      <c r="J2237">
        <v>0</v>
      </c>
    </row>
    <row r="2238" spans="1:10" x14ac:dyDescent="0.35">
      <c r="A2238">
        <v>323331</v>
      </c>
      <c r="B2238" t="s">
        <v>20</v>
      </c>
      <c r="C2238">
        <v>2015</v>
      </c>
      <c r="D2238">
        <v>4</v>
      </c>
      <c r="E2238" t="s">
        <v>6</v>
      </c>
      <c r="F2238" t="s">
        <v>6</v>
      </c>
      <c r="G2238" t="s">
        <v>6</v>
      </c>
      <c r="H2238">
        <v>108675.16</v>
      </c>
      <c r="I2238">
        <v>45750.84</v>
      </c>
      <c r="J2238">
        <v>0</v>
      </c>
    </row>
    <row r="2239" spans="1:10" x14ac:dyDescent="0.35">
      <c r="A2239">
        <v>323346</v>
      </c>
      <c r="B2239" t="s">
        <v>20</v>
      </c>
      <c r="C2239">
        <v>2015</v>
      </c>
      <c r="D2239">
        <v>4</v>
      </c>
      <c r="E2239" t="s">
        <v>6</v>
      </c>
      <c r="F2239" t="s">
        <v>6</v>
      </c>
      <c r="G2239" t="s">
        <v>6</v>
      </c>
      <c r="H2239">
        <v>33285.620000000003</v>
      </c>
      <c r="I2239">
        <v>8607.93</v>
      </c>
      <c r="J2239">
        <v>0</v>
      </c>
    </row>
    <row r="2240" spans="1:10" x14ac:dyDescent="0.35">
      <c r="A2240">
        <v>323349</v>
      </c>
      <c r="B2240" t="s">
        <v>20</v>
      </c>
      <c r="C2240">
        <v>2015</v>
      </c>
      <c r="D2240">
        <v>4</v>
      </c>
      <c r="E2240" t="s">
        <v>6</v>
      </c>
      <c r="F2240" t="s">
        <v>6</v>
      </c>
      <c r="G2240" t="s">
        <v>6</v>
      </c>
      <c r="H2240">
        <v>29832.2</v>
      </c>
      <c r="I2240">
        <v>8490.09</v>
      </c>
      <c r="J2240">
        <v>0</v>
      </c>
    </row>
    <row r="2241" spans="1:10" x14ac:dyDescent="0.35">
      <c r="A2241">
        <v>323350</v>
      </c>
      <c r="B2241" t="s">
        <v>20</v>
      </c>
      <c r="C2241">
        <v>2015</v>
      </c>
      <c r="D2241">
        <v>4</v>
      </c>
      <c r="E2241" t="s">
        <v>6</v>
      </c>
      <c r="F2241" t="s">
        <v>6</v>
      </c>
      <c r="G2241" t="s">
        <v>6</v>
      </c>
      <c r="H2241">
        <v>10898.98</v>
      </c>
      <c r="I2241">
        <v>2788.87</v>
      </c>
      <c r="J2241">
        <v>0</v>
      </c>
    </row>
    <row r="2242" spans="1:10" x14ac:dyDescent="0.35">
      <c r="A2242">
        <v>323356</v>
      </c>
      <c r="B2242" t="s">
        <v>20</v>
      </c>
      <c r="C2242">
        <v>2015</v>
      </c>
      <c r="D2242">
        <v>4</v>
      </c>
      <c r="E2242" t="s">
        <v>6</v>
      </c>
      <c r="F2242" t="s">
        <v>6</v>
      </c>
      <c r="G2242" t="s">
        <v>6</v>
      </c>
      <c r="H2242">
        <v>23014.98</v>
      </c>
      <c r="I2242">
        <v>8821.01</v>
      </c>
      <c r="J2242">
        <v>0</v>
      </c>
    </row>
    <row r="2243" spans="1:10" x14ac:dyDescent="0.35">
      <c r="A2243">
        <v>323357</v>
      </c>
      <c r="B2243" t="s">
        <v>20</v>
      </c>
      <c r="C2243">
        <v>2015</v>
      </c>
      <c r="D2243">
        <v>4</v>
      </c>
      <c r="E2243" t="s">
        <v>6</v>
      </c>
      <c r="F2243" t="s">
        <v>6</v>
      </c>
      <c r="G2243" t="s">
        <v>6</v>
      </c>
      <c r="H2243">
        <v>29467.16</v>
      </c>
      <c r="I2243">
        <v>8217.9599999999991</v>
      </c>
      <c r="J2243">
        <v>0</v>
      </c>
    </row>
    <row r="2244" spans="1:10" x14ac:dyDescent="0.35">
      <c r="A2244">
        <v>323374</v>
      </c>
      <c r="B2244" t="s">
        <v>20</v>
      </c>
      <c r="C2244">
        <v>2015</v>
      </c>
      <c r="D2244">
        <v>4</v>
      </c>
      <c r="E2244" t="s">
        <v>6</v>
      </c>
      <c r="F2244" t="s">
        <v>6</v>
      </c>
      <c r="G2244" t="s">
        <v>6</v>
      </c>
      <c r="H2244">
        <v>85403.18</v>
      </c>
      <c r="I2244">
        <v>22478.5</v>
      </c>
      <c r="J2244">
        <v>0</v>
      </c>
    </row>
    <row r="2245" spans="1:10" x14ac:dyDescent="0.35">
      <c r="A2245">
        <v>323375</v>
      </c>
      <c r="B2245" t="s">
        <v>20</v>
      </c>
      <c r="C2245">
        <v>2015</v>
      </c>
      <c r="D2245">
        <v>4</v>
      </c>
      <c r="E2245" t="s">
        <v>6</v>
      </c>
      <c r="F2245" t="s">
        <v>6</v>
      </c>
      <c r="G2245" t="s">
        <v>6</v>
      </c>
      <c r="H2245">
        <v>5170.16</v>
      </c>
      <c r="I2245">
        <v>6281.4</v>
      </c>
      <c r="J2245">
        <v>1</v>
      </c>
    </row>
    <row r="2246" spans="1:10" x14ac:dyDescent="0.35">
      <c r="A2246">
        <v>323379</v>
      </c>
      <c r="B2246" t="s">
        <v>20</v>
      </c>
      <c r="C2246">
        <v>2015</v>
      </c>
      <c r="D2246">
        <v>4</v>
      </c>
      <c r="E2246" t="s">
        <v>6</v>
      </c>
      <c r="F2246" t="s">
        <v>6</v>
      </c>
      <c r="G2246" t="s">
        <v>6</v>
      </c>
      <c r="H2246">
        <v>45945.5</v>
      </c>
      <c r="I2246">
        <v>12747.79</v>
      </c>
      <c r="J2246">
        <v>0</v>
      </c>
    </row>
    <row r="2247" spans="1:10" x14ac:dyDescent="0.35">
      <c r="A2247">
        <v>323383</v>
      </c>
      <c r="B2247" t="s">
        <v>20</v>
      </c>
      <c r="C2247">
        <v>2015</v>
      </c>
      <c r="D2247">
        <v>4</v>
      </c>
      <c r="E2247" t="s">
        <v>6</v>
      </c>
      <c r="F2247" t="s">
        <v>6</v>
      </c>
      <c r="G2247" t="s">
        <v>6</v>
      </c>
      <c r="H2247">
        <v>4069.12</v>
      </c>
      <c r="I2247">
        <v>4759.08</v>
      </c>
      <c r="J2247">
        <v>1</v>
      </c>
    </row>
    <row r="2248" spans="1:10" x14ac:dyDescent="0.35">
      <c r="A2248">
        <v>323384</v>
      </c>
      <c r="B2248" t="s">
        <v>20</v>
      </c>
      <c r="C2248">
        <v>2015</v>
      </c>
      <c r="D2248">
        <v>4</v>
      </c>
      <c r="E2248" t="s">
        <v>6</v>
      </c>
      <c r="F2248" t="s">
        <v>6</v>
      </c>
      <c r="G2248" t="s">
        <v>6</v>
      </c>
      <c r="H2248">
        <v>8471.7999999999993</v>
      </c>
      <c r="I2248">
        <v>2282.37</v>
      </c>
      <c r="J2248">
        <v>0</v>
      </c>
    </row>
    <row r="2249" spans="1:10" x14ac:dyDescent="0.35">
      <c r="A2249">
        <v>323391</v>
      </c>
      <c r="B2249" t="s">
        <v>20</v>
      </c>
      <c r="C2249">
        <v>2015</v>
      </c>
      <c r="D2249">
        <v>4</v>
      </c>
      <c r="E2249" t="s">
        <v>6</v>
      </c>
      <c r="F2249" t="s">
        <v>6</v>
      </c>
      <c r="G2249" t="s">
        <v>6</v>
      </c>
      <c r="H2249">
        <v>28678.87</v>
      </c>
      <c r="I2249">
        <v>18343</v>
      </c>
      <c r="J2249">
        <v>0</v>
      </c>
    </row>
    <row r="2250" spans="1:10" x14ac:dyDescent="0.35">
      <c r="A2250">
        <v>323394</v>
      </c>
      <c r="B2250" t="s">
        <v>20</v>
      </c>
      <c r="C2250">
        <v>2015</v>
      </c>
      <c r="D2250">
        <v>4</v>
      </c>
      <c r="E2250" t="s">
        <v>6</v>
      </c>
      <c r="F2250" t="s">
        <v>6</v>
      </c>
      <c r="G2250" t="s">
        <v>6</v>
      </c>
      <c r="H2250">
        <v>45939.46</v>
      </c>
      <c r="I2250">
        <v>30170.67</v>
      </c>
      <c r="J2250">
        <v>0</v>
      </c>
    </row>
    <row r="2251" spans="1:10" x14ac:dyDescent="0.35">
      <c r="A2251">
        <v>323410</v>
      </c>
      <c r="B2251" t="s">
        <v>20</v>
      </c>
      <c r="C2251">
        <v>2015</v>
      </c>
      <c r="D2251">
        <v>4</v>
      </c>
      <c r="E2251" t="s">
        <v>6</v>
      </c>
      <c r="F2251" t="s">
        <v>6</v>
      </c>
      <c r="G2251" t="s">
        <v>6</v>
      </c>
      <c r="H2251">
        <v>12498.74</v>
      </c>
      <c r="I2251">
        <v>3438.89</v>
      </c>
      <c r="J2251">
        <v>0</v>
      </c>
    </row>
    <row r="2252" spans="1:10" x14ac:dyDescent="0.35">
      <c r="A2252">
        <v>323411</v>
      </c>
      <c r="B2252" t="s">
        <v>20</v>
      </c>
      <c r="C2252">
        <v>2015</v>
      </c>
      <c r="D2252">
        <v>4</v>
      </c>
      <c r="E2252" t="s">
        <v>6</v>
      </c>
      <c r="F2252" t="s">
        <v>6</v>
      </c>
      <c r="G2252" t="s">
        <v>6</v>
      </c>
      <c r="H2252">
        <v>12553.64</v>
      </c>
      <c r="I2252">
        <v>3251.95</v>
      </c>
      <c r="J2252">
        <v>0</v>
      </c>
    </row>
    <row r="2253" spans="1:10" x14ac:dyDescent="0.35">
      <c r="A2253">
        <v>323423</v>
      </c>
      <c r="B2253" t="s">
        <v>20</v>
      </c>
      <c r="C2253">
        <v>2015</v>
      </c>
      <c r="D2253">
        <v>4</v>
      </c>
      <c r="E2253" t="s">
        <v>6</v>
      </c>
      <c r="F2253" t="s">
        <v>6</v>
      </c>
      <c r="G2253" t="s">
        <v>6</v>
      </c>
      <c r="H2253">
        <v>5185.68</v>
      </c>
      <c r="I2253">
        <v>6285.13</v>
      </c>
      <c r="J2253">
        <v>1</v>
      </c>
    </row>
    <row r="2254" spans="1:10" x14ac:dyDescent="0.35">
      <c r="A2254">
        <v>323425</v>
      </c>
      <c r="B2254" t="s">
        <v>20</v>
      </c>
      <c r="C2254">
        <v>2015</v>
      </c>
      <c r="D2254">
        <v>4</v>
      </c>
      <c r="E2254" t="s">
        <v>6</v>
      </c>
      <c r="F2254" t="s">
        <v>6</v>
      </c>
      <c r="G2254" t="s">
        <v>6</v>
      </c>
      <c r="H2254">
        <v>16895.919999999998</v>
      </c>
      <c r="I2254">
        <v>4058.3</v>
      </c>
      <c r="J2254">
        <v>0</v>
      </c>
    </row>
    <row r="2255" spans="1:10" x14ac:dyDescent="0.35">
      <c r="A2255">
        <v>323428</v>
      </c>
      <c r="B2255" t="s">
        <v>20</v>
      </c>
      <c r="C2255">
        <v>2015</v>
      </c>
      <c r="D2255">
        <v>4</v>
      </c>
      <c r="E2255" t="s">
        <v>6</v>
      </c>
      <c r="F2255" t="s">
        <v>6</v>
      </c>
      <c r="G2255" t="s">
        <v>6</v>
      </c>
      <c r="H2255">
        <v>19000.099999999999</v>
      </c>
      <c r="I2255">
        <v>7628.83</v>
      </c>
      <c r="J2255">
        <v>0</v>
      </c>
    </row>
    <row r="2256" spans="1:10" x14ac:dyDescent="0.35">
      <c r="A2256">
        <v>323450</v>
      </c>
      <c r="B2256" t="s">
        <v>20</v>
      </c>
      <c r="C2256">
        <v>2015</v>
      </c>
      <c r="D2256">
        <v>4</v>
      </c>
      <c r="E2256" t="s">
        <v>6</v>
      </c>
      <c r="F2256" t="s">
        <v>6</v>
      </c>
      <c r="G2256" t="s">
        <v>6</v>
      </c>
      <c r="H2256">
        <v>23311.74</v>
      </c>
      <c r="I2256">
        <v>7277.37</v>
      </c>
      <c r="J2256">
        <v>0</v>
      </c>
    </row>
    <row r="2257" spans="1:10" x14ac:dyDescent="0.35">
      <c r="A2257">
        <v>323454</v>
      </c>
      <c r="B2257" t="s">
        <v>20</v>
      </c>
      <c r="C2257">
        <v>2015</v>
      </c>
      <c r="D2257">
        <v>4</v>
      </c>
      <c r="E2257" t="s">
        <v>6</v>
      </c>
      <c r="F2257" t="s">
        <v>6</v>
      </c>
      <c r="G2257" t="s">
        <v>6</v>
      </c>
      <c r="H2257">
        <v>21435.1</v>
      </c>
      <c r="I2257">
        <v>6591.93</v>
      </c>
      <c r="J2257">
        <v>0</v>
      </c>
    </row>
    <row r="2258" spans="1:10" x14ac:dyDescent="0.35">
      <c r="A2258">
        <v>323455</v>
      </c>
      <c r="B2258" t="s">
        <v>20</v>
      </c>
      <c r="C2258">
        <v>2015</v>
      </c>
      <c r="D2258">
        <v>4</v>
      </c>
      <c r="E2258" t="s">
        <v>6</v>
      </c>
      <c r="F2258" t="s">
        <v>6</v>
      </c>
      <c r="G2258" t="s">
        <v>6</v>
      </c>
      <c r="H2258">
        <v>22476.76</v>
      </c>
      <c r="I2258">
        <v>9103.4500000000007</v>
      </c>
      <c r="J2258">
        <v>0</v>
      </c>
    </row>
    <row r="2259" spans="1:10" x14ac:dyDescent="0.35">
      <c r="A2259">
        <v>323459</v>
      </c>
      <c r="B2259" t="s">
        <v>20</v>
      </c>
      <c r="C2259">
        <v>2015</v>
      </c>
      <c r="D2259">
        <v>4</v>
      </c>
      <c r="E2259" t="s">
        <v>6</v>
      </c>
      <c r="F2259" t="s">
        <v>6</v>
      </c>
      <c r="G2259" t="s">
        <v>6</v>
      </c>
      <c r="H2259">
        <v>17155.240000000002</v>
      </c>
      <c r="I2259">
        <v>4321.71</v>
      </c>
      <c r="J2259">
        <v>0</v>
      </c>
    </row>
    <row r="2260" spans="1:10" x14ac:dyDescent="0.35">
      <c r="A2260">
        <v>323463</v>
      </c>
      <c r="B2260" t="s">
        <v>20</v>
      </c>
      <c r="C2260">
        <v>2015</v>
      </c>
      <c r="D2260">
        <v>4</v>
      </c>
      <c r="E2260" t="s">
        <v>6</v>
      </c>
      <c r="F2260" t="s">
        <v>6</v>
      </c>
      <c r="G2260" t="s">
        <v>6</v>
      </c>
      <c r="H2260">
        <v>46889.8</v>
      </c>
      <c r="I2260">
        <v>10103.48</v>
      </c>
      <c r="J2260">
        <v>0</v>
      </c>
    </row>
    <row r="2261" spans="1:10" x14ac:dyDescent="0.35">
      <c r="A2261">
        <v>323468</v>
      </c>
      <c r="B2261" t="s">
        <v>20</v>
      </c>
      <c r="C2261">
        <v>2015</v>
      </c>
      <c r="D2261">
        <v>4</v>
      </c>
      <c r="E2261" t="s">
        <v>6</v>
      </c>
      <c r="F2261" t="s">
        <v>6</v>
      </c>
      <c r="G2261" t="s">
        <v>6</v>
      </c>
      <c r="H2261">
        <v>41575.72</v>
      </c>
      <c r="I2261">
        <v>13809.11</v>
      </c>
      <c r="J2261">
        <v>0</v>
      </c>
    </row>
    <row r="2262" spans="1:10" x14ac:dyDescent="0.35">
      <c r="A2262">
        <v>323471</v>
      </c>
      <c r="B2262" t="s">
        <v>20</v>
      </c>
      <c r="C2262">
        <v>2015</v>
      </c>
      <c r="D2262">
        <v>4</v>
      </c>
      <c r="E2262" t="s">
        <v>6</v>
      </c>
      <c r="F2262" t="s">
        <v>6</v>
      </c>
      <c r="G2262" t="s">
        <v>6</v>
      </c>
      <c r="H2262">
        <v>79098.3</v>
      </c>
      <c r="I2262">
        <v>59730.77</v>
      </c>
      <c r="J2262">
        <v>0</v>
      </c>
    </row>
    <row r="2263" spans="1:10" x14ac:dyDescent="0.35">
      <c r="A2263">
        <v>323479</v>
      </c>
      <c r="B2263" t="s">
        <v>20</v>
      </c>
      <c r="C2263">
        <v>2015</v>
      </c>
      <c r="D2263">
        <v>4</v>
      </c>
      <c r="E2263" t="s">
        <v>6</v>
      </c>
      <c r="F2263" t="s">
        <v>6</v>
      </c>
      <c r="G2263" t="s">
        <v>6</v>
      </c>
      <c r="H2263">
        <v>12357.08</v>
      </c>
      <c r="I2263">
        <v>2894.49</v>
      </c>
      <c r="J2263">
        <v>0</v>
      </c>
    </row>
    <row r="2264" spans="1:10" x14ac:dyDescent="0.35">
      <c r="A2264">
        <v>323480</v>
      </c>
      <c r="B2264" t="s">
        <v>20</v>
      </c>
      <c r="C2264">
        <v>2015</v>
      </c>
      <c r="D2264">
        <v>4</v>
      </c>
      <c r="E2264" t="s">
        <v>6</v>
      </c>
      <c r="F2264" t="s">
        <v>6</v>
      </c>
      <c r="G2264" t="s">
        <v>6</v>
      </c>
      <c r="H2264">
        <v>4231.0200000000004</v>
      </c>
      <c r="I2264">
        <v>4799.18</v>
      </c>
      <c r="J2264">
        <v>1</v>
      </c>
    </row>
    <row r="2265" spans="1:10" x14ac:dyDescent="0.35">
      <c r="A2265">
        <v>323483</v>
      </c>
      <c r="B2265" t="s">
        <v>20</v>
      </c>
      <c r="C2265">
        <v>2015</v>
      </c>
      <c r="D2265">
        <v>4</v>
      </c>
      <c r="E2265" t="s">
        <v>6</v>
      </c>
      <c r="F2265" t="s">
        <v>6</v>
      </c>
      <c r="G2265" t="s">
        <v>6</v>
      </c>
      <c r="H2265">
        <v>13836.18</v>
      </c>
      <c r="I2265">
        <v>3613.5</v>
      </c>
      <c r="J2265">
        <v>0</v>
      </c>
    </row>
    <row r="2266" spans="1:10" x14ac:dyDescent="0.35">
      <c r="A2266">
        <v>323486</v>
      </c>
      <c r="B2266" t="s">
        <v>20</v>
      </c>
      <c r="C2266">
        <v>2015</v>
      </c>
      <c r="D2266">
        <v>4</v>
      </c>
      <c r="E2266" t="s">
        <v>6</v>
      </c>
      <c r="F2266" t="s">
        <v>6</v>
      </c>
      <c r="G2266" t="s">
        <v>6</v>
      </c>
      <c r="H2266">
        <v>12638.66</v>
      </c>
      <c r="I2266">
        <v>3751.35</v>
      </c>
      <c r="J2266">
        <v>0</v>
      </c>
    </row>
    <row r="2267" spans="1:10" x14ac:dyDescent="0.35">
      <c r="A2267">
        <v>323493</v>
      </c>
      <c r="B2267" t="s">
        <v>20</v>
      </c>
      <c r="C2267">
        <v>2015</v>
      </c>
      <c r="D2267">
        <v>4</v>
      </c>
      <c r="E2267" t="s">
        <v>6</v>
      </c>
      <c r="F2267" t="s">
        <v>6</v>
      </c>
      <c r="G2267" t="s">
        <v>6</v>
      </c>
      <c r="H2267">
        <v>2960.32</v>
      </c>
      <c r="I2267">
        <v>3234.89</v>
      </c>
      <c r="J2267">
        <v>1</v>
      </c>
    </row>
    <row r="2268" spans="1:10" x14ac:dyDescent="0.35">
      <c r="A2268">
        <v>323495</v>
      </c>
      <c r="B2268" t="s">
        <v>20</v>
      </c>
      <c r="C2268">
        <v>2015</v>
      </c>
      <c r="D2268">
        <v>4</v>
      </c>
      <c r="E2268" t="s">
        <v>6</v>
      </c>
      <c r="F2268" t="s">
        <v>6</v>
      </c>
      <c r="G2268" t="s">
        <v>6</v>
      </c>
      <c r="H2268">
        <v>56075.4</v>
      </c>
      <c r="I2268">
        <v>15768.23</v>
      </c>
      <c r="J2268">
        <v>0</v>
      </c>
    </row>
    <row r="2269" spans="1:10" x14ac:dyDescent="0.35">
      <c r="A2269">
        <v>323496</v>
      </c>
      <c r="B2269" t="s">
        <v>20</v>
      </c>
      <c r="C2269">
        <v>2015</v>
      </c>
      <c r="D2269">
        <v>4</v>
      </c>
      <c r="E2269" t="s">
        <v>6</v>
      </c>
      <c r="F2269" t="s">
        <v>6</v>
      </c>
      <c r="G2269" t="s">
        <v>6</v>
      </c>
      <c r="H2269">
        <v>31116.560000000001</v>
      </c>
      <c r="I2269">
        <v>16627.87</v>
      </c>
      <c r="J2269">
        <v>0</v>
      </c>
    </row>
    <row r="2270" spans="1:10" x14ac:dyDescent="0.35">
      <c r="A2270">
        <v>323503</v>
      </c>
      <c r="B2270" t="s">
        <v>20</v>
      </c>
      <c r="C2270">
        <v>2015</v>
      </c>
      <c r="D2270">
        <v>4</v>
      </c>
      <c r="E2270" t="s">
        <v>6</v>
      </c>
      <c r="F2270" t="s">
        <v>6</v>
      </c>
      <c r="G2270" t="s">
        <v>6</v>
      </c>
      <c r="H2270">
        <v>77987.179999999993</v>
      </c>
      <c r="I2270">
        <v>42907.5</v>
      </c>
      <c r="J2270">
        <v>0</v>
      </c>
    </row>
    <row r="2271" spans="1:10" x14ac:dyDescent="0.35">
      <c r="A2271">
        <v>323509</v>
      </c>
      <c r="B2271" t="s">
        <v>20</v>
      </c>
      <c r="C2271">
        <v>2015</v>
      </c>
      <c r="D2271">
        <v>4</v>
      </c>
      <c r="E2271" t="s">
        <v>6</v>
      </c>
      <c r="F2271" t="s">
        <v>6</v>
      </c>
      <c r="G2271" t="s">
        <v>6</v>
      </c>
      <c r="H2271">
        <v>12961.16</v>
      </c>
      <c r="I2271">
        <v>3505.04</v>
      </c>
      <c r="J2271">
        <v>0</v>
      </c>
    </row>
    <row r="2272" spans="1:10" x14ac:dyDescent="0.35">
      <c r="A2272">
        <v>323511</v>
      </c>
      <c r="B2272" t="s">
        <v>20</v>
      </c>
      <c r="C2272">
        <v>2015</v>
      </c>
      <c r="D2272">
        <v>4</v>
      </c>
      <c r="E2272" t="s">
        <v>6</v>
      </c>
      <c r="F2272" t="s">
        <v>6</v>
      </c>
      <c r="G2272" t="s">
        <v>6</v>
      </c>
      <c r="H2272">
        <v>6110.98</v>
      </c>
      <c r="I2272">
        <v>1796.72</v>
      </c>
      <c r="J2272">
        <v>0</v>
      </c>
    </row>
    <row r="2273" spans="1:10" x14ac:dyDescent="0.35">
      <c r="A2273">
        <v>323517</v>
      </c>
      <c r="B2273" t="s">
        <v>20</v>
      </c>
      <c r="C2273">
        <v>2015</v>
      </c>
      <c r="D2273">
        <v>4</v>
      </c>
      <c r="E2273" t="s">
        <v>6</v>
      </c>
      <c r="F2273" t="s">
        <v>6</v>
      </c>
      <c r="G2273" t="s">
        <v>6</v>
      </c>
      <c r="H2273">
        <v>36385.24</v>
      </c>
      <c r="I2273">
        <v>8703.6200000000008</v>
      </c>
      <c r="J2273">
        <v>0</v>
      </c>
    </row>
    <row r="2274" spans="1:10" x14ac:dyDescent="0.35">
      <c r="A2274">
        <v>323526</v>
      </c>
      <c r="B2274" t="s">
        <v>20</v>
      </c>
      <c r="C2274">
        <v>2015</v>
      </c>
      <c r="D2274">
        <v>4</v>
      </c>
      <c r="E2274" t="s">
        <v>6</v>
      </c>
      <c r="F2274" t="s">
        <v>6</v>
      </c>
      <c r="G2274" t="s">
        <v>6</v>
      </c>
      <c r="H2274">
        <v>18661.740000000002</v>
      </c>
      <c r="I2274">
        <v>4808.9399999999996</v>
      </c>
      <c r="J2274">
        <v>0</v>
      </c>
    </row>
    <row r="2275" spans="1:10" x14ac:dyDescent="0.35">
      <c r="A2275">
        <v>323527</v>
      </c>
      <c r="B2275" t="s">
        <v>20</v>
      </c>
      <c r="C2275">
        <v>2015</v>
      </c>
      <c r="D2275">
        <v>4</v>
      </c>
      <c r="E2275" t="s">
        <v>6</v>
      </c>
      <c r="F2275" t="s">
        <v>6</v>
      </c>
      <c r="G2275" t="s">
        <v>6</v>
      </c>
      <c r="H2275">
        <v>23515.62</v>
      </c>
      <c r="I2275">
        <v>8254.26</v>
      </c>
      <c r="J2275">
        <v>0</v>
      </c>
    </row>
    <row r="2276" spans="1:10" x14ac:dyDescent="0.35">
      <c r="A2276">
        <v>323534</v>
      </c>
      <c r="B2276" t="s">
        <v>20</v>
      </c>
      <c r="C2276">
        <v>2015</v>
      </c>
      <c r="D2276">
        <v>4</v>
      </c>
      <c r="E2276" t="s">
        <v>6</v>
      </c>
      <c r="F2276" t="s">
        <v>6</v>
      </c>
      <c r="G2276" t="s">
        <v>6</v>
      </c>
      <c r="H2276">
        <v>9016.5</v>
      </c>
      <c r="I2276">
        <v>2479.77</v>
      </c>
      <c r="J2276">
        <v>0</v>
      </c>
    </row>
    <row r="2277" spans="1:10" x14ac:dyDescent="0.35">
      <c r="A2277">
        <v>323538</v>
      </c>
      <c r="B2277" t="s">
        <v>20</v>
      </c>
      <c r="C2277">
        <v>2015</v>
      </c>
      <c r="D2277">
        <v>4</v>
      </c>
      <c r="E2277" t="s">
        <v>6</v>
      </c>
      <c r="F2277" t="s">
        <v>6</v>
      </c>
      <c r="G2277" t="s">
        <v>6</v>
      </c>
      <c r="H2277">
        <v>28267.5</v>
      </c>
      <c r="I2277">
        <v>5214.32</v>
      </c>
      <c r="J2277">
        <v>0</v>
      </c>
    </row>
    <row r="2278" spans="1:10" x14ac:dyDescent="0.35">
      <c r="A2278">
        <v>323542</v>
      </c>
      <c r="B2278" t="s">
        <v>20</v>
      </c>
      <c r="C2278">
        <v>2015</v>
      </c>
      <c r="D2278">
        <v>4</v>
      </c>
      <c r="E2278" t="s">
        <v>6</v>
      </c>
      <c r="F2278" t="s">
        <v>6</v>
      </c>
      <c r="G2278" t="s">
        <v>6</v>
      </c>
      <c r="H2278">
        <v>14467.02</v>
      </c>
      <c r="I2278">
        <v>4316.9799999999996</v>
      </c>
      <c r="J2278">
        <v>0</v>
      </c>
    </row>
    <row r="2279" spans="1:10" x14ac:dyDescent="0.35">
      <c r="A2279">
        <v>323551</v>
      </c>
      <c r="B2279" t="s">
        <v>20</v>
      </c>
      <c r="C2279">
        <v>2015</v>
      </c>
      <c r="D2279">
        <v>4</v>
      </c>
      <c r="E2279" t="s">
        <v>6</v>
      </c>
      <c r="F2279" t="s">
        <v>6</v>
      </c>
      <c r="G2279" t="s">
        <v>6</v>
      </c>
      <c r="H2279">
        <v>20130.46</v>
      </c>
      <c r="I2279">
        <v>8319.3700000000008</v>
      </c>
      <c r="J2279">
        <v>0</v>
      </c>
    </row>
    <row r="2280" spans="1:10" x14ac:dyDescent="0.35">
      <c r="A2280">
        <v>323570</v>
      </c>
      <c r="B2280" t="s">
        <v>20</v>
      </c>
      <c r="C2280">
        <v>2015</v>
      </c>
      <c r="D2280">
        <v>4</v>
      </c>
      <c r="E2280" t="s">
        <v>6</v>
      </c>
      <c r="F2280" t="s">
        <v>6</v>
      </c>
      <c r="G2280" t="s">
        <v>6</v>
      </c>
      <c r="H2280">
        <v>33525.269999999997</v>
      </c>
      <c r="I2280">
        <v>19326.41</v>
      </c>
      <c r="J2280">
        <v>0</v>
      </c>
    </row>
    <row r="2281" spans="1:10" x14ac:dyDescent="0.35">
      <c r="A2281">
        <v>323579</v>
      </c>
      <c r="B2281" t="s">
        <v>20</v>
      </c>
      <c r="C2281">
        <v>2015</v>
      </c>
      <c r="D2281">
        <v>4</v>
      </c>
      <c r="E2281" t="s">
        <v>6</v>
      </c>
      <c r="F2281" t="s">
        <v>6</v>
      </c>
      <c r="G2281" t="s">
        <v>6</v>
      </c>
      <c r="H2281">
        <v>17863.02</v>
      </c>
      <c r="I2281">
        <v>5045.7</v>
      </c>
      <c r="J2281">
        <v>0</v>
      </c>
    </row>
    <row r="2282" spans="1:10" x14ac:dyDescent="0.35">
      <c r="A2282">
        <v>323587</v>
      </c>
      <c r="B2282" t="s">
        <v>20</v>
      </c>
      <c r="C2282">
        <v>2015</v>
      </c>
      <c r="D2282">
        <v>4</v>
      </c>
      <c r="E2282" t="s">
        <v>6</v>
      </c>
      <c r="F2282" t="s">
        <v>6</v>
      </c>
      <c r="G2282" t="s">
        <v>6</v>
      </c>
      <c r="H2282">
        <v>15887.06</v>
      </c>
      <c r="I2282">
        <v>4685.43</v>
      </c>
      <c r="J2282">
        <v>0</v>
      </c>
    </row>
    <row r="2283" spans="1:10" x14ac:dyDescent="0.35">
      <c r="A2283">
        <v>323596</v>
      </c>
      <c r="B2283" t="s">
        <v>20</v>
      </c>
      <c r="C2283">
        <v>2015</v>
      </c>
      <c r="D2283">
        <v>4</v>
      </c>
      <c r="E2283" t="s">
        <v>6</v>
      </c>
      <c r="F2283" t="s">
        <v>6</v>
      </c>
      <c r="G2283" t="s">
        <v>6</v>
      </c>
      <c r="H2283">
        <v>9688.32</v>
      </c>
      <c r="I2283">
        <v>2636.92</v>
      </c>
      <c r="J2283">
        <v>0</v>
      </c>
    </row>
    <row r="2284" spans="1:10" x14ac:dyDescent="0.35">
      <c r="A2284">
        <v>323598</v>
      </c>
      <c r="B2284" t="s">
        <v>20</v>
      </c>
      <c r="C2284">
        <v>2015</v>
      </c>
      <c r="D2284">
        <v>4</v>
      </c>
      <c r="E2284" t="s">
        <v>6</v>
      </c>
      <c r="F2284" t="s">
        <v>6</v>
      </c>
      <c r="G2284" t="s">
        <v>6</v>
      </c>
      <c r="H2284">
        <v>31355.52</v>
      </c>
      <c r="I2284">
        <v>8127.35</v>
      </c>
      <c r="J2284">
        <v>0</v>
      </c>
    </row>
    <row r="2285" spans="1:10" x14ac:dyDescent="0.35">
      <c r="A2285">
        <v>323599</v>
      </c>
      <c r="B2285" t="s">
        <v>20</v>
      </c>
      <c r="C2285">
        <v>2015</v>
      </c>
      <c r="D2285">
        <v>4</v>
      </c>
      <c r="E2285" t="s">
        <v>6</v>
      </c>
      <c r="F2285" t="s">
        <v>6</v>
      </c>
      <c r="G2285" t="s">
        <v>6</v>
      </c>
      <c r="H2285">
        <v>50183.33</v>
      </c>
      <c r="I2285">
        <v>14675.03</v>
      </c>
      <c r="J2285">
        <v>0</v>
      </c>
    </row>
    <row r="2286" spans="1:10" x14ac:dyDescent="0.35">
      <c r="A2286">
        <v>323603</v>
      </c>
      <c r="B2286" t="s">
        <v>20</v>
      </c>
      <c r="C2286">
        <v>2015</v>
      </c>
      <c r="D2286">
        <v>4</v>
      </c>
      <c r="E2286" t="s">
        <v>6</v>
      </c>
      <c r="F2286" t="s">
        <v>6</v>
      </c>
      <c r="G2286" t="s">
        <v>6</v>
      </c>
      <c r="H2286">
        <v>48455.06</v>
      </c>
      <c r="I2286">
        <v>15682.48</v>
      </c>
      <c r="J2286">
        <v>0</v>
      </c>
    </row>
    <row r="2287" spans="1:10" x14ac:dyDescent="0.35">
      <c r="A2287">
        <v>323609</v>
      </c>
      <c r="B2287" t="s">
        <v>20</v>
      </c>
      <c r="C2287">
        <v>2015</v>
      </c>
      <c r="D2287">
        <v>4</v>
      </c>
      <c r="E2287" t="s">
        <v>6</v>
      </c>
      <c r="F2287" t="s">
        <v>6</v>
      </c>
      <c r="G2287" t="s">
        <v>6</v>
      </c>
      <c r="H2287">
        <v>8984.9</v>
      </c>
      <c r="I2287">
        <v>2573.25</v>
      </c>
      <c r="J2287">
        <v>0</v>
      </c>
    </row>
    <row r="2288" spans="1:10" x14ac:dyDescent="0.35">
      <c r="A2288">
        <v>323610</v>
      </c>
      <c r="B2288" t="s">
        <v>20</v>
      </c>
      <c r="C2288">
        <v>2015</v>
      </c>
      <c r="D2288">
        <v>4</v>
      </c>
      <c r="E2288" t="s">
        <v>6</v>
      </c>
      <c r="F2288" t="s">
        <v>6</v>
      </c>
      <c r="G2288" t="s">
        <v>6</v>
      </c>
      <c r="H2288">
        <v>26323.9</v>
      </c>
      <c r="I2288">
        <v>7968.41</v>
      </c>
      <c r="J2288">
        <v>0</v>
      </c>
    </row>
    <row r="2289" spans="1:10" x14ac:dyDescent="0.35">
      <c r="A2289">
        <v>323612</v>
      </c>
      <c r="B2289" t="s">
        <v>20</v>
      </c>
      <c r="C2289">
        <v>2015</v>
      </c>
      <c r="D2289">
        <v>4</v>
      </c>
      <c r="E2289" t="s">
        <v>6</v>
      </c>
      <c r="F2289" t="s">
        <v>6</v>
      </c>
      <c r="G2289" t="s">
        <v>6</v>
      </c>
      <c r="H2289">
        <v>17341.740000000002</v>
      </c>
      <c r="I2289">
        <v>2779.72</v>
      </c>
      <c r="J2289">
        <v>0</v>
      </c>
    </row>
    <row r="2290" spans="1:10" x14ac:dyDescent="0.35">
      <c r="A2290">
        <v>323615</v>
      </c>
      <c r="B2290" t="s">
        <v>20</v>
      </c>
      <c r="C2290">
        <v>2015</v>
      </c>
      <c r="D2290">
        <v>4</v>
      </c>
      <c r="E2290" t="s">
        <v>6</v>
      </c>
      <c r="F2290" t="s">
        <v>6</v>
      </c>
      <c r="G2290" t="s">
        <v>6</v>
      </c>
      <c r="H2290">
        <v>39764.120000000003</v>
      </c>
      <c r="I2290">
        <v>23930.04</v>
      </c>
      <c r="J2290">
        <v>0</v>
      </c>
    </row>
    <row r="2291" spans="1:10" x14ac:dyDescent="0.35">
      <c r="A2291">
        <v>323618</v>
      </c>
      <c r="B2291" t="s">
        <v>20</v>
      </c>
      <c r="C2291">
        <v>2015</v>
      </c>
      <c r="D2291">
        <v>4</v>
      </c>
      <c r="E2291" t="s">
        <v>6</v>
      </c>
      <c r="F2291" t="s">
        <v>6</v>
      </c>
      <c r="G2291" t="s">
        <v>6</v>
      </c>
      <c r="H2291">
        <v>29630.080000000002</v>
      </c>
      <c r="I2291">
        <v>8574.32</v>
      </c>
      <c r="J2291">
        <v>0</v>
      </c>
    </row>
    <row r="2292" spans="1:10" x14ac:dyDescent="0.35">
      <c r="A2292">
        <v>323619</v>
      </c>
      <c r="B2292" t="s">
        <v>20</v>
      </c>
      <c r="C2292">
        <v>2015</v>
      </c>
      <c r="D2292">
        <v>4</v>
      </c>
      <c r="E2292" t="s">
        <v>6</v>
      </c>
      <c r="F2292" t="s">
        <v>6</v>
      </c>
      <c r="G2292" t="s">
        <v>6</v>
      </c>
      <c r="H2292">
        <v>7910.38</v>
      </c>
      <c r="I2292">
        <v>2094.75</v>
      </c>
      <c r="J2292">
        <v>0</v>
      </c>
    </row>
    <row r="2293" spans="1:10" x14ac:dyDescent="0.35">
      <c r="A2293">
        <v>323627</v>
      </c>
      <c r="B2293" t="s">
        <v>20</v>
      </c>
      <c r="C2293">
        <v>2015</v>
      </c>
      <c r="D2293">
        <v>4</v>
      </c>
      <c r="E2293" t="s">
        <v>6</v>
      </c>
      <c r="F2293" t="s">
        <v>6</v>
      </c>
      <c r="G2293" t="s">
        <v>6</v>
      </c>
      <c r="H2293">
        <v>29464.74</v>
      </c>
      <c r="I2293">
        <v>9227.42</v>
      </c>
      <c r="J2293">
        <v>0</v>
      </c>
    </row>
    <row r="2294" spans="1:10" x14ac:dyDescent="0.35">
      <c r="A2294">
        <v>323628</v>
      </c>
      <c r="B2294" t="s">
        <v>20</v>
      </c>
      <c r="C2294">
        <v>2015</v>
      </c>
      <c r="D2294">
        <v>4</v>
      </c>
      <c r="E2294" t="s">
        <v>6</v>
      </c>
      <c r="F2294" t="s">
        <v>6</v>
      </c>
      <c r="G2294" t="s">
        <v>6</v>
      </c>
      <c r="H2294">
        <v>31280.46</v>
      </c>
      <c r="I2294">
        <v>8482.1299999999992</v>
      </c>
      <c r="J2294">
        <v>0</v>
      </c>
    </row>
    <row r="2295" spans="1:10" x14ac:dyDescent="0.35">
      <c r="A2295">
        <v>323630</v>
      </c>
      <c r="B2295" t="s">
        <v>20</v>
      </c>
      <c r="C2295">
        <v>2015</v>
      </c>
      <c r="D2295">
        <v>4</v>
      </c>
      <c r="E2295" t="s">
        <v>6</v>
      </c>
      <c r="F2295" t="s">
        <v>6</v>
      </c>
      <c r="G2295" t="s">
        <v>6</v>
      </c>
      <c r="H2295">
        <v>8772.1</v>
      </c>
      <c r="I2295">
        <v>2353.7199999999998</v>
      </c>
      <c r="J2295">
        <v>0</v>
      </c>
    </row>
    <row r="2296" spans="1:10" x14ac:dyDescent="0.35">
      <c r="A2296">
        <v>323633</v>
      </c>
      <c r="B2296" t="s">
        <v>20</v>
      </c>
      <c r="C2296">
        <v>2015</v>
      </c>
      <c r="D2296">
        <v>4</v>
      </c>
      <c r="E2296" t="s">
        <v>6</v>
      </c>
      <c r="F2296" t="s">
        <v>6</v>
      </c>
      <c r="G2296" t="s">
        <v>6</v>
      </c>
      <c r="H2296">
        <v>8974.5</v>
      </c>
      <c r="I2296">
        <v>2375.7800000000002</v>
      </c>
      <c r="J2296">
        <v>0</v>
      </c>
    </row>
    <row r="2297" spans="1:10" x14ac:dyDescent="0.35">
      <c r="A2297">
        <v>323635</v>
      </c>
      <c r="B2297" t="s">
        <v>20</v>
      </c>
      <c r="C2297">
        <v>2015</v>
      </c>
      <c r="D2297">
        <v>4</v>
      </c>
      <c r="E2297" t="s">
        <v>6</v>
      </c>
      <c r="F2297" t="s">
        <v>6</v>
      </c>
      <c r="G2297" t="s">
        <v>6</v>
      </c>
      <c r="H2297">
        <v>11365.94</v>
      </c>
      <c r="I2297">
        <v>2967.96</v>
      </c>
      <c r="J2297">
        <v>0</v>
      </c>
    </row>
    <row r="2298" spans="1:10" x14ac:dyDescent="0.35">
      <c r="A2298">
        <v>323652</v>
      </c>
      <c r="B2298" t="s">
        <v>20</v>
      </c>
      <c r="C2298">
        <v>2015</v>
      </c>
      <c r="D2298">
        <v>4</v>
      </c>
      <c r="E2298" t="s">
        <v>6</v>
      </c>
      <c r="F2298" t="s">
        <v>6</v>
      </c>
      <c r="G2298" t="s">
        <v>6</v>
      </c>
      <c r="H2298">
        <v>26295.14</v>
      </c>
      <c r="I2298">
        <v>7440.76</v>
      </c>
      <c r="J2298">
        <v>0</v>
      </c>
    </row>
    <row r="2299" spans="1:10" x14ac:dyDescent="0.35">
      <c r="A2299">
        <v>323655</v>
      </c>
      <c r="B2299" t="s">
        <v>20</v>
      </c>
      <c r="C2299">
        <v>2015</v>
      </c>
      <c r="D2299">
        <v>4</v>
      </c>
      <c r="E2299" t="s">
        <v>6</v>
      </c>
      <c r="F2299" t="s">
        <v>6</v>
      </c>
      <c r="G2299" t="s">
        <v>6</v>
      </c>
      <c r="H2299">
        <v>89823.16</v>
      </c>
      <c r="I2299">
        <v>31793.599999999999</v>
      </c>
      <c r="J2299">
        <v>0</v>
      </c>
    </row>
    <row r="2300" spans="1:10" x14ac:dyDescent="0.35">
      <c r="A2300">
        <v>323658</v>
      </c>
      <c r="B2300" t="s">
        <v>20</v>
      </c>
      <c r="C2300">
        <v>2015</v>
      </c>
      <c r="D2300">
        <v>4</v>
      </c>
      <c r="E2300" t="s">
        <v>6</v>
      </c>
      <c r="F2300" t="s">
        <v>6</v>
      </c>
      <c r="G2300" t="s">
        <v>6</v>
      </c>
      <c r="H2300">
        <v>26979.040000000001</v>
      </c>
      <c r="I2300">
        <v>9312.39</v>
      </c>
      <c r="J2300">
        <v>0</v>
      </c>
    </row>
    <row r="2301" spans="1:10" x14ac:dyDescent="0.35">
      <c r="A2301">
        <v>323665</v>
      </c>
      <c r="B2301" t="s">
        <v>20</v>
      </c>
      <c r="C2301">
        <v>2015</v>
      </c>
      <c r="D2301">
        <v>4</v>
      </c>
      <c r="E2301" t="s">
        <v>6</v>
      </c>
      <c r="F2301" t="s">
        <v>6</v>
      </c>
      <c r="G2301" t="s">
        <v>6</v>
      </c>
      <c r="H2301">
        <v>170961.58</v>
      </c>
      <c r="I2301">
        <v>77746.210000000006</v>
      </c>
      <c r="J2301">
        <v>0</v>
      </c>
    </row>
    <row r="2302" spans="1:10" x14ac:dyDescent="0.35">
      <c r="A2302">
        <v>323679</v>
      </c>
      <c r="B2302" t="s">
        <v>20</v>
      </c>
      <c r="C2302">
        <v>2015</v>
      </c>
      <c r="D2302">
        <v>4</v>
      </c>
      <c r="E2302" t="s">
        <v>6</v>
      </c>
      <c r="F2302" t="s">
        <v>6</v>
      </c>
      <c r="G2302" t="s">
        <v>6</v>
      </c>
      <c r="H2302">
        <v>4107.5200000000004</v>
      </c>
      <c r="I2302">
        <v>4768.59</v>
      </c>
      <c r="J2302">
        <v>1</v>
      </c>
    </row>
    <row r="2303" spans="1:10" x14ac:dyDescent="0.35">
      <c r="A2303">
        <v>323682</v>
      </c>
      <c r="B2303" t="s">
        <v>20</v>
      </c>
      <c r="C2303">
        <v>2015</v>
      </c>
      <c r="D2303">
        <v>4</v>
      </c>
      <c r="E2303" t="s">
        <v>6</v>
      </c>
      <c r="F2303" t="s">
        <v>6</v>
      </c>
      <c r="G2303" t="s">
        <v>6</v>
      </c>
      <c r="H2303">
        <v>17053.240000000002</v>
      </c>
      <c r="I2303">
        <v>4826.96</v>
      </c>
      <c r="J2303">
        <v>0</v>
      </c>
    </row>
    <row r="2304" spans="1:10" x14ac:dyDescent="0.35">
      <c r="A2304">
        <v>323683</v>
      </c>
      <c r="B2304" t="s">
        <v>20</v>
      </c>
      <c r="C2304">
        <v>2015</v>
      </c>
      <c r="D2304">
        <v>4</v>
      </c>
      <c r="E2304" t="s">
        <v>6</v>
      </c>
      <c r="F2304" t="s">
        <v>6</v>
      </c>
      <c r="G2304" t="s">
        <v>6</v>
      </c>
      <c r="H2304">
        <v>14689.86</v>
      </c>
      <c r="I2304">
        <v>3693.79</v>
      </c>
      <c r="J2304">
        <v>0</v>
      </c>
    </row>
    <row r="2305" spans="1:10" x14ac:dyDescent="0.35">
      <c r="A2305">
        <v>323690</v>
      </c>
      <c r="B2305" t="s">
        <v>20</v>
      </c>
      <c r="C2305">
        <v>2015</v>
      </c>
      <c r="D2305">
        <v>4</v>
      </c>
      <c r="E2305" t="s">
        <v>6</v>
      </c>
      <c r="F2305" t="s">
        <v>6</v>
      </c>
      <c r="G2305" t="s">
        <v>6</v>
      </c>
      <c r="H2305">
        <v>18744.32</v>
      </c>
      <c r="I2305">
        <v>5763.42</v>
      </c>
      <c r="J2305">
        <v>0</v>
      </c>
    </row>
    <row r="2306" spans="1:10" x14ac:dyDescent="0.35">
      <c r="A2306">
        <v>323692</v>
      </c>
      <c r="B2306" t="s">
        <v>20</v>
      </c>
      <c r="C2306">
        <v>2015</v>
      </c>
      <c r="D2306">
        <v>4</v>
      </c>
      <c r="E2306" t="s">
        <v>6</v>
      </c>
      <c r="F2306" t="s">
        <v>6</v>
      </c>
      <c r="G2306" t="s">
        <v>6</v>
      </c>
      <c r="H2306">
        <v>17211.759999999998</v>
      </c>
      <c r="I2306">
        <v>5457.75</v>
      </c>
      <c r="J2306">
        <v>0</v>
      </c>
    </row>
    <row r="2307" spans="1:10" x14ac:dyDescent="0.35">
      <c r="A2307">
        <v>323694</v>
      </c>
      <c r="B2307" t="s">
        <v>20</v>
      </c>
      <c r="C2307">
        <v>2015</v>
      </c>
      <c r="D2307">
        <v>4</v>
      </c>
      <c r="E2307" t="s">
        <v>6</v>
      </c>
      <c r="F2307" t="s">
        <v>6</v>
      </c>
      <c r="G2307" t="s">
        <v>6</v>
      </c>
      <c r="H2307">
        <v>34680.120000000003</v>
      </c>
      <c r="I2307">
        <v>17384.650000000001</v>
      </c>
      <c r="J2307">
        <v>0</v>
      </c>
    </row>
    <row r="2308" spans="1:10" x14ac:dyDescent="0.35">
      <c r="A2308">
        <v>323700</v>
      </c>
      <c r="B2308" t="s">
        <v>20</v>
      </c>
      <c r="C2308">
        <v>2015</v>
      </c>
      <c r="D2308">
        <v>4</v>
      </c>
      <c r="E2308" t="s">
        <v>6</v>
      </c>
      <c r="F2308" t="s">
        <v>6</v>
      </c>
      <c r="G2308" t="s">
        <v>6</v>
      </c>
      <c r="H2308">
        <v>5177.92</v>
      </c>
      <c r="I2308">
        <v>6283.27</v>
      </c>
      <c r="J2308">
        <v>1</v>
      </c>
    </row>
    <row r="2309" spans="1:10" x14ac:dyDescent="0.35">
      <c r="A2309">
        <v>323702</v>
      </c>
      <c r="B2309" t="s">
        <v>20</v>
      </c>
      <c r="C2309">
        <v>2015</v>
      </c>
      <c r="D2309">
        <v>4</v>
      </c>
      <c r="E2309" t="s">
        <v>6</v>
      </c>
      <c r="F2309" t="s">
        <v>6</v>
      </c>
      <c r="G2309" t="s">
        <v>6</v>
      </c>
      <c r="H2309">
        <v>9438.34</v>
      </c>
      <c r="I2309">
        <v>2675.11</v>
      </c>
      <c r="J2309">
        <v>0</v>
      </c>
    </row>
    <row r="2310" spans="1:10" x14ac:dyDescent="0.35">
      <c r="A2310">
        <v>323706</v>
      </c>
      <c r="B2310" t="s">
        <v>20</v>
      </c>
      <c r="C2310">
        <v>2015</v>
      </c>
      <c r="D2310">
        <v>4</v>
      </c>
      <c r="E2310" t="s">
        <v>6</v>
      </c>
      <c r="F2310" t="s">
        <v>6</v>
      </c>
      <c r="G2310" t="s">
        <v>6</v>
      </c>
      <c r="H2310">
        <v>92049.78</v>
      </c>
      <c r="I2310">
        <v>27299.07</v>
      </c>
      <c r="J2310">
        <v>0</v>
      </c>
    </row>
    <row r="2311" spans="1:10" x14ac:dyDescent="0.35">
      <c r="A2311">
        <v>323707</v>
      </c>
      <c r="B2311" t="s">
        <v>20</v>
      </c>
      <c r="C2311">
        <v>2015</v>
      </c>
      <c r="D2311">
        <v>4</v>
      </c>
      <c r="E2311" t="s">
        <v>6</v>
      </c>
      <c r="F2311" t="s">
        <v>6</v>
      </c>
      <c r="G2311" t="s">
        <v>6</v>
      </c>
      <c r="H2311">
        <v>5177.92</v>
      </c>
      <c r="I2311">
        <v>6283.27</v>
      </c>
      <c r="J2311">
        <v>1</v>
      </c>
    </row>
    <row r="2312" spans="1:10" x14ac:dyDescent="0.35">
      <c r="A2312">
        <v>323708</v>
      </c>
      <c r="B2312" t="s">
        <v>20</v>
      </c>
      <c r="C2312">
        <v>2015</v>
      </c>
      <c r="D2312">
        <v>4</v>
      </c>
      <c r="E2312" t="s">
        <v>6</v>
      </c>
      <c r="F2312" t="s">
        <v>6</v>
      </c>
      <c r="G2312" t="s">
        <v>6</v>
      </c>
      <c r="H2312">
        <v>48380.02</v>
      </c>
      <c r="I2312">
        <v>13516.2</v>
      </c>
      <c r="J2312">
        <v>0</v>
      </c>
    </row>
    <row r="2313" spans="1:10" x14ac:dyDescent="0.35">
      <c r="A2313">
        <v>323720</v>
      </c>
      <c r="B2313" t="s">
        <v>20</v>
      </c>
      <c r="C2313">
        <v>2015</v>
      </c>
      <c r="D2313">
        <v>4</v>
      </c>
      <c r="E2313" t="s">
        <v>6</v>
      </c>
      <c r="F2313" t="s">
        <v>6</v>
      </c>
      <c r="G2313" t="s">
        <v>6</v>
      </c>
      <c r="H2313">
        <v>30765.02</v>
      </c>
      <c r="I2313">
        <v>6184.61</v>
      </c>
      <c r="J2313">
        <v>0</v>
      </c>
    </row>
    <row r="2314" spans="1:10" x14ac:dyDescent="0.35">
      <c r="A2314">
        <v>323722</v>
      </c>
      <c r="B2314" t="s">
        <v>20</v>
      </c>
      <c r="C2314">
        <v>2015</v>
      </c>
      <c r="D2314">
        <v>4</v>
      </c>
      <c r="E2314" t="s">
        <v>6</v>
      </c>
      <c r="F2314" t="s">
        <v>6</v>
      </c>
      <c r="G2314" t="s">
        <v>6</v>
      </c>
      <c r="H2314">
        <v>9005.3799999999992</v>
      </c>
      <c r="I2314">
        <v>2595.64</v>
      </c>
      <c r="J2314">
        <v>0</v>
      </c>
    </row>
    <row r="2315" spans="1:10" x14ac:dyDescent="0.35">
      <c r="A2315">
        <v>323724</v>
      </c>
      <c r="B2315" t="s">
        <v>20</v>
      </c>
      <c r="C2315">
        <v>2015</v>
      </c>
      <c r="D2315">
        <v>4</v>
      </c>
      <c r="E2315" t="s">
        <v>6</v>
      </c>
      <c r="F2315" t="s">
        <v>6</v>
      </c>
      <c r="G2315" t="s">
        <v>6</v>
      </c>
      <c r="H2315">
        <v>26333.52</v>
      </c>
      <c r="I2315">
        <v>6918.71</v>
      </c>
      <c r="J2315">
        <v>0</v>
      </c>
    </row>
    <row r="2316" spans="1:10" x14ac:dyDescent="0.35">
      <c r="A2316">
        <v>323735</v>
      </c>
      <c r="B2316" t="s">
        <v>20</v>
      </c>
      <c r="C2316">
        <v>2015</v>
      </c>
      <c r="D2316">
        <v>4</v>
      </c>
      <c r="E2316" t="s">
        <v>6</v>
      </c>
      <c r="F2316" t="s">
        <v>6</v>
      </c>
      <c r="G2316" t="s">
        <v>6</v>
      </c>
      <c r="H2316">
        <v>14297.62</v>
      </c>
      <c r="I2316">
        <v>4070.22</v>
      </c>
      <c r="J2316">
        <v>0</v>
      </c>
    </row>
    <row r="2317" spans="1:10" x14ac:dyDescent="0.35">
      <c r="A2317">
        <v>323741</v>
      </c>
      <c r="B2317" t="s">
        <v>20</v>
      </c>
      <c r="C2317">
        <v>2015</v>
      </c>
      <c r="D2317">
        <v>4</v>
      </c>
      <c r="E2317" t="s">
        <v>6</v>
      </c>
      <c r="F2317" t="s">
        <v>6</v>
      </c>
      <c r="G2317" t="s">
        <v>6</v>
      </c>
      <c r="H2317">
        <v>61352.9</v>
      </c>
      <c r="I2317">
        <v>17475.73</v>
      </c>
      <c r="J2317">
        <v>0</v>
      </c>
    </row>
    <row r="2318" spans="1:10" x14ac:dyDescent="0.35">
      <c r="A2318">
        <v>323743</v>
      </c>
      <c r="B2318" t="s">
        <v>20</v>
      </c>
      <c r="C2318">
        <v>2015</v>
      </c>
      <c r="D2318">
        <v>4</v>
      </c>
      <c r="E2318" t="s">
        <v>6</v>
      </c>
      <c r="F2318" t="s">
        <v>6</v>
      </c>
      <c r="G2318" t="s">
        <v>6</v>
      </c>
      <c r="H2318">
        <v>5216.22</v>
      </c>
      <c r="I2318">
        <v>5044.09</v>
      </c>
      <c r="J2318">
        <v>0</v>
      </c>
    </row>
    <row r="2319" spans="1:10" x14ac:dyDescent="0.35">
      <c r="A2319">
        <v>323744</v>
      </c>
      <c r="B2319" t="s">
        <v>20</v>
      </c>
      <c r="C2319">
        <v>2015</v>
      </c>
      <c r="D2319">
        <v>4</v>
      </c>
      <c r="E2319" t="s">
        <v>6</v>
      </c>
      <c r="F2319" t="s">
        <v>6</v>
      </c>
      <c r="G2319" t="s">
        <v>6</v>
      </c>
      <c r="H2319">
        <v>14544.42</v>
      </c>
      <c r="I2319">
        <v>4208.26</v>
      </c>
      <c r="J2319">
        <v>0</v>
      </c>
    </row>
    <row r="2320" spans="1:10" x14ac:dyDescent="0.35">
      <c r="A2320">
        <v>323748</v>
      </c>
      <c r="B2320" t="s">
        <v>20</v>
      </c>
      <c r="C2320">
        <v>2015</v>
      </c>
      <c r="D2320">
        <v>4</v>
      </c>
      <c r="E2320" t="s">
        <v>6</v>
      </c>
      <c r="F2320" t="s">
        <v>6</v>
      </c>
      <c r="G2320" t="s">
        <v>6</v>
      </c>
      <c r="H2320">
        <v>22347.84</v>
      </c>
      <c r="I2320">
        <v>6649.47</v>
      </c>
      <c r="J2320">
        <v>0</v>
      </c>
    </row>
    <row r="2321" spans="1:10" x14ac:dyDescent="0.35">
      <c r="A2321">
        <v>323758</v>
      </c>
      <c r="B2321" t="s">
        <v>20</v>
      </c>
      <c r="C2321">
        <v>2015</v>
      </c>
      <c r="D2321">
        <v>4</v>
      </c>
      <c r="E2321" t="s">
        <v>6</v>
      </c>
      <c r="F2321" t="s">
        <v>6</v>
      </c>
      <c r="G2321" t="s">
        <v>6</v>
      </c>
      <c r="H2321">
        <v>23384.26</v>
      </c>
      <c r="I2321">
        <v>4306.46</v>
      </c>
      <c r="J2321">
        <v>0</v>
      </c>
    </row>
    <row r="2322" spans="1:10" x14ac:dyDescent="0.35">
      <c r="A2322">
        <v>323767</v>
      </c>
      <c r="B2322" t="s">
        <v>20</v>
      </c>
      <c r="C2322">
        <v>2015</v>
      </c>
      <c r="D2322">
        <v>4</v>
      </c>
      <c r="E2322" t="s">
        <v>6</v>
      </c>
      <c r="F2322" t="s">
        <v>6</v>
      </c>
      <c r="G2322" t="s">
        <v>6</v>
      </c>
      <c r="H2322">
        <v>53161.4</v>
      </c>
      <c r="I2322">
        <v>21011.41</v>
      </c>
      <c r="J2322">
        <v>0</v>
      </c>
    </row>
    <row r="2323" spans="1:10" x14ac:dyDescent="0.35">
      <c r="A2323">
        <v>323770</v>
      </c>
      <c r="B2323" t="s">
        <v>20</v>
      </c>
      <c r="C2323">
        <v>2015</v>
      </c>
      <c r="D2323">
        <v>4</v>
      </c>
      <c r="E2323" t="s">
        <v>6</v>
      </c>
      <c r="F2323" t="s">
        <v>6</v>
      </c>
      <c r="G2323" t="s">
        <v>6</v>
      </c>
      <c r="H2323">
        <v>27376.38</v>
      </c>
      <c r="I2323">
        <v>8142.28</v>
      </c>
      <c r="J2323">
        <v>0</v>
      </c>
    </row>
    <row r="2324" spans="1:10" x14ac:dyDescent="0.35">
      <c r="A2324">
        <v>323773</v>
      </c>
      <c r="B2324" t="s">
        <v>20</v>
      </c>
      <c r="C2324">
        <v>2015</v>
      </c>
      <c r="D2324">
        <v>4</v>
      </c>
      <c r="E2324" t="s">
        <v>6</v>
      </c>
      <c r="F2324" t="s">
        <v>6</v>
      </c>
      <c r="G2324" t="s">
        <v>6</v>
      </c>
      <c r="H2324">
        <v>33091.22</v>
      </c>
      <c r="I2324">
        <v>9806.31</v>
      </c>
      <c r="J2324">
        <v>0</v>
      </c>
    </row>
    <row r="2325" spans="1:10" x14ac:dyDescent="0.35">
      <c r="A2325">
        <v>323774</v>
      </c>
      <c r="B2325" t="s">
        <v>20</v>
      </c>
      <c r="C2325">
        <v>2015</v>
      </c>
      <c r="D2325">
        <v>4</v>
      </c>
      <c r="E2325" t="s">
        <v>6</v>
      </c>
      <c r="F2325" t="s">
        <v>6</v>
      </c>
      <c r="G2325" t="s">
        <v>6</v>
      </c>
      <c r="H2325">
        <v>20745.22</v>
      </c>
      <c r="I2325">
        <v>6121.04</v>
      </c>
      <c r="J2325">
        <v>0</v>
      </c>
    </row>
    <row r="2326" spans="1:10" x14ac:dyDescent="0.35">
      <c r="A2326">
        <v>323777</v>
      </c>
      <c r="B2326" t="s">
        <v>20</v>
      </c>
      <c r="C2326">
        <v>2015</v>
      </c>
      <c r="D2326">
        <v>4</v>
      </c>
      <c r="E2326" t="s">
        <v>6</v>
      </c>
      <c r="F2326" t="s">
        <v>6</v>
      </c>
      <c r="G2326" t="s">
        <v>6</v>
      </c>
      <c r="H2326">
        <v>4220.38</v>
      </c>
      <c r="I2326">
        <v>4796.49</v>
      </c>
      <c r="J2326">
        <v>1</v>
      </c>
    </row>
    <row r="2327" spans="1:10" x14ac:dyDescent="0.35">
      <c r="A2327">
        <v>323778</v>
      </c>
      <c r="B2327" t="s">
        <v>20</v>
      </c>
      <c r="C2327">
        <v>2015</v>
      </c>
      <c r="D2327">
        <v>4</v>
      </c>
      <c r="E2327" t="s">
        <v>6</v>
      </c>
      <c r="F2327" t="s">
        <v>6</v>
      </c>
      <c r="G2327" t="s">
        <v>6</v>
      </c>
      <c r="H2327">
        <v>27150.14</v>
      </c>
      <c r="I2327">
        <v>9553.59</v>
      </c>
      <c r="J2327">
        <v>0</v>
      </c>
    </row>
    <row r="2328" spans="1:10" x14ac:dyDescent="0.35">
      <c r="A2328">
        <v>323779</v>
      </c>
      <c r="B2328" t="s">
        <v>20</v>
      </c>
      <c r="C2328">
        <v>2015</v>
      </c>
      <c r="D2328">
        <v>4</v>
      </c>
      <c r="E2328" t="s">
        <v>6</v>
      </c>
      <c r="F2328" t="s">
        <v>6</v>
      </c>
      <c r="G2328" t="s">
        <v>6</v>
      </c>
      <c r="H2328">
        <v>44356.6</v>
      </c>
      <c r="I2328">
        <v>18290.53</v>
      </c>
      <c r="J2328">
        <v>0</v>
      </c>
    </row>
    <row r="2329" spans="1:10" x14ac:dyDescent="0.35">
      <c r="A2329">
        <v>323785</v>
      </c>
      <c r="B2329" t="s">
        <v>20</v>
      </c>
      <c r="C2329">
        <v>2015</v>
      </c>
      <c r="D2329">
        <v>4</v>
      </c>
      <c r="E2329" t="s">
        <v>6</v>
      </c>
      <c r="F2329" t="s">
        <v>6</v>
      </c>
      <c r="G2329" t="s">
        <v>6</v>
      </c>
      <c r="H2329">
        <v>11725.52</v>
      </c>
      <c r="I2329">
        <v>2635.44</v>
      </c>
      <c r="J2329">
        <v>0</v>
      </c>
    </row>
    <row r="2330" spans="1:10" x14ac:dyDescent="0.35">
      <c r="A2330">
        <v>323790</v>
      </c>
      <c r="B2330" t="s">
        <v>20</v>
      </c>
      <c r="C2330">
        <v>2015</v>
      </c>
      <c r="D2330">
        <v>4</v>
      </c>
      <c r="E2330" t="s">
        <v>6</v>
      </c>
      <c r="F2330" t="s">
        <v>6</v>
      </c>
      <c r="G2330" t="s">
        <v>6</v>
      </c>
      <c r="H2330">
        <v>5753.42</v>
      </c>
      <c r="I2330">
        <v>6425.82</v>
      </c>
      <c r="J2330">
        <v>1</v>
      </c>
    </row>
    <row r="2331" spans="1:10" x14ac:dyDescent="0.35">
      <c r="A2331">
        <v>323792</v>
      </c>
      <c r="B2331" t="s">
        <v>20</v>
      </c>
      <c r="C2331">
        <v>2015</v>
      </c>
      <c r="D2331">
        <v>4</v>
      </c>
      <c r="E2331" t="s">
        <v>6</v>
      </c>
      <c r="F2331" t="s">
        <v>6</v>
      </c>
      <c r="G2331" t="s">
        <v>6</v>
      </c>
      <c r="H2331">
        <v>8607.7000000000007</v>
      </c>
      <c r="I2331">
        <v>2471.37</v>
      </c>
      <c r="J2331">
        <v>0</v>
      </c>
    </row>
    <row r="2332" spans="1:10" x14ac:dyDescent="0.35">
      <c r="A2332">
        <v>323796</v>
      </c>
      <c r="B2332" t="s">
        <v>20</v>
      </c>
      <c r="C2332">
        <v>2015</v>
      </c>
      <c r="D2332">
        <v>4</v>
      </c>
      <c r="E2332" t="s">
        <v>6</v>
      </c>
      <c r="F2332" t="s">
        <v>6</v>
      </c>
      <c r="G2332" t="s">
        <v>6</v>
      </c>
      <c r="H2332">
        <v>22335.1</v>
      </c>
      <c r="I2332">
        <v>6202.64</v>
      </c>
      <c r="J2332">
        <v>0</v>
      </c>
    </row>
    <row r="2333" spans="1:10" x14ac:dyDescent="0.35">
      <c r="A2333">
        <v>323798</v>
      </c>
      <c r="B2333" t="s">
        <v>20</v>
      </c>
      <c r="C2333">
        <v>2015</v>
      </c>
      <c r="D2333">
        <v>4</v>
      </c>
      <c r="E2333" t="s">
        <v>6</v>
      </c>
      <c r="F2333" t="s">
        <v>6</v>
      </c>
      <c r="G2333" t="s">
        <v>6</v>
      </c>
      <c r="H2333">
        <v>5845.42</v>
      </c>
      <c r="I2333">
        <v>6448.61</v>
      </c>
      <c r="J2333">
        <v>1</v>
      </c>
    </row>
    <row r="2334" spans="1:10" x14ac:dyDescent="0.35">
      <c r="A2334">
        <v>323801</v>
      </c>
      <c r="B2334" t="s">
        <v>20</v>
      </c>
      <c r="C2334">
        <v>2015</v>
      </c>
      <c r="D2334">
        <v>4</v>
      </c>
      <c r="E2334" t="s">
        <v>6</v>
      </c>
      <c r="F2334" t="s">
        <v>6</v>
      </c>
      <c r="G2334" t="s">
        <v>6</v>
      </c>
      <c r="H2334">
        <v>14511.6</v>
      </c>
      <c r="I2334">
        <v>3765.69</v>
      </c>
      <c r="J2334">
        <v>0</v>
      </c>
    </row>
    <row r="2335" spans="1:10" x14ac:dyDescent="0.35">
      <c r="A2335">
        <v>323808</v>
      </c>
      <c r="B2335" t="s">
        <v>20</v>
      </c>
      <c r="C2335">
        <v>2015</v>
      </c>
      <c r="D2335">
        <v>4</v>
      </c>
      <c r="E2335" t="s">
        <v>6</v>
      </c>
      <c r="F2335" t="s">
        <v>6</v>
      </c>
      <c r="G2335" t="s">
        <v>6</v>
      </c>
      <c r="H2335">
        <v>3627.82</v>
      </c>
      <c r="I2335">
        <v>3400.23</v>
      </c>
      <c r="J2335">
        <v>0</v>
      </c>
    </row>
    <row r="2336" spans="1:10" x14ac:dyDescent="0.35">
      <c r="A2336">
        <v>323815</v>
      </c>
      <c r="B2336" t="s">
        <v>20</v>
      </c>
      <c r="C2336">
        <v>2015</v>
      </c>
      <c r="D2336">
        <v>4</v>
      </c>
      <c r="E2336" t="s">
        <v>6</v>
      </c>
      <c r="F2336" t="s">
        <v>6</v>
      </c>
      <c r="G2336" t="s">
        <v>6</v>
      </c>
      <c r="H2336">
        <v>9791.42</v>
      </c>
      <c r="I2336">
        <v>2676.27</v>
      </c>
      <c r="J2336">
        <v>0</v>
      </c>
    </row>
    <row r="2337" spans="1:10" x14ac:dyDescent="0.35">
      <c r="A2337">
        <v>323816</v>
      </c>
      <c r="B2337" t="s">
        <v>20</v>
      </c>
      <c r="C2337">
        <v>2015</v>
      </c>
      <c r="D2337">
        <v>4</v>
      </c>
      <c r="E2337" t="s">
        <v>6</v>
      </c>
      <c r="F2337" t="s">
        <v>6</v>
      </c>
      <c r="G2337" t="s">
        <v>6</v>
      </c>
      <c r="H2337">
        <v>28141.03</v>
      </c>
      <c r="I2337">
        <v>14040.72</v>
      </c>
      <c r="J2337">
        <v>0</v>
      </c>
    </row>
    <row r="2338" spans="1:10" x14ac:dyDescent="0.35">
      <c r="A2338">
        <v>323817</v>
      </c>
      <c r="B2338" t="s">
        <v>20</v>
      </c>
      <c r="C2338">
        <v>2015</v>
      </c>
      <c r="D2338">
        <v>4</v>
      </c>
      <c r="E2338" t="s">
        <v>6</v>
      </c>
      <c r="F2338" t="s">
        <v>6</v>
      </c>
      <c r="G2338" t="s">
        <v>6</v>
      </c>
      <c r="H2338">
        <v>15727.74</v>
      </c>
      <c r="I2338">
        <v>4698.67</v>
      </c>
      <c r="J2338">
        <v>0</v>
      </c>
    </row>
    <row r="2339" spans="1:10" x14ac:dyDescent="0.35">
      <c r="A2339">
        <v>323821</v>
      </c>
      <c r="B2339" t="s">
        <v>20</v>
      </c>
      <c r="C2339">
        <v>2015</v>
      </c>
      <c r="D2339">
        <v>4</v>
      </c>
      <c r="E2339" t="s">
        <v>6</v>
      </c>
      <c r="F2339" t="s">
        <v>6</v>
      </c>
      <c r="G2339" t="s">
        <v>6</v>
      </c>
      <c r="H2339">
        <v>39431.620000000003</v>
      </c>
      <c r="I2339">
        <v>11118.12</v>
      </c>
      <c r="J2339">
        <v>0</v>
      </c>
    </row>
    <row r="2340" spans="1:10" x14ac:dyDescent="0.35">
      <c r="A2340">
        <v>323824</v>
      </c>
      <c r="B2340" t="s">
        <v>20</v>
      </c>
      <c r="C2340">
        <v>2015</v>
      </c>
      <c r="D2340">
        <v>4</v>
      </c>
      <c r="E2340" t="s">
        <v>6</v>
      </c>
      <c r="F2340" t="s">
        <v>6</v>
      </c>
      <c r="G2340" t="s">
        <v>6</v>
      </c>
      <c r="H2340">
        <v>27559.279999999999</v>
      </c>
      <c r="I2340">
        <v>6670.18</v>
      </c>
      <c r="J2340">
        <v>0</v>
      </c>
    </row>
    <row r="2341" spans="1:10" x14ac:dyDescent="0.35">
      <c r="A2341">
        <v>323830</v>
      </c>
      <c r="B2341" t="s">
        <v>20</v>
      </c>
      <c r="C2341">
        <v>2015</v>
      </c>
      <c r="D2341">
        <v>4</v>
      </c>
      <c r="E2341" t="s">
        <v>6</v>
      </c>
      <c r="F2341" t="s">
        <v>6</v>
      </c>
      <c r="G2341" t="s">
        <v>6</v>
      </c>
      <c r="H2341">
        <v>36263.82</v>
      </c>
      <c r="I2341">
        <v>9190.34</v>
      </c>
      <c r="J2341">
        <v>0</v>
      </c>
    </row>
    <row r="2342" spans="1:10" x14ac:dyDescent="0.35">
      <c r="A2342">
        <v>323840</v>
      </c>
      <c r="B2342" t="s">
        <v>20</v>
      </c>
      <c r="C2342">
        <v>2015</v>
      </c>
      <c r="D2342">
        <v>4</v>
      </c>
      <c r="E2342" t="s">
        <v>6</v>
      </c>
      <c r="F2342" t="s">
        <v>6</v>
      </c>
      <c r="G2342" t="s">
        <v>6</v>
      </c>
      <c r="H2342">
        <v>14817.82</v>
      </c>
      <c r="I2342">
        <v>4306.6899999999996</v>
      </c>
      <c r="J2342">
        <v>0</v>
      </c>
    </row>
    <row r="2343" spans="1:10" x14ac:dyDescent="0.35">
      <c r="A2343">
        <v>323850</v>
      </c>
      <c r="B2343" t="s">
        <v>20</v>
      </c>
      <c r="C2343">
        <v>2015</v>
      </c>
      <c r="D2343">
        <v>4</v>
      </c>
      <c r="E2343" t="s">
        <v>6</v>
      </c>
      <c r="F2343" t="s">
        <v>6</v>
      </c>
      <c r="G2343" t="s">
        <v>6</v>
      </c>
      <c r="H2343">
        <v>22281.74</v>
      </c>
      <c r="I2343">
        <v>5331.18</v>
      </c>
      <c r="J2343">
        <v>0</v>
      </c>
    </row>
    <row r="2344" spans="1:10" x14ac:dyDescent="0.35">
      <c r="A2344">
        <v>323851</v>
      </c>
      <c r="B2344" t="s">
        <v>20</v>
      </c>
      <c r="C2344">
        <v>2015</v>
      </c>
      <c r="D2344">
        <v>4</v>
      </c>
      <c r="E2344" t="s">
        <v>6</v>
      </c>
      <c r="F2344" t="s">
        <v>6</v>
      </c>
      <c r="G2344" t="s">
        <v>6</v>
      </c>
      <c r="H2344">
        <v>12166.72</v>
      </c>
      <c r="I2344">
        <v>2667.74</v>
      </c>
      <c r="J2344">
        <v>0</v>
      </c>
    </row>
    <row r="2345" spans="1:10" x14ac:dyDescent="0.35">
      <c r="A2345">
        <v>323862</v>
      </c>
      <c r="B2345" t="s">
        <v>20</v>
      </c>
      <c r="C2345">
        <v>2015</v>
      </c>
      <c r="D2345">
        <v>4</v>
      </c>
      <c r="E2345" t="s">
        <v>6</v>
      </c>
      <c r="F2345" t="s">
        <v>6</v>
      </c>
      <c r="G2345" t="s">
        <v>6</v>
      </c>
      <c r="H2345">
        <v>43353.82</v>
      </c>
      <c r="I2345">
        <v>13299.02</v>
      </c>
      <c r="J2345">
        <v>0</v>
      </c>
    </row>
    <row r="2346" spans="1:10" x14ac:dyDescent="0.35">
      <c r="A2346">
        <v>323868</v>
      </c>
      <c r="B2346" t="s">
        <v>20</v>
      </c>
      <c r="C2346">
        <v>2015</v>
      </c>
      <c r="D2346">
        <v>4</v>
      </c>
      <c r="E2346" t="s">
        <v>6</v>
      </c>
      <c r="F2346" t="s">
        <v>6</v>
      </c>
      <c r="G2346" t="s">
        <v>6</v>
      </c>
      <c r="H2346">
        <v>25438.47</v>
      </c>
      <c r="I2346">
        <v>14109.67</v>
      </c>
      <c r="J2346">
        <v>0</v>
      </c>
    </row>
    <row r="2347" spans="1:10" x14ac:dyDescent="0.35">
      <c r="A2347">
        <v>323874</v>
      </c>
      <c r="B2347" t="s">
        <v>20</v>
      </c>
      <c r="C2347">
        <v>2015</v>
      </c>
      <c r="D2347">
        <v>4</v>
      </c>
      <c r="E2347" t="s">
        <v>6</v>
      </c>
      <c r="F2347" t="s">
        <v>6</v>
      </c>
      <c r="G2347" t="s">
        <v>6</v>
      </c>
      <c r="H2347">
        <v>22609.360000000001</v>
      </c>
      <c r="I2347">
        <v>6898.4</v>
      </c>
      <c r="J2347">
        <v>0</v>
      </c>
    </row>
    <row r="2348" spans="1:10" x14ac:dyDescent="0.35">
      <c r="A2348">
        <v>323876</v>
      </c>
      <c r="B2348" t="s">
        <v>20</v>
      </c>
      <c r="C2348">
        <v>2015</v>
      </c>
      <c r="D2348">
        <v>4</v>
      </c>
      <c r="E2348" t="s">
        <v>6</v>
      </c>
      <c r="F2348" t="s">
        <v>6</v>
      </c>
      <c r="G2348" t="s">
        <v>6</v>
      </c>
      <c r="H2348">
        <v>63807.66</v>
      </c>
      <c r="I2348">
        <v>23195.42</v>
      </c>
      <c r="J2348">
        <v>0</v>
      </c>
    </row>
    <row r="2349" spans="1:10" x14ac:dyDescent="0.35">
      <c r="A2349">
        <v>323881</v>
      </c>
      <c r="B2349" t="s">
        <v>20</v>
      </c>
      <c r="C2349">
        <v>2015</v>
      </c>
      <c r="D2349">
        <v>4</v>
      </c>
      <c r="E2349" t="s">
        <v>6</v>
      </c>
      <c r="F2349" t="s">
        <v>6</v>
      </c>
      <c r="G2349" t="s">
        <v>6</v>
      </c>
      <c r="H2349">
        <v>46095.66</v>
      </c>
      <c r="I2349">
        <v>12335.79</v>
      </c>
      <c r="J2349">
        <v>0</v>
      </c>
    </row>
    <row r="2350" spans="1:10" x14ac:dyDescent="0.35">
      <c r="A2350">
        <v>323882</v>
      </c>
      <c r="B2350" t="s">
        <v>20</v>
      </c>
      <c r="C2350">
        <v>2015</v>
      </c>
      <c r="D2350">
        <v>4</v>
      </c>
      <c r="E2350" t="s">
        <v>6</v>
      </c>
      <c r="F2350" t="s">
        <v>6</v>
      </c>
      <c r="G2350" t="s">
        <v>6</v>
      </c>
      <c r="H2350">
        <v>29005.200000000001</v>
      </c>
      <c r="I2350">
        <v>8248.4599999999991</v>
      </c>
      <c r="J2350">
        <v>0</v>
      </c>
    </row>
    <row r="2351" spans="1:10" x14ac:dyDescent="0.35">
      <c r="A2351">
        <v>323889</v>
      </c>
      <c r="B2351" t="s">
        <v>20</v>
      </c>
      <c r="C2351">
        <v>2015</v>
      </c>
      <c r="D2351">
        <v>4</v>
      </c>
      <c r="E2351" t="s">
        <v>6</v>
      </c>
      <c r="F2351" t="s">
        <v>6</v>
      </c>
      <c r="G2351" t="s">
        <v>6</v>
      </c>
      <c r="H2351">
        <v>28660.68</v>
      </c>
      <c r="I2351">
        <v>7622.66</v>
      </c>
      <c r="J2351">
        <v>0</v>
      </c>
    </row>
    <row r="2352" spans="1:10" x14ac:dyDescent="0.35">
      <c r="A2352">
        <v>323891</v>
      </c>
      <c r="B2352" t="s">
        <v>20</v>
      </c>
      <c r="C2352">
        <v>2015</v>
      </c>
      <c r="D2352">
        <v>4</v>
      </c>
      <c r="E2352" t="s">
        <v>6</v>
      </c>
      <c r="F2352" t="s">
        <v>6</v>
      </c>
      <c r="G2352" t="s">
        <v>6</v>
      </c>
      <c r="H2352">
        <v>38571.26</v>
      </c>
      <c r="I2352">
        <v>14692.97</v>
      </c>
      <c r="J2352">
        <v>0</v>
      </c>
    </row>
    <row r="2353" spans="1:10" x14ac:dyDescent="0.35">
      <c r="A2353">
        <v>323892</v>
      </c>
      <c r="B2353" t="s">
        <v>20</v>
      </c>
      <c r="C2353">
        <v>2015</v>
      </c>
      <c r="D2353">
        <v>4</v>
      </c>
      <c r="E2353" t="s">
        <v>6</v>
      </c>
      <c r="F2353" t="s">
        <v>6</v>
      </c>
      <c r="G2353" t="s">
        <v>6</v>
      </c>
      <c r="H2353">
        <v>45469.72</v>
      </c>
      <c r="I2353">
        <v>9987.65</v>
      </c>
      <c r="J2353">
        <v>0</v>
      </c>
    </row>
    <row r="2354" spans="1:10" x14ac:dyDescent="0.35">
      <c r="A2354">
        <v>323900</v>
      </c>
      <c r="B2354" t="s">
        <v>20</v>
      </c>
      <c r="C2354">
        <v>2015</v>
      </c>
      <c r="D2354">
        <v>4</v>
      </c>
      <c r="E2354" t="s">
        <v>6</v>
      </c>
      <c r="F2354" t="s">
        <v>6</v>
      </c>
      <c r="G2354" t="s">
        <v>6</v>
      </c>
      <c r="H2354">
        <v>12960.8</v>
      </c>
      <c r="I2354">
        <v>2778.9</v>
      </c>
      <c r="J2354">
        <v>0</v>
      </c>
    </row>
    <row r="2355" spans="1:10" x14ac:dyDescent="0.35">
      <c r="A2355">
        <v>323910</v>
      </c>
      <c r="B2355" t="s">
        <v>20</v>
      </c>
      <c r="C2355">
        <v>2015</v>
      </c>
      <c r="D2355">
        <v>4</v>
      </c>
      <c r="E2355" t="s">
        <v>6</v>
      </c>
      <c r="F2355" t="s">
        <v>6</v>
      </c>
      <c r="G2355" t="s">
        <v>6</v>
      </c>
      <c r="H2355">
        <v>22657.14</v>
      </c>
      <c r="I2355">
        <v>6859.1</v>
      </c>
      <c r="J2355">
        <v>0</v>
      </c>
    </row>
    <row r="2356" spans="1:10" x14ac:dyDescent="0.35">
      <c r="A2356">
        <v>323917</v>
      </c>
      <c r="B2356" t="s">
        <v>20</v>
      </c>
      <c r="C2356">
        <v>2015</v>
      </c>
      <c r="D2356">
        <v>4</v>
      </c>
      <c r="E2356" t="s">
        <v>6</v>
      </c>
      <c r="F2356" t="s">
        <v>6</v>
      </c>
      <c r="G2356" t="s">
        <v>6</v>
      </c>
      <c r="H2356">
        <v>18605.22</v>
      </c>
      <c r="I2356">
        <v>3598.64</v>
      </c>
      <c r="J2356">
        <v>0</v>
      </c>
    </row>
    <row r="2357" spans="1:10" x14ac:dyDescent="0.35">
      <c r="A2357">
        <v>323928</v>
      </c>
      <c r="B2357" t="s">
        <v>20</v>
      </c>
      <c r="C2357">
        <v>2015</v>
      </c>
      <c r="D2357">
        <v>4</v>
      </c>
      <c r="E2357" t="s">
        <v>6</v>
      </c>
      <c r="F2357" t="s">
        <v>6</v>
      </c>
      <c r="G2357" t="s">
        <v>6</v>
      </c>
      <c r="H2357">
        <v>24671.5</v>
      </c>
      <c r="I2357">
        <v>7786.11</v>
      </c>
      <c r="J2357">
        <v>0</v>
      </c>
    </row>
    <row r="2358" spans="1:10" x14ac:dyDescent="0.35">
      <c r="A2358">
        <v>323933</v>
      </c>
      <c r="B2358" t="s">
        <v>20</v>
      </c>
      <c r="C2358">
        <v>2015</v>
      </c>
      <c r="D2358">
        <v>4</v>
      </c>
      <c r="E2358" t="s">
        <v>6</v>
      </c>
      <c r="F2358" t="s">
        <v>6</v>
      </c>
      <c r="G2358" t="s">
        <v>6</v>
      </c>
      <c r="H2358">
        <v>43538.720000000001</v>
      </c>
      <c r="I2358">
        <v>12776.08</v>
      </c>
      <c r="J2358">
        <v>0</v>
      </c>
    </row>
    <row r="2359" spans="1:10" x14ac:dyDescent="0.35">
      <c r="A2359">
        <v>323935</v>
      </c>
      <c r="B2359" t="s">
        <v>20</v>
      </c>
      <c r="C2359">
        <v>2015</v>
      </c>
      <c r="D2359">
        <v>4</v>
      </c>
      <c r="E2359" t="s">
        <v>6</v>
      </c>
      <c r="F2359" t="s">
        <v>6</v>
      </c>
      <c r="G2359" t="s">
        <v>6</v>
      </c>
      <c r="H2359">
        <v>20373.22</v>
      </c>
      <c r="I2359">
        <v>5065.51</v>
      </c>
      <c r="J2359">
        <v>0</v>
      </c>
    </row>
    <row r="2360" spans="1:10" x14ac:dyDescent="0.35">
      <c r="A2360">
        <v>323948</v>
      </c>
      <c r="B2360" t="s">
        <v>20</v>
      </c>
      <c r="C2360">
        <v>2015</v>
      </c>
      <c r="D2360">
        <v>4</v>
      </c>
      <c r="E2360" t="s">
        <v>6</v>
      </c>
      <c r="F2360" t="s">
        <v>6</v>
      </c>
      <c r="G2360" t="s">
        <v>6</v>
      </c>
      <c r="H2360">
        <v>20433.7</v>
      </c>
      <c r="I2360">
        <v>3676.6</v>
      </c>
      <c r="J2360">
        <v>0</v>
      </c>
    </row>
    <row r="2361" spans="1:10" x14ac:dyDescent="0.35">
      <c r="A2361">
        <v>323971</v>
      </c>
      <c r="B2361" t="s">
        <v>20</v>
      </c>
      <c r="C2361">
        <v>2015</v>
      </c>
      <c r="D2361">
        <v>4</v>
      </c>
      <c r="E2361" t="s">
        <v>6</v>
      </c>
      <c r="F2361" t="s">
        <v>6</v>
      </c>
      <c r="G2361" t="s">
        <v>6</v>
      </c>
      <c r="H2361">
        <v>12891.52</v>
      </c>
      <c r="I2361">
        <v>3738.6</v>
      </c>
      <c r="J2361">
        <v>0</v>
      </c>
    </row>
    <row r="2362" spans="1:10" x14ac:dyDescent="0.35">
      <c r="A2362">
        <v>323976</v>
      </c>
      <c r="B2362" t="s">
        <v>20</v>
      </c>
      <c r="C2362">
        <v>2015</v>
      </c>
      <c r="D2362">
        <v>4</v>
      </c>
      <c r="E2362" t="s">
        <v>6</v>
      </c>
      <c r="F2362" t="s">
        <v>6</v>
      </c>
      <c r="G2362" t="s">
        <v>6</v>
      </c>
      <c r="H2362">
        <v>19239.36</v>
      </c>
      <c r="I2362">
        <v>4061.35</v>
      </c>
      <c r="J2362">
        <v>0</v>
      </c>
    </row>
    <row r="2363" spans="1:10" x14ac:dyDescent="0.35">
      <c r="A2363">
        <v>323983</v>
      </c>
      <c r="B2363" t="s">
        <v>20</v>
      </c>
      <c r="C2363">
        <v>2015</v>
      </c>
      <c r="D2363">
        <v>4</v>
      </c>
      <c r="E2363" t="s">
        <v>6</v>
      </c>
      <c r="F2363" t="s">
        <v>6</v>
      </c>
      <c r="G2363" t="s">
        <v>6</v>
      </c>
      <c r="H2363">
        <v>41554.22</v>
      </c>
      <c r="I2363">
        <v>12362.67</v>
      </c>
      <c r="J2363">
        <v>0</v>
      </c>
    </row>
    <row r="2364" spans="1:10" x14ac:dyDescent="0.35">
      <c r="A2364">
        <v>323985</v>
      </c>
      <c r="B2364" t="s">
        <v>20</v>
      </c>
      <c r="C2364">
        <v>2015</v>
      </c>
      <c r="D2364">
        <v>4</v>
      </c>
      <c r="E2364" t="s">
        <v>6</v>
      </c>
      <c r="F2364" t="s">
        <v>6</v>
      </c>
      <c r="G2364" t="s">
        <v>6</v>
      </c>
      <c r="H2364">
        <v>27027.46</v>
      </c>
      <c r="I2364">
        <v>8306.2900000000009</v>
      </c>
      <c r="J2364">
        <v>0</v>
      </c>
    </row>
    <row r="2365" spans="1:10" x14ac:dyDescent="0.35">
      <c r="A2365">
        <v>324001</v>
      </c>
      <c r="B2365" t="s">
        <v>20</v>
      </c>
      <c r="C2365">
        <v>2015</v>
      </c>
      <c r="D2365">
        <v>4</v>
      </c>
      <c r="E2365" t="s">
        <v>6</v>
      </c>
      <c r="F2365" t="s">
        <v>6</v>
      </c>
      <c r="G2365" t="s">
        <v>6</v>
      </c>
      <c r="H2365">
        <v>93688.46</v>
      </c>
      <c r="I2365">
        <v>38003.620000000003</v>
      </c>
      <c r="J2365">
        <v>0</v>
      </c>
    </row>
    <row r="2366" spans="1:10" x14ac:dyDescent="0.35">
      <c r="A2366">
        <v>324004</v>
      </c>
      <c r="B2366" t="s">
        <v>20</v>
      </c>
      <c r="C2366">
        <v>2015</v>
      </c>
      <c r="D2366">
        <v>4</v>
      </c>
      <c r="E2366" t="s">
        <v>6</v>
      </c>
      <c r="F2366" t="s">
        <v>6</v>
      </c>
      <c r="G2366" t="s">
        <v>6</v>
      </c>
      <c r="H2366">
        <v>16380.42</v>
      </c>
      <c r="I2366">
        <v>4241.92</v>
      </c>
      <c r="J2366">
        <v>0</v>
      </c>
    </row>
    <row r="2367" spans="1:10" x14ac:dyDescent="0.35">
      <c r="A2367">
        <v>324006</v>
      </c>
      <c r="B2367" t="s">
        <v>20</v>
      </c>
      <c r="C2367">
        <v>2015</v>
      </c>
      <c r="D2367">
        <v>4</v>
      </c>
      <c r="E2367" t="s">
        <v>6</v>
      </c>
      <c r="F2367" t="s">
        <v>6</v>
      </c>
      <c r="G2367" t="s">
        <v>6</v>
      </c>
      <c r="H2367">
        <v>21581.08</v>
      </c>
      <c r="I2367">
        <v>12371.7</v>
      </c>
      <c r="J2367">
        <v>0</v>
      </c>
    </row>
    <row r="2368" spans="1:10" x14ac:dyDescent="0.35">
      <c r="A2368">
        <v>324009</v>
      </c>
      <c r="B2368" t="s">
        <v>20</v>
      </c>
      <c r="C2368">
        <v>2015</v>
      </c>
      <c r="D2368">
        <v>4</v>
      </c>
      <c r="E2368" t="s">
        <v>6</v>
      </c>
      <c r="F2368" t="s">
        <v>6</v>
      </c>
      <c r="G2368" t="s">
        <v>6</v>
      </c>
      <c r="H2368">
        <v>31627.05</v>
      </c>
      <c r="I2368">
        <v>8615.56</v>
      </c>
      <c r="J2368">
        <v>0</v>
      </c>
    </row>
    <row r="2369" spans="1:10" x14ac:dyDescent="0.35">
      <c r="A2369">
        <v>324012</v>
      </c>
      <c r="B2369" t="s">
        <v>20</v>
      </c>
      <c r="C2369">
        <v>2015</v>
      </c>
      <c r="D2369">
        <v>4</v>
      </c>
      <c r="E2369" t="s">
        <v>6</v>
      </c>
      <c r="F2369" t="s">
        <v>6</v>
      </c>
      <c r="G2369" t="s">
        <v>6</v>
      </c>
      <c r="H2369">
        <v>15560.74</v>
      </c>
      <c r="I2369">
        <v>4592.57</v>
      </c>
      <c r="J2369">
        <v>0</v>
      </c>
    </row>
    <row r="2370" spans="1:10" x14ac:dyDescent="0.35">
      <c r="A2370">
        <v>324022</v>
      </c>
      <c r="B2370" t="s">
        <v>20</v>
      </c>
      <c r="C2370">
        <v>2015</v>
      </c>
      <c r="D2370">
        <v>4</v>
      </c>
      <c r="E2370" t="s">
        <v>6</v>
      </c>
      <c r="F2370" t="s">
        <v>6</v>
      </c>
      <c r="G2370" t="s">
        <v>6</v>
      </c>
      <c r="H2370">
        <v>58914.16</v>
      </c>
      <c r="I2370">
        <v>21182.02</v>
      </c>
      <c r="J2370">
        <v>0</v>
      </c>
    </row>
    <row r="2371" spans="1:10" x14ac:dyDescent="0.35">
      <c r="A2371">
        <v>324025</v>
      </c>
      <c r="B2371" t="s">
        <v>20</v>
      </c>
      <c r="C2371">
        <v>2015</v>
      </c>
      <c r="D2371">
        <v>4</v>
      </c>
      <c r="E2371" t="s">
        <v>6</v>
      </c>
      <c r="F2371" t="s">
        <v>6</v>
      </c>
      <c r="G2371" t="s">
        <v>6</v>
      </c>
      <c r="H2371">
        <v>28423.26</v>
      </c>
      <c r="I2371">
        <v>7140.54</v>
      </c>
      <c r="J2371">
        <v>0</v>
      </c>
    </row>
    <row r="2372" spans="1:10" x14ac:dyDescent="0.35">
      <c r="A2372">
        <v>324026</v>
      </c>
      <c r="B2372" t="s">
        <v>20</v>
      </c>
      <c r="C2372">
        <v>2015</v>
      </c>
      <c r="D2372">
        <v>4</v>
      </c>
      <c r="E2372" t="s">
        <v>6</v>
      </c>
      <c r="F2372" t="s">
        <v>6</v>
      </c>
      <c r="G2372" t="s">
        <v>6</v>
      </c>
      <c r="H2372">
        <v>34678.199999999997</v>
      </c>
      <c r="I2372">
        <v>16710.330000000002</v>
      </c>
      <c r="J2372">
        <v>0</v>
      </c>
    </row>
    <row r="2373" spans="1:10" x14ac:dyDescent="0.35">
      <c r="A2373">
        <v>324044</v>
      </c>
      <c r="B2373" t="s">
        <v>20</v>
      </c>
      <c r="C2373">
        <v>2015</v>
      </c>
      <c r="D2373">
        <v>4</v>
      </c>
      <c r="E2373" t="s">
        <v>6</v>
      </c>
      <c r="F2373" t="s">
        <v>6</v>
      </c>
      <c r="G2373" t="s">
        <v>6</v>
      </c>
      <c r="H2373">
        <v>52890.86</v>
      </c>
      <c r="I2373">
        <v>17443.96</v>
      </c>
      <c r="J2373">
        <v>0</v>
      </c>
    </row>
    <row r="2374" spans="1:10" x14ac:dyDescent="0.35">
      <c r="A2374">
        <v>324048</v>
      </c>
      <c r="B2374" t="s">
        <v>20</v>
      </c>
      <c r="C2374">
        <v>2015</v>
      </c>
      <c r="D2374">
        <v>4</v>
      </c>
      <c r="E2374" t="s">
        <v>6</v>
      </c>
      <c r="F2374" t="s">
        <v>6</v>
      </c>
      <c r="G2374" t="s">
        <v>6</v>
      </c>
      <c r="H2374">
        <v>29982</v>
      </c>
      <c r="I2374">
        <v>9406.48</v>
      </c>
      <c r="J2374">
        <v>0</v>
      </c>
    </row>
    <row r="2375" spans="1:10" x14ac:dyDescent="0.35">
      <c r="A2375">
        <v>324049</v>
      </c>
      <c r="B2375" t="s">
        <v>20</v>
      </c>
      <c r="C2375">
        <v>2015</v>
      </c>
      <c r="D2375">
        <v>4</v>
      </c>
      <c r="E2375" t="s">
        <v>6</v>
      </c>
      <c r="F2375" t="s">
        <v>6</v>
      </c>
      <c r="G2375" t="s">
        <v>6</v>
      </c>
      <c r="H2375">
        <v>63484.04</v>
      </c>
      <c r="I2375">
        <v>19106.45</v>
      </c>
      <c r="J2375">
        <v>0</v>
      </c>
    </row>
    <row r="2376" spans="1:10" x14ac:dyDescent="0.35">
      <c r="A2376">
        <v>324051</v>
      </c>
      <c r="B2376" t="s">
        <v>20</v>
      </c>
      <c r="C2376">
        <v>2015</v>
      </c>
      <c r="D2376">
        <v>4</v>
      </c>
      <c r="E2376" t="s">
        <v>6</v>
      </c>
      <c r="F2376" t="s">
        <v>6</v>
      </c>
      <c r="G2376" t="s">
        <v>6</v>
      </c>
      <c r="H2376">
        <v>109776.13</v>
      </c>
      <c r="I2376">
        <v>78871.649999999994</v>
      </c>
      <c r="J2376">
        <v>0</v>
      </c>
    </row>
    <row r="2377" spans="1:10" x14ac:dyDescent="0.35">
      <c r="A2377">
        <v>324058</v>
      </c>
      <c r="B2377" t="s">
        <v>20</v>
      </c>
      <c r="C2377">
        <v>2015</v>
      </c>
      <c r="D2377">
        <v>4</v>
      </c>
      <c r="E2377" t="s">
        <v>6</v>
      </c>
      <c r="F2377" t="s">
        <v>6</v>
      </c>
      <c r="G2377" t="s">
        <v>6</v>
      </c>
      <c r="H2377">
        <v>28479.34</v>
      </c>
      <c r="I2377">
        <v>8438.44</v>
      </c>
      <c r="J2377">
        <v>0</v>
      </c>
    </row>
    <row r="2378" spans="1:10" x14ac:dyDescent="0.35">
      <c r="A2378">
        <v>324059</v>
      </c>
      <c r="B2378" t="s">
        <v>20</v>
      </c>
      <c r="C2378">
        <v>2015</v>
      </c>
      <c r="D2378">
        <v>4</v>
      </c>
      <c r="E2378" t="s">
        <v>6</v>
      </c>
      <c r="F2378" t="s">
        <v>6</v>
      </c>
      <c r="G2378" t="s">
        <v>6</v>
      </c>
      <c r="H2378">
        <v>26734.14</v>
      </c>
      <c r="I2378">
        <v>10636.78</v>
      </c>
      <c r="J2378">
        <v>0</v>
      </c>
    </row>
    <row r="2379" spans="1:10" x14ac:dyDescent="0.35">
      <c r="A2379">
        <v>324062</v>
      </c>
      <c r="B2379" t="s">
        <v>20</v>
      </c>
      <c r="C2379">
        <v>2015</v>
      </c>
      <c r="D2379">
        <v>4</v>
      </c>
      <c r="E2379" t="s">
        <v>6</v>
      </c>
      <c r="F2379" t="s">
        <v>6</v>
      </c>
      <c r="G2379" t="s">
        <v>6</v>
      </c>
      <c r="H2379">
        <v>178264.44</v>
      </c>
      <c r="I2379">
        <v>70383.08</v>
      </c>
      <c r="J2379">
        <v>0</v>
      </c>
    </row>
    <row r="2380" spans="1:10" x14ac:dyDescent="0.35">
      <c r="A2380">
        <v>324099</v>
      </c>
      <c r="B2380" t="s">
        <v>20</v>
      </c>
      <c r="C2380">
        <v>2015</v>
      </c>
      <c r="D2380">
        <v>4</v>
      </c>
      <c r="E2380" t="s">
        <v>6</v>
      </c>
      <c r="F2380" t="s">
        <v>6</v>
      </c>
      <c r="G2380" t="s">
        <v>6</v>
      </c>
      <c r="H2380">
        <v>24338.7</v>
      </c>
      <c r="I2380">
        <v>9503.07</v>
      </c>
      <c r="J2380">
        <v>0</v>
      </c>
    </row>
    <row r="2381" spans="1:10" x14ac:dyDescent="0.35">
      <c r="A2381">
        <v>324117</v>
      </c>
      <c r="B2381" t="s">
        <v>20</v>
      </c>
      <c r="C2381">
        <v>2015</v>
      </c>
      <c r="D2381">
        <v>4</v>
      </c>
      <c r="E2381" t="s">
        <v>6</v>
      </c>
      <c r="F2381" t="s">
        <v>6</v>
      </c>
      <c r="G2381" t="s">
        <v>6</v>
      </c>
      <c r="H2381">
        <v>17244.32</v>
      </c>
      <c r="I2381">
        <v>4961.63</v>
      </c>
      <c r="J2381">
        <v>0</v>
      </c>
    </row>
    <row r="2382" spans="1:10" x14ac:dyDescent="0.35">
      <c r="A2382">
        <v>324134</v>
      </c>
      <c r="B2382" t="s">
        <v>20</v>
      </c>
      <c r="C2382">
        <v>2015</v>
      </c>
      <c r="D2382">
        <v>4</v>
      </c>
      <c r="E2382" t="s">
        <v>6</v>
      </c>
      <c r="F2382" t="s">
        <v>6</v>
      </c>
      <c r="G2382" t="s">
        <v>6</v>
      </c>
      <c r="H2382">
        <v>43034.52</v>
      </c>
      <c r="I2382">
        <v>28721.77</v>
      </c>
      <c r="J2382">
        <v>0</v>
      </c>
    </row>
    <row r="2383" spans="1:10" x14ac:dyDescent="0.35">
      <c r="A2383">
        <v>324135</v>
      </c>
      <c r="B2383" t="s">
        <v>20</v>
      </c>
      <c r="C2383">
        <v>2015</v>
      </c>
      <c r="D2383">
        <v>4</v>
      </c>
      <c r="E2383" t="s">
        <v>6</v>
      </c>
      <c r="F2383" t="s">
        <v>6</v>
      </c>
      <c r="G2383" t="s">
        <v>6</v>
      </c>
      <c r="H2383">
        <v>29025.42</v>
      </c>
      <c r="I2383">
        <v>10399.85</v>
      </c>
      <c r="J2383">
        <v>0</v>
      </c>
    </row>
    <row r="2384" spans="1:10" x14ac:dyDescent="0.35">
      <c r="A2384">
        <v>324137</v>
      </c>
      <c r="B2384" t="s">
        <v>20</v>
      </c>
      <c r="C2384">
        <v>2015</v>
      </c>
      <c r="D2384">
        <v>4</v>
      </c>
      <c r="E2384" t="s">
        <v>6</v>
      </c>
      <c r="F2384" t="s">
        <v>6</v>
      </c>
      <c r="G2384" t="s">
        <v>6</v>
      </c>
      <c r="H2384">
        <v>24037.42</v>
      </c>
      <c r="I2384">
        <v>6603.52</v>
      </c>
      <c r="J2384">
        <v>0</v>
      </c>
    </row>
    <row r="2385" spans="1:10" x14ac:dyDescent="0.35">
      <c r="A2385">
        <v>324148</v>
      </c>
      <c r="B2385" t="s">
        <v>20</v>
      </c>
      <c r="C2385">
        <v>2015</v>
      </c>
      <c r="D2385">
        <v>4</v>
      </c>
      <c r="E2385" t="s">
        <v>6</v>
      </c>
      <c r="F2385" t="s">
        <v>6</v>
      </c>
      <c r="G2385" t="s">
        <v>6</v>
      </c>
      <c r="H2385">
        <v>20130.78</v>
      </c>
      <c r="I2385">
        <v>4017.79</v>
      </c>
      <c r="J2385">
        <v>0</v>
      </c>
    </row>
    <row r="2386" spans="1:10" x14ac:dyDescent="0.35">
      <c r="A2386">
        <v>324160</v>
      </c>
      <c r="B2386" t="s">
        <v>20</v>
      </c>
      <c r="C2386">
        <v>2015</v>
      </c>
      <c r="D2386">
        <v>4</v>
      </c>
      <c r="E2386" t="s">
        <v>6</v>
      </c>
      <c r="F2386" t="s">
        <v>6</v>
      </c>
      <c r="G2386" t="s">
        <v>6</v>
      </c>
      <c r="H2386">
        <v>54629.58</v>
      </c>
      <c r="I2386">
        <v>16401.03</v>
      </c>
      <c r="J2386">
        <v>0</v>
      </c>
    </row>
    <row r="2387" spans="1:10" x14ac:dyDescent="0.35">
      <c r="A2387">
        <v>324168</v>
      </c>
      <c r="B2387" t="s">
        <v>20</v>
      </c>
      <c r="C2387">
        <v>2015</v>
      </c>
      <c r="D2387">
        <v>4</v>
      </c>
      <c r="E2387" t="s">
        <v>6</v>
      </c>
      <c r="F2387" t="s">
        <v>6</v>
      </c>
      <c r="G2387" t="s">
        <v>6</v>
      </c>
      <c r="H2387">
        <v>22791.9</v>
      </c>
      <c r="I2387">
        <v>10138.92</v>
      </c>
      <c r="J2387">
        <v>0</v>
      </c>
    </row>
    <row r="2388" spans="1:10" x14ac:dyDescent="0.35">
      <c r="A2388">
        <v>324169</v>
      </c>
      <c r="B2388" t="s">
        <v>20</v>
      </c>
      <c r="C2388">
        <v>2015</v>
      </c>
      <c r="D2388">
        <v>4</v>
      </c>
      <c r="E2388" t="s">
        <v>6</v>
      </c>
      <c r="F2388" t="s">
        <v>6</v>
      </c>
      <c r="G2388" t="s">
        <v>6</v>
      </c>
      <c r="H2388">
        <v>34338.46</v>
      </c>
      <c r="I2388">
        <v>8695.92</v>
      </c>
      <c r="J2388">
        <v>0</v>
      </c>
    </row>
    <row r="2389" spans="1:10" x14ac:dyDescent="0.35">
      <c r="A2389">
        <v>324172</v>
      </c>
      <c r="B2389" t="s">
        <v>20</v>
      </c>
      <c r="C2389">
        <v>2015</v>
      </c>
      <c r="D2389">
        <v>4</v>
      </c>
      <c r="E2389" t="s">
        <v>6</v>
      </c>
      <c r="F2389" t="s">
        <v>6</v>
      </c>
      <c r="G2389" t="s">
        <v>6</v>
      </c>
      <c r="H2389">
        <v>162718.06</v>
      </c>
      <c r="I2389">
        <v>81650.12</v>
      </c>
      <c r="J2389">
        <v>0</v>
      </c>
    </row>
    <row r="2390" spans="1:10" x14ac:dyDescent="0.35">
      <c r="A2390">
        <v>324175</v>
      </c>
      <c r="B2390" t="s">
        <v>20</v>
      </c>
      <c r="C2390">
        <v>2015</v>
      </c>
      <c r="D2390">
        <v>4</v>
      </c>
      <c r="E2390" t="s">
        <v>6</v>
      </c>
      <c r="F2390" t="s">
        <v>6</v>
      </c>
      <c r="G2390" t="s">
        <v>6</v>
      </c>
      <c r="H2390">
        <v>25294.46</v>
      </c>
      <c r="I2390">
        <v>7214.51</v>
      </c>
      <c r="J2390">
        <v>0</v>
      </c>
    </row>
    <row r="2391" spans="1:10" x14ac:dyDescent="0.35">
      <c r="A2391">
        <v>324176</v>
      </c>
      <c r="B2391" t="s">
        <v>20</v>
      </c>
      <c r="C2391">
        <v>2015</v>
      </c>
      <c r="D2391">
        <v>4</v>
      </c>
      <c r="E2391" t="s">
        <v>6</v>
      </c>
      <c r="F2391" t="s">
        <v>6</v>
      </c>
      <c r="G2391" t="s">
        <v>6</v>
      </c>
      <c r="H2391">
        <v>26379.439999999999</v>
      </c>
      <c r="I2391">
        <v>7772.02</v>
      </c>
      <c r="J2391">
        <v>0</v>
      </c>
    </row>
    <row r="2392" spans="1:10" x14ac:dyDescent="0.35">
      <c r="A2392">
        <v>324182</v>
      </c>
      <c r="B2392" t="s">
        <v>20</v>
      </c>
      <c r="C2392">
        <v>2015</v>
      </c>
      <c r="D2392">
        <v>4</v>
      </c>
      <c r="E2392" t="s">
        <v>6</v>
      </c>
      <c r="F2392" t="s">
        <v>6</v>
      </c>
      <c r="G2392" t="s">
        <v>6</v>
      </c>
      <c r="H2392">
        <v>27166.84</v>
      </c>
      <c r="I2392">
        <v>13617.61</v>
      </c>
      <c r="J2392">
        <v>0</v>
      </c>
    </row>
    <row r="2393" spans="1:10" x14ac:dyDescent="0.35">
      <c r="A2393">
        <v>324188</v>
      </c>
      <c r="B2393" t="s">
        <v>20</v>
      </c>
      <c r="C2393">
        <v>2015</v>
      </c>
      <c r="D2393">
        <v>4</v>
      </c>
      <c r="E2393" t="s">
        <v>6</v>
      </c>
      <c r="F2393" t="s">
        <v>6</v>
      </c>
      <c r="G2393" t="s">
        <v>6</v>
      </c>
      <c r="H2393">
        <v>155054.64000000001</v>
      </c>
      <c r="I2393">
        <v>76657.06</v>
      </c>
      <c r="J2393">
        <v>0</v>
      </c>
    </row>
    <row r="2394" spans="1:10" x14ac:dyDescent="0.35">
      <c r="A2394">
        <v>324207</v>
      </c>
      <c r="B2394" t="s">
        <v>20</v>
      </c>
      <c r="C2394">
        <v>2015</v>
      </c>
      <c r="D2394">
        <v>4</v>
      </c>
      <c r="E2394" t="s">
        <v>6</v>
      </c>
      <c r="F2394" t="s">
        <v>6</v>
      </c>
      <c r="G2394" t="s">
        <v>6</v>
      </c>
      <c r="H2394">
        <v>9072.1200000000008</v>
      </c>
      <c r="I2394">
        <v>2656.37</v>
      </c>
      <c r="J2394">
        <v>0</v>
      </c>
    </row>
    <row r="2395" spans="1:10" x14ac:dyDescent="0.35">
      <c r="A2395">
        <v>324209</v>
      </c>
      <c r="B2395" t="s">
        <v>20</v>
      </c>
      <c r="C2395">
        <v>2015</v>
      </c>
      <c r="D2395">
        <v>4</v>
      </c>
      <c r="E2395" t="s">
        <v>6</v>
      </c>
      <c r="F2395" t="s">
        <v>6</v>
      </c>
      <c r="G2395" t="s">
        <v>6</v>
      </c>
      <c r="H2395">
        <v>36963.980000000003</v>
      </c>
      <c r="I2395">
        <v>9900.8799999999992</v>
      </c>
      <c r="J2395">
        <v>0</v>
      </c>
    </row>
    <row r="2396" spans="1:10" x14ac:dyDescent="0.35">
      <c r="A2396">
        <v>324215</v>
      </c>
      <c r="B2396" t="s">
        <v>20</v>
      </c>
      <c r="C2396">
        <v>2015</v>
      </c>
      <c r="D2396">
        <v>4</v>
      </c>
      <c r="E2396" t="s">
        <v>6</v>
      </c>
      <c r="F2396" t="s">
        <v>6</v>
      </c>
      <c r="G2396" t="s">
        <v>6</v>
      </c>
      <c r="H2396">
        <v>79039.520000000004</v>
      </c>
      <c r="I2396">
        <v>37590.519999999997</v>
      </c>
      <c r="J2396">
        <v>0</v>
      </c>
    </row>
    <row r="2397" spans="1:10" x14ac:dyDescent="0.35">
      <c r="A2397">
        <v>324217</v>
      </c>
      <c r="B2397" t="s">
        <v>20</v>
      </c>
      <c r="C2397">
        <v>2015</v>
      </c>
      <c r="D2397">
        <v>4</v>
      </c>
      <c r="E2397" t="s">
        <v>6</v>
      </c>
      <c r="F2397" t="s">
        <v>6</v>
      </c>
      <c r="G2397" t="s">
        <v>6</v>
      </c>
      <c r="H2397">
        <v>57862.98</v>
      </c>
      <c r="I2397">
        <v>26952.52</v>
      </c>
      <c r="J2397">
        <v>0</v>
      </c>
    </row>
    <row r="2398" spans="1:10" x14ac:dyDescent="0.35">
      <c r="A2398">
        <v>324222</v>
      </c>
      <c r="B2398" t="s">
        <v>20</v>
      </c>
      <c r="C2398">
        <v>2015</v>
      </c>
      <c r="D2398">
        <v>4</v>
      </c>
      <c r="E2398" t="s">
        <v>6</v>
      </c>
      <c r="F2398" t="s">
        <v>6</v>
      </c>
      <c r="G2398" t="s">
        <v>6</v>
      </c>
      <c r="H2398">
        <v>24414.62</v>
      </c>
      <c r="I2398">
        <v>6733.94</v>
      </c>
      <c r="J2398">
        <v>0</v>
      </c>
    </row>
    <row r="2399" spans="1:10" x14ac:dyDescent="0.35">
      <c r="A2399">
        <v>324227</v>
      </c>
      <c r="B2399" t="s">
        <v>20</v>
      </c>
      <c r="C2399">
        <v>2015</v>
      </c>
      <c r="D2399">
        <v>4</v>
      </c>
      <c r="E2399" t="s">
        <v>6</v>
      </c>
      <c r="F2399" t="s">
        <v>6</v>
      </c>
      <c r="G2399" t="s">
        <v>6</v>
      </c>
      <c r="H2399">
        <v>32846.54</v>
      </c>
      <c r="I2399">
        <v>8647.0400000000009</v>
      </c>
      <c r="J2399">
        <v>0</v>
      </c>
    </row>
    <row r="2400" spans="1:10" x14ac:dyDescent="0.35">
      <c r="A2400">
        <v>324233</v>
      </c>
      <c r="B2400" t="s">
        <v>20</v>
      </c>
      <c r="C2400">
        <v>2015</v>
      </c>
      <c r="D2400">
        <v>4</v>
      </c>
      <c r="E2400" t="s">
        <v>6</v>
      </c>
      <c r="F2400" t="s">
        <v>6</v>
      </c>
      <c r="G2400" t="s">
        <v>6</v>
      </c>
      <c r="H2400">
        <v>43618.18</v>
      </c>
      <c r="I2400">
        <v>14898.13</v>
      </c>
      <c r="J2400">
        <v>0</v>
      </c>
    </row>
    <row r="2401" spans="1:10" x14ac:dyDescent="0.35">
      <c r="A2401">
        <v>324234</v>
      </c>
      <c r="B2401" t="s">
        <v>20</v>
      </c>
      <c r="C2401">
        <v>2015</v>
      </c>
      <c r="D2401">
        <v>4</v>
      </c>
      <c r="E2401" t="s">
        <v>6</v>
      </c>
      <c r="F2401" t="s">
        <v>6</v>
      </c>
      <c r="G2401" t="s">
        <v>6</v>
      </c>
      <c r="H2401">
        <v>23983.439999999999</v>
      </c>
      <c r="I2401">
        <v>7526.71</v>
      </c>
      <c r="J2401">
        <v>0</v>
      </c>
    </row>
    <row r="2402" spans="1:10" x14ac:dyDescent="0.35">
      <c r="A2402">
        <v>324235</v>
      </c>
      <c r="B2402" t="s">
        <v>20</v>
      </c>
      <c r="C2402">
        <v>2015</v>
      </c>
      <c r="D2402">
        <v>4</v>
      </c>
      <c r="E2402" t="s">
        <v>6</v>
      </c>
      <c r="F2402" t="s">
        <v>6</v>
      </c>
      <c r="G2402" t="s">
        <v>6</v>
      </c>
      <c r="H2402">
        <v>29294.720000000001</v>
      </c>
      <c r="I2402">
        <v>8801.11</v>
      </c>
      <c r="J2402">
        <v>0</v>
      </c>
    </row>
    <row r="2403" spans="1:10" x14ac:dyDescent="0.35">
      <c r="A2403">
        <v>324248</v>
      </c>
      <c r="B2403" t="s">
        <v>20</v>
      </c>
      <c r="C2403">
        <v>2015</v>
      </c>
      <c r="D2403">
        <v>4</v>
      </c>
      <c r="E2403" t="s">
        <v>6</v>
      </c>
      <c r="F2403" t="s">
        <v>6</v>
      </c>
      <c r="G2403" t="s">
        <v>6</v>
      </c>
      <c r="H2403">
        <v>9203.06</v>
      </c>
      <c r="I2403">
        <v>2488.58</v>
      </c>
      <c r="J2403">
        <v>0</v>
      </c>
    </row>
    <row r="2404" spans="1:10" x14ac:dyDescent="0.35">
      <c r="A2404">
        <v>324268</v>
      </c>
      <c r="B2404" t="s">
        <v>20</v>
      </c>
      <c r="C2404">
        <v>2015</v>
      </c>
      <c r="D2404">
        <v>4</v>
      </c>
      <c r="E2404" t="s">
        <v>6</v>
      </c>
      <c r="F2404" t="s">
        <v>6</v>
      </c>
      <c r="G2404" t="s">
        <v>6</v>
      </c>
      <c r="H2404">
        <v>29231.34</v>
      </c>
      <c r="I2404">
        <v>9130.77</v>
      </c>
      <c r="J2404">
        <v>0</v>
      </c>
    </row>
    <row r="2405" spans="1:10" x14ac:dyDescent="0.35">
      <c r="A2405">
        <v>324293</v>
      </c>
      <c r="B2405" t="s">
        <v>20</v>
      </c>
      <c r="C2405">
        <v>2015</v>
      </c>
      <c r="D2405">
        <v>4</v>
      </c>
      <c r="E2405" t="s">
        <v>6</v>
      </c>
      <c r="F2405" t="s">
        <v>6</v>
      </c>
      <c r="G2405" t="s">
        <v>6</v>
      </c>
      <c r="H2405">
        <v>7156.12</v>
      </c>
      <c r="I2405">
        <v>2089.56</v>
      </c>
      <c r="J2405">
        <v>0</v>
      </c>
    </row>
    <row r="2406" spans="1:10" x14ac:dyDescent="0.35">
      <c r="A2406">
        <v>324321</v>
      </c>
      <c r="B2406" t="s">
        <v>20</v>
      </c>
      <c r="C2406">
        <v>2015</v>
      </c>
      <c r="D2406">
        <v>4</v>
      </c>
      <c r="E2406" t="s">
        <v>6</v>
      </c>
      <c r="F2406" t="s">
        <v>6</v>
      </c>
      <c r="G2406" t="s">
        <v>6</v>
      </c>
      <c r="H2406">
        <v>13582.06</v>
      </c>
      <c r="I2406">
        <v>2772.14</v>
      </c>
      <c r="J2406">
        <v>0</v>
      </c>
    </row>
    <row r="2407" spans="1:10" x14ac:dyDescent="0.35">
      <c r="A2407">
        <v>324328</v>
      </c>
      <c r="B2407" t="s">
        <v>20</v>
      </c>
      <c r="C2407">
        <v>2015</v>
      </c>
      <c r="D2407">
        <v>4</v>
      </c>
      <c r="E2407" t="s">
        <v>6</v>
      </c>
      <c r="F2407" t="s">
        <v>6</v>
      </c>
      <c r="G2407" t="s">
        <v>6</v>
      </c>
      <c r="H2407">
        <v>36209.18</v>
      </c>
      <c r="I2407">
        <v>10895.72</v>
      </c>
      <c r="J2407">
        <v>0</v>
      </c>
    </row>
    <row r="2408" spans="1:10" x14ac:dyDescent="0.35">
      <c r="A2408">
        <v>324337</v>
      </c>
      <c r="B2408" t="s">
        <v>20</v>
      </c>
      <c r="C2408">
        <v>2015</v>
      </c>
      <c r="D2408">
        <v>4</v>
      </c>
      <c r="E2408" t="s">
        <v>6</v>
      </c>
      <c r="F2408" t="s">
        <v>6</v>
      </c>
      <c r="G2408" t="s">
        <v>6</v>
      </c>
      <c r="H2408">
        <v>27481.8</v>
      </c>
      <c r="I2408">
        <v>8261.1200000000008</v>
      </c>
      <c r="J2408">
        <v>0</v>
      </c>
    </row>
    <row r="2409" spans="1:10" x14ac:dyDescent="0.35">
      <c r="A2409">
        <v>324341</v>
      </c>
      <c r="B2409" t="s">
        <v>20</v>
      </c>
      <c r="C2409">
        <v>2015</v>
      </c>
      <c r="D2409">
        <v>4</v>
      </c>
      <c r="E2409" t="s">
        <v>6</v>
      </c>
      <c r="F2409" t="s">
        <v>6</v>
      </c>
      <c r="G2409" t="s">
        <v>6</v>
      </c>
      <c r="H2409">
        <v>23204.68</v>
      </c>
      <c r="I2409">
        <v>8020.51</v>
      </c>
      <c r="J2409">
        <v>0</v>
      </c>
    </row>
    <row r="2410" spans="1:10" x14ac:dyDescent="0.35">
      <c r="A2410">
        <v>324343</v>
      </c>
      <c r="B2410" t="s">
        <v>20</v>
      </c>
      <c r="C2410">
        <v>2015</v>
      </c>
      <c r="D2410">
        <v>4</v>
      </c>
      <c r="E2410" t="s">
        <v>6</v>
      </c>
      <c r="F2410" t="s">
        <v>6</v>
      </c>
      <c r="G2410" t="s">
        <v>6</v>
      </c>
      <c r="H2410">
        <v>12874.3</v>
      </c>
      <c r="I2410">
        <v>4231.57</v>
      </c>
      <c r="J2410">
        <v>0</v>
      </c>
    </row>
    <row r="2411" spans="1:10" x14ac:dyDescent="0.35">
      <c r="A2411">
        <v>324347</v>
      </c>
      <c r="B2411" t="s">
        <v>20</v>
      </c>
      <c r="C2411">
        <v>2015</v>
      </c>
      <c r="D2411">
        <v>4</v>
      </c>
      <c r="E2411" t="s">
        <v>6</v>
      </c>
      <c r="F2411" t="s">
        <v>6</v>
      </c>
      <c r="G2411" t="s">
        <v>6</v>
      </c>
      <c r="H2411">
        <v>35147.919999999998</v>
      </c>
      <c r="I2411">
        <v>10148.83</v>
      </c>
      <c r="J2411">
        <v>0</v>
      </c>
    </row>
    <row r="2412" spans="1:10" x14ac:dyDescent="0.35">
      <c r="A2412">
        <v>324352</v>
      </c>
      <c r="B2412" t="s">
        <v>20</v>
      </c>
      <c r="C2412">
        <v>2015</v>
      </c>
      <c r="D2412">
        <v>4</v>
      </c>
      <c r="E2412" t="s">
        <v>6</v>
      </c>
      <c r="F2412" t="s">
        <v>6</v>
      </c>
      <c r="G2412" t="s">
        <v>6</v>
      </c>
      <c r="H2412">
        <v>11402.76</v>
      </c>
      <c r="I2412">
        <v>2457.1999999999998</v>
      </c>
      <c r="J2412">
        <v>0</v>
      </c>
    </row>
    <row r="2413" spans="1:10" x14ac:dyDescent="0.35">
      <c r="A2413">
        <v>324361</v>
      </c>
      <c r="B2413" t="s">
        <v>20</v>
      </c>
      <c r="C2413">
        <v>2015</v>
      </c>
      <c r="D2413">
        <v>4</v>
      </c>
      <c r="E2413" t="s">
        <v>6</v>
      </c>
      <c r="F2413" t="s">
        <v>6</v>
      </c>
      <c r="G2413" t="s">
        <v>6</v>
      </c>
      <c r="H2413">
        <v>30792.48</v>
      </c>
      <c r="I2413">
        <v>7505.24</v>
      </c>
      <c r="J2413">
        <v>0</v>
      </c>
    </row>
    <row r="2414" spans="1:10" x14ac:dyDescent="0.35">
      <c r="A2414">
        <v>324385</v>
      </c>
      <c r="B2414" t="s">
        <v>20</v>
      </c>
      <c r="C2414">
        <v>2015</v>
      </c>
      <c r="D2414">
        <v>4</v>
      </c>
      <c r="E2414" t="s">
        <v>6</v>
      </c>
      <c r="F2414" t="s">
        <v>6</v>
      </c>
      <c r="G2414" t="s">
        <v>6</v>
      </c>
      <c r="H2414">
        <v>8383.4</v>
      </c>
      <c r="I2414">
        <v>2194.15</v>
      </c>
      <c r="J2414">
        <v>0</v>
      </c>
    </row>
    <row r="2415" spans="1:10" x14ac:dyDescent="0.35">
      <c r="A2415">
        <v>324398</v>
      </c>
      <c r="B2415" t="s">
        <v>20</v>
      </c>
      <c r="C2415">
        <v>2015</v>
      </c>
      <c r="D2415">
        <v>4</v>
      </c>
      <c r="E2415" t="s">
        <v>6</v>
      </c>
      <c r="F2415" t="s">
        <v>6</v>
      </c>
      <c r="G2415" t="s">
        <v>6</v>
      </c>
      <c r="H2415">
        <v>53611.22</v>
      </c>
      <c r="I2415">
        <v>16001.97</v>
      </c>
      <c r="J2415">
        <v>0</v>
      </c>
    </row>
    <row r="2416" spans="1:10" x14ac:dyDescent="0.35">
      <c r="A2416">
        <v>324403</v>
      </c>
      <c r="B2416" t="s">
        <v>20</v>
      </c>
      <c r="C2416">
        <v>2015</v>
      </c>
      <c r="D2416">
        <v>4</v>
      </c>
      <c r="E2416" t="s">
        <v>6</v>
      </c>
      <c r="F2416" t="s">
        <v>6</v>
      </c>
      <c r="G2416" t="s">
        <v>6</v>
      </c>
      <c r="H2416">
        <v>25026.92</v>
      </c>
      <c r="I2416">
        <v>8336.49</v>
      </c>
      <c r="J2416">
        <v>0</v>
      </c>
    </row>
    <row r="2417" spans="1:10" x14ac:dyDescent="0.35">
      <c r="A2417">
        <v>324405</v>
      </c>
      <c r="B2417" t="s">
        <v>20</v>
      </c>
      <c r="C2417">
        <v>2015</v>
      </c>
      <c r="D2417">
        <v>4</v>
      </c>
      <c r="E2417" t="s">
        <v>6</v>
      </c>
      <c r="F2417" t="s">
        <v>6</v>
      </c>
      <c r="G2417" t="s">
        <v>6</v>
      </c>
      <c r="H2417">
        <v>19408.52</v>
      </c>
      <c r="I2417">
        <v>8578.74</v>
      </c>
      <c r="J2417">
        <v>0</v>
      </c>
    </row>
    <row r="2418" spans="1:10" x14ac:dyDescent="0.35">
      <c r="A2418">
        <v>324413</v>
      </c>
      <c r="B2418" t="s">
        <v>20</v>
      </c>
      <c r="C2418">
        <v>2015</v>
      </c>
      <c r="D2418">
        <v>4</v>
      </c>
      <c r="E2418" t="s">
        <v>6</v>
      </c>
      <c r="F2418" t="s">
        <v>6</v>
      </c>
      <c r="G2418" t="s">
        <v>6</v>
      </c>
      <c r="H2418">
        <v>56921.440000000002</v>
      </c>
      <c r="I2418">
        <v>15219.17</v>
      </c>
      <c r="J2418">
        <v>0</v>
      </c>
    </row>
    <row r="2419" spans="1:10" x14ac:dyDescent="0.35">
      <c r="A2419">
        <v>324419</v>
      </c>
      <c r="B2419" t="s">
        <v>20</v>
      </c>
      <c r="C2419">
        <v>2015</v>
      </c>
      <c r="D2419">
        <v>4</v>
      </c>
      <c r="E2419" t="s">
        <v>6</v>
      </c>
      <c r="F2419" t="s">
        <v>6</v>
      </c>
      <c r="G2419" t="s">
        <v>6</v>
      </c>
      <c r="H2419">
        <v>32982.22</v>
      </c>
      <c r="I2419">
        <v>6874.92</v>
      </c>
      <c r="J2419">
        <v>0</v>
      </c>
    </row>
    <row r="2420" spans="1:10" x14ac:dyDescent="0.35">
      <c r="A2420">
        <v>324427</v>
      </c>
      <c r="B2420" t="s">
        <v>20</v>
      </c>
      <c r="C2420">
        <v>2015</v>
      </c>
      <c r="D2420">
        <v>4</v>
      </c>
      <c r="E2420" t="s">
        <v>6</v>
      </c>
      <c r="F2420" t="s">
        <v>6</v>
      </c>
      <c r="G2420" t="s">
        <v>6</v>
      </c>
      <c r="H2420">
        <v>56294.04</v>
      </c>
      <c r="I2420">
        <v>35865.51</v>
      </c>
      <c r="J2420">
        <v>0</v>
      </c>
    </row>
    <row r="2421" spans="1:10" x14ac:dyDescent="0.35">
      <c r="A2421">
        <v>324447</v>
      </c>
      <c r="B2421" t="s">
        <v>20</v>
      </c>
      <c r="C2421">
        <v>2015</v>
      </c>
      <c r="D2421">
        <v>4</v>
      </c>
      <c r="E2421" t="s">
        <v>6</v>
      </c>
      <c r="F2421" t="s">
        <v>6</v>
      </c>
      <c r="G2421" t="s">
        <v>6</v>
      </c>
      <c r="H2421">
        <v>11055.64</v>
      </c>
      <c r="I2421">
        <v>3031.76</v>
      </c>
      <c r="J2421">
        <v>0</v>
      </c>
    </row>
    <row r="2422" spans="1:10" x14ac:dyDescent="0.35">
      <c r="A2422">
        <v>324448</v>
      </c>
      <c r="B2422" t="s">
        <v>20</v>
      </c>
      <c r="C2422">
        <v>2015</v>
      </c>
      <c r="D2422">
        <v>4</v>
      </c>
      <c r="E2422" t="s">
        <v>6</v>
      </c>
      <c r="F2422" t="s">
        <v>6</v>
      </c>
      <c r="G2422" t="s">
        <v>6</v>
      </c>
      <c r="H2422">
        <v>82566.080000000002</v>
      </c>
      <c r="I2422">
        <v>37557.53</v>
      </c>
      <c r="J2422">
        <v>0</v>
      </c>
    </row>
    <row r="2423" spans="1:10" x14ac:dyDescent="0.35">
      <c r="A2423">
        <v>324456</v>
      </c>
      <c r="B2423" t="s">
        <v>20</v>
      </c>
      <c r="C2423">
        <v>2015</v>
      </c>
      <c r="D2423">
        <v>4</v>
      </c>
      <c r="E2423" t="s">
        <v>6</v>
      </c>
      <c r="F2423" t="s">
        <v>6</v>
      </c>
      <c r="G2423" t="s">
        <v>6</v>
      </c>
      <c r="H2423">
        <v>59649.1</v>
      </c>
      <c r="I2423">
        <v>20176.29</v>
      </c>
      <c r="J2423">
        <v>0</v>
      </c>
    </row>
    <row r="2424" spans="1:10" x14ac:dyDescent="0.35">
      <c r="A2424">
        <v>324457</v>
      </c>
      <c r="B2424" t="s">
        <v>20</v>
      </c>
      <c r="C2424">
        <v>2015</v>
      </c>
      <c r="D2424">
        <v>4</v>
      </c>
      <c r="E2424" t="s">
        <v>6</v>
      </c>
      <c r="F2424" t="s">
        <v>6</v>
      </c>
      <c r="G2424" t="s">
        <v>6</v>
      </c>
      <c r="H2424">
        <v>10026.219999999999</v>
      </c>
      <c r="I2424">
        <v>2309.31</v>
      </c>
      <c r="J2424">
        <v>0</v>
      </c>
    </row>
    <row r="2425" spans="1:10" x14ac:dyDescent="0.35">
      <c r="A2425">
        <v>324459</v>
      </c>
      <c r="B2425" t="s">
        <v>20</v>
      </c>
      <c r="C2425">
        <v>2015</v>
      </c>
      <c r="D2425">
        <v>4</v>
      </c>
      <c r="E2425" t="s">
        <v>6</v>
      </c>
      <c r="F2425" t="s">
        <v>6</v>
      </c>
      <c r="G2425" t="s">
        <v>6</v>
      </c>
      <c r="H2425">
        <v>18370.22</v>
      </c>
      <c r="I2425">
        <v>4909.72</v>
      </c>
      <c r="J2425">
        <v>0</v>
      </c>
    </row>
    <row r="2426" spans="1:10" x14ac:dyDescent="0.35">
      <c r="A2426">
        <v>324466</v>
      </c>
      <c r="B2426" t="s">
        <v>20</v>
      </c>
      <c r="C2426">
        <v>2015</v>
      </c>
      <c r="D2426">
        <v>4</v>
      </c>
      <c r="E2426" t="s">
        <v>6</v>
      </c>
      <c r="F2426" t="s">
        <v>6</v>
      </c>
      <c r="G2426" t="s">
        <v>6</v>
      </c>
      <c r="H2426">
        <v>22074.54</v>
      </c>
      <c r="I2426">
        <v>3469.27</v>
      </c>
      <c r="J2426">
        <v>0</v>
      </c>
    </row>
    <row r="2427" spans="1:10" x14ac:dyDescent="0.35">
      <c r="A2427">
        <v>324472</v>
      </c>
      <c r="B2427" t="s">
        <v>20</v>
      </c>
      <c r="C2427">
        <v>2015</v>
      </c>
      <c r="D2427">
        <v>4</v>
      </c>
      <c r="E2427" t="s">
        <v>6</v>
      </c>
      <c r="F2427" t="s">
        <v>6</v>
      </c>
      <c r="G2427" t="s">
        <v>6</v>
      </c>
      <c r="H2427">
        <v>26792.66</v>
      </c>
      <c r="I2427">
        <v>7253.42</v>
      </c>
      <c r="J2427">
        <v>0</v>
      </c>
    </row>
    <row r="2428" spans="1:10" x14ac:dyDescent="0.35">
      <c r="A2428">
        <v>324481</v>
      </c>
      <c r="B2428" t="s">
        <v>20</v>
      </c>
      <c r="C2428">
        <v>2015</v>
      </c>
      <c r="D2428">
        <v>4</v>
      </c>
      <c r="E2428" t="s">
        <v>6</v>
      </c>
      <c r="F2428" t="s">
        <v>6</v>
      </c>
      <c r="G2428" t="s">
        <v>6</v>
      </c>
      <c r="H2428">
        <v>14335.1</v>
      </c>
      <c r="I2428">
        <v>3348.26</v>
      </c>
      <c r="J2428">
        <v>0</v>
      </c>
    </row>
    <row r="2429" spans="1:10" x14ac:dyDescent="0.35">
      <c r="A2429">
        <v>324483</v>
      </c>
      <c r="B2429" t="s">
        <v>20</v>
      </c>
      <c r="C2429">
        <v>2015</v>
      </c>
      <c r="D2429">
        <v>4</v>
      </c>
      <c r="E2429" t="s">
        <v>6</v>
      </c>
      <c r="F2429" t="s">
        <v>6</v>
      </c>
      <c r="G2429" t="s">
        <v>6</v>
      </c>
      <c r="H2429">
        <v>15882.84</v>
      </c>
      <c r="I2429">
        <v>4544.87</v>
      </c>
      <c r="J2429">
        <v>0</v>
      </c>
    </row>
    <row r="2430" spans="1:10" x14ac:dyDescent="0.35">
      <c r="A2430">
        <v>324484</v>
      </c>
      <c r="B2430" t="s">
        <v>20</v>
      </c>
      <c r="C2430">
        <v>2015</v>
      </c>
      <c r="D2430">
        <v>4</v>
      </c>
      <c r="E2430" t="s">
        <v>6</v>
      </c>
      <c r="F2430" t="s">
        <v>6</v>
      </c>
      <c r="G2430" t="s">
        <v>6</v>
      </c>
      <c r="H2430">
        <v>21640.28</v>
      </c>
      <c r="I2430">
        <v>6446.8</v>
      </c>
      <c r="J2430">
        <v>0</v>
      </c>
    </row>
    <row r="2431" spans="1:10" x14ac:dyDescent="0.35">
      <c r="A2431">
        <v>324488</v>
      </c>
      <c r="B2431" t="s">
        <v>20</v>
      </c>
      <c r="C2431">
        <v>2015</v>
      </c>
      <c r="D2431">
        <v>4</v>
      </c>
      <c r="E2431" t="s">
        <v>6</v>
      </c>
      <c r="F2431" t="s">
        <v>6</v>
      </c>
      <c r="G2431" t="s">
        <v>6</v>
      </c>
      <c r="H2431">
        <v>23166.46</v>
      </c>
      <c r="I2431">
        <v>6346.95</v>
      </c>
      <c r="J2431">
        <v>0</v>
      </c>
    </row>
    <row r="2432" spans="1:10" x14ac:dyDescent="0.35">
      <c r="A2432">
        <v>324490</v>
      </c>
      <c r="B2432" t="s">
        <v>20</v>
      </c>
      <c r="C2432">
        <v>2015</v>
      </c>
      <c r="D2432">
        <v>4</v>
      </c>
      <c r="E2432" t="s">
        <v>6</v>
      </c>
      <c r="F2432" t="s">
        <v>6</v>
      </c>
      <c r="G2432" t="s">
        <v>6</v>
      </c>
      <c r="H2432">
        <v>13771.18</v>
      </c>
      <c r="I2432">
        <v>3090.19</v>
      </c>
      <c r="J2432">
        <v>0</v>
      </c>
    </row>
    <row r="2433" spans="1:10" x14ac:dyDescent="0.35">
      <c r="A2433">
        <v>324502</v>
      </c>
      <c r="B2433" t="s">
        <v>20</v>
      </c>
      <c r="C2433">
        <v>2015</v>
      </c>
      <c r="D2433">
        <v>4</v>
      </c>
      <c r="E2433" t="s">
        <v>6</v>
      </c>
      <c r="F2433" t="s">
        <v>6</v>
      </c>
      <c r="G2433" t="s">
        <v>6</v>
      </c>
      <c r="H2433">
        <v>42122.15</v>
      </c>
      <c r="I2433">
        <v>12857.32</v>
      </c>
      <c r="J2433">
        <v>0</v>
      </c>
    </row>
    <row r="2434" spans="1:10" x14ac:dyDescent="0.35">
      <c r="A2434">
        <v>324520</v>
      </c>
      <c r="B2434" t="s">
        <v>20</v>
      </c>
      <c r="C2434">
        <v>2015</v>
      </c>
      <c r="D2434">
        <v>4</v>
      </c>
      <c r="E2434" t="s">
        <v>6</v>
      </c>
      <c r="F2434" t="s">
        <v>6</v>
      </c>
      <c r="G2434" t="s">
        <v>6</v>
      </c>
      <c r="H2434">
        <v>8697.2000000000007</v>
      </c>
      <c r="I2434">
        <v>2368.25</v>
      </c>
      <c r="J2434">
        <v>0</v>
      </c>
    </row>
    <row r="2435" spans="1:10" x14ac:dyDescent="0.35">
      <c r="A2435">
        <v>324530</v>
      </c>
      <c r="B2435" t="s">
        <v>20</v>
      </c>
      <c r="C2435">
        <v>2015</v>
      </c>
      <c r="D2435">
        <v>4</v>
      </c>
      <c r="E2435" t="s">
        <v>6</v>
      </c>
      <c r="F2435" t="s">
        <v>6</v>
      </c>
      <c r="G2435" t="s">
        <v>6</v>
      </c>
      <c r="H2435">
        <v>37630.5</v>
      </c>
      <c r="I2435">
        <v>11384.82</v>
      </c>
      <c r="J2435">
        <v>0</v>
      </c>
    </row>
    <row r="2436" spans="1:10" x14ac:dyDescent="0.35">
      <c r="A2436">
        <v>324531</v>
      </c>
      <c r="B2436" t="s">
        <v>20</v>
      </c>
      <c r="C2436">
        <v>2015</v>
      </c>
      <c r="D2436">
        <v>4</v>
      </c>
      <c r="E2436" t="s">
        <v>6</v>
      </c>
      <c r="F2436" t="s">
        <v>6</v>
      </c>
      <c r="G2436" t="s">
        <v>6</v>
      </c>
      <c r="H2436">
        <v>23703.06</v>
      </c>
      <c r="I2436">
        <v>6455.71</v>
      </c>
      <c r="J2436">
        <v>0</v>
      </c>
    </row>
    <row r="2437" spans="1:10" x14ac:dyDescent="0.35">
      <c r="A2437">
        <v>324534</v>
      </c>
      <c r="B2437" t="s">
        <v>20</v>
      </c>
      <c r="C2437">
        <v>2015</v>
      </c>
      <c r="D2437">
        <v>4</v>
      </c>
      <c r="E2437" t="s">
        <v>6</v>
      </c>
      <c r="F2437" t="s">
        <v>6</v>
      </c>
      <c r="G2437" t="s">
        <v>6</v>
      </c>
      <c r="H2437">
        <v>23855.16</v>
      </c>
      <c r="I2437">
        <v>10041.65</v>
      </c>
      <c r="J2437">
        <v>0</v>
      </c>
    </row>
    <row r="2438" spans="1:10" x14ac:dyDescent="0.35">
      <c r="A2438">
        <v>324540</v>
      </c>
      <c r="B2438" t="s">
        <v>20</v>
      </c>
      <c r="C2438">
        <v>2015</v>
      </c>
      <c r="D2438">
        <v>4</v>
      </c>
      <c r="E2438" t="s">
        <v>6</v>
      </c>
      <c r="F2438" t="s">
        <v>6</v>
      </c>
      <c r="G2438" t="s">
        <v>6</v>
      </c>
      <c r="H2438">
        <v>25299.9</v>
      </c>
      <c r="I2438">
        <v>6487.68</v>
      </c>
      <c r="J2438">
        <v>0</v>
      </c>
    </row>
    <row r="2439" spans="1:10" x14ac:dyDescent="0.35">
      <c r="A2439">
        <v>324546</v>
      </c>
      <c r="B2439" t="s">
        <v>20</v>
      </c>
      <c r="C2439">
        <v>2015</v>
      </c>
      <c r="D2439">
        <v>4</v>
      </c>
      <c r="E2439" t="s">
        <v>6</v>
      </c>
      <c r="F2439" t="s">
        <v>6</v>
      </c>
      <c r="G2439" t="s">
        <v>6</v>
      </c>
      <c r="H2439">
        <v>9889.42</v>
      </c>
      <c r="I2439">
        <v>2744.37</v>
      </c>
      <c r="J2439">
        <v>0</v>
      </c>
    </row>
    <row r="2440" spans="1:10" x14ac:dyDescent="0.35">
      <c r="A2440">
        <v>324548</v>
      </c>
      <c r="B2440" t="s">
        <v>20</v>
      </c>
      <c r="C2440">
        <v>2015</v>
      </c>
      <c r="D2440">
        <v>4</v>
      </c>
      <c r="E2440" t="s">
        <v>6</v>
      </c>
      <c r="F2440" t="s">
        <v>6</v>
      </c>
      <c r="G2440" t="s">
        <v>6</v>
      </c>
      <c r="H2440">
        <v>9306.1200000000008</v>
      </c>
      <c r="I2440">
        <v>2405.94</v>
      </c>
      <c r="J2440">
        <v>0</v>
      </c>
    </row>
    <row r="2441" spans="1:10" x14ac:dyDescent="0.35">
      <c r="A2441">
        <v>324549</v>
      </c>
      <c r="B2441" t="s">
        <v>20</v>
      </c>
      <c r="C2441">
        <v>2015</v>
      </c>
      <c r="D2441">
        <v>4</v>
      </c>
      <c r="E2441" t="s">
        <v>6</v>
      </c>
      <c r="F2441" t="s">
        <v>6</v>
      </c>
      <c r="G2441" t="s">
        <v>6</v>
      </c>
      <c r="H2441">
        <v>35282.58</v>
      </c>
      <c r="I2441">
        <v>13379.42</v>
      </c>
      <c r="J2441">
        <v>0</v>
      </c>
    </row>
    <row r="2442" spans="1:10" x14ac:dyDescent="0.35">
      <c r="A2442">
        <v>324550</v>
      </c>
      <c r="B2442" t="s">
        <v>20</v>
      </c>
      <c r="C2442">
        <v>2015</v>
      </c>
      <c r="D2442">
        <v>4</v>
      </c>
      <c r="E2442" t="s">
        <v>6</v>
      </c>
      <c r="F2442" t="s">
        <v>6</v>
      </c>
      <c r="G2442" t="s">
        <v>6</v>
      </c>
      <c r="H2442">
        <v>38261.68</v>
      </c>
      <c r="I2442">
        <v>10975.4</v>
      </c>
      <c r="J2442">
        <v>0</v>
      </c>
    </row>
    <row r="2443" spans="1:10" x14ac:dyDescent="0.35">
      <c r="A2443">
        <v>324560</v>
      </c>
      <c r="B2443" t="s">
        <v>20</v>
      </c>
      <c r="C2443">
        <v>2015</v>
      </c>
      <c r="D2443">
        <v>4</v>
      </c>
      <c r="E2443" t="s">
        <v>6</v>
      </c>
      <c r="F2443" t="s">
        <v>6</v>
      </c>
      <c r="G2443" t="s">
        <v>6</v>
      </c>
      <c r="H2443">
        <v>16358.68</v>
      </c>
      <c r="I2443">
        <v>5299.41</v>
      </c>
      <c r="J2443">
        <v>0</v>
      </c>
    </row>
    <row r="2444" spans="1:10" x14ac:dyDescent="0.35">
      <c r="A2444">
        <v>324562</v>
      </c>
      <c r="B2444" t="s">
        <v>20</v>
      </c>
      <c r="C2444">
        <v>2015</v>
      </c>
      <c r="D2444">
        <v>4</v>
      </c>
      <c r="E2444" t="s">
        <v>6</v>
      </c>
      <c r="F2444" t="s">
        <v>6</v>
      </c>
      <c r="G2444" t="s">
        <v>6</v>
      </c>
      <c r="H2444">
        <v>21297.24</v>
      </c>
      <c r="I2444">
        <v>5764.06</v>
      </c>
      <c r="J2444">
        <v>0</v>
      </c>
    </row>
    <row r="2445" spans="1:10" x14ac:dyDescent="0.35">
      <c r="A2445">
        <v>324565</v>
      </c>
      <c r="B2445" t="s">
        <v>20</v>
      </c>
      <c r="C2445">
        <v>2015</v>
      </c>
      <c r="D2445">
        <v>4</v>
      </c>
      <c r="E2445" t="s">
        <v>6</v>
      </c>
      <c r="F2445" t="s">
        <v>6</v>
      </c>
      <c r="G2445" t="s">
        <v>6</v>
      </c>
      <c r="H2445">
        <v>40504.199999999997</v>
      </c>
      <c r="I2445">
        <v>12116.16</v>
      </c>
      <c r="J2445">
        <v>0</v>
      </c>
    </row>
    <row r="2446" spans="1:10" x14ac:dyDescent="0.35">
      <c r="A2446">
        <v>324567</v>
      </c>
      <c r="B2446" t="s">
        <v>20</v>
      </c>
      <c r="C2446">
        <v>2015</v>
      </c>
      <c r="D2446">
        <v>4</v>
      </c>
      <c r="E2446" t="s">
        <v>6</v>
      </c>
      <c r="F2446" t="s">
        <v>6</v>
      </c>
      <c r="G2446" t="s">
        <v>6</v>
      </c>
      <c r="H2446">
        <v>12360.24</v>
      </c>
      <c r="I2446">
        <v>2881.09</v>
      </c>
      <c r="J2446">
        <v>0</v>
      </c>
    </row>
    <row r="2447" spans="1:10" x14ac:dyDescent="0.35">
      <c r="A2447">
        <v>324573</v>
      </c>
      <c r="B2447" t="s">
        <v>20</v>
      </c>
      <c r="C2447">
        <v>2015</v>
      </c>
      <c r="D2447">
        <v>4</v>
      </c>
      <c r="E2447" t="s">
        <v>6</v>
      </c>
      <c r="F2447" t="s">
        <v>6</v>
      </c>
      <c r="G2447" t="s">
        <v>6</v>
      </c>
      <c r="H2447">
        <v>9865.3799999999992</v>
      </c>
      <c r="I2447">
        <v>2612.13</v>
      </c>
      <c r="J2447">
        <v>0</v>
      </c>
    </row>
    <row r="2448" spans="1:10" x14ac:dyDescent="0.35">
      <c r="A2448">
        <v>324574</v>
      </c>
      <c r="B2448" t="s">
        <v>20</v>
      </c>
      <c r="C2448">
        <v>2015</v>
      </c>
      <c r="D2448">
        <v>4</v>
      </c>
      <c r="E2448" t="s">
        <v>6</v>
      </c>
      <c r="F2448" t="s">
        <v>6</v>
      </c>
      <c r="G2448" t="s">
        <v>6</v>
      </c>
      <c r="H2448">
        <v>19131.740000000002</v>
      </c>
      <c r="I2448">
        <v>4418.72</v>
      </c>
      <c r="J2448">
        <v>0</v>
      </c>
    </row>
    <row r="2449" spans="1:10" x14ac:dyDescent="0.35">
      <c r="A2449">
        <v>324582</v>
      </c>
      <c r="B2449" t="s">
        <v>20</v>
      </c>
      <c r="C2449">
        <v>2015</v>
      </c>
      <c r="D2449">
        <v>4</v>
      </c>
      <c r="E2449" t="s">
        <v>6</v>
      </c>
      <c r="F2449" t="s">
        <v>6</v>
      </c>
      <c r="G2449" t="s">
        <v>6</v>
      </c>
      <c r="H2449">
        <v>24465.82</v>
      </c>
      <c r="I2449">
        <v>7737.31</v>
      </c>
      <c r="J2449">
        <v>0</v>
      </c>
    </row>
    <row r="2450" spans="1:10" x14ac:dyDescent="0.35">
      <c r="A2450">
        <v>324587</v>
      </c>
      <c r="B2450" t="s">
        <v>20</v>
      </c>
      <c r="C2450">
        <v>2015</v>
      </c>
      <c r="D2450">
        <v>4</v>
      </c>
      <c r="E2450" t="s">
        <v>6</v>
      </c>
      <c r="F2450" t="s">
        <v>6</v>
      </c>
      <c r="G2450" t="s">
        <v>6</v>
      </c>
      <c r="H2450">
        <v>24611.84</v>
      </c>
      <c r="I2450">
        <v>6399.52</v>
      </c>
      <c r="J2450">
        <v>0</v>
      </c>
    </row>
    <row r="2451" spans="1:10" x14ac:dyDescent="0.35">
      <c r="A2451">
        <v>324588</v>
      </c>
      <c r="B2451" t="s">
        <v>20</v>
      </c>
      <c r="C2451">
        <v>2015</v>
      </c>
      <c r="D2451">
        <v>4</v>
      </c>
      <c r="E2451" t="s">
        <v>6</v>
      </c>
      <c r="F2451" t="s">
        <v>6</v>
      </c>
      <c r="G2451" t="s">
        <v>6</v>
      </c>
      <c r="H2451">
        <v>16795.22</v>
      </c>
      <c r="I2451">
        <v>3517.65</v>
      </c>
      <c r="J2451">
        <v>0</v>
      </c>
    </row>
    <row r="2452" spans="1:10" x14ac:dyDescent="0.35">
      <c r="A2452">
        <v>324589</v>
      </c>
      <c r="B2452" t="s">
        <v>20</v>
      </c>
      <c r="C2452">
        <v>2015</v>
      </c>
      <c r="D2452">
        <v>4</v>
      </c>
      <c r="E2452" t="s">
        <v>6</v>
      </c>
      <c r="F2452" t="s">
        <v>6</v>
      </c>
      <c r="G2452" t="s">
        <v>6</v>
      </c>
      <c r="H2452">
        <v>32319.86</v>
      </c>
      <c r="I2452">
        <v>7573.12</v>
      </c>
      <c r="J2452">
        <v>0</v>
      </c>
    </row>
    <row r="2453" spans="1:10" x14ac:dyDescent="0.35">
      <c r="A2453">
        <v>324608</v>
      </c>
      <c r="B2453" t="s">
        <v>20</v>
      </c>
      <c r="C2453">
        <v>2015</v>
      </c>
      <c r="D2453">
        <v>4</v>
      </c>
      <c r="E2453" t="s">
        <v>6</v>
      </c>
      <c r="F2453" t="s">
        <v>6</v>
      </c>
      <c r="G2453" t="s">
        <v>6</v>
      </c>
      <c r="H2453">
        <v>32870.239999999998</v>
      </c>
      <c r="I2453">
        <v>13204.67</v>
      </c>
      <c r="J2453">
        <v>0</v>
      </c>
    </row>
    <row r="2454" spans="1:10" x14ac:dyDescent="0.35">
      <c r="A2454">
        <v>324631</v>
      </c>
      <c r="B2454" t="s">
        <v>20</v>
      </c>
      <c r="C2454">
        <v>2015</v>
      </c>
      <c r="D2454">
        <v>4</v>
      </c>
      <c r="E2454" t="s">
        <v>6</v>
      </c>
      <c r="F2454" t="s">
        <v>6</v>
      </c>
      <c r="G2454" t="s">
        <v>6</v>
      </c>
      <c r="H2454">
        <v>31635.06</v>
      </c>
      <c r="I2454">
        <v>12661.71</v>
      </c>
      <c r="J2454">
        <v>0</v>
      </c>
    </row>
    <row r="2455" spans="1:10" x14ac:dyDescent="0.35">
      <c r="A2455">
        <v>324636</v>
      </c>
      <c r="B2455" t="s">
        <v>20</v>
      </c>
      <c r="C2455">
        <v>2015</v>
      </c>
      <c r="D2455">
        <v>4</v>
      </c>
      <c r="E2455" t="s">
        <v>6</v>
      </c>
      <c r="F2455" t="s">
        <v>6</v>
      </c>
      <c r="G2455" t="s">
        <v>6</v>
      </c>
      <c r="H2455">
        <v>27055.38</v>
      </c>
      <c r="I2455">
        <v>10915.29</v>
      </c>
      <c r="J2455">
        <v>0</v>
      </c>
    </row>
    <row r="2456" spans="1:10" x14ac:dyDescent="0.35">
      <c r="A2456">
        <v>324638</v>
      </c>
      <c r="B2456" t="s">
        <v>20</v>
      </c>
      <c r="C2456">
        <v>2015</v>
      </c>
      <c r="D2456">
        <v>4</v>
      </c>
      <c r="E2456" t="s">
        <v>6</v>
      </c>
      <c r="F2456" t="s">
        <v>6</v>
      </c>
      <c r="G2456" t="s">
        <v>6</v>
      </c>
      <c r="H2456">
        <v>22540.06</v>
      </c>
      <c r="I2456">
        <v>9608.26</v>
      </c>
      <c r="J2456">
        <v>0</v>
      </c>
    </row>
    <row r="2457" spans="1:10" x14ac:dyDescent="0.35">
      <c r="A2457">
        <v>324645</v>
      </c>
      <c r="B2457" t="s">
        <v>20</v>
      </c>
      <c r="C2457">
        <v>2015</v>
      </c>
      <c r="D2457">
        <v>4</v>
      </c>
      <c r="E2457" t="s">
        <v>6</v>
      </c>
      <c r="F2457" t="s">
        <v>6</v>
      </c>
      <c r="G2457" t="s">
        <v>6</v>
      </c>
      <c r="H2457">
        <v>81200.740000000005</v>
      </c>
      <c r="I2457">
        <v>39309.15</v>
      </c>
      <c r="J2457">
        <v>0</v>
      </c>
    </row>
    <row r="2458" spans="1:10" x14ac:dyDescent="0.35">
      <c r="A2458">
        <v>324655</v>
      </c>
      <c r="B2458" t="s">
        <v>20</v>
      </c>
      <c r="C2458">
        <v>2015</v>
      </c>
      <c r="D2458">
        <v>4</v>
      </c>
      <c r="E2458" t="s">
        <v>6</v>
      </c>
      <c r="F2458" t="s">
        <v>6</v>
      </c>
      <c r="G2458" t="s">
        <v>6</v>
      </c>
      <c r="H2458">
        <v>19834.88</v>
      </c>
      <c r="I2458">
        <v>5474.51</v>
      </c>
      <c r="J2458">
        <v>0</v>
      </c>
    </row>
    <row r="2459" spans="1:10" x14ac:dyDescent="0.35">
      <c r="A2459">
        <v>324667</v>
      </c>
      <c r="B2459" t="s">
        <v>20</v>
      </c>
      <c r="C2459">
        <v>2015</v>
      </c>
      <c r="D2459">
        <v>4</v>
      </c>
      <c r="E2459" t="s">
        <v>6</v>
      </c>
      <c r="F2459" t="s">
        <v>6</v>
      </c>
      <c r="G2459" t="s">
        <v>6</v>
      </c>
      <c r="H2459">
        <v>9911.02</v>
      </c>
      <c r="I2459">
        <v>2273.58</v>
      </c>
      <c r="J2459">
        <v>0</v>
      </c>
    </row>
    <row r="2460" spans="1:10" x14ac:dyDescent="0.35">
      <c r="A2460">
        <v>324672</v>
      </c>
      <c r="B2460" t="s">
        <v>20</v>
      </c>
      <c r="C2460">
        <v>2015</v>
      </c>
      <c r="D2460">
        <v>4</v>
      </c>
      <c r="E2460" t="s">
        <v>6</v>
      </c>
      <c r="F2460" t="s">
        <v>6</v>
      </c>
      <c r="G2460" t="s">
        <v>6</v>
      </c>
      <c r="H2460">
        <v>32797.160000000003</v>
      </c>
      <c r="I2460">
        <v>9145.36</v>
      </c>
      <c r="J2460">
        <v>0</v>
      </c>
    </row>
    <row r="2461" spans="1:10" x14ac:dyDescent="0.35">
      <c r="A2461">
        <v>324673</v>
      </c>
      <c r="B2461" t="s">
        <v>20</v>
      </c>
      <c r="C2461">
        <v>2015</v>
      </c>
      <c r="D2461">
        <v>4</v>
      </c>
      <c r="E2461" t="s">
        <v>6</v>
      </c>
      <c r="F2461" t="s">
        <v>6</v>
      </c>
      <c r="G2461" t="s">
        <v>6</v>
      </c>
      <c r="H2461">
        <v>31095.5</v>
      </c>
      <c r="I2461">
        <v>10764.28</v>
      </c>
      <c r="J2461">
        <v>0</v>
      </c>
    </row>
    <row r="2462" spans="1:10" x14ac:dyDescent="0.35">
      <c r="A2462">
        <v>324677</v>
      </c>
      <c r="B2462" t="s">
        <v>20</v>
      </c>
      <c r="C2462">
        <v>2015</v>
      </c>
      <c r="D2462">
        <v>4</v>
      </c>
      <c r="E2462" t="s">
        <v>6</v>
      </c>
      <c r="F2462" t="s">
        <v>6</v>
      </c>
      <c r="G2462" t="s">
        <v>6</v>
      </c>
      <c r="H2462">
        <v>21736.18</v>
      </c>
      <c r="I2462">
        <v>6988.47</v>
      </c>
      <c r="J2462">
        <v>0</v>
      </c>
    </row>
    <row r="2463" spans="1:10" x14ac:dyDescent="0.35">
      <c r="A2463">
        <v>324682</v>
      </c>
      <c r="B2463" t="s">
        <v>20</v>
      </c>
      <c r="C2463">
        <v>2015</v>
      </c>
      <c r="D2463">
        <v>4</v>
      </c>
      <c r="E2463" t="s">
        <v>6</v>
      </c>
      <c r="F2463" t="s">
        <v>6</v>
      </c>
      <c r="G2463" t="s">
        <v>6</v>
      </c>
      <c r="H2463">
        <v>18708.599999999999</v>
      </c>
      <c r="I2463">
        <v>7125.88</v>
      </c>
      <c r="J2463">
        <v>0</v>
      </c>
    </row>
    <row r="2464" spans="1:10" x14ac:dyDescent="0.35">
      <c r="A2464">
        <v>324683</v>
      </c>
      <c r="B2464" t="s">
        <v>20</v>
      </c>
      <c r="C2464">
        <v>2015</v>
      </c>
      <c r="D2464">
        <v>4</v>
      </c>
      <c r="E2464" t="s">
        <v>6</v>
      </c>
      <c r="F2464" t="s">
        <v>6</v>
      </c>
      <c r="G2464" t="s">
        <v>6</v>
      </c>
      <c r="H2464">
        <v>23297.46</v>
      </c>
      <c r="I2464">
        <v>6225.64</v>
      </c>
      <c r="J2464">
        <v>0</v>
      </c>
    </row>
    <row r="2465" spans="1:10" x14ac:dyDescent="0.35">
      <c r="A2465">
        <v>324696</v>
      </c>
      <c r="B2465" t="s">
        <v>20</v>
      </c>
      <c r="C2465">
        <v>2015</v>
      </c>
      <c r="D2465">
        <v>4</v>
      </c>
      <c r="E2465" t="s">
        <v>6</v>
      </c>
      <c r="F2465" t="s">
        <v>6</v>
      </c>
      <c r="G2465" t="s">
        <v>6</v>
      </c>
      <c r="H2465">
        <v>16541.740000000002</v>
      </c>
      <c r="I2465">
        <v>4670.6400000000003</v>
      </c>
      <c r="J2465">
        <v>0</v>
      </c>
    </row>
    <row r="2466" spans="1:10" x14ac:dyDescent="0.35">
      <c r="A2466">
        <v>324704</v>
      </c>
      <c r="B2466" t="s">
        <v>20</v>
      </c>
      <c r="C2466">
        <v>2015</v>
      </c>
      <c r="D2466">
        <v>4</v>
      </c>
      <c r="E2466" t="s">
        <v>6</v>
      </c>
      <c r="F2466" t="s">
        <v>6</v>
      </c>
      <c r="G2466" t="s">
        <v>6</v>
      </c>
      <c r="H2466">
        <v>20224.48</v>
      </c>
      <c r="I2466">
        <v>4734.34</v>
      </c>
      <c r="J2466">
        <v>0</v>
      </c>
    </row>
    <row r="2467" spans="1:10" x14ac:dyDescent="0.35">
      <c r="A2467">
        <v>324706</v>
      </c>
      <c r="B2467" t="s">
        <v>20</v>
      </c>
      <c r="C2467">
        <v>2015</v>
      </c>
      <c r="D2467">
        <v>4</v>
      </c>
      <c r="E2467" t="s">
        <v>6</v>
      </c>
      <c r="F2467" t="s">
        <v>6</v>
      </c>
      <c r="G2467" t="s">
        <v>6</v>
      </c>
      <c r="H2467">
        <v>14203.72</v>
      </c>
      <c r="I2467">
        <v>3732.53</v>
      </c>
      <c r="J2467">
        <v>0</v>
      </c>
    </row>
    <row r="2468" spans="1:10" x14ac:dyDescent="0.35">
      <c r="A2468">
        <v>324709</v>
      </c>
      <c r="B2468" t="s">
        <v>20</v>
      </c>
      <c r="C2468">
        <v>2015</v>
      </c>
      <c r="D2468">
        <v>4</v>
      </c>
      <c r="E2468" t="s">
        <v>6</v>
      </c>
      <c r="F2468" t="s">
        <v>6</v>
      </c>
      <c r="G2468" t="s">
        <v>6</v>
      </c>
      <c r="H2468">
        <v>26980.5</v>
      </c>
      <c r="I2468">
        <v>6878.82</v>
      </c>
      <c r="J2468">
        <v>0</v>
      </c>
    </row>
    <row r="2469" spans="1:10" x14ac:dyDescent="0.35">
      <c r="A2469">
        <v>324711</v>
      </c>
      <c r="B2469" t="s">
        <v>20</v>
      </c>
      <c r="C2469">
        <v>2015</v>
      </c>
      <c r="D2469">
        <v>4</v>
      </c>
      <c r="E2469" t="s">
        <v>6</v>
      </c>
      <c r="F2469" t="s">
        <v>6</v>
      </c>
      <c r="G2469" t="s">
        <v>6</v>
      </c>
      <c r="H2469">
        <v>27942.26</v>
      </c>
      <c r="I2469">
        <v>7643.94</v>
      </c>
      <c r="J2469">
        <v>0</v>
      </c>
    </row>
    <row r="2470" spans="1:10" x14ac:dyDescent="0.35">
      <c r="A2470">
        <v>324714</v>
      </c>
      <c r="B2470" t="s">
        <v>20</v>
      </c>
      <c r="C2470">
        <v>2015</v>
      </c>
      <c r="D2470">
        <v>4</v>
      </c>
      <c r="E2470" t="s">
        <v>6</v>
      </c>
      <c r="F2470" t="s">
        <v>6</v>
      </c>
      <c r="G2470" t="s">
        <v>6</v>
      </c>
      <c r="H2470">
        <v>114226.7</v>
      </c>
      <c r="I2470">
        <v>53500.03</v>
      </c>
      <c r="J2470">
        <v>0</v>
      </c>
    </row>
    <row r="2471" spans="1:10" x14ac:dyDescent="0.35">
      <c r="A2471">
        <v>324730</v>
      </c>
      <c r="B2471" t="s">
        <v>20</v>
      </c>
      <c r="C2471">
        <v>2015</v>
      </c>
      <c r="D2471">
        <v>4</v>
      </c>
      <c r="E2471" t="s">
        <v>6</v>
      </c>
      <c r="F2471" t="s">
        <v>6</v>
      </c>
      <c r="G2471" t="s">
        <v>6</v>
      </c>
      <c r="H2471">
        <v>32793.06</v>
      </c>
      <c r="I2471">
        <v>15262.53</v>
      </c>
      <c r="J2471">
        <v>0</v>
      </c>
    </row>
    <row r="2472" spans="1:10" x14ac:dyDescent="0.35">
      <c r="A2472">
        <v>324740</v>
      </c>
      <c r="B2472" t="s">
        <v>20</v>
      </c>
      <c r="C2472">
        <v>2015</v>
      </c>
      <c r="D2472">
        <v>4</v>
      </c>
      <c r="E2472" t="s">
        <v>6</v>
      </c>
      <c r="F2472" t="s">
        <v>6</v>
      </c>
      <c r="G2472" t="s">
        <v>6</v>
      </c>
      <c r="H2472">
        <v>40901.919999999998</v>
      </c>
      <c r="I2472">
        <v>12486.62</v>
      </c>
      <c r="J2472">
        <v>0</v>
      </c>
    </row>
    <row r="2473" spans="1:10" x14ac:dyDescent="0.35">
      <c r="A2473">
        <v>324745</v>
      </c>
      <c r="B2473" t="s">
        <v>20</v>
      </c>
      <c r="C2473">
        <v>2015</v>
      </c>
      <c r="D2473">
        <v>4</v>
      </c>
      <c r="E2473" t="s">
        <v>6</v>
      </c>
      <c r="F2473" t="s">
        <v>6</v>
      </c>
      <c r="G2473" t="s">
        <v>6</v>
      </c>
      <c r="H2473">
        <v>17376.3</v>
      </c>
      <c r="I2473">
        <v>2854.39</v>
      </c>
      <c r="J2473">
        <v>0</v>
      </c>
    </row>
    <row r="2474" spans="1:10" x14ac:dyDescent="0.35">
      <c r="A2474">
        <v>324750</v>
      </c>
      <c r="B2474" t="s">
        <v>20</v>
      </c>
      <c r="C2474">
        <v>2015</v>
      </c>
      <c r="D2474">
        <v>4</v>
      </c>
      <c r="E2474" t="s">
        <v>6</v>
      </c>
      <c r="F2474" t="s">
        <v>6</v>
      </c>
      <c r="G2474" t="s">
        <v>6</v>
      </c>
      <c r="H2474">
        <v>11894.88</v>
      </c>
      <c r="I2474">
        <v>3824.96</v>
      </c>
      <c r="J2474">
        <v>0</v>
      </c>
    </row>
    <row r="2475" spans="1:10" x14ac:dyDescent="0.35">
      <c r="A2475">
        <v>324752</v>
      </c>
      <c r="B2475" t="s">
        <v>20</v>
      </c>
      <c r="C2475">
        <v>2015</v>
      </c>
      <c r="D2475">
        <v>4</v>
      </c>
      <c r="E2475" t="s">
        <v>6</v>
      </c>
      <c r="F2475" t="s">
        <v>6</v>
      </c>
      <c r="G2475" t="s">
        <v>6</v>
      </c>
      <c r="H2475">
        <v>11068.7</v>
      </c>
      <c r="I2475">
        <v>6338.95</v>
      </c>
      <c r="J2475">
        <v>0</v>
      </c>
    </row>
    <row r="2476" spans="1:10" x14ac:dyDescent="0.35">
      <c r="A2476">
        <v>324754</v>
      </c>
      <c r="B2476" t="s">
        <v>20</v>
      </c>
      <c r="C2476">
        <v>2015</v>
      </c>
      <c r="D2476">
        <v>4</v>
      </c>
      <c r="E2476" t="s">
        <v>6</v>
      </c>
      <c r="F2476" t="s">
        <v>6</v>
      </c>
      <c r="G2476" t="s">
        <v>6</v>
      </c>
      <c r="H2476">
        <v>23864.5</v>
      </c>
      <c r="I2476">
        <v>9943.8700000000008</v>
      </c>
      <c r="J2476">
        <v>0</v>
      </c>
    </row>
    <row r="2477" spans="1:10" x14ac:dyDescent="0.35">
      <c r="A2477">
        <v>324757</v>
      </c>
      <c r="B2477" t="s">
        <v>20</v>
      </c>
      <c r="C2477">
        <v>2015</v>
      </c>
      <c r="D2477">
        <v>4</v>
      </c>
      <c r="E2477" t="s">
        <v>6</v>
      </c>
      <c r="F2477" t="s">
        <v>6</v>
      </c>
      <c r="G2477" t="s">
        <v>6</v>
      </c>
      <c r="H2477">
        <v>15448.68</v>
      </c>
      <c r="I2477">
        <v>5060.55</v>
      </c>
      <c r="J2477">
        <v>0</v>
      </c>
    </row>
    <row r="2478" spans="1:10" x14ac:dyDescent="0.35">
      <c r="A2478">
        <v>324763</v>
      </c>
      <c r="B2478" t="s">
        <v>20</v>
      </c>
      <c r="C2478">
        <v>2015</v>
      </c>
      <c r="D2478">
        <v>4</v>
      </c>
      <c r="E2478" t="s">
        <v>6</v>
      </c>
      <c r="F2478" t="s">
        <v>6</v>
      </c>
      <c r="G2478" t="s">
        <v>6</v>
      </c>
      <c r="H2478">
        <v>53839.27</v>
      </c>
      <c r="I2478">
        <v>24090.21</v>
      </c>
      <c r="J2478">
        <v>0</v>
      </c>
    </row>
    <row r="2479" spans="1:10" x14ac:dyDescent="0.35">
      <c r="A2479">
        <v>324770</v>
      </c>
      <c r="B2479" t="s">
        <v>20</v>
      </c>
      <c r="C2479">
        <v>2015</v>
      </c>
      <c r="D2479">
        <v>4</v>
      </c>
      <c r="E2479" t="s">
        <v>6</v>
      </c>
      <c r="F2479" t="s">
        <v>6</v>
      </c>
      <c r="G2479" t="s">
        <v>6</v>
      </c>
      <c r="H2479">
        <v>30377.7</v>
      </c>
      <c r="I2479">
        <v>9022.57</v>
      </c>
      <c r="J2479">
        <v>0</v>
      </c>
    </row>
    <row r="2480" spans="1:10" x14ac:dyDescent="0.35">
      <c r="A2480">
        <v>324808</v>
      </c>
      <c r="B2480" t="s">
        <v>20</v>
      </c>
      <c r="C2480">
        <v>2015</v>
      </c>
      <c r="D2480">
        <v>4</v>
      </c>
      <c r="E2480" t="s">
        <v>6</v>
      </c>
      <c r="F2480" t="s">
        <v>6</v>
      </c>
      <c r="G2480" t="s">
        <v>6</v>
      </c>
      <c r="H2480">
        <v>12329.5</v>
      </c>
      <c r="I2480">
        <v>2647.54</v>
      </c>
      <c r="J2480">
        <v>0</v>
      </c>
    </row>
    <row r="2481" spans="1:10" x14ac:dyDescent="0.35">
      <c r="A2481">
        <v>324811</v>
      </c>
      <c r="B2481" t="s">
        <v>20</v>
      </c>
      <c r="C2481">
        <v>2015</v>
      </c>
      <c r="D2481">
        <v>4</v>
      </c>
      <c r="E2481" t="s">
        <v>6</v>
      </c>
      <c r="F2481" t="s">
        <v>6</v>
      </c>
      <c r="G2481" t="s">
        <v>6</v>
      </c>
      <c r="H2481">
        <v>20559.14</v>
      </c>
      <c r="I2481">
        <v>5649.89</v>
      </c>
      <c r="J2481">
        <v>0</v>
      </c>
    </row>
    <row r="2482" spans="1:10" x14ac:dyDescent="0.35">
      <c r="A2482">
        <v>324815</v>
      </c>
      <c r="B2482" t="s">
        <v>20</v>
      </c>
      <c r="C2482">
        <v>2015</v>
      </c>
      <c r="D2482">
        <v>4</v>
      </c>
      <c r="E2482" t="s">
        <v>6</v>
      </c>
      <c r="F2482" t="s">
        <v>6</v>
      </c>
      <c r="G2482" t="s">
        <v>6</v>
      </c>
      <c r="H2482">
        <v>81595.839999999997</v>
      </c>
      <c r="I2482">
        <v>46936.74</v>
      </c>
      <c r="J2482">
        <v>0</v>
      </c>
    </row>
    <row r="2483" spans="1:10" x14ac:dyDescent="0.35">
      <c r="A2483">
        <v>324820</v>
      </c>
      <c r="B2483" t="s">
        <v>20</v>
      </c>
      <c r="C2483">
        <v>2015</v>
      </c>
      <c r="D2483">
        <v>4</v>
      </c>
      <c r="E2483" t="s">
        <v>6</v>
      </c>
      <c r="F2483" t="s">
        <v>6</v>
      </c>
      <c r="G2483" t="s">
        <v>6</v>
      </c>
      <c r="H2483">
        <v>15436.72</v>
      </c>
      <c r="I2483">
        <v>4258.42</v>
      </c>
      <c r="J2483">
        <v>0</v>
      </c>
    </row>
    <row r="2484" spans="1:10" x14ac:dyDescent="0.35">
      <c r="A2484">
        <v>324821</v>
      </c>
      <c r="B2484" t="s">
        <v>20</v>
      </c>
      <c r="C2484">
        <v>2015</v>
      </c>
      <c r="D2484">
        <v>4</v>
      </c>
      <c r="E2484" t="s">
        <v>6</v>
      </c>
      <c r="F2484" t="s">
        <v>6</v>
      </c>
      <c r="G2484" t="s">
        <v>6</v>
      </c>
      <c r="H2484">
        <v>84351.1</v>
      </c>
      <c r="I2484">
        <v>27920.48</v>
      </c>
      <c r="J2484">
        <v>0</v>
      </c>
    </row>
    <row r="2485" spans="1:10" x14ac:dyDescent="0.35">
      <c r="A2485">
        <v>324826</v>
      </c>
      <c r="B2485" t="s">
        <v>20</v>
      </c>
      <c r="C2485">
        <v>2015</v>
      </c>
      <c r="D2485">
        <v>4</v>
      </c>
      <c r="E2485" t="s">
        <v>6</v>
      </c>
      <c r="F2485" t="s">
        <v>6</v>
      </c>
      <c r="G2485" t="s">
        <v>6</v>
      </c>
      <c r="H2485">
        <v>23679.8</v>
      </c>
      <c r="I2485">
        <v>7189.03</v>
      </c>
      <c r="J2485">
        <v>0</v>
      </c>
    </row>
    <row r="2486" spans="1:10" x14ac:dyDescent="0.35">
      <c r="A2486">
        <v>324832</v>
      </c>
      <c r="B2486" t="s">
        <v>20</v>
      </c>
      <c r="C2486">
        <v>2015</v>
      </c>
      <c r="D2486">
        <v>4</v>
      </c>
      <c r="E2486" t="s">
        <v>6</v>
      </c>
      <c r="F2486" t="s">
        <v>6</v>
      </c>
      <c r="G2486" t="s">
        <v>6</v>
      </c>
      <c r="H2486">
        <v>9406.52</v>
      </c>
      <c r="I2486">
        <v>2568.9499999999998</v>
      </c>
      <c r="J2486">
        <v>0</v>
      </c>
    </row>
    <row r="2487" spans="1:10" x14ac:dyDescent="0.35">
      <c r="A2487">
        <v>324850</v>
      </c>
      <c r="B2487" t="s">
        <v>20</v>
      </c>
      <c r="C2487">
        <v>2015</v>
      </c>
      <c r="D2487">
        <v>4</v>
      </c>
      <c r="E2487" t="s">
        <v>6</v>
      </c>
      <c r="F2487" t="s">
        <v>6</v>
      </c>
      <c r="G2487" t="s">
        <v>6</v>
      </c>
      <c r="H2487">
        <v>28685.52</v>
      </c>
      <c r="I2487">
        <v>13065.28</v>
      </c>
      <c r="J2487">
        <v>0</v>
      </c>
    </row>
    <row r="2488" spans="1:10" x14ac:dyDescent="0.35">
      <c r="A2488">
        <v>324854</v>
      </c>
      <c r="B2488" t="s">
        <v>20</v>
      </c>
      <c r="C2488">
        <v>2015</v>
      </c>
      <c r="D2488">
        <v>4</v>
      </c>
      <c r="E2488" t="s">
        <v>6</v>
      </c>
      <c r="F2488" t="s">
        <v>6</v>
      </c>
      <c r="G2488" t="s">
        <v>6</v>
      </c>
      <c r="H2488">
        <v>87582.98</v>
      </c>
      <c r="I2488">
        <v>45760.87</v>
      </c>
      <c r="J2488">
        <v>0</v>
      </c>
    </row>
    <row r="2489" spans="1:10" x14ac:dyDescent="0.35">
      <c r="A2489">
        <v>324859</v>
      </c>
      <c r="B2489" t="s">
        <v>20</v>
      </c>
      <c r="C2489">
        <v>2015</v>
      </c>
      <c r="D2489">
        <v>4</v>
      </c>
      <c r="E2489" t="s">
        <v>6</v>
      </c>
      <c r="F2489" t="s">
        <v>6</v>
      </c>
      <c r="G2489" t="s">
        <v>6</v>
      </c>
      <c r="H2489">
        <v>80923.839999999997</v>
      </c>
      <c r="I2489">
        <v>25403.57</v>
      </c>
      <c r="J2489">
        <v>0</v>
      </c>
    </row>
    <row r="2490" spans="1:10" x14ac:dyDescent="0.35">
      <c r="A2490">
        <v>324862</v>
      </c>
      <c r="B2490" t="s">
        <v>20</v>
      </c>
      <c r="C2490">
        <v>2015</v>
      </c>
      <c r="D2490">
        <v>4</v>
      </c>
      <c r="E2490" t="s">
        <v>6</v>
      </c>
      <c r="F2490" t="s">
        <v>6</v>
      </c>
      <c r="G2490" t="s">
        <v>6</v>
      </c>
      <c r="H2490">
        <v>174850.46</v>
      </c>
      <c r="I2490">
        <v>104321.18</v>
      </c>
      <c r="J2490">
        <v>0</v>
      </c>
    </row>
    <row r="2491" spans="1:10" x14ac:dyDescent="0.35">
      <c r="A2491">
        <v>324870</v>
      </c>
      <c r="B2491" t="s">
        <v>20</v>
      </c>
      <c r="C2491">
        <v>2015</v>
      </c>
      <c r="D2491">
        <v>4</v>
      </c>
      <c r="E2491" t="s">
        <v>6</v>
      </c>
      <c r="F2491" t="s">
        <v>6</v>
      </c>
      <c r="G2491" t="s">
        <v>6</v>
      </c>
      <c r="H2491">
        <v>38282.11</v>
      </c>
      <c r="I2491">
        <v>9665.0300000000007</v>
      </c>
      <c r="J2491">
        <v>0</v>
      </c>
    </row>
    <row r="2492" spans="1:10" x14ac:dyDescent="0.35">
      <c r="A2492">
        <v>324879</v>
      </c>
      <c r="B2492" t="s">
        <v>20</v>
      </c>
      <c r="C2492">
        <v>2015</v>
      </c>
      <c r="D2492">
        <v>4</v>
      </c>
      <c r="E2492" t="s">
        <v>6</v>
      </c>
      <c r="F2492" t="s">
        <v>6</v>
      </c>
      <c r="G2492" t="s">
        <v>6</v>
      </c>
      <c r="H2492">
        <v>12976.78</v>
      </c>
      <c r="I2492">
        <v>3613.48</v>
      </c>
      <c r="J2492">
        <v>0</v>
      </c>
    </row>
    <row r="2493" spans="1:10" x14ac:dyDescent="0.35">
      <c r="A2493">
        <v>324884</v>
      </c>
      <c r="B2493" t="s">
        <v>20</v>
      </c>
      <c r="C2493">
        <v>2015</v>
      </c>
      <c r="D2493">
        <v>4</v>
      </c>
      <c r="E2493" t="s">
        <v>6</v>
      </c>
      <c r="F2493" t="s">
        <v>6</v>
      </c>
      <c r="G2493" t="s">
        <v>6</v>
      </c>
      <c r="H2493">
        <v>36780.18</v>
      </c>
      <c r="I2493">
        <v>11515.94</v>
      </c>
      <c r="J2493">
        <v>0</v>
      </c>
    </row>
    <row r="2494" spans="1:10" x14ac:dyDescent="0.35">
      <c r="A2494">
        <v>324908</v>
      </c>
      <c r="B2494" t="s">
        <v>20</v>
      </c>
      <c r="C2494">
        <v>2015</v>
      </c>
      <c r="D2494">
        <v>4</v>
      </c>
      <c r="E2494" t="s">
        <v>6</v>
      </c>
      <c r="F2494" t="s">
        <v>6</v>
      </c>
      <c r="G2494" t="s">
        <v>6</v>
      </c>
      <c r="H2494">
        <v>18989.580000000002</v>
      </c>
      <c r="I2494">
        <v>5379.39</v>
      </c>
      <c r="J2494">
        <v>0</v>
      </c>
    </row>
    <row r="2495" spans="1:10" x14ac:dyDescent="0.35">
      <c r="A2495">
        <v>324912</v>
      </c>
      <c r="B2495" t="s">
        <v>20</v>
      </c>
      <c r="C2495">
        <v>2015</v>
      </c>
      <c r="D2495">
        <v>4</v>
      </c>
      <c r="E2495" t="s">
        <v>6</v>
      </c>
      <c r="F2495" t="s">
        <v>6</v>
      </c>
      <c r="G2495" t="s">
        <v>6</v>
      </c>
      <c r="H2495">
        <v>17572.580000000002</v>
      </c>
      <c r="I2495">
        <v>5067</v>
      </c>
      <c r="J2495">
        <v>0</v>
      </c>
    </row>
    <row r="2496" spans="1:10" x14ac:dyDescent="0.35">
      <c r="A2496">
        <v>324917</v>
      </c>
      <c r="B2496" t="s">
        <v>20</v>
      </c>
      <c r="C2496">
        <v>2015</v>
      </c>
      <c r="D2496">
        <v>4</v>
      </c>
      <c r="E2496" t="s">
        <v>6</v>
      </c>
      <c r="F2496" t="s">
        <v>6</v>
      </c>
      <c r="G2496" t="s">
        <v>6</v>
      </c>
      <c r="H2496">
        <v>68436.72</v>
      </c>
      <c r="I2496">
        <v>26656.17</v>
      </c>
      <c r="J2496">
        <v>0</v>
      </c>
    </row>
    <row r="2497" spans="1:10" x14ac:dyDescent="0.35">
      <c r="A2497">
        <v>324928</v>
      </c>
      <c r="B2497" t="s">
        <v>20</v>
      </c>
      <c r="C2497">
        <v>2015</v>
      </c>
      <c r="D2497">
        <v>4</v>
      </c>
      <c r="E2497" t="s">
        <v>6</v>
      </c>
      <c r="F2497" t="s">
        <v>6</v>
      </c>
      <c r="G2497" t="s">
        <v>6</v>
      </c>
      <c r="H2497">
        <v>148242.54</v>
      </c>
      <c r="I2497">
        <v>66280.88</v>
      </c>
      <c r="J2497">
        <v>0</v>
      </c>
    </row>
    <row r="2498" spans="1:10" x14ac:dyDescent="0.35">
      <c r="A2498">
        <v>324931</v>
      </c>
      <c r="B2498" t="s">
        <v>20</v>
      </c>
      <c r="C2498">
        <v>2015</v>
      </c>
      <c r="D2498">
        <v>4</v>
      </c>
      <c r="E2498" t="s">
        <v>6</v>
      </c>
      <c r="F2498" t="s">
        <v>6</v>
      </c>
      <c r="G2498" t="s">
        <v>6</v>
      </c>
      <c r="H2498">
        <v>29768.240000000002</v>
      </c>
      <c r="I2498">
        <v>10617.01</v>
      </c>
      <c r="J2498">
        <v>0</v>
      </c>
    </row>
    <row r="2499" spans="1:10" x14ac:dyDescent="0.35">
      <c r="A2499">
        <v>324940</v>
      </c>
      <c r="B2499" t="s">
        <v>20</v>
      </c>
      <c r="C2499">
        <v>2015</v>
      </c>
      <c r="D2499">
        <v>4</v>
      </c>
      <c r="E2499" t="s">
        <v>6</v>
      </c>
      <c r="F2499" t="s">
        <v>6</v>
      </c>
      <c r="G2499" t="s">
        <v>6</v>
      </c>
      <c r="H2499">
        <v>24469.62</v>
      </c>
      <c r="I2499">
        <v>7036.89</v>
      </c>
      <c r="J2499">
        <v>0</v>
      </c>
    </row>
    <row r="2500" spans="1:10" x14ac:dyDescent="0.35">
      <c r="A2500">
        <v>324946</v>
      </c>
      <c r="B2500" t="s">
        <v>20</v>
      </c>
      <c r="C2500">
        <v>2015</v>
      </c>
      <c r="D2500">
        <v>4</v>
      </c>
      <c r="E2500" t="s">
        <v>6</v>
      </c>
      <c r="F2500" t="s">
        <v>6</v>
      </c>
      <c r="G2500" t="s">
        <v>6</v>
      </c>
      <c r="H2500">
        <v>30626.720000000001</v>
      </c>
      <c r="I2500">
        <v>8044.43</v>
      </c>
      <c r="J2500">
        <v>0</v>
      </c>
    </row>
    <row r="2501" spans="1:10" x14ac:dyDescent="0.35">
      <c r="A2501">
        <v>324950</v>
      </c>
      <c r="B2501" t="s">
        <v>20</v>
      </c>
      <c r="C2501">
        <v>2015</v>
      </c>
      <c r="D2501">
        <v>4</v>
      </c>
      <c r="E2501" t="s">
        <v>6</v>
      </c>
      <c r="F2501" t="s">
        <v>6</v>
      </c>
      <c r="G2501" t="s">
        <v>6</v>
      </c>
      <c r="H2501">
        <v>64167.16</v>
      </c>
      <c r="I2501">
        <v>27943.11</v>
      </c>
      <c r="J2501">
        <v>0</v>
      </c>
    </row>
    <row r="2502" spans="1:10" x14ac:dyDescent="0.35">
      <c r="A2502">
        <v>324956</v>
      </c>
      <c r="B2502" t="s">
        <v>20</v>
      </c>
      <c r="C2502">
        <v>2015</v>
      </c>
      <c r="D2502">
        <v>4</v>
      </c>
      <c r="E2502" t="s">
        <v>6</v>
      </c>
      <c r="F2502" t="s">
        <v>6</v>
      </c>
      <c r="G2502" t="s">
        <v>6</v>
      </c>
      <c r="H2502">
        <v>23553.08</v>
      </c>
      <c r="I2502">
        <v>6383.53</v>
      </c>
      <c r="J2502">
        <v>0</v>
      </c>
    </row>
    <row r="2503" spans="1:10" x14ac:dyDescent="0.35">
      <c r="A2503">
        <v>324970</v>
      </c>
      <c r="B2503" t="s">
        <v>20</v>
      </c>
      <c r="C2503">
        <v>2015</v>
      </c>
      <c r="D2503">
        <v>4</v>
      </c>
      <c r="E2503" t="s">
        <v>6</v>
      </c>
      <c r="F2503" t="s">
        <v>6</v>
      </c>
      <c r="G2503" t="s">
        <v>6</v>
      </c>
      <c r="H2503">
        <v>12315.86</v>
      </c>
      <c r="I2503">
        <v>2985.84</v>
      </c>
      <c r="J2503">
        <v>0</v>
      </c>
    </row>
    <row r="2504" spans="1:10" x14ac:dyDescent="0.35">
      <c r="A2504">
        <v>324971</v>
      </c>
      <c r="B2504" t="s">
        <v>20</v>
      </c>
      <c r="C2504">
        <v>2015</v>
      </c>
      <c r="D2504">
        <v>4</v>
      </c>
      <c r="E2504" t="s">
        <v>6</v>
      </c>
      <c r="F2504" t="s">
        <v>6</v>
      </c>
      <c r="G2504" t="s">
        <v>6</v>
      </c>
      <c r="H2504">
        <v>42571.24</v>
      </c>
      <c r="I2504">
        <v>14778.4</v>
      </c>
      <c r="J2504">
        <v>0</v>
      </c>
    </row>
    <row r="2505" spans="1:10" x14ac:dyDescent="0.35">
      <c r="A2505">
        <v>324986</v>
      </c>
      <c r="B2505" t="s">
        <v>20</v>
      </c>
      <c r="C2505">
        <v>2015</v>
      </c>
      <c r="D2505">
        <v>4</v>
      </c>
      <c r="E2505" t="s">
        <v>6</v>
      </c>
      <c r="F2505" t="s">
        <v>6</v>
      </c>
      <c r="G2505" t="s">
        <v>6</v>
      </c>
      <c r="H2505">
        <v>17231.599999999999</v>
      </c>
      <c r="I2505">
        <v>5517.15</v>
      </c>
      <c r="J2505">
        <v>0</v>
      </c>
    </row>
    <row r="2506" spans="1:10" x14ac:dyDescent="0.35">
      <c r="A2506">
        <v>324987</v>
      </c>
      <c r="B2506" t="s">
        <v>20</v>
      </c>
      <c r="C2506">
        <v>2015</v>
      </c>
      <c r="D2506">
        <v>4</v>
      </c>
      <c r="E2506" t="s">
        <v>6</v>
      </c>
      <c r="F2506" t="s">
        <v>6</v>
      </c>
      <c r="G2506" t="s">
        <v>6</v>
      </c>
      <c r="H2506">
        <v>21580.48</v>
      </c>
      <c r="I2506">
        <v>6400.01</v>
      </c>
      <c r="J2506">
        <v>0</v>
      </c>
    </row>
    <row r="2507" spans="1:10" x14ac:dyDescent="0.35">
      <c r="A2507">
        <v>324989</v>
      </c>
      <c r="B2507" t="s">
        <v>20</v>
      </c>
      <c r="C2507">
        <v>2015</v>
      </c>
      <c r="D2507">
        <v>4</v>
      </c>
      <c r="E2507" t="s">
        <v>6</v>
      </c>
      <c r="F2507" t="s">
        <v>6</v>
      </c>
      <c r="G2507" t="s">
        <v>6</v>
      </c>
      <c r="H2507">
        <v>49617.1</v>
      </c>
      <c r="I2507">
        <v>15016.56</v>
      </c>
      <c r="J2507">
        <v>0</v>
      </c>
    </row>
    <row r="2508" spans="1:10" x14ac:dyDescent="0.35">
      <c r="A2508">
        <v>324991</v>
      </c>
      <c r="B2508" t="s">
        <v>20</v>
      </c>
      <c r="C2508">
        <v>2015</v>
      </c>
      <c r="D2508">
        <v>4</v>
      </c>
      <c r="E2508" t="s">
        <v>6</v>
      </c>
      <c r="F2508" t="s">
        <v>6</v>
      </c>
      <c r="G2508" t="s">
        <v>6</v>
      </c>
      <c r="H2508">
        <v>21001.62</v>
      </c>
      <c r="I2508">
        <v>6456.01</v>
      </c>
      <c r="J2508">
        <v>0</v>
      </c>
    </row>
    <row r="2509" spans="1:10" x14ac:dyDescent="0.35">
      <c r="A2509">
        <v>324994</v>
      </c>
      <c r="B2509" t="s">
        <v>20</v>
      </c>
      <c r="C2509">
        <v>2015</v>
      </c>
      <c r="D2509">
        <v>4</v>
      </c>
      <c r="E2509" t="s">
        <v>6</v>
      </c>
      <c r="F2509" t="s">
        <v>6</v>
      </c>
      <c r="G2509" t="s">
        <v>6</v>
      </c>
      <c r="H2509">
        <v>57332.160000000003</v>
      </c>
      <c r="I2509">
        <v>24283.73</v>
      </c>
      <c r="J2509">
        <v>0</v>
      </c>
    </row>
    <row r="2510" spans="1:10" x14ac:dyDescent="0.35">
      <c r="A2510">
        <v>325011</v>
      </c>
      <c r="B2510" t="s">
        <v>20</v>
      </c>
      <c r="C2510">
        <v>2015</v>
      </c>
      <c r="D2510">
        <v>4</v>
      </c>
      <c r="E2510" t="s">
        <v>6</v>
      </c>
      <c r="F2510" t="s">
        <v>6</v>
      </c>
      <c r="G2510" t="s">
        <v>6</v>
      </c>
      <c r="H2510">
        <v>26401.919999999998</v>
      </c>
      <c r="I2510">
        <v>13051.44</v>
      </c>
      <c r="J2510">
        <v>0</v>
      </c>
    </row>
    <row r="2511" spans="1:10" x14ac:dyDescent="0.35">
      <c r="A2511">
        <v>325018</v>
      </c>
      <c r="B2511" t="s">
        <v>20</v>
      </c>
      <c r="C2511">
        <v>2015</v>
      </c>
      <c r="D2511">
        <v>4</v>
      </c>
      <c r="E2511" t="s">
        <v>6</v>
      </c>
      <c r="F2511" t="s">
        <v>6</v>
      </c>
      <c r="G2511" t="s">
        <v>6</v>
      </c>
      <c r="H2511">
        <v>21255.16</v>
      </c>
      <c r="I2511">
        <v>6487.1</v>
      </c>
      <c r="J2511">
        <v>0</v>
      </c>
    </row>
    <row r="2512" spans="1:10" x14ac:dyDescent="0.35">
      <c r="A2512">
        <v>325034</v>
      </c>
      <c r="B2512" t="s">
        <v>20</v>
      </c>
      <c r="C2512">
        <v>2015</v>
      </c>
      <c r="D2512">
        <v>4</v>
      </c>
      <c r="E2512" t="s">
        <v>6</v>
      </c>
      <c r="F2512" t="s">
        <v>6</v>
      </c>
      <c r="G2512" t="s">
        <v>6</v>
      </c>
      <c r="H2512">
        <v>52693.46</v>
      </c>
      <c r="I2512">
        <v>16409.03</v>
      </c>
      <c r="J2512">
        <v>0</v>
      </c>
    </row>
    <row r="2513" spans="1:10" x14ac:dyDescent="0.35">
      <c r="A2513">
        <v>325037</v>
      </c>
      <c r="B2513" t="s">
        <v>20</v>
      </c>
      <c r="C2513">
        <v>2015</v>
      </c>
      <c r="D2513">
        <v>4</v>
      </c>
      <c r="E2513" t="s">
        <v>6</v>
      </c>
      <c r="F2513" t="s">
        <v>6</v>
      </c>
      <c r="G2513" t="s">
        <v>6</v>
      </c>
      <c r="H2513">
        <v>12596.36</v>
      </c>
      <c r="I2513">
        <v>2989.01</v>
      </c>
      <c r="J2513">
        <v>0</v>
      </c>
    </row>
    <row r="2514" spans="1:10" x14ac:dyDescent="0.35">
      <c r="A2514">
        <v>325039</v>
      </c>
      <c r="B2514" t="s">
        <v>20</v>
      </c>
      <c r="C2514">
        <v>2015</v>
      </c>
      <c r="D2514">
        <v>4</v>
      </c>
      <c r="E2514" t="s">
        <v>6</v>
      </c>
      <c r="F2514" t="s">
        <v>6</v>
      </c>
      <c r="G2514" t="s">
        <v>6</v>
      </c>
      <c r="H2514">
        <v>34975.1</v>
      </c>
      <c r="I2514">
        <v>10016.57</v>
      </c>
      <c r="J2514">
        <v>0</v>
      </c>
    </row>
    <row r="2515" spans="1:10" x14ac:dyDescent="0.35">
      <c r="A2515">
        <v>325045</v>
      </c>
      <c r="B2515" t="s">
        <v>20</v>
      </c>
      <c r="C2515">
        <v>2015</v>
      </c>
      <c r="D2515">
        <v>4</v>
      </c>
      <c r="E2515" t="s">
        <v>6</v>
      </c>
      <c r="F2515" t="s">
        <v>6</v>
      </c>
      <c r="G2515" t="s">
        <v>6</v>
      </c>
      <c r="H2515">
        <v>11542.52</v>
      </c>
      <c r="I2515">
        <v>2966.41</v>
      </c>
      <c r="J2515">
        <v>0</v>
      </c>
    </row>
    <row r="2516" spans="1:10" x14ac:dyDescent="0.35">
      <c r="A2516">
        <v>325049</v>
      </c>
      <c r="B2516" t="s">
        <v>20</v>
      </c>
      <c r="C2516">
        <v>2015</v>
      </c>
      <c r="D2516">
        <v>4</v>
      </c>
      <c r="E2516" t="s">
        <v>6</v>
      </c>
      <c r="F2516" t="s">
        <v>6</v>
      </c>
      <c r="G2516" t="s">
        <v>6</v>
      </c>
      <c r="H2516">
        <v>28160.26</v>
      </c>
      <c r="I2516">
        <v>8043.57</v>
      </c>
      <c r="J2516">
        <v>0</v>
      </c>
    </row>
    <row r="2517" spans="1:10" x14ac:dyDescent="0.35">
      <c r="A2517">
        <v>325050</v>
      </c>
      <c r="B2517" t="s">
        <v>20</v>
      </c>
      <c r="C2517">
        <v>2015</v>
      </c>
      <c r="D2517">
        <v>4</v>
      </c>
      <c r="E2517" t="s">
        <v>6</v>
      </c>
      <c r="F2517" t="s">
        <v>6</v>
      </c>
      <c r="G2517" t="s">
        <v>6</v>
      </c>
      <c r="H2517">
        <v>21083.66</v>
      </c>
      <c r="I2517">
        <v>5760.68</v>
      </c>
      <c r="J2517">
        <v>0</v>
      </c>
    </row>
    <row r="2518" spans="1:10" x14ac:dyDescent="0.35">
      <c r="A2518">
        <v>325052</v>
      </c>
      <c r="B2518" t="s">
        <v>20</v>
      </c>
      <c r="C2518">
        <v>2015</v>
      </c>
      <c r="D2518">
        <v>4</v>
      </c>
      <c r="E2518" t="s">
        <v>6</v>
      </c>
      <c r="F2518" t="s">
        <v>6</v>
      </c>
      <c r="G2518" t="s">
        <v>6</v>
      </c>
      <c r="H2518">
        <v>26265.599999999999</v>
      </c>
      <c r="I2518">
        <v>7246.7</v>
      </c>
      <c r="J2518">
        <v>0</v>
      </c>
    </row>
    <row r="2519" spans="1:10" x14ac:dyDescent="0.35">
      <c r="A2519">
        <v>325066</v>
      </c>
      <c r="B2519" t="s">
        <v>20</v>
      </c>
      <c r="C2519">
        <v>2015</v>
      </c>
      <c r="D2519">
        <v>4</v>
      </c>
      <c r="E2519" t="s">
        <v>6</v>
      </c>
      <c r="F2519" t="s">
        <v>6</v>
      </c>
      <c r="G2519" t="s">
        <v>6</v>
      </c>
      <c r="H2519">
        <v>29366.76</v>
      </c>
      <c r="I2519">
        <v>6604.17</v>
      </c>
      <c r="J2519">
        <v>0</v>
      </c>
    </row>
    <row r="2520" spans="1:10" x14ac:dyDescent="0.35">
      <c r="A2520">
        <v>325068</v>
      </c>
      <c r="B2520" t="s">
        <v>20</v>
      </c>
      <c r="C2520">
        <v>2015</v>
      </c>
      <c r="D2520">
        <v>4</v>
      </c>
      <c r="E2520" t="s">
        <v>6</v>
      </c>
      <c r="F2520" t="s">
        <v>6</v>
      </c>
      <c r="G2520" t="s">
        <v>6</v>
      </c>
      <c r="H2520">
        <v>22449.58</v>
      </c>
      <c r="I2520">
        <v>8346.58</v>
      </c>
      <c r="J2520">
        <v>0</v>
      </c>
    </row>
    <row r="2521" spans="1:10" x14ac:dyDescent="0.35">
      <c r="A2521">
        <v>325074</v>
      </c>
      <c r="B2521" t="s">
        <v>20</v>
      </c>
      <c r="C2521">
        <v>2015</v>
      </c>
      <c r="D2521">
        <v>4</v>
      </c>
      <c r="E2521" t="s">
        <v>6</v>
      </c>
      <c r="F2521" t="s">
        <v>6</v>
      </c>
      <c r="G2521" t="s">
        <v>6</v>
      </c>
      <c r="H2521">
        <v>75641.8</v>
      </c>
      <c r="I2521">
        <v>26617.03</v>
      </c>
      <c r="J2521">
        <v>0</v>
      </c>
    </row>
    <row r="2522" spans="1:10" x14ac:dyDescent="0.35">
      <c r="A2522">
        <v>325077</v>
      </c>
      <c r="B2522" t="s">
        <v>20</v>
      </c>
      <c r="C2522">
        <v>2015</v>
      </c>
      <c r="D2522">
        <v>4</v>
      </c>
      <c r="E2522" t="s">
        <v>6</v>
      </c>
      <c r="F2522" t="s">
        <v>6</v>
      </c>
      <c r="G2522" t="s">
        <v>6</v>
      </c>
      <c r="H2522">
        <v>20264.16</v>
      </c>
      <c r="I2522">
        <v>12965.83</v>
      </c>
      <c r="J2522">
        <v>0</v>
      </c>
    </row>
    <row r="2523" spans="1:10" x14ac:dyDescent="0.35">
      <c r="A2523">
        <v>325086</v>
      </c>
      <c r="B2523" t="s">
        <v>20</v>
      </c>
      <c r="C2523">
        <v>2015</v>
      </c>
      <c r="D2523">
        <v>4</v>
      </c>
      <c r="E2523" t="s">
        <v>6</v>
      </c>
      <c r="F2523" t="s">
        <v>6</v>
      </c>
      <c r="G2523" t="s">
        <v>6</v>
      </c>
      <c r="H2523">
        <v>70984.14</v>
      </c>
      <c r="I2523">
        <v>20518.91</v>
      </c>
      <c r="J2523">
        <v>0</v>
      </c>
    </row>
    <row r="2524" spans="1:10" x14ac:dyDescent="0.35">
      <c r="A2524">
        <v>325088</v>
      </c>
      <c r="B2524" t="s">
        <v>20</v>
      </c>
      <c r="C2524">
        <v>2015</v>
      </c>
      <c r="D2524">
        <v>4</v>
      </c>
      <c r="E2524" t="s">
        <v>6</v>
      </c>
      <c r="F2524" t="s">
        <v>6</v>
      </c>
      <c r="G2524" t="s">
        <v>6</v>
      </c>
      <c r="H2524">
        <v>9087.4599999999991</v>
      </c>
      <c r="I2524">
        <v>2564.73</v>
      </c>
      <c r="J2524">
        <v>0</v>
      </c>
    </row>
    <row r="2525" spans="1:10" x14ac:dyDescent="0.35">
      <c r="A2525">
        <v>325089</v>
      </c>
      <c r="B2525" t="s">
        <v>20</v>
      </c>
      <c r="C2525">
        <v>2015</v>
      </c>
      <c r="D2525">
        <v>4</v>
      </c>
      <c r="E2525" t="s">
        <v>6</v>
      </c>
      <c r="F2525" t="s">
        <v>6</v>
      </c>
      <c r="G2525" t="s">
        <v>6</v>
      </c>
      <c r="H2525">
        <v>34380.980000000003</v>
      </c>
      <c r="I2525">
        <v>16055.46</v>
      </c>
      <c r="J2525">
        <v>0</v>
      </c>
    </row>
    <row r="2526" spans="1:10" x14ac:dyDescent="0.35">
      <c r="A2526">
        <v>325091</v>
      </c>
      <c r="B2526" t="s">
        <v>20</v>
      </c>
      <c r="C2526">
        <v>2015</v>
      </c>
      <c r="D2526">
        <v>4</v>
      </c>
      <c r="E2526" t="s">
        <v>6</v>
      </c>
      <c r="F2526" t="s">
        <v>6</v>
      </c>
      <c r="G2526" t="s">
        <v>6</v>
      </c>
      <c r="H2526">
        <v>39188.92</v>
      </c>
      <c r="I2526">
        <v>11797.05</v>
      </c>
      <c r="J2526">
        <v>0</v>
      </c>
    </row>
    <row r="2527" spans="1:10" x14ac:dyDescent="0.35">
      <c r="A2527">
        <v>325102</v>
      </c>
      <c r="B2527" t="s">
        <v>20</v>
      </c>
      <c r="C2527">
        <v>2015</v>
      </c>
      <c r="D2527">
        <v>4</v>
      </c>
      <c r="E2527" t="s">
        <v>6</v>
      </c>
      <c r="F2527" t="s">
        <v>6</v>
      </c>
      <c r="G2527" t="s">
        <v>6</v>
      </c>
      <c r="H2527">
        <v>9245.76</v>
      </c>
      <c r="I2527">
        <v>2575.0500000000002</v>
      </c>
      <c r="J2527">
        <v>0</v>
      </c>
    </row>
    <row r="2528" spans="1:10" x14ac:dyDescent="0.35">
      <c r="A2528">
        <v>325114</v>
      </c>
      <c r="B2528" t="s">
        <v>20</v>
      </c>
      <c r="C2528">
        <v>2015</v>
      </c>
      <c r="D2528">
        <v>4</v>
      </c>
      <c r="E2528" t="s">
        <v>6</v>
      </c>
      <c r="F2528" t="s">
        <v>6</v>
      </c>
      <c r="G2528" t="s">
        <v>6</v>
      </c>
      <c r="H2528">
        <v>25286.68</v>
      </c>
      <c r="I2528">
        <v>7768.73</v>
      </c>
      <c r="J2528">
        <v>0</v>
      </c>
    </row>
    <row r="2529" spans="1:10" x14ac:dyDescent="0.35">
      <c r="A2529">
        <v>325122</v>
      </c>
      <c r="B2529" t="s">
        <v>20</v>
      </c>
      <c r="C2529">
        <v>2015</v>
      </c>
      <c r="D2529">
        <v>4</v>
      </c>
      <c r="E2529" t="s">
        <v>6</v>
      </c>
      <c r="F2529" t="s">
        <v>6</v>
      </c>
      <c r="G2529" t="s">
        <v>6</v>
      </c>
      <c r="H2529">
        <v>21964.44</v>
      </c>
      <c r="I2529">
        <v>6519.08</v>
      </c>
      <c r="J2529">
        <v>0</v>
      </c>
    </row>
    <row r="2530" spans="1:10" x14ac:dyDescent="0.35">
      <c r="A2530">
        <v>325130</v>
      </c>
      <c r="B2530" t="s">
        <v>20</v>
      </c>
      <c r="C2530">
        <v>2015</v>
      </c>
      <c r="D2530">
        <v>4</v>
      </c>
      <c r="E2530" t="s">
        <v>6</v>
      </c>
      <c r="F2530" t="s">
        <v>6</v>
      </c>
      <c r="G2530" t="s">
        <v>6</v>
      </c>
      <c r="H2530">
        <v>26553.34</v>
      </c>
      <c r="I2530">
        <v>7591.78</v>
      </c>
      <c r="J2530">
        <v>0</v>
      </c>
    </row>
    <row r="2531" spans="1:10" x14ac:dyDescent="0.35">
      <c r="A2531">
        <v>325142</v>
      </c>
      <c r="B2531" t="s">
        <v>20</v>
      </c>
      <c r="C2531">
        <v>2015</v>
      </c>
      <c r="D2531">
        <v>4</v>
      </c>
      <c r="E2531" t="s">
        <v>6</v>
      </c>
      <c r="F2531" t="s">
        <v>6</v>
      </c>
      <c r="G2531" t="s">
        <v>6</v>
      </c>
      <c r="H2531">
        <v>12995.96</v>
      </c>
      <c r="I2531">
        <v>2825.83</v>
      </c>
      <c r="J2531">
        <v>0</v>
      </c>
    </row>
    <row r="2532" spans="1:10" x14ac:dyDescent="0.35">
      <c r="A2532">
        <v>325147</v>
      </c>
      <c r="B2532" t="s">
        <v>20</v>
      </c>
      <c r="C2532">
        <v>2015</v>
      </c>
      <c r="D2532">
        <v>4</v>
      </c>
      <c r="E2532" t="s">
        <v>6</v>
      </c>
      <c r="F2532" t="s">
        <v>6</v>
      </c>
      <c r="G2532" t="s">
        <v>6</v>
      </c>
      <c r="H2532">
        <v>75938.42</v>
      </c>
      <c r="I2532">
        <v>22752.15</v>
      </c>
      <c r="J2532">
        <v>0</v>
      </c>
    </row>
    <row r="2533" spans="1:10" x14ac:dyDescent="0.35">
      <c r="A2533">
        <v>325152</v>
      </c>
      <c r="B2533" t="s">
        <v>20</v>
      </c>
      <c r="C2533">
        <v>2015</v>
      </c>
      <c r="D2533">
        <v>4</v>
      </c>
      <c r="E2533" t="s">
        <v>6</v>
      </c>
      <c r="F2533" t="s">
        <v>6</v>
      </c>
      <c r="G2533" t="s">
        <v>6</v>
      </c>
      <c r="H2533">
        <v>52969.1</v>
      </c>
      <c r="I2533">
        <v>16709.29</v>
      </c>
      <c r="J2533">
        <v>0</v>
      </c>
    </row>
    <row r="2534" spans="1:10" x14ac:dyDescent="0.35">
      <c r="A2534">
        <v>325156</v>
      </c>
      <c r="B2534" t="s">
        <v>20</v>
      </c>
      <c r="C2534">
        <v>2015</v>
      </c>
      <c r="D2534">
        <v>4</v>
      </c>
      <c r="E2534" t="s">
        <v>6</v>
      </c>
      <c r="F2534" t="s">
        <v>6</v>
      </c>
      <c r="G2534" t="s">
        <v>6</v>
      </c>
      <c r="H2534">
        <v>37910.14</v>
      </c>
      <c r="I2534">
        <v>8502.6</v>
      </c>
      <c r="J2534">
        <v>0</v>
      </c>
    </row>
    <row r="2535" spans="1:10" x14ac:dyDescent="0.35">
      <c r="A2535">
        <v>325158</v>
      </c>
      <c r="B2535" t="s">
        <v>20</v>
      </c>
      <c r="C2535">
        <v>2015</v>
      </c>
      <c r="D2535">
        <v>4</v>
      </c>
      <c r="E2535" t="s">
        <v>6</v>
      </c>
      <c r="F2535" t="s">
        <v>6</v>
      </c>
      <c r="G2535" t="s">
        <v>6</v>
      </c>
      <c r="H2535">
        <v>28017.06</v>
      </c>
      <c r="I2535">
        <v>6211.39</v>
      </c>
      <c r="J2535">
        <v>0</v>
      </c>
    </row>
    <row r="2536" spans="1:10" x14ac:dyDescent="0.35">
      <c r="A2536">
        <v>325165</v>
      </c>
      <c r="B2536" t="s">
        <v>20</v>
      </c>
      <c r="C2536">
        <v>2015</v>
      </c>
      <c r="D2536">
        <v>4</v>
      </c>
      <c r="E2536" t="s">
        <v>6</v>
      </c>
      <c r="F2536" t="s">
        <v>6</v>
      </c>
      <c r="G2536" t="s">
        <v>6</v>
      </c>
      <c r="H2536">
        <v>40645.5</v>
      </c>
      <c r="I2536">
        <v>20437.349999999999</v>
      </c>
      <c r="J2536">
        <v>0</v>
      </c>
    </row>
    <row r="2537" spans="1:10" x14ac:dyDescent="0.35">
      <c r="A2537">
        <v>325166</v>
      </c>
      <c r="B2537" t="s">
        <v>20</v>
      </c>
      <c r="C2537">
        <v>2015</v>
      </c>
      <c r="D2537">
        <v>4</v>
      </c>
      <c r="E2537" t="s">
        <v>6</v>
      </c>
      <c r="F2537" t="s">
        <v>6</v>
      </c>
      <c r="G2537" t="s">
        <v>6</v>
      </c>
      <c r="H2537">
        <v>20485.62</v>
      </c>
      <c r="I2537">
        <v>4955.92</v>
      </c>
      <c r="J2537">
        <v>0</v>
      </c>
    </row>
    <row r="2538" spans="1:10" x14ac:dyDescent="0.35">
      <c r="A2538">
        <v>325171</v>
      </c>
      <c r="B2538" t="s">
        <v>20</v>
      </c>
      <c r="C2538">
        <v>2015</v>
      </c>
      <c r="D2538">
        <v>4</v>
      </c>
      <c r="E2538" t="s">
        <v>6</v>
      </c>
      <c r="F2538" t="s">
        <v>6</v>
      </c>
      <c r="G2538" t="s">
        <v>6</v>
      </c>
      <c r="H2538">
        <v>20603.84</v>
      </c>
      <c r="I2538">
        <v>6067.67</v>
      </c>
      <c r="J2538">
        <v>0</v>
      </c>
    </row>
    <row r="2539" spans="1:10" x14ac:dyDescent="0.35">
      <c r="A2539">
        <v>325178</v>
      </c>
      <c r="B2539" t="s">
        <v>20</v>
      </c>
      <c r="C2539">
        <v>2015</v>
      </c>
      <c r="D2539">
        <v>4</v>
      </c>
      <c r="E2539" t="s">
        <v>6</v>
      </c>
      <c r="F2539" t="s">
        <v>6</v>
      </c>
      <c r="G2539" t="s">
        <v>6</v>
      </c>
      <c r="H2539">
        <v>28707.72</v>
      </c>
      <c r="I2539">
        <v>11218</v>
      </c>
      <c r="J2539">
        <v>0</v>
      </c>
    </row>
    <row r="2540" spans="1:10" x14ac:dyDescent="0.35">
      <c r="A2540">
        <v>325184</v>
      </c>
      <c r="B2540" t="s">
        <v>20</v>
      </c>
      <c r="C2540">
        <v>2015</v>
      </c>
      <c r="D2540">
        <v>4</v>
      </c>
      <c r="E2540" t="s">
        <v>6</v>
      </c>
      <c r="F2540" t="s">
        <v>6</v>
      </c>
      <c r="G2540" t="s">
        <v>6</v>
      </c>
      <c r="H2540">
        <v>49851.02</v>
      </c>
      <c r="I2540">
        <v>14231.88</v>
      </c>
      <c r="J2540">
        <v>0</v>
      </c>
    </row>
    <row r="2541" spans="1:10" x14ac:dyDescent="0.35">
      <c r="A2541">
        <v>325185</v>
      </c>
      <c r="B2541" t="s">
        <v>20</v>
      </c>
      <c r="C2541">
        <v>2015</v>
      </c>
      <c r="D2541">
        <v>4</v>
      </c>
      <c r="E2541" t="s">
        <v>6</v>
      </c>
      <c r="F2541" t="s">
        <v>6</v>
      </c>
      <c r="G2541" t="s">
        <v>6</v>
      </c>
      <c r="H2541">
        <v>11618.5</v>
      </c>
      <c r="I2541">
        <v>2771.8</v>
      </c>
      <c r="J2541">
        <v>0</v>
      </c>
    </row>
    <row r="2542" spans="1:10" x14ac:dyDescent="0.35">
      <c r="A2542">
        <v>325186</v>
      </c>
      <c r="B2542" t="s">
        <v>20</v>
      </c>
      <c r="C2542">
        <v>2015</v>
      </c>
      <c r="D2542">
        <v>4</v>
      </c>
      <c r="E2542" t="s">
        <v>6</v>
      </c>
      <c r="F2542" t="s">
        <v>6</v>
      </c>
      <c r="G2542" t="s">
        <v>6</v>
      </c>
      <c r="H2542">
        <v>29511.9</v>
      </c>
      <c r="I2542">
        <v>8621.07</v>
      </c>
      <c r="J2542">
        <v>0</v>
      </c>
    </row>
    <row r="2543" spans="1:10" x14ac:dyDescent="0.35">
      <c r="A2543">
        <v>325192</v>
      </c>
      <c r="B2543" t="s">
        <v>20</v>
      </c>
      <c r="C2543">
        <v>2015</v>
      </c>
      <c r="D2543">
        <v>4</v>
      </c>
      <c r="E2543" t="s">
        <v>6</v>
      </c>
      <c r="F2543" t="s">
        <v>6</v>
      </c>
      <c r="G2543" t="s">
        <v>6</v>
      </c>
      <c r="H2543">
        <v>17427.28</v>
      </c>
      <c r="I2543">
        <v>4391.1000000000004</v>
      </c>
      <c r="J2543">
        <v>0</v>
      </c>
    </row>
    <row r="2544" spans="1:10" x14ac:dyDescent="0.35">
      <c r="A2544">
        <v>325206</v>
      </c>
      <c r="B2544" t="s">
        <v>20</v>
      </c>
      <c r="C2544">
        <v>2015</v>
      </c>
      <c r="D2544">
        <v>4</v>
      </c>
      <c r="E2544" t="s">
        <v>6</v>
      </c>
      <c r="F2544" t="s">
        <v>6</v>
      </c>
      <c r="G2544" t="s">
        <v>6</v>
      </c>
      <c r="H2544">
        <v>72039.02</v>
      </c>
      <c r="I2544">
        <v>29478.75</v>
      </c>
      <c r="J2544">
        <v>0</v>
      </c>
    </row>
    <row r="2545" spans="1:10" x14ac:dyDescent="0.35">
      <c r="A2545">
        <v>325207</v>
      </c>
      <c r="B2545" t="s">
        <v>20</v>
      </c>
      <c r="C2545">
        <v>2015</v>
      </c>
      <c r="D2545">
        <v>4</v>
      </c>
      <c r="E2545" t="s">
        <v>6</v>
      </c>
      <c r="F2545" t="s">
        <v>6</v>
      </c>
      <c r="G2545" t="s">
        <v>6</v>
      </c>
      <c r="H2545">
        <v>122192.3</v>
      </c>
      <c r="I2545">
        <v>64205.279999999999</v>
      </c>
      <c r="J2545">
        <v>0</v>
      </c>
    </row>
    <row r="2546" spans="1:10" x14ac:dyDescent="0.35">
      <c r="A2546">
        <v>325209</v>
      </c>
      <c r="B2546" t="s">
        <v>20</v>
      </c>
      <c r="C2546">
        <v>2015</v>
      </c>
      <c r="D2546">
        <v>4</v>
      </c>
      <c r="E2546" t="s">
        <v>6</v>
      </c>
      <c r="F2546" t="s">
        <v>6</v>
      </c>
      <c r="G2546" t="s">
        <v>6</v>
      </c>
      <c r="H2546">
        <v>6171.64</v>
      </c>
      <c r="I2546">
        <v>1816.35</v>
      </c>
      <c r="J2546">
        <v>0</v>
      </c>
    </row>
    <row r="2547" spans="1:10" x14ac:dyDescent="0.35">
      <c r="A2547">
        <v>325210</v>
      </c>
      <c r="B2547" t="s">
        <v>20</v>
      </c>
      <c r="C2547">
        <v>2015</v>
      </c>
      <c r="D2547">
        <v>4</v>
      </c>
      <c r="E2547" t="s">
        <v>6</v>
      </c>
      <c r="F2547" t="s">
        <v>6</v>
      </c>
      <c r="G2547" t="s">
        <v>6</v>
      </c>
      <c r="H2547">
        <v>18319.099999999999</v>
      </c>
      <c r="I2547">
        <v>5216.87</v>
      </c>
      <c r="J2547">
        <v>0</v>
      </c>
    </row>
    <row r="2548" spans="1:10" x14ac:dyDescent="0.35">
      <c r="A2548">
        <v>325212</v>
      </c>
      <c r="B2548" t="s">
        <v>20</v>
      </c>
      <c r="C2548">
        <v>2015</v>
      </c>
      <c r="D2548">
        <v>4</v>
      </c>
      <c r="E2548" t="s">
        <v>6</v>
      </c>
      <c r="F2548" t="s">
        <v>6</v>
      </c>
      <c r="G2548" t="s">
        <v>6</v>
      </c>
      <c r="H2548">
        <v>53810.48</v>
      </c>
      <c r="I2548">
        <v>23871.5</v>
      </c>
      <c r="J2548">
        <v>0</v>
      </c>
    </row>
    <row r="2549" spans="1:10" x14ac:dyDescent="0.35">
      <c r="A2549">
        <v>325216</v>
      </c>
      <c r="B2549" t="s">
        <v>20</v>
      </c>
      <c r="C2549">
        <v>2015</v>
      </c>
      <c r="D2549">
        <v>4</v>
      </c>
      <c r="E2549" t="s">
        <v>6</v>
      </c>
      <c r="F2549" t="s">
        <v>6</v>
      </c>
      <c r="G2549" t="s">
        <v>6</v>
      </c>
      <c r="H2549">
        <v>15598.46</v>
      </c>
      <c r="I2549">
        <v>4530.54</v>
      </c>
      <c r="J2549">
        <v>0</v>
      </c>
    </row>
    <row r="2550" spans="1:10" x14ac:dyDescent="0.35">
      <c r="A2550">
        <v>325218</v>
      </c>
      <c r="B2550" t="s">
        <v>20</v>
      </c>
      <c r="C2550">
        <v>2015</v>
      </c>
      <c r="D2550">
        <v>4</v>
      </c>
      <c r="E2550" t="s">
        <v>6</v>
      </c>
      <c r="F2550" t="s">
        <v>6</v>
      </c>
      <c r="G2550" t="s">
        <v>6</v>
      </c>
      <c r="H2550">
        <v>23388.04</v>
      </c>
      <c r="I2550">
        <v>7160.72</v>
      </c>
      <c r="J2550">
        <v>0</v>
      </c>
    </row>
    <row r="2551" spans="1:10" x14ac:dyDescent="0.35">
      <c r="A2551">
        <v>325228</v>
      </c>
      <c r="B2551" t="s">
        <v>20</v>
      </c>
      <c r="C2551">
        <v>2015</v>
      </c>
      <c r="D2551">
        <v>4</v>
      </c>
      <c r="E2551" t="s">
        <v>6</v>
      </c>
      <c r="F2551" t="s">
        <v>6</v>
      </c>
      <c r="G2551" t="s">
        <v>6</v>
      </c>
      <c r="H2551">
        <v>11237.18</v>
      </c>
      <c r="I2551">
        <v>3144.28</v>
      </c>
      <c r="J2551">
        <v>0</v>
      </c>
    </row>
    <row r="2552" spans="1:10" x14ac:dyDescent="0.35">
      <c r="A2552">
        <v>325231</v>
      </c>
      <c r="B2552" t="s">
        <v>20</v>
      </c>
      <c r="C2552">
        <v>2015</v>
      </c>
      <c r="D2552">
        <v>4</v>
      </c>
      <c r="E2552" t="s">
        <v>6</v>
      </c>
      <c r="F2552" t="s">
        <v>6</v>
      </c>
      <c r="G2552" t="s">
        <v>6</v>
      </c>
      <c r="H2552">
        <v>16352.1</v>
      </c>
      <c r="I2552">
        <v>2942.73</v>
      </c>
      <c r="J2552">
        <v>0</v>
      </c>
    </row>
    <row r="2553" spans="1:10" x14ac:dyDescent="0.35">
      <c r="A2553">
        <v>325235</v>
      </c>
      <c r="B2553" t="s">
        <v>20</v>
      </c>
      <c r="C2553">
        <v>2015</v>
      </c>
      <c r="D2553">
        <v>4</v>
      </c>
      <c r="E2553" t="s">
        <v>6</v>
      </c>
      <c r="F2553" t="s">
        <v>6</v>
      </c>
      <c r="G2553" t="s">
        <v>6</v>
      </c>
      <c r="H2553">
        <v>85013.5</v>
      </c>
      <c r="I2553">
        <v>49072.08</v>
      </c>
      <c r="J2553">
        <v>0</v>
      </c>
    </row>
    <row r="2554" spans="1:10" x14ac:dyDescent="0.35">
      <c r="A2554">
        <v>325238</v>
      </c>
      <c r="B2554" t="s">
        <v>20</v>
      </c>
      <c r="C2554">
        <v>2015</v>
      </c>
      <c r="D2554">
        <v>4</v>
      </c>
      <c r="E2554" t="s">
        <v>6</v>
      </c>
      <c r="F2554" t="s">
        <v>6</v>
      </c>
      <c r="G2554" t="s">
        <v>6</v>
      </c>
      <c r="H2554">
        <v>209674.44</v>
      </c>
      <c r="I2554">
        <v>64995.77</v>
      </c>
      <c r="J2554">
        <v>0</v>
      </c>
    </row>
    <row r="2555" spans="1:10" x14ac:dyDescent="0.35">
      <c r="A2555">
        <v>325241</v>
      </c>
      <c r="B2555" t="s">
        <v>20</v>
      </c>
      <c r="C2555">
        <v>2015</v>
      </c>
      <c r="D2555">
        <v>4</v>
      </c>
      <c r="E2555" t="s">
        <v>6</v>
      </c>
      <c r="F2555" t="s">
        <v>6</v>
      </c>
      <c r="G2555" t="s">
        <v>6</v>
      </c>
      <c r="H2555">
        <v>18771.2</v>
      </c>
      <c r="I2555">
        <v>4760.5600000000004</v>
      </c>
      <c r="J2555">
        <v>0</v>
      </c>
    </row>
    <row r="2556" spans="1:10" x14ac:dyDescent="0.35">
      <c r="A2556">
        <v>325248</v>
      </c>
      <c r="B2556" t="s">
        <v>20</v>
      </c>
      <c r="C2556">
        <v>2015</v>
      </c>
      <c r="D2556">
        <v>4</v>
      </c>
      <c r="E2556" t="s">
        <v>6</v>
      </c>
      <c r="F2556" t="s">
        <v>6</v>
      </c>
      <c r="G2556" t="s">
        <v>6</v>
      </c>
      <c r="H2556">
        <v>22421.58</v>
      </c>
      <c r="I2556">
        <v>8837.2099999999991</v>
      </c>
      <c r="J2556">
        <v>0</v>
      </c>
    </row>
    <row r="2557" spans="1:10" x14ac:dyDescent="0.35">
      <c r="A2557">
        <v>325250</v>
      </c>
      <c r="B2557" t="s">
        <v>20</v>
      </c>
      <c r="C2557">
        <v>2015</v>
      </c>
      <c r="D2557">
        <v>4</v>
      </c>
      <c r="E2557" t="s">
        <v>6</v>
      </c>
      <c r="F2557" t="s">
        <v>6</v>
      </c>
      <c r="G2557" t="s">
        <v>6</v>
      </c>
      <c r="H2557">
        <v>27197.439999999999</v>
      </c>
      <c r="I2557">
        <v>7924.83</v>
      </c>
      <c r="J2557">
        <v>0</v>
      </c>
    </row>
    <row r="2558" spans="1:10" x14ac:dyDescent="0.35">
      <c r="A2558">
        <v>325257</v>
      </c>
      <c r="B2558" t="s">
        <v>20</v>
      </c>
      <c r="C2558">
        <v>2015</v>
      </c>
      <c r="D2558">
        <v>4</v>
      </c>
      <c r="E2558" t="s">
        <v>6</v>
      </c>
      <c r="F2558" t="s">
        <v>6</v>
      </c>
      <c r="G2558" t="s">
        <v>6</v>
      </c>
      <c r="H2558">
        <v>16539.18</v>
      </c>
      <c r="I2558">
        <v>4992.24</v>
      </c>
      <c r="J2558">
        <v>0</v>
      </c>
    </row>
    <row r="2559" spans="1:10" x14ac:dyDescent="0.35">
      <c r="A2559">
        <v>325277</v>
      </c>
      <c r="B2559" t="s">
        <v>20</v>
      </c>
      <c r="C2559">
        <v>2015</v>
      </c>
      <c r="D2559">
        <v>4</v>
      </c>
      <c r="E2559" t="s">
        <v>6</v>
      </c>
      <c r="F2559" t="s">
        <v>6</v>
      </c>
      <c r="G2559" t="s">
        <v>6</v>
      </c>
      <c r="H2559">
        <v>13227.78</v>
      </c>
      <c r="I2559">
        <v>3926.98</v>
      </c>
      <c r="J2559">
        <v>0</v>
      </c>
    </row>
    <row r="2560" spans="1:10" x14ac:dyDescent="0.35">
      <c r="A2560">
        <v>325284</v>
      </c>
      <c r="B2560" t="s">
        <v>20</v>
      </c>
      <c r="C2560">
        <v>2015</v>
      </c>
      <c r="D2560">
        <v>4</v>
      </c>
      <c r="E2560" t="s">
        <v>6</v>
      </c>
      <c r="F2560" t="s">
        <v>6</v>
      </c>
      <c r="G2560" t="s">
        <v>6</v>
      </c>
      <c r="H2560">
        <v>131326.92000000001</v>
      </c>
      <c r="I2560">
        <v>50732.33</v>
      </c>
      <c r="J2560">
        <v>0</v>
      </c>
    </row>
    <row r="2561" spans="1:10" x14ac:dyDescent="0.35">
      <c r="A2561">
        <v>325289</v>
      </c>
      <c r="B2561" t="s">
        <v>20</v>
      </c>
      <c r="C2561">
        <v>2015</v>
      </c>
      <c r="D2561">
        <v>4</v>
      </c>
      <c r="E2561" t="s">
        <v>6</v>
      </c>
      <c r="F2561" t="s">
        <v>6</v>
      </c>
      <c r="G2561" t="s">
        <v>6</v>
      </c>
      <c r="H2561">
        <v>11740.52</v>
      </c>
      <c r="I2561">
        <v>3207.77</v>
      </c>
      <c r="J2561">
        <v>0</v>
      </c>
    </row>
    <row r="2562" spans="1:10" x14ac:dyDescent="0.35">
      <c r="A2562">
        <v>325304</v>
      </c>
      <c r="B2562" t="s">
        <v>20</v>
      </c>
      <c r="C2562">
        <v>2015</v>
      </c>
      <c r="D2562">
        <v>4</v>
      </c>
      <c r="E2562" t="s">
        <v>6</v>
      </c>
      <c r="F2562" t="s">
        <v>6</v>
      </c>
      <c r="G2562" t="s">
        <v>6</v>
      </c>
      <c r="H2562">
        <v>44260.58</v>
      </c>
      <c r="I2562">
        <v>14081.18</v>
      </c>
      <c r="J2562">
        <v>0</v>
      </c>
    </row>
    <row r="2563" spans="1:10" x14ac:dyDescent="0.35">
      <c r="A2563">
        <v>325305</v>
      </c>
      <c r="B2563" t="s">
        <v>20</v>
      </c>
      <c r="C2563">
        <v>2015</v>
      </c>
      <c r="D2563">
        <v>4</v>
      </c>
      <c r="E2563" t="s">
        <v>6</v>
      </c>
      <c r="F2563" t="s">
        <v>6</v>
      </c>
      <c r="G2563" t="s">
        <v>6</v>
      </c>
      <c r="H2563">
        <v>23778.240000000002</v>
      </c>
      <c r="I2563">
        <v>6498.9</v>
      </c>
      <c r="J2563">
        <v>0</v>
      </c>
    </row>
    <row r="2564" spans="1:10" x14ac:dyDescent="0.35">
      <c r="A2564">
        <v>325311</v>
      </c>
      <c r="B2564" t="s">
        <v>20</v>
      </c>
      <c r="C2564">
        <v>2015</v>
      </c>
      <c r="D2564">
        <v>4</v>
      </c>
      <c r="E2564" t="s">
        <v>6</v>
      </c>
      <c r="F2564" t="s">
        <v>6</v>
      </c>
      <c r="G2564" t="s">
        <v>6</v>
      </c>
      <c r="H2564">
        <v>16229.52</v>
      </c>
      <c r="I2564">
        <v>4575.51</v>
      </c>
      <c r="J2564">
        <v>0</v>
      </c>
    </row>
    <row r="2565" spans="1:10" x14ac:dyDescent="0.35">
      <c r="A2565">
        <v>325318</v>
      </c>
      <c r="B2565" t="s">
        <v>20</v>
      </c>
      <c r="C2565">
        <v>2015</v>
      </c>
      <c r="D2565">
        <v>4</v>
      </c>
      <c r="E2565" t="s">
        <v>6</v>
      </c>
      <c r="F2565" t="s">
        <v>6</v>
      </c>
      <c r="G2565" t="s">
        <v>6</v>
      </c>
      <c r="H2565">
        <v>6840.08</v>
      </c>
      <c r="I2565">
        <v>2004.88</v>
      </c>
      <c r="J2565">
        <v>0</v>
      </c>
    </row>
    <row r="2566" spans="1:10" x14ac:dyDescent="0.35">
      <c r="A2566">
        <v>325322</v>
      </c>
      <c r="B2566" t="s">
        <v>20</v>
      </c>
      <c r="C2566">
        <v>2015</v>
      </c>
      <c r="D2566">
        <v>4</v>
      </c>
      <c r="E2566" t="s">
        <v>6</v>
      </c>
      <c r="F2566" t="s">
        <v>6</v>
      </c>
      <c r="G2566" t="s">
        <v>6</v>
      </c>
      <c r="H2566">
        <v>15284.84</v>
      </c>
      <c r="I2566">
        <v>3169.31</v>
      </c>
      <c r="J2566">
        <v>0</v>
      </c>
    </row>
    <row r="2567" spans="1:10" x14ac:dyDescent="0.35">
      <c r="A2567">
        <v>325326</v>
      </c>
      <c r="B2567" t="s">
        <v>20</v>
      </c>
      <c r="C2567">
        <v>2015</v>
      </c>
      <c r="D2567">
        <v>4</v>
      </c>
      <c r="E2567" t="s">
        <v>6</v>
      </c>
      <c r="F2567" t="s">
        <v>6</v>
      </c>
      <c r="G2567" t="s">
        <v>6</v>
      </c>
      <c r="H2567">
        <v>20971.38</v>
      </c>
      <c r="I2567">
        <v>5847.71</v>
      </c>
      <c r="J2567">
        <v>0</v>
      </c>
    </row>
    <row r="2568" spans="1:10" x14ac:dyDescent="0.35">
      <c r="A2568">
        <v>325331</v>
      </c>
      <c r="B2568" t="s">
        <v>20</v>
      </c>
      <c r="C2568">
        <v>2015</v>
      </c>
      <c r="D2568">
        <v>4</v>
      </c>
      <c r="E2568" t="s">
        <v>6</v>
      </c>
      <c r="F2568" t="s">
        <v>6</v>
      </c>
      <c r="G2568" t="s">
        <v>6</v>
      </c>
      <c r="H2568">
        <v>28733.88</v>
      </c>
      <c r="I2568">
        <v>12449.86</v>
      </c>
      <c r="J2568">
        <v>0</v>
      </c>
    </row>
    <row r="2569" spans="1:10" x14ac:dyDescent="0.35">
      <c r="A2569">
        <v>325343</v>
      </c>
      <c r="B2569" t="s">
        <v>20</v>
      </c>
      <c r="C2569">
        <v>2015</v>
      </c>
      <c r="D2569">
        <v>4</v>
      </c>
      <c r="E2569" t="s">
        <v>6</v>
      </c>
      <c r="F2569" t="s">
        <v>6</v>
      </c>
      <c r="G2569" t="s">
        <v>6</v>
      </c>
      <c r="H2569">
        <v>25136.560000000001</v>
      </c>
      <c r="I2569">
        <v>7354.05</v>
      </c>
      <c r="J2569">
        <v>0</v>
      </c>
    </row>
    <row r="2570" spans="1:10" x14ac:dyDescent="0.35">
      <c r="A2570">
        <v>325347</v>
      </c>
      <c r="B2570" t="s">
        <v>20</v>
      </c>
      <c r="C2570">
        <v>2015</v>
      </c>
      <c r="D2570">
        <v>4</v>
      </c>
      <c r="E2570" t="s">
        <v>6</v>
      </c>
      <c r="F2570" t="s">
        <v>6</v>
      </c>
      <c r="G2570" t="s">
        <v>6</v>
      </c>
      <c r="H2570">
        <v>18442.98</v>
      </c>
      <c r="I2570">
        <v>3977.48</v>
      </c>
      <c r="J2570">
        <v>0</v>
      </c>
    </row>
    <row r="2571" spans="1:10" x14ac:dyDescent="0.35">
      <c r="A2571">
        <v>325353</v>
      </c>
      <c r="B2571" t="s">
        <v>20</v>
      </c>
      <c r="C2571">
        <v>2015</v>
      </c>
      <c r="D2571">
        <v>4</v>
      </c>
      <c r="E2571" t="s">
        <v>6</v>
      </c>
      <c r="F2571" t="s">
        <v>6</v>
      </c>
      <c r="G2571" t="s">
        <v>6</v>
      </c>
      <c r="H2571">
        <v>49926.46</v>
      </c>
      <c r="I2571">
        <v>14257.88</v>
      </c>
      <c r="J2571">
        <v>0</v>
      </c>
    </row>
    <row r="2572" spans="1:10" x14ac:dyDescent="0.35">
      <c r="A2572">
        <v>325356</v>
      </c>
      <c r="B2572" t="s">
        <v>20</v>
      </c>
      <c r="C2572">
        <v>2015</v>
      </c>
      <c r="D2572">
        <v>4</v>
      </c>
      <c r="E2572" t="s">
        <v>6</v>
      </c>
      <c r="F2572" t="s">
        <v>6</v>
      </c>
      <c r="G2572" t="s">
        <v>6</v>
      </c>
      <c r="H2572">
        <v>44734.42</v>
      </c>
      <c r="I2572">
        <v>14421.19</v>
      </c>
      <c r="J2572">
        <v>0</v>
      </c>
    </row>
    <row r="2573" spans="1:10" x14ac:dyDescent="0.35">
      <c r="A2573">
        <v>325358</v>
      </c>
      <c r="B2573" t="s">
        <v>20</v>
      </c>
      <c r="C2573">
        <v>2015</v>
      </c>
      <c r="D2573">
        <v>4</v>
      </c>
      <c r="E2573" t="s">
        <v>6</v>
      </c>
      <c r="F2573" t="s">
        <v>6</v>
      </c>
      <c r="G2573" t="s">
        <v>6</v>
      </c>
      <c r="H2573">
        <v>76155.520000000004</v>
      </c>
      <c r="I2573">
        <v>35515.699999999997</v>
      </c>
      <c r="J2573">
        <v>0</v>
      </c>
    </row>
    <row r="2574" spans="1:10" x14ac:dyDescent="0.35">
      <c r="A2574">
        <v>325361</v>
      </c>
      <c r="B2574" t="s">
        <v>20</v>
      </c>
      <c r="C2574">
        <v>2015</v>
      </c>
      <c r="D2574">
        <v>4</v>
      </c>
      <c r="E2574" t="s">
        <v>6</v>
      </c>
      <c r="F2574" t="s">
        <v>6</v>
      </c>
      <c r="G2574" t="s">
        <v>6</v>
      </c>
      <c r="H2574">
        <v>46039.44</v>
      </c>
      <c r="I2574">
        <v>13035.91</v>
      </c>
      <c r="J2574">
        <v>0</v>
      </c>
    </row>
    <row r="2575" spans="1:10" x14ac:dyDescent="0.35">
      <c r="A2575">
        <v>325365</v>
      </c>
      <c r="B2575" t="s">
        <v>20</v>
      </c>
      <c r="C2575">
        <v>2015</v>
      </c>
      <c r="D2575">
        <v>4</v>
      </c>
      <c r="E2575" t="s">
        <v>6</v>
      </c>
      <c r="F2575" t="s">
        <v>6</v>
      </c>
      <c r="G2575" t="s">
        <v>6</v>
      </c>
      <c r="H2575">
        <v>43284.76</v>
      </c>
      <c r="I2575">
        <v>10375.25</v>
      </c>
      <c r="J2575">
        <v>0</v>
      </c>
    </row>
    <row r="2576" spans="1:10" x14ac:dyDescent="0.35">
      <c r="A2576">
        <v>325386</v>
      </c>
      <c r="B2576" t="s">
        <v>20</v>
      </c>
      <c r="C2576">
        <v>2015</v>
      </c>
      <c r="D2576">
        <v>4</v>
      </c>
      <c r="E2576" t="s">
        <v>6</v>
      </c>
      <c r="F2576" t="s">
        <v>6</v>
      </c>
      <c r="G2576" t="s">
        <v>6</v>
      </c>
      <c r="H2576">
        <v>62138.3</v>
      </c>
      <c r="I2576">
        <v>23347.53</v>
      </c>
      <c r="J2576">
        <v>0</v>
      </c>
    </row>
    <row r="2577" spans="1:10" x14ac:dyDescent="0.35">
      <c r="A2577">
        <v>325389</v>
      </c>
      <c r="B2577" t="s">
        <v>20</v>
      </c>
      <c r="C2577">
        <v>2015</v>
      </c>
      <c r="D2577">
        <v>4</v>
      </c>
      <c r="E2577" t="s">
        <v>6</v>
      </c>
      <c r="F2577" t="s">
        <v>6</v>
      </c>
      <c r="G2577" t="s">
        <v>6</v>
      </c>
      <c r="H2577">
        <v>25065.24</v>
      </c>
      <c r="I2577">
        <v>6582.68</v>
      </c>
      <c r="J2577">
        <v>0</v>
      </c>
    </row>
    <row r="2578" spans="1:10" x14ac:dyDescent="0.35">
      <c r="A2578">
        <v>325392</v>
      </c>
      <c r="B2578" t="s">
        <v>20</v>
      </c>
      <c r="C2578">
        <v>2015</v>
      </c>
      <c r="D2578">
        <v>4</v>
      </c>
      <c r="E2578" t="s">
        <v>6</v>
      </c>
      <c r="F2578" t="s">
        <v>6</v>
      </c>
      <c r="G2578" t="s">
        <v>6</v>
      </c>
      <c r="H2578">
        <v>23293.38</v>
      </c>
      <c r="I2578">
        <v>7442.85</v>
      </c>
      <c r="J2578">
        <v>0</v>
      </c>
    </row>
    <row r="2579" spans="1:10" x14ac:dyDescent="0.35">
      <c r="A2579">
        <v>325402</v>
      </c>
      <c r="B2579" t="s">
        <v>20</v>
      </c>
      <c r="C2579">
        <v>2015</v>
      </c>
      <c r="D2579">
        <v>4</v>
      </c>
      <c r="E2579" t="s">
        <v>6</v>
      </c>
      <c r="F2579" t="s">
        <v>6</v>
      </c>
      <c r="G2579" t="s">
        <v>6</v>
      </c>
      <c r="H2579">
        <v>25051.88</v>
      </c>
      <c r="I2579">
        <v>6270.22</v>
      </c>
      <c r="J2579">
        <v>0</v>
      </c>
    </row>
    <row r="2580" spans="1:10" x14ac:dyDescent="0.35">
      <c r="A2580">
        <v>325406</v>
      </c>
      <c r="B2580" t="s">
        <v>20</v>
      </c>
      <c r="C2580">
        <v>2015</v>
      </c>
      <c r="D2580">
        <v>4</v>
      </c>
      <c r="E2580" t="s">
        <v>6</v>
      </c>
      <c r="F2580" t="s">
        <v>6</v>
      </c>
      <c r="G2580" t="s">
        <v>6</v>
      </c>
      <c r="H2580">
        <v>23468.84</v>
      </c>
      <c r="I2580">
        <v>6267.71</v>
      </c>
      <c r="J2580">
        <v>0</v>
      </c>
    </row>
    <row r="2581" spans="1:10" x14ac:dyDescent="0.35">
      <c r="A2581">
        <v>325409</v>
      </c>
      <c r="B2581" t="s">
        <v>20</v>
      </c>
      <c r="C2581">
        <v>2015</v>
      </c>
      <c r="D2581">
        <v>4</v>
      </c>
      <c r="E2581" t="s">
        <v>6</v>
      </c>
      <c r="F2581" t="s">
        <v>6</v>
      </c>
      <c r="G2581" t="s">
        <v>6</v>
      </c>
      <c r="H2581">
        <v>55282.080000000002</v>
      </c>
      <c r="I2581">
        <v>31920.49</v>
      </c>
      <c r="J2581">
        <v>0</v>
      </c>
    </row>
    <row r="2582" spans="1:10" x14ac:dyDescent="0.35">
      <c r="A2582">
        <v>325439</v>
      </c>
      <c r="B2582" t="s">
        <v>20</v>
      </c>
      <c r="C2582">
        <v>2015</v>
      </c>
      <c r="D2582">
        <v>4</v>
      </c>
      <c r="E2582" t="s">
        <v>6</v>
      </c>
      <c r="F2582" t="s">
        <v>6</v>
      </c>
      <c r="G2582" t="s">
        <v>6</v>
      </c>
      <c r="H2582">
        <v>22030.78</v>
      </c>
      <c r="I2582">
        <v>5549.83</v>
      </c>
      <c r="J2582">
        <v>0</v>
      </c>
    </row>
    <row r="2583" spans="1:10" x14ac:dyDescent="0.35">
      <c r="A2583">
        <v>325450</v>
      </c>
      <c r="B2583" t="s">
        <v>20</v>
      </c>
      <c r="C2583">
        <v>2015</v>
      </c>
      <c r="D2583">
        <v>4</v>
      </c>
      <c r="E2583" t="s">
        <v>6</v>
      </c>
      <c r="F2583" t="s">
        <v>6</v>
      </c>
      <c r="G2583" t="s">
        <v>6</v>
      </c>
      <c r="H2583">
        <v>32071.919999999998</v>
      </c>
      <c r="I2583">
        <v>15023.39</v>
      </c>
      <c r="J2583">
        <v>0</v>
      </c>
    </row>
    <row r="2584" spans="1:10" x14ac:dyDescent="0.35">
      <c r="A2584">
        <v>325451</v>
      </c>
      <c r="B2584" t="s">
        <v>20</v>
      </c>
      <c r="C2584">
        <v>2015</v>
      </c>
      <c r="D2584">
        <v>4</v>
      </c>
      <c r="E2584" t="s">
        <v>6</v>
      </c>
      <c r="F2584" t="s">
        <v>6</v>
      </c>
      <c r="G2584" t="s">
        <v>6</v>
      </c>
      <c r="H2584">
        <v>12331.56</v>
      </c>
      <c r="I2584">
        <v>3453.88</v>
      </c>
      <c r="J2584">
        <v>0</v>
      </c>
    </row>
    <row r="2585" spans="1:10" x14ac:dyDescent="0.35">
      <c r="A2585">
        <v>325457</v>
      </c>
      <c r="B2585" t="s">
        <v>20</v>
      </c>
      <c r="C2585">
        <v>2015</v>
      </c>
      <c r="D2585">
        <v>4</v>
      </c>
      <c r="E2585" t="s">
        <v>6</v>
      </c>
      <c r="F2585" t="s">
        <v>6</v>
      </c>
      <c r="G2585" t="s">
        <v>6</v>
      </c>
      <c r="H2585">
        <v>11207.36</v>
      </c>
      <c r="I2585">
        <v>2506.19</v>
      </c>
      <c r="J2585">
        <v>0</v>
      </c>
    </row>
    <row r="2586" spans="1:10" x14ac:dyDescent="0.35">
      <c r="A2586">
        <v>325462</v>
      </c>
      <c r="B2586" t="s">
        <v>20</v>
      </c>
      <c r="C2586">
        <v>2015</v>
      </c>
      <c r="D2586">
        <v>4</v>
      </c>
      <c r="E2586" t="s">
        <v>6</v>
      </c>
      <c r="F2586" t="s">
        <v>6</v>
      </c>
      <c r="G2586" t="s">
        <v>6</v>
      </c>
      <c r="H2586">
        <v>68533.179999999993</v>
      </c>
      <c r="I2586">
        <v>30864.71</v>
      </c>
      <c r="J2586">
        <v>0</v>
      </c>
    </row>
    <row r="2587" spans="1:10" x14ac:dyDescent="0.35">
      <c r="A2587">
        <v>325476</v>
      </c>
      <c r="B2587" t="s">
        <v>20</v>
      </c>
      <c r="C2587">
        <v>2015</v>
      </c>
      <c r="D2587">
        <v>4</v>
      </c>
      <c r="E2587" t="s">
        <v>6</v>
      </c>
      <c r="F2587" t="s">
        <v>6</v>
      </c>
      <c r="G2587" t="s">
        <v>6</v>
      </c>
      <c r="H2587">
        <v>21312.7</v>
      </c>
      <c r="I2587">
        <v>6477.68</v>
      </c>
      <c r="J2587">
        <v>0</v>
      </c>
    </row>
    <row r="2588" spans="1:10" x14ac:dyDescent="0.35">
      <c r="A2588">
        <v>325484</v>
      </c>
      <c r="B2588" t="s">
        <v>20</v>
      </c>
      <c r="C2588">
        <v>2015</v>
      </c>
      <c r="D2588">
        <v>4</v>
      </c>
      <c r="E2588" t="s">
        <v>6</v>
      </c>
      <c r="F2588" t="s">
        <v>6</v>
      </c>
      <c r="G2588" t="s">
        <v>6</v>
      </c>
      <c r="H2588">
        <v>25257.5</v>
      </c>
      <c r="I2588">
        <v>12905.98</v>
      </c>
      <c r="J2588">
        <v>0</v>
      </c>
    </row>
    <row r="2589" spans="1:10" x14ac:dyDescent="0.35">
      <c r="A2589">
        <v>325489</v>
      </c>
      <c r="B2589" t="s">
        <v>20</v>
      </c>
      <c r="C2589">
        <v>2015</v>
      </c>
      <c r="D2589">
        <v>4</v>
      </c>
      <c r="E2589" t="s">
        <v>6</v>
      </c>
      <c r="F2589" t="s">
        <v>6</v>
      </c>
      <c r="G2589" t="s">
        <v>6</v>
      </c>
      <c r="H2589">
        <v>26859.84</v>
      </c>
      <c r="I2589">
        <v>8215.9</v>
      </c>
      <c r="J2589">
        <v>0</v>
      </c>
    </row>
    <row r="2590" spans="1:10" x14ac:dyDescent="0.35">
      <c r="A2590">
        <v>325490</v>
      </c>
      <c r="B2590" t="s">
        <v>20</v>
      </c>
      <c r="C2590">
        <v>2015</v>
      </c>
      <c r="D2590">
        <v>4</v>
      </c>
      <c r="E2590" t="s">
        <v>6</v>
      </c>
      <c r="F2590" t="s">
        <v>6</v>
      </c>
      <c r="G2590" t="s">
        <v>6</v>
      </c>
      <c r="H2590">
        <v>70661.14</v>
      </c>
      <c r="I2590">
        <v>19817.740000000002</v>
      </c>
      <c r="J2590">
        <v>0</v>
      </c>
    </row>
    <row r="2591" spans="1:10" x14ac:dyDescent="0.35">
      <c r="A2591">
        <v>325514</v>
      </c>
      <c r="B2591" t="s">
        <v>20</v>
      </c>
      <c r="C2591">
        <v>2015</v>
      </c>
      <c r="D2591">
        <v>4</v>
      </c>
      <c r="E2591" t="s">
        <v>6</v>
      </c>
      <c r="F2591" t="s">
        <v>6</v>
      </c>
      <c r="G2591" t="s">
        <v>6</v>
      </c>
      <c r="H2591">
        <v>31184.639999999999</v>
      </c>
      <c r="I2591">
        <v>9699.2099999999991</v>
      </c>
      <c r="J2591">
        <v>0</v>
      </c>
    </row>
    <row r="2592" spans="1:10" x14ac:dyDescent="0.35">
      <c r="A2592">
        <v>325518</v>
      </c>
      <c r="B2592" t="s">
        <v>20</v>
      </c>
      <c r="C2592">
        <v>2015</v>
      </c>
      <c r="D2592">
        <v>4</v>
      </c>
      <c r="E2592" t="s">
        <v>6</v>
      </c>
      <c r="F2592" t="s">
        <v>6</v>
      </c>
      <c r="G2592" t="s">
        <v>6</v>
      </c>
      <c r="H2592">
        <v>19186.66</v>
      </c>
      <c r="I2592">
        <v>5387.24</v>
      </c>
      <c r="J2592">
        <v>0</v>
      </c>
    </row>
    <row r="2593" spans="1:10" x14ac:dyDescent="0.35">
      <c r="A2593">
        <v>325523</v>
      </c>
      <c r="B2593" t="s">
        <v>20</v>
      </c>
      <c r="C2593">
        <v>2015</v>
      </c>
      <c r="D2593">
        <v>4</v>
      </c>
      <c r="E2593" t="s">
        <v>6</v>
      </c>
      <c r="F2593" t="s">
        <v>6</v>
      </c>
      <c r="G2593" t="s">
        <v>6</v>
      </c>
      <c r="H2593">
        <v>27539.279999999999</v>
      </c>
      <c r="I2593">
        <v>7479.04</v>
      </c>
      <c r="J2593">
        <v>0</v>
      </c>
    </row>
    <row r="2594" spans="1:10" x14ac:dyDescent="0.35">
      <c r="A2594">
        <v>325527</v>
      </c>
      <c r="B2594" t="s">
        <v>20</v>
      </c>
      <c r="C2594">
        <v>2015</v>
      </c>
      <c r="D2594">
        <v>4</v>
      </c>
      <c r="E2594" t="s">
        <v>6</v>
      </c>
      <c r="F2594" t="s">
        <v>6</v>
      </c>
      <c r="G2594" t="s">
        <v>6</v>
      </c>
      <c r="H2594">
        <v>57006.44</v>
      </c>
      <c r="I2594">
        <v>17208.03</v>
      </c>
      <c r="J2594">
        <v>0</v>
      </c>
    </row>
    <row r="2595" spans="1:10" x14ac:dyDescent="0.35">
      <c r="A2595">
        <v>325531</v>
      </c>
      <c r="B2595" t="s">
        <v>20</v>
      </c>
      <c r="C2595">
        <v>2015</v>
      </c>
      <c r="D2595">
        <v>4</v>
      </c>
      <c r="E2595" t="s">
        <v>6</v>
      </c>
      <c r="F2595" t="s">
        <v>6</v>
      </c>
      <c r="G2595" t="s">
        <v>6</v>
      </c>
      <c r="H2595">
        <v>18408.259999999998</v>
      </c>
      <c r="I2595">
        <v>4789.07</v>
      </c>
      <c r="J2595">
        <v>0</v>
      </c>
    </row>
    <row r="2596" spans="1:10" x14ac:dyDescent="0.35">
      <c r="A2596">
        <v>325534</v>
      </c>
      <c r="B2596" t="s">
        <v>20</v>
      </c>
      <c r="C2596">
        <v>2015</v>
      </c>
      <c r="D2596">
        <v>4</v>
      </c>
      <c r="E2596" t="s">
        <v>6</v>
      </c>
      <c r="F2596" t="s">
        <v>6</v>
      </c>
      <c r="G2596" t="s">
        <v>6</v>
      </c>
      <c r="H2596">
        <v>32198.18</v>
      </c>
      <c r="I2596">
        <v>10206.879999999999</v>
      </c>
      <c r="J2596">
        <v>0</v>
      </c>
    </row>
    <row r="2597" spans="1:10" x14ac:dyDescent="0.35">
      <c r="A2597">
        <v>325535</v>
      </c>
      <c r="B2597" t="s">
        <v>20</v>
      </c>
      <c r="C2597">
        <v>2015</v>
      </c>
      <c r="D2597">
        <v>4</v>
      </c>
      <c r="E2597" t="s">
        <v>6</v>
      </c>
      <c r="F2597" t="s">
        <v>6</v>
      </c>
      <c r="G2597" t="s">
        <v>6</v>
      </c>
      <c r="H2597">
        <v>28621.02</v>
      </c>
      <c r="I2597">
        <v>13938.36</v>
      </c>
      <c r="J2597">
        <v>0</v>
      </c>
    </row>
    <row r="2598" spans="1:10" x14ac:dyDescent="0.35">
      <c r="A2598">
        <v>325536</v>
      </c>
      <c r="B2598" t="s">
        <v>20</v>
      </c>
      <c r="C2598">
        <v>2015</v>
      </c>
      <c r="D2598">
        <v>4</v>
      </c>
      <c r="E2598" t="s">
        <v>6</v>
      </c>
      <c r="F2598" t="s">
        <v>6</v>
      </c>
      <c r="G2598" t="s">
        <v>6</v>
      </c>
      <c r="H2598">
        <v>84292.98</v>
      </c>
      <c r="I2598">
        <v>27339.73</v>
      </c>
      <c r="J2598">
        <v>0</v>
      </c>
    </row>
    <row r="2599" spans="1:10" x14ac:dyDescent="0.35">
      <c r="A2599">
        <v>325537</v>
      </c>
      <c r="B2599" t="s">
        <v>20</v>
      </c>
      <c r="C2599">
        <v>2015</v>
      </c>
      <c r="D2599">
        <v>4</v>
      </c>
      <c r="E2599" t="s">
        <v>6</v>
      </c>
      <c r="F2599" t="s">
        <v>6</v>
      </c>
      <c r="G2599" t="s">
        <v>6</v>
      </c>
      <c r="H2599">
        <v>28735.64</v>
      </c>
      <c r="I2599">
        <v>9362.77</v>
      </c>
      <c r="J2599">
        <v>0</v>
      </c>
    </row>
    <row r="2600" spans="1:10" x14ac:dyDescent="0.35">
      <c r="A2600">
        <v>325542</v>
      </c>
      <c r="B2600" t="s">
        <v>20</v>
      </c>
      <c r="C2600">
        <v>2015</v>
      </c>
      <c r="D2600">
        <v>4</v>
      </c>
      <c r="E2600" t="s">
        <v>6</v>
      </c>
      <c r="F2600" t="s">
        <v>6</v>
      </c>
      <c r="G2600" t="s">
        <v>6</v>
      </c>
      <c r="H2600">
        <v>22306.22</v>
      </c>
      <c r="I2600">
        <v>4998.79</v>
      </c>
      <c r="J2600">
        <v>0</v>
      </c>
    </row>
    <row r="2601" spans="1:10" x14ac:dyDescent="0.35">
      <c r="A2601">
        <v>325544</v>
      </c>
      <c r="B2601" t="s">
        <v>20</v>
      </c>
      <c r="C2601">
        <v>2015</v>
      </c>
      <c r="D2601">
        <v>4</v>
      </c>
      <c r="E2601" t="s">
        <v>6</v>
      </c>
      <c r="F2601" t="s">
        <v>6</v>
      </c>
      <c r="G2601" t="s">
        <v>6</v>
      </c>
      <c r="H2601">
        <v>66924.800000000003</v>
      </c>
      <c r="I2601">
        <v>21520.42</v>
      </c>
      <c r="J2601">
        <v>0</v>
      </c>
    </row>
    <row r="2602" spans="1:10" x14ac:dyDescent="0.35">
      <c r="A2602">
        <v>325545</v>
      </c>
      <c r="B2602" t="s">
        <v>20</v>
      </c>
      <c r="C2602">
        <v>2015</v>
      </c>
      <c r="D2602">
        <v>4</v>
      </c>
      <c r="E2602" t="s">
        <v>6</v>
      </c>
      <c r="F2602" t="s">
        <v>6</v>
      </c>
      <c r="G2602" t="s">
        <v>6</v>
      </c>
      <c r="H2602">
        <v>11578.9</v>
      </c>
      <c r="I2602">
        <v>2675.93</v>
      </c>
      <c r="J2602">
        <v>0</v>
      </c>
    </row>
    <row r="2603" spans="1:10" x14ac:dyDescent="0.35">
      <c r="A2603">
        <v>325549</v>
      </c>
      <c r="B2603" t="s">
        <v>20</v>
      </c>
      <c r="C2603">
        <v>2015</v>
      </c>
      <c r="D2603">
        <v>4</v>
      </c>
      <c r="E2603" t="s">
        <v>6</v>
      </c>
      <c r="F2603" t="s">
        <v>6</v>
      </c>
      <c r="G2603" t="s">
        <v>6</v>
      </c>
      <c r="H2603">
        <v>9968.6200000000008</v>
      </c>
      <c r="I2603">
        <v>2767.11</v>
      </c>
      <c r="J2603">
        <v>0</v>
      </c>
    </row>
    <row r="2604" spans="1:10" x14ac:dyDescent="0.35">
      <c r="A2604">
        <v>325550</v>
      </c>
      <c r="B2604" t="s">
        <v>20</v>
      </c>
      <c r="C2604">
        <v>2015</v>
      </c>
      <c r="D2604">
        <v>4</v>
      </c>
      <c r="E2604" t="s">
        <v>6</v>
      </c>
      <c r="F2604" t="s">
        <v>6</v>
      </c>
      <c r="G2604" t="s">
        <v>6</v>
      </c>
      <c r="H2604">
        <v>27118.880000000001</v>
      </c>
      <c r="I2604">
        <v>7788.74</v>
      </c>
      <c r="J2604">
        <v>0</v>
      </c>
    </row>
    <row r="2605" spans="1:10" x14ac:dyDescent="0.35">
      <c r="A2605">
        <v>325551</v>
      </c>
      <c r="B2605" t="s">
        <v>20</v>
      </c>
      <c r="C2605">
        <v>2015</v>
      </c>
      <c r="D2605">
        <v>4</v>
      </c>
      <c r="E2605" t="s">
        <v>6</v>
      </c>
      <c r="F2605" t="s">
        <v>6</v>
      </c>
      <c r="G2605" t="s">
        <v>6</v>
      </c>
      <c r="H2605">
        <v>88875.5</v>
      </c>
      <c r="I2605">
        <v>46407.17</v>
      </c>
      <c r="J2605">
        <v>0</v>
      </c>
    </row>
    <row r="2606" spans="1:10" x14ac:dyDescent="0.35">
      <c r="A2606">
        <v>325557</v>
      </c>
      <c r="B2606" t="s">
        <v>20</v>
      </c>
      <c r="C2606">
        <v>2015</v>
      </c>
      <c r="D2606">
        <v>4</v>
      </c>
      <c r="E2606" t="s">
        <v>6</v>
      </c>
      <c r="F2606" t="s">
        <v>6</v>
      </c>
      <c r="G2606" t="s">
        <v>6</v>
      </c>
      <c r="H2606">
        <v>13339.1</v>
      </c>
      <c r="I2606">
        <v>4198.5600000000004</v>
      </c>
      <c r="J2606">
        <v>0</v>
      </c>
    </row>
    <row r="2607" spans="1:10" x14ac:dyDescent="0.35">
      <c r="A2607">
        <v>325570</v>
      </c>
      <c r="B2607" t="s">
        <v>20</v>
      </c>
      <c r="C2607">
        <v>2015</v>
      </c>
      <c r="D2607">
        <v>4</v>
      </c>
      <c r="E2607" t="s">
        <v>6</v>
      </c>
      <c r="F2607" t="s">
        <v>6</v>
      </c>
      <c r="G2607" t="s">
        <v>6</v>
      </c>
      <c r="H2607">
        <v>29044.32</v>
      </c>
      <c r="I2607">
        <v>7762.45</v>
      </c>
      <c r="J2607">
        <v>0</v>
      </c>
    </row>
    <row r="2608" spans="1:10" x14ac:dyDescent="0.35">
      <c r="A2608">
        <v>325590</v>
      </c>
      <c r="B2608" t="s">
        <v>20</v>
      </c>
      <c r="C2608">
        <v>2015</v>
      </c>
      <c r="D2608">
        <v>4</v>
      </c>
      <c r="E2608" t="s">
        <v>6</v>
      </c>
      <c r="F2608" t="s">
        <v>6</v>
      </c>
      <c r="G2608" t="s">
        <v>6</v>
      </c>
      <c r="H2608">
        <v>14994.46</v>
      </c>
      <c r="I2608">
        <v>2611.04</v>
      </c>
      <c r="J2608">
        <v>0</v>
      </c>
    </row>
    <row r="2609" spans="1:10" x14ac:dyDescent="0.35">
      <c r="A2609">
        <v>325608</v>
      </c>
      <c r="B2609" t="s">
        <v>20</v>
      </c>
      <c r="C2609">
        <v>2015</v>
      </c>
      <c r="D2609">
        <v>4</v>
      </c>
      <c r="E2609" t="s">
        <v>6</v>
      </c>
      <c r="F2609" t="s">
        <v>6</v>
      </c>
      <c r="G2609" t="s">
        <v>6</v>
      </c>
      <c r="H2609">
        <v>14373.16</v>
      </c>
      <c r="I2609">
        <v>2963.13</v>
      </c>
      <c r="J2609">
        <v>0</v>
      </c>
    </row>
    <row r="2610" spans="1:10" x14ac:dyDescent="0.35">
      <c r="A2610">
        <v>325618</v>
      </c>
      <c r="B2610" t="s">
        <v>20</v>
      </c>
      <c r="C2610">
        <v>2015</v>
      </c>
      <c r="D2610">
        <v>4</v>
      </c>
      <c r="E2610" t="s">
        <v>6</v>
      </c>
      <c r="F2610" t="s">
        <v>6</v>
      </c>
      <c r="G2610" t="s">
        <v>6</v>
      </c>
      <c r="H2610">
        <v>18635.419999999998</v>
      </c>
      <c r="I2610">
        <v>5428.12</v>
      </c>
      <c r="J2610">
        <v>0</v>
      </c>
    </row>
    <row r="2611" spans="1:10" x14ac:dyDescent="0.35">
      <c r="A2611">
        <v>325622</v>
      </c>
      <c r="B2611" t="s">
        <v>20</v>
      </c>
      <c r="C2611">
        <v>2015</v>
      </c>
      <c r="D2611">
        <v>4</v>
      </c>
      <c r="E2611" t="s">
        <v>6</v>
      </c>
      <c r="F2611" t="s">
        <v>6</v>
      </c>
      <c r="G2611" t="s">
        <v>6</v>
      </c>
      <c r="H2611">
        <v>40253.08</v>
      </c>
      <c r="I2611">
        <v>17946.810000000001</v>
      </c>
      <c r="J2611">
        <v>0</v>
      </c>
    </row>
    <row r="2612" spans="1:10" x14ac:dyDescent="0.35">
      <c r="A2612">
        <v>325625</v>
      </c>
      <c r="B2612" t="s">
        <v>20</v>
      </c>
      <c r="C2612">
        <v>2015</v>
      </c>
      <c r="D2612">
        <v>4</v>
      </c>
      <c r="E2612" t="s">
        <v>6</v>
      </c>
      <c r="F2612" t="s">
        <v>6</v>
      </c>
      <c r="G2612" t="s">
        <v>6</v>
      </c>
      <c r="H2612">
        <v>23337.24</v>
      </c>
      <c r="I2612">
        <v>7343.43</v>
      </c>
      <c r="J2612">
        <v>0</v>
      </c>
    </row>
    <row r="2613" spans="1:10" x14ac:dyDescent="0.35">
      <c r="A2613">
        <v>325646</v>
      </c>
      <c r="B2613" t="s">
        <v>20</v>
      </c>
      <c r="C2613">
        <v>2015</v>
      </c>
      <c r="D2613">
        <v>4</v>
      </c>
      <c r="E2613" t="s">
        <v>6</v>
      </c>
      <c r="F2613" t="s">
        <v>6</v>
      </c>
      <c r="G2613" t="s">
        <v>6</v>
      </c>
      <c r="H2613">
        <v>26660.92</v>
      </c>
      <c r="I2613">
        <v>10053.58</v>
      </c>
      <c r="J2613">
        <v>0</v>
      </c>
    </row>
    <row r="2614" spans="1:10" x14ac:dyDescent="0.35">
      <c r="A2614">
        <v>325649</v>
      </c>
      <c r="B2614" t="s">
        <v>20</v>
      </c>
      <c r="C2614">
        <v>2015</v>
      </c>
      <c r="D2614">
        <v>4</v>
      </c>
      <c r="E2614" t="s">
        <v>6</v>
      </c>
      <c r="F2614" t="s">
        <v>6</v>
      </c>
      <c r="G2614" t="s">
        <v>6</v>
      </c>
      <c r="H2614">
        <v>69995.28</v>
      </c>
      <c r="I2614">
        <v>26259.42</v>
      </c>
      <c r="J2614">
        <v>0</v>
      </c>
    </row>
    <row r="2615" spans="1:10" x14ac:dyDescent="0.35">
      <c r="A2615">
        <v>325656</v>
      </c>
      <c r="B2615" t="s">
        <v>20</v>
      </c>
      <c r="C2615">
        <v>2015</v>
      </c>
      <c r="D2615">
        <v>4</v>
      </c>
      <c r="E2615" t="s">
        <v>6</v>
      </c>
      <c r="F2615" t="s">
        <v>6</v>
      </c>
      <c r="G2615" t="s">
        <v>6</v>
      </c>
      <c r="H2615">
        <v>39159.360000000001</v>
      </c>
      <c r="I2615">
        <v>13923.88</v>
      </c>
      <c r="J2615">
        <v>0</v>
      </c>
    </row>
    <row r="2616" spans="1:10" x14ac:dyDescent="0.35">
      <c r="A2616">
        <v>325667</v>
      </c>
      <c r="B2616" t="s">
        <v>20</v>
      </c>
      <c r="C2616">
        <v>2015</v>
      </c>
      <c r="D2616">
        <v>4</v>
      </c>
      <c r="E2616" t="s">
        <v>6</v>
      </c>
      <c r="F2616" t="s">
        <v>6</v>
      </c>
      <c r="G2616" t="s">
        <v>6</v>
      </c>
      <c r="H2616">
        <v>21088.5</v>
      </c>
      <c r="I2616">
        <v>9924.07</v>
      </c>
      <c r="J2616">
        <v>0</v>
      </c>
    </row>
    <row r="2617" spans="1:10" x14ac:dyDescent="0.35">
      <c r="A2617">
        <v>325673</v>
      </c>
      <c r="B2617" t="s">
        <v>20</v>
      </c>
      <c r="C2617">
        <v>2015</v>
      </c>
      <c r="D2617">
        <v>4</v>
      </c>
      <c r="E2617" t="s">
        <v>6</v>
      </c>
      <c r="F2617" t="s">
        <v>6</v>
      </c>
      <c r="G2617" t="s">
        <v>6</v>
      </c>
      <c r="H2617">
        <v>25551.46</v>
      </c>
      <c r="I2617">
        <v>10710.79</v>
      </c>
      <c r="J2617">
        <v>0</v>
      </c>
    </row>
    <row r="2618" spans="1:10" x14ac:dyDescent="0.35">
      <c r="A2618">
        <v>325674</v>
      </c>
      <c r="B2618" t="s">
        <v>20</v>
      </c>
      <c r="C2618">
        <v>2015</v>
      </c>
      <c r="D2618">
        <v>4</v>
      </c>
      <c r="E2618" t="s">
        <v>6</v>
      </c>
      <c r="F2618" t="s">
        <v>6</v>
      </c>
      <c r="G2618" t="s">
        <v>6</v>
      </c>
      <c r="H2618">
        <v>41921.64</v>
      </c>
      <c r="I2618">
        <v>11371.34</v>
      </c>
      <c r="J2618">
        <v>0</v>
      </c>
    </row>
    <row r="2619" spans="1:10" x14ac:dyDescent="0.35">
      <c r="A2619">
        <v>325677</v>
      </c>
      <c r="B2619" t="s">
        <v>20</v>
      </c>
      <c r="C2619">
        <v>2015</v>
      </c>
      <c r="D2619">
        <v>4</v>
      </c>
      <c r="E2619" t="s">
        <v>6</v>
      </c>
      <c r="F2619" t="s">
        <v>6</v>
      </c>
      <c r="G2619" t="s">
        <v>6</v>
      </c>
      <c r="H2619">
        <v>27585.4</v>
      </c>
      <c r="I2619">
        <v>9023.7199999999993</v>
      </c>
      <c r="J2619">
        <v>0</v>
      </c>
    </row>
    <row r="2620" spans="1:10" x14ac:dyDescent="0.35">
      <c r="A2620">
        <v>325704</v>
      </c>
      <c r="B2620" t="s">
        <v>20</v>
      </c>
      <c r="C2620">
        <v>2015</v>
      </c>
      <c r="D2620">
        <v>4</v>
      </c>
      <c r="E2620" t="s">
        <v>6</v>
      </c>
      <c r="F2620" t="s">
        <v>6</v>
      </c>
      <c r="G2620" t="s">
        <v>6</v>
      </c>
      <c r="H2620">
        <v>16255.26</v>
      </c>
      <c r="I2620">
        <v>4250.74</v>
      </c>
      <c r="J2620">
        <v>0</v>
      </c>
    </row>
    <row r="2621" spans="1:10" x14ac:dyDescent="0.35">
      <c r="A2621">
        <v>325712</v>
      </c>
      <c r="B2621" t="s">
        <v>20</v>
      </c>
      <c r="C2621">
        <v>2015</v>
      </c>
      <c r="D2621">
        <v>4</v>
      </c>
      <c r="E2621" t="s">
        <v>6</v>
      </c>
      <c r="F2621" t="s">
        <v>6</v>
      </c>
      <c r="G2621" t="s">
        <v>6</v>
      </c>
      <c r="H2621">
        <v>20641.8</v>
      </c>
      <c r="I2621">
        <v>8758.3700000000008</v>
      </c>
      <c r="J2621">
        <v>0</v>
      </c>
    </row>
    <row r="2622" spans="1:10" x14ac:dyDescent="0.35">
      <c r="A2622">
        <v>325720</v>
      </c>
      <c r="B2622" t="s">
        <v>20</v>
      </c>
      <c r="C2622">
        <v>2015</v>
      </c>
      <c r="D2622">
        <v>4</v>
      </c>
      <c r="E2622" t="s">
        <v>6</v>
      </c>
      <c r="F2622" t="s">
        <v>6</v>
      </c>
      <c r="G2622" t="s">
        <v>6</v>
      </c>
      <c r="H2622">
        <v>39228.86</v>
      </c>
      <c r="I2622">
        <v>11598.71</v>
      </c>
      <c r="J2622">
        <v>0</v>
      </c>
    </row>
    <row r="2623" spans="1:10" x14ac:dyDescent="0.35">
      <c r="A2623">
        <v>325725</v>
      </c>
      <c r="B2623" t="s">
        <v>20</v>
      </c>
      <c r="C2623">
        <v>2015</v>
      </c>
      <c r="D2623">
        <v>4</v>
      </c>
      <c r="E2623" t="s">
        <v>6</v>
      </c>
      <c r="F2623" t="s">
        <v>6</v>
      </c>
      <c r="G2623" t="s">
        <v>6</v>
      </c>
      <c r="H2623">
        <v>17056.759999999998</v>
      </c>
      <c r="I2623">
        <v>4439.1899999999996</v>
      </c>
      <c r="J2623">
        <v>0</v>
      </c>
    </row>
    <row r="2624" spans="1:10" x14ac:dyDescent="0.35">
      <c r="A2624">
        <v>325729</v>
      </c>
      <c r="B2624" t="s">
        <v>20</v>
      </c>
      <c r="C2624">
        <v>2015</v>
      </c>
      <c r="D2624">
        <v>4</v>
      </c>
      <c r="E2624" t="s">
        <v>6</v>
      </c>
      <c r="F2624" t="s">
        <v>6</v>
      </c>
      <c r="G2624" t="s">
        <v>6</v>
      </c>
      <c r="H2624">
        <v>20023.78</v>
      </c>
      <c r="I2624">
        <v>5588.51</v>
      </c>
      <c r="J2624">
        <v>0</v>
      </c>
    </row>
    <row r="2625" spans="1:10" x14ac:dyDescent="0.35">
      <c r="A2625">
        <v>325739</v>
      </c>
      <c r="B2625" t="s">
        <v>20</v>
      </c>
      <c r="C2625">
        <v>2015</v>
      </c>
      <c r="D2625">
        <v>4</v>
      </c>
      <c r="E2625" t="s">
        <v>6</v>
      </c>
      <c r="F2625" t="s">
        <v>6</v>
      </c>
      <c r="G2625" t="s">
        <v>6</v>
      </c>
      <c r="H2625">
        <v>17311.54</v>
      </c>
      <c r="I2625">
        <v>4971.32</v>
      </c>
      <c r="J2625">
        <v>0</v>
      </c>
    </row>
    <row r="2626" spans="1:10" x14ac:dyDescent="0.35">
      <c r="A2626">
        <v>325747</v>
      </c>
      <c r="B2626" t="s">
        <v>20</v>
      </c>
      <c r="C2626">
        <v>2015</v>
      </c>
      <c r="D2626">
        <v>4</v>
      </c>
      <c r="E2626" t="s">
        <v>6</v>
      </c>
      <c r="F2626" t="s">
        <v>6</v>
      </c>
      <c r="G2626" t="s">
        <v>6</v>
      </c>
      <c r="H2626">
        <v>20701.78</v>
      </c>
      <c r="I2626">
        <v>12190.46</v>
      </c>
      <c r="J2626">
        <v>0</v>
      </c>
    </row>
    <row r="2627" spans="1:10" x14ac:dyDescent="0.35">
      <c r="A2627">
        <v>325750</v>
      </c>
      <c r="B2627" t="s">
        <v>20</v>
      </c>
      <c r="C2627">
        <v>2015</v>
      </c>
      <c r="D2627">
        <v>4</v>
      </c>
      <c r="E2627" t="s">
        <v>6</v>
      </c>
      <c r="F2627" t="s">
        <v>6</v>
      </c>
      <c r="G2627" t="s">
        <v>6</v>
      </c>
      <c r="H2627">
        <v>19034.88</v>
      </c>
      <c r="I2627">
        <v>5536.98</v>
      </c>
      <c r="J2627">
        <v>0</v>
      </c>
    </row>
    <row r="2628" spans="1:10" x14ac:dyDescent="0.35">
      <c r="A2628">
        <v>325752</v>
      </c>
      <c r="B2628" t="s">
        <v>20</v>
      </c>
      <c r="C2628">
        <v>2015</v>
      </c>
      <c r="D2628">
        <v>4</v>
      </c>
      <c r="E2628" t="s">
        <v>6</v>
      </c>
      <c r="F2628" t="s">
        <v>6</v>
      </c>
      <c r="G2628" t="s">
        <v>6</v>
      </c>
      <c r="H2628">
        <v>15986.66</v>
      </c>
      <c r="I2628">
        <v>3085.24</v>
      </c>
      <c r="J2628">
        <v>0</v>
      </c>
    </row>
    <row r="2629" spans="1:10" x14ac:dyDescent="0.35">
      <c r="A2629">
        <v>325754</v>
      </c>
      <c r="B2629" t="s">
        <v>20</v>
      </c>
      <c r="C2629">
        <v>2015</v>
      </c>
      <c r="D2629">
        <v>4</v>
      </c>
      <c r="E2629" t="s">
        <v>6</v>
      </c>
      <c r="F2629" t="s">
        <v>6</v>
      </c>
      <c r="G2629" t="s">
        <v>6</v>
      </c>
      <c r="H2629">
        <v>11323.58</v>
      </c>
      <c r="I2629">
        <v>2654.24</v>
      </c>
      <c r="J2629">
        <v>0</v>
      </c>
    </row>
    <row r="2630" spans="1:10" x14ac:dyDescent="0.35">
      <c r="A2630">
        <v>325756</v>
      </c>
      <c r="B2630" t="s">
        <v>20</v>
      </c>
      <c r="C2630">
        <v>2015</v>
      </c>
      <c r="D2630">
        <v>4</v>
      </c>
      <c r="E2630" t="s">
        <v>6</v>
      </c>
      <c r="F2630" t="s">
        <v>6</v>
      </c>
      <c r="G2630" t="s">
        <v>6</v>
      </c>
      <c r="H2630">
        <v>16200.84</v>
      </c>
      <c r="I2630">
        <v>4794.04</v>
      </c>
      <c r="J2630">
        <v>0</v>
      </c>
    </row>
    <row r="2631" spans="1:10" x14ac:dyDescent="0.35">
      <c r="A2631">
        <v>325772</v>
      </c>
      <c r="B2631" t="s">
        <v>20</v>
      </c>
      <c r="C2631">
        <v>2015</v>
      </c>
      <c r="D2631">
        <v>4</v>
      </c>
      <c r="E2631" t="s">
        <v>6</v>
      </c>
      <c r="F2631" t="s">
        <v>6</v>
      </c>
      <c r="G2631" t="s">
        <v>6</v>
      </c>
      <c r="H2631">
        <v>28425.58</v>
      </c>
      <c r="I2631">
        <v>8594.91</v>
      </c>
      <c r="J2631">
        <v>0</v>
      </c>
    </row>
    <row r="2632" spans="1:10" x14ac:dyDescent="0.35">
      <c r="A2632">
        <v>325779</v>
      </c>
      <c r="B2632" t="s">
        <v>20</v>
      </c>
      <c r="C2632">
        <v>2015</v>
      </c>
      <c r="D2632">
        <v>4</v>
      </c>
      <c r="E2632" t="s">
        <v>6</v>
      </c>
      <c r="F2632" t="s">
        <v>6</v>
      </c>
      <c r="G2632" t="s">
        <v>6</v>
      </c>
      <c r="H2632">
        <v>28189.66</v>
      </c>
      <c r="I2632">
        <v>6637.76</v>
      </c>
      <c r="J2632">
        <v>0</v>
      </c>
    </row>
    <row r="2633" spans="1:10" x14ac:dyDescent="0.35">
      <c r="A2633">
        <v>325781</v>
      </c>
      <c r="B2633" t="s">
        <v>20</v>
      </c>
      <c r="C2633">
        <v>2015</v>
      </c>
      <c r="D2633">
        <v>4</v>
      </c>
      <c r="E2633" t="s">
        <v>6</v>
      </c>
      <c r="F2633" t="s">
        <v>6</v>
      </c>
      <c r="G2633" t="s">
        <v>6</v>
      </c>
      <c r="H2633">
        <v>45535.78</v>
      </c>
      <c r="I2633">
        <v>10200.799999999999</v>
      </c>
      <c r="J2633">
        <v>0</v>
      </c>
    </row>
    <row r="2634" spans="1:10" x14ac:dyDescent="0.35">
      <c r="A2634">
        <v>325785</v>
      </c>
      <c r="B2634" t="s">
        <v>20</v>
      </c>
      <c r="C2634">
        <v>2015</v>
      </c>
      <c r="D2634">
        <v>4</v>
      </c>
      <c r="E2634" t="s">
        <v>6</v>
      </c>
      <c r="F2634" t="s">
        <v>6</v>
      </c>
      <c r="G2634" t="s">
        <v>6</v>
      </c>
      <c r="H2634">
        <v>37627.980000000003</v>
      </c>
      <c r="I2634">
        <v>11174.74</v>
      </c>
      <c r="J2634">
        <v>0</v>
      </c>
    </row>
    <row r="2635" spans="1:10" x14ac:dyDescent="0.35">
      <c r="A2635">
        <v>325793</v>
      </c>
      <c r="B2635" t="s">
        <v>20</v>
      </c>
      <c r="C2635">
        <v>2015</v>
      </c>
      <c r="D2635">
        <v>4</v>
      </c>
      <c r="E2635" t="s">
        <v>6</v>
      </c>
      <c r="F2635" t="s">
        <v>6</v>
      </c>
      <c r="G2635" t="s">
        <v>6</v>
      </c>
      <c r="H2635">
        <v>18432.04</v>
      </c>
      <c r="I2635">
        <v>3709.63</v>
      </c>
      <c r="J2635">
        <v>0</v>
      </c>
    </row>
    <row r="2636" spans="1:10" x14ac:dyDescent="0.35">
      <c r="A2636">
        <v>325794</v>
      </c>
      <c r="B2636" t="s">
        <v>20</v>
      </c>
      <c r="C2636">
        <v>2015</v>
      </c>
      <c r="D2636">
        <v>4</v>
      </c>
      <c r="E2636" t="s">
        <v>6</v>
      </c>
      <c r="F2636" t="s">
        <v>6</v>
      </c>
      <c r="G2636" t="s">
        <v>6</v>
      </c>
      <c r="H2636">
        <v>21075.32</v>
      </c>
      <c r="I2636">
        <v>9077.3700000000008</v>
      </c>
      <c r="J2636">
        <v>0</v>
      </c>
    </row>
    <row r="2637" spans="1:10" x14ac:dyDescent="0.35">
      <c r="A2637">
        <v>325801</v>
      </c>
      <c r="B2637" t="s">
        <v>20</v>
      </c>
      <c r="C2637">
        <v>2015</v>
      </c>
      <c r="D2637">
        <v>4</v>
      </c>
      <c r="E2637" t="s">
        <v>6</v>
      </c>
      <c r="F2637" t="s">
        <v>6</v>
      </c>
      <c r="G2637" t="s">
        <v>6</v>
      </c>
      <c r="H2637">
        <v>20686.98</v>
      </c>
      <c r="I2637">
        <v>5227.41</v>
      </c>
      <c r="J2637">
        <v>0</v>
      </c>
    </row>
    <row r="2638" spans="1:10" x14ac:dyDescent="0.35">
      <c r="A2638">
        <v>325821</v>
      </c>
      <c r="B2638" t="s">
        <v>20</v>
      </c>
      <c r="C2638">
        <v>2015</v>
      </c>
      <c r="D2638">
        <v>4</v>
      </c>
      <c r="E2638" t="s">
        <v>6</v>
      </c>
      <c r="F2638" t="s">
        <v>6</v>
      </c>
      <c r="G2638" t="s">
        <v>6</v>
      </c>
      <c r="H2638">
        <v>29340.58</v>
      </c>
      <c r="I2638">
        <v>7981.46</v>
      </c>
      <c r="J2638">
        <v>0</v>
      </c>
    </row>
    <row r="2639" spans="1:10" x14ac:dyDescent="0.35">
      <c r="A2639">
        <v>325831</v>
      </c>
      <c r="B2639" t="s">
        <v>20</v>
      </c>
      <c r="C2639">
        <v>2015</v>
      </c>
      <c r="D2639">
        <v>4</v>
      </c>
      <c r="E2639" t="s">
        <v>6</v>
      </c>
      <c r="F2639" t="s">
        <v>6</v>
      </c>
      <c r="G2639" t="s">
        <v>6</v>
      </c>
      <c r="H2639">
        <v>12214.82</v>
      </c>
      <c r="I2639">
        <v>2936.07</v>
      </c>
      <c r="J2639">
        <v>0</v>
      </c>
    </row>
    <row r="2640" spans="1:10" x14ac:dyDescent="0.35">
      <c r="A2640">
        <v>325834</v>
      </c>
      <c r="B2640" t="s">
        <v>20</v>
      </c>
      <c r="C2640">
        <v>2015</v>
      </c>
      <c r="D2640">
        <v>4</v>
      </c>
      <c r="E2640" t="s">
        <v>6</v>
      </c>
      <c r="F2640" t="s">
        <v>6</v>
      </c>
      <c r="G2640" t="s">
        <v>6</v>
      </c>
      <c r="H2640">
        <v>59180.6</v>
      </c>
      <c r="I2640">
        <v>16354.23</v>
      </c>
      <c r="J2640">
        <v>0</v>
      </c>
    </row>
    <row r="2641" spans="1:10" x14ac:dyDescent="0.35">
      <c r="A2641">
        <v>325839</v>
      </c>
      <c r="B2641" t="s">
        <v>20</v>
      </c>
      <c r="C2641">
        <v>2015</v>
      </c>
      <c r="D2641">
        <v>4</v>
      </c>
      <c r="E2641" t="s">
        <v>6</v>
      </c>
      <c r="F2641" t="s">
        <v>6</v>
      </c>
      <c r="G2641" t="s">
        <v>6</v>
      </c>
      <c r="H2641">
        <v>21405.4</v>
      </c>
      <c r="I2641">
        <v>9236.0400000000009</v>
      </c>
      <c r="J2641">
        <v>0</v>
      </c>
    </row>
    <row r="2642" spans="1:10" x14ac:dyDescent="0.35">
      <c r="A2642">
        <v>325842</v>
      </c>
      <c r="B2642" t="s">
        <v>20</v>
      </c>
      <c r="C2642">
        <v>2015</v>
      </c>
      <c r="D2642">
        <v>4</v>
      </c>
      <c r="E2642" t="s">
        <v>6</v>
      </c>
      <c r="F2642" t="s">
        <v>6</v>
      </c>
      <c r="G2642" t="s">
        <v>6</v>
      </c>
      <c r="H2642">
        <v>24481.360000000001</v>
      </c>
      <c r="I2642">
        <v>7208.31</v>
      </c>
      <c r="J2642">
        <v>0</v>
      </c>
    </row>
    <row r="2643" spans="1:10" x14ac:dyDescent="0.35">
      <c r="A2643">
        <v>325850</v>
      </c>
      <c r="B2643" t="s">
        <v>20</v>
      </c>
      <c r="C2643">
        <v>2015</v>
      </c>
      <c r="D2643">
        <v>4</v>
      </c>
      <c r="E2643" t="s">
        <v>6</v>
      </c>
      <c r="F2643" t="s">
        <v>6</v>
      </c>
      <c r="G2643" t="s">
        <v>6</v>
      </c>
      <c r="H2643">
        <v>34174.68</v>
      </c>
      <c r="I2643">
        <v>16146.85</v>
      </c>
      <c r="J2643">
        <v>0</v>
      </c>
    </row>
    <row r="2644" spans="1:10" x14ac:dyDescent="0.35">
      <c r="A2644">
        <v>325861</v>
      </c>
      <c r="B2644" t="s">
        <v>20</v>
      </c>
      <c r="C2644">
        <v>2015</v>
      </c>
      <c r="D2644">
        <v>4</v>
      </c>
      <c r="E2644" t="s">
        <v>6</v>
      </c>
      <c r="F2644" t="s">
        <v>6</v>
      </c>
      <c r="G2644" t="s">
        <v>6</v>
      </c>
      <c r="H2644">
        <v>24047.46</v>
      </c>
      <c r="I2644">
        <v>7264.81</v>
      </c>
      <c r="J2644">
        <v>0</v>
      </c>
    </row>
    <row r="2645" spans="1:10" x14ac:dyDescent="0.35">
      <c r="A2645">
        <v>325867</v>
      </c>
      <c r="B2645" t="s">
        <v>20</v>
      </c>
      <c r="C2645">
        <v>2015</v>
      </c>
      <c r="D2645">
        <v>4</v>
      </c>
      <c r="E2645" t="s">
        <v>6</v>
      </c>
      <c r="F2645" t="s">
        <v>6</v>
      </c>
      <c r="G2645" t="s">
        <v>6</v>
      </c>
      <c r="H2645">
        <v>30746.82</v>
      </c>
      <c r="I2645">
        <v>8573.42</v>
      </c>
      <c r="J2645">
        <v>0</v>
      </c>
    </row>
    <row r="2646" spans="1:10" x14ac:dyDescent="0.35">
      <c r="A2646">
        <v>325872</v>
      </c>
      <c r="B2646" t="s">
        <v>20</v>
      </c>
      <c r="C2646">
        <v>2015</v>
      </c>
      <c r="D2646">
        <v>4</v>
      </c>
      <c r="E2646" t="s">
        <v>6</v>
      </c>
      <c r="F2646" t="s">
        <v>6</v>
      </c>
      <c r="G2646" t="s">
        <v>6</v>
      </c>
      <c r="H2646">
        <v>32648.46</v>
      </c>
      <c r="I2646">
        <v>8373.7000000000007</v>
      </c>
      <c r="J2646">
        <v>0</v>
      </c>
    </row>
    <row r="2647" spans="1:10" x14ac:dyDescent="0.35">
      <c r="A2647">
        <v>325875</v>
      </c>
      <c r="B2647" t="s">
        <v>20</v>
      </c>
      <c r="C2647">
        <v>2015</v>
      </c>
      <c r="D2647">
        <v>4</v>
      </c>
      <c r="E2647" t="s">
        <v>6</v>
      </c>
      <c r="F2647" t="s">
        <v>6</v>
      </c>
      <c r="G2647" t="s">
        <v>6</v>
      </c>
      <c r="H2647">
        <v>12874.9</v>
      </c>
      <c r="I2647">
        <v>4197.99</v>
      </c>
      <c r="J2647">
        <v>0</v>
      </c>
    </row>
    <row r="2648" spans="1:10" x14ac:dyDescent="0.35">
      <c r="A2648">
        <v>325884</v>
      </c>
      <c r="B2648" t="s">
        <v>20</v>
      </c>
      <c r="C2648">
        <v>2015</v>
      </c>
      <c r="D2648">
        <v>4</v>
      </c>
      <c r="E2648" t="s">
        <v>6</v>
      </c>
      <c r="F2648" t="s">
        <v>6</v>
      </c>
      <c r="G2648" t="s">
        <v>6</v>
      </c>
      <c r="H2648">
        <v>27181.42</v>
      </c>
      <c r="I2648">
        <v>8346.42</v>
      </c>
      <c r="J2648">
        <v>0</v>
      </c>
    </row>
    <row r="2649" spans="1:10" x14ac:dyDescent="0.35">
      <c r="A2649">
        <v>325887</v>
      </c>
      <c r="B2649" t="s">
        <v>20</v>
      </c>
      <c r="C2649">
        <v>2015</v>
      </c>
      <c r="D2649">
        <v>4</v>
      </c>
      <c r="E2649" t="s">
        <v>6</v>
      </c>
      <c r="F2649" t="s">
        <v>6</v>
      </c>
      <c r="G2649" t="s">
        <v>6</v>
      </c>
      <c r="H2649">
        <v>12953.64</v>
      </c>
      <c r="I2649">
        <v>4339.96</v>
      </c>
      <c r="J2649">
        <v>0</v>
      </c>
    </row>
    <row r="2650" spans="1:10" x14ac:dyDescent="0.35">
      <c r="A2650">
        <v>325902</v>
      </c>
      <c r="B2650" t="s">
        <v>20</v>
      </c>
      <c r="C2650">
        <v>2015</v>
      </c>
      <c r="D2650">
        <v>4</v>
      </c>
      <c r="E2650" t="s">
        <v>6</v>
      </c>
      <c r="F2650" t="s">
        <v>6</v>
      </c>
      <c r="G2650" t="s">
        <v>6</v>
      </c>
      <c r="H2650">
        <v>23124.66</v>
      </c>
      <c r="I2650">
        <v>5965.43</v>
      </c>
      <c r="J2650">
        <v>0</v>
      </c>
    </row>
    <row r="2651" spans="1:10" x14ac:dyDescent="0.35">
      <c r="A2651">
        <v>325904</v>
      </c>
      <c r="B2651" t="s">
        <v>20</v>
      </c>
      <c r="C2651">
        <v>2015</v>
      </c>
      <c r="D2651">
        <v>4</v>
      </c>
      <c r="E2651" t="s">
        <v>6</v>
      </c>
      <c r="F2651" t="s">
        <v>6</v>
      </c>
      <c r="G2651" t="s">
        <v>6</v>
      </c>
      <c r="H2651">
        <v>29096.66</v>
      </c>
      <c r="I2651">
        <v>9050.64</v>
      </c>
      <c r="J2651">
        <v>0</v>
      </c>
    </row>
    <row r="2652" spans="1:10" x14ac:dyDescent="0.35">
      <c r="A2652">
        <v>325913</v>
      </c>
      <c r="B2652" t="s">
        <v>20</v>
      </c>
      <c r="C2652">
        <v>2015</v>
      </c>
      <c r="D2652">
        <v>4</v>
      </c>
      <c r="E2652" t="s">
        <v>6</v>
      </c>
      <c r="F2652" t="s">
        <v>6</v>
      </c>
      <c r="G2652" t="s">
        <v>6</v>
      </c>
      <c r="H2652">
        <v>40290.26</v>
      </c>
      <c r="I2652">
        <v>20895.43</v>
      </c>
      <c r="J2652">
        <v>0</v>
      </c>
    </row>
    <row r="2653" spans="1:10" x14ac:dyDescent="0.35">
      <c r="A2653">
        <v>325918</v>
      </c>
      <c r="B2653" t="s">
        <v>20</v>
      </c>
      <c r="C2653">
        <v>2015</v>
      </c>
      <c r="D2653">
        <v>4</v>
      </c>
      <c r="E2653" t="s">
        <v>6</v>
      </c>
      <c r="F2653" t="s">
        <v>6</v>
      </c>
      <c r="G2653" t="s">
        <v>6</v>
      </c>
      <c r="H2653">
        <v>11268.94</v>
      </c>
      <c r="I2653">
        <v>3470.26</v>
      </c>
      <c r="J2653">
        <v>0</v>
      </c>
    </row>
    <row r="2654" spans="1:10" x14ac:dyDescent="0.35">
      <c r="A2654">
        <v>325920</v>
      </c>
      <c r="B2654" t="s">
        <v>20</v>
      </c>
      <c r="C2654">
        <v>2015</v>
      </c>
      <c r="D2654">
        <v>4</v>
      </c>
      <c r="E2654" t="s">
        <v>6</v>
      </c>
      <c r="F2654" t="s">
        <v>6</v>
      </c>
      <c r="G2654" t="s">
        <v>6</v>
      </c>
      <c r="H2654">
        <v>11390.98</v>
      </c>
      <c r="I2654">
        <v>3040.22</v>
      </c>
      <c r="J2654">
        <v>0</v>
      </c>
    </row>
    <row r="2655" spans="1:10" x14ac:dyDescent="0.35">
      <c r="A2655">
        <v>325923</v>
      </c>
      <c r="B2655" t="s">
        <v>20</v>
      </c>
      <c r="C2655">
        <v>2015</v>
      </c>
      <c r="D2655">
        <v>4</v>
      </c>
      <c r="E2655" t="s">
        <v>6</v>
      </c>
      <c r="F2655" t="s">
        <v>6</v>
      </c>
      <c r="G2655" t="s">
        <v>6</v>
      </c>
      <c r="H2655">
        <v>10075.56</v>
      </c>
      <c r="I2655">
        <v>2821.12</v>
      </c>
      <c r="J2655">
        <v>0</v>
      </c>
    </row>
    <row r="2656" spans="1:10" x14ac:dyDescent="0.35">
      <c r="A2656">
        <v>325930</v>
      </c>
      <c r="B2656" t="s">
        <v>20</v>
      </c>
      <c r="C2656">
        <v>2015</v>
      </c>
      <c r="D2656">
        <v>4</v>
      </c>
      <c r="E2656" t="s">
        <v>6</v>
      </c>
      <c r="F2656" t="s">
        <v>6</v>
      </c>
      <c r="G2656" t="s">
        <v>6</v>
      </c>
      <c r="H2656">
        <v>18683.18</v>
      </c>
      <c r="I2656">
        <v>4697.05</v>
      </c>
      <c r="J2656">
        <v>0</v>
      </c>
    </row>
    <row r="2657" spans="1:10" x14ac:dyDescent="0.35">
      <c r="A2657">
        <v>325936</v>
      </c>
      <c r="B2657" t="s">
        <v>20</v>
      </c>
      <c r="C2657">
        <v>2015</v>
      </c>
      <c r="D2657">
        <v>4</v>
      </c>
      <c r="E2657" t="s">
        <v>6</v>
      </c>
      <c r="F2657" t="s">
        <v>6</v>
      </c>
      <c r="G2657" t="s">
        <v>6</v>
      </c>
      <c r="H2657">
        <v>156215.20000000001</v>
      </c>
      <c r="I2657">
        <v>66952.09</v>
      </c>
      <c r="J2657">
        <v>0</v>
      </c>
    </row>
    <row r="2658" spans="1:10" x14ac:dyDescent="0.35">
      <c r="A2658">
        <v>325959</v>
      </c>
      <c r="B2658" t="s">
        <v>20</v>
      </c>
      <c r="C2658">
        <v>2015</v>
      </c>
      <c r="D2658">
        <v>4</v>
      </c>
      <c r="E2658" t="s">
        <v>6</v>
      </c>
      <c r="F2658" t="s">
        <v>6</v>
      </c>
      <c r="G2658" t="s">
        <v>6</v>
      </c>
      <c r="H2658">
        <v>16832.740000000002</v>
      </c>
      <c r="I2658">
        <v>4478.13</v>
      </c>
      <c r="J2658">
        <v>0</v>
      </c>
    </row>
    <row r="2659" spans="1:10" x14ac:dyDescent="0.35">
      <c r="A2659">
        <v>325961</v>
      </c>
      <c r="B2659" t="s">
        <v>20</v>
      </c>
      <c r="C2659">
        <v>2015</v>
      </c>
      <c r="D2659">
        <v>4</v>
      </c>
      <c r="E2659" t="s">
        <v>6</v>
      </c>
      <c r="F2659" t="s">
        <v>6</v>
      </c>
      <c r="G2659" t="s">
        <v>6</v>
      </c>
      <c r="H2659">
        <v>23519.78</v>
      </c>
      <c r="I2659">
        <v>7026.83</v>
      </c>
      <c r="J2659">
        <v>0</v>
      </c>
    </row>
    <row r="2660" spans="1:10" x14ac:dyDescent="0.35">
      <c r="A2660">
        <v>325962</v>
      </c>
      <c r="B2660" t="s">
        <v>20</v>
      </c>
      <c r="C2660">
        <v>2015</v>
      </c>
      <c r="D2660">
        <v>4</v>
      </c>
      <c r="E2660" t="s">
        <v>6</v>
      </c>
      <c r="F2660" t="s">
        <v>6</v>
      </c>
      <c r="G2660" t="s">
        <v>6</v>
      </c>
      <c r="H2660">
        <v>8434.94</v>
      </c>
      <c r="I2660">
        <v>2515.0500000000002</v>
      </c>
      <c r="J2660">
        <v>0</v>
      </c>
    </row>
    <row r="2661" spans="1:10" x14ac:dyDescent="0.35">
      <c r="A2661">
        <v>325970</v>
      </c>
      <c r="B2661" t="s">
        <v>20</v>
      </c>
      <c r="C2661">
        <v>2015</v>
      </c>
      <c r="D2661">
        <v>4</v>
      </c>
      <c r="E2661" t="s">
        <v>6</v>
      </c>
      <c r="F2661" t="s">
        <v>6</v>
      </c>
      <c r="G2661" t="s">
        <v>6</v>
      </c>
      <c r="H2661">
        <v>44436.480000000003</v>
      </c>
      <c r="I2661">
        <v>13524.78</v>
      </c>
      <c r="J2661">
        <v>0</v>
      </c>
    </row>
    <row r="2662" spans="1:10" x14ac:dyDescent="0.35">
      <c r="A2662">
        <v>325972</v>
      </c>
      <c r="B2662" t="s">
        <v>20</v>
      </c>
      <c r="C2662">
        <v>2015</v>
      </c>
      <c r="D2662">
        <v>4</v>
      </c>
      <c r="E2662" t="s">
        <v>6</v>
      </c>
      <c r="F2662" t="s">
        <v>6</v>
      </c>
      <c r="G2662" t="s">
        <v>6</v>
      </c>
      <c r="H2662">
        <v>25547.66</v>
      </c>
      <c r="I2662">
        <v>14374.89</v>
      </c>
      <c r="J2662">
        <v>0</v>
      </c>
    </row>
    <row r="2663" spans="1:10" x14ac:dyDescent="0.35">
      <c r="A2663">
        <v>325973</v>
      </c>
      <c r="B2663" t="s">
        <v>20</v>
      </c>
      <c r="C2663">
        <v>2015</v>
      </c>
      <c r="D2663">
        <v>4</v>
      </c>
      <c r="E2663" t="s">
        <v>6</v>
      </c>
      <c r="F2663" t="s">
        <v>6</v>
      </c>
      <c r="G2663" t="s">
        <v>6</v>
      </c>
      <c r="H2663">
        <v>26482.66</v>
      </c>
      <c r="I2663">
        <v>12584.8</v>
      </c>
      <c r="J2663">
        <v>0</v>
      </c>
    </row>
    <row r="2664" spans="1:10" x14ac:dyDescent="0.35">
      <c r="A2664">
        <v>325990</v>
      </c>
      <c r="B2664" t="s">
        <v>20</v>
      </c>
      <c r="C2664">
        <v>2015</v>
      </c>
      <c r="D2664">
        <v>4</v>
      </c>
      <c r="E2664" t="s">
        <v>6</v>
      </c>
      <c r="F2664" t="s">
        <v>6</v>
      </c>
      <c r="G2664" t="s">
        <v>6</v>
      </c>
      <c r="H2664">
        <v>30204.84</v>
      </c>
      <c r="I2664">
        <v>9471.69</v>
      </c>
      <c r="J2664">
        <v>0</v>
      </c>
    </row>
    <row r="2665" spans="1:10" x14ac:dyDescent="0.35">
      <c r="A2665">
        <v>325991</v>
      </c>
      <c r="B2665" t="s">
        <v>20</v>
      </c>
      <c r="C2665">
        <v>2015</v>
      </c>
      <c r="D2665">
        <v>4</v>
      </c>
      <c r="E2665" t="s">
        <v>6</v>
      </c>
      <c r="F2665" t="s">
        <v>6</v>
      </c>
      <c r="G2665" t="s">
        <v>6</v>
      </c>
      <c r="H2665">
        <v>21436.560000000001</v>
      </c>
      <c r="I2665">
        <v>5228.99</v>
      </c>
      <c r="J2665">
        <v>0</v>
      </c>
    </row>
    <row r="2666" spans="1:10" x14ac:dyDescent="0.35">
      <c r="A2666">
        <v>325994</v>
      </c>
      <c r="B2666" t="s">
        <v>20</v>
      </c>
      <c r="C2666">
        <v>2015</v>
      </c>
      <c r="D2666">
        <v>4</v>
      </c>
      <c r="E2666" t="s">
        <v>6</v>
      </c>
      <c r="F2666" t="s">
        <v>6</v>
      </c>
      <c r="G2666" t="s">
        <v>6</v>
      </c>
      <c r="H2666">
        <v>46543.62</v>
      </c>
      <c r="I2666">
        <v>24496.55</v>
      </c>
      <c r="J2666">
        <v>0</v>
      </c>
    </row>
    <row r="2667" spans="1:10" x14ac:dyDescent="0.35">
      <c r="A2667">
        <v>326003</v>
      </c>
      <c r="B2667" t="s">
        <v>20</v>
      </c>
      <c r="C2667">
        <v>2015</v>
      </c>
      <c r="D2667">
        <v>4</v>
      </c>
      <c r="E2667" t="s">
        <v>6</v>
      </c>
      <c r="F2667" t="s">
        <v>6</v>
      </c>
      <c r="G2667" t="s">
        <v>6</v>
      </c>
      <c r="H2667">
        <v>33274.800000000003</v>
      </c>
      <c r="I2667">
        <v>18346.91</v>
      </c>
      <c r="J2667">
        <v>0</v>
      </c>
    </row>
    <row r="2668" spans="1:10" x14ac:dyDescent="0.35">
      <c r="A2668">
        <v>326012</v>
      </c>
      <c r="B2668" t="s">
        <v>20</v>
      </c>
      <c r="C2668">
        <v>2015</v>
      </c>
      <c r="D2668">
        <v>4</v>
      </c>
      <c r="E2668" t="s">
        <v>6</v>
      </c>
      <c r="F2668" t="s">
        <v>6</v>
      </c>
      <c r="G2668" t="s">
        <v>6</v>
      </c>
      <c r="H2668">
        <v>24924.52</v>
      </c>
      <c r="I2668">
        <v>13253.96</v>
      </c>
      <c r="J2668">
        <v>0</v>
      </c>
    </row>
    <row r="2669" spans="1:10" x14ac:dyDescent="0.35">
      <c r="A2669">
        <v>326042</v>
      </c>
      <c r="B2669" t="s">
        <v>20</v>
      </c>
      <c r="C2669">
        <v>2015</v>
      </c>
      <c r="D2669">
        <v>4</v>
      </c>
      <c r="E2669" t="s">
        <v>6</v>
      </c>
      <c r="F2669" t="s">
        <v>6</v>
      </c>
      <c r="G2669" t="s">
        <v>6</v>
      </c>
      <c r="H2669">
        <v>40515.96</v>
      </c>
      <c r="I2669">
        <v>20097.25</v>
      </c>
      <c r="J2669">
        <v>0</v>
      </c>
    </row>
    <row r="2670" spans="1:10" x14ac:dyDescent="0.35">
      <c r="A2670">
        <v>326047</v>
      </c>
      <c r="B2670" t="s">
        <v>20</v>
      </c>
      <c r="C2670">
        <v>2015</v>
      </c>
      <c r="D2670">
        <v>4</v>
      </c>
      <c r="E2670" t="s">
        <v>6</v>
      </c>
      <c r="F2670" t="s">
        <v>6</v>
      </c>
      <c r="G2670" t="s">
        <v>6</v>
      </c>
      <c r="H2670">
        <v>35973.26</v>
      </c>
      <c r="I2670">
        <v>11066.71</v>
      </c>
      <c r="J2670">
        <v>0</v>
      </c>
    </row>
    <row r="2671" spans="1:10" x14ac:dyDescent="0.35">
      <c r="A2671">
        <v>326065</v>
      </c>
      <c r="B2671" t="s">
        <v>20</v>
      </c>
      <c r="C2671">
        <v>2015</v>
      </c>
      <c r="D2671">
        <v>4</v>
      </c>
      <c r="E2671" t="s">
        <v>6</v>
      </c>
      <c r="F2671" t="s">
        <v>6</v>
      </c>
      <c r="G2671" t="s">
        <v>6</v>
      </c>
      <c r="H2671">
        <v>15813.44</v>
      </c>
      <c r="I2671">
        <v>4230.26</v>
      </c>
      <c r="J2671">
        <v>0</v>
      </c>
    </row>
    <row r="2672" spans="1:10" x14ac:dyDescent="0.35">
      <c r="A2672">
        <v>326078</v>
      </c>
      <c r="B2672" t="s">
        <v>20</v>
      </c>
      <c r="C2672">
        <v>2015</v>
      </c>
      <c r="D2672">
        <v>4</v>
      </c>
      <c r="E2672" t="s">
        <v>6</v>
      </c>
      <c r="F2672" t="s">
        <v>6</v>
      </c>
      <c r="G2672" t="s">
        <v>6</v>
      </c>
      <c r="H2672">
        <v>21044.84</v>
      </c>
      <c r="I2672">
        <v>5067.13</v>
      </c>
      <c r="J2672">
        <v>0</v>
      </c>
    </row>
    <row r="2673" spans="1:10" x14ac:dyDescent="0.35">
      <c r="A2673">
        <v>326080</v>
      </c>
      <c r="B2673" t="s">
        <v>20</v>
      </c>
      <c r="C2673">
        <v>2015</v>
      </c>
      <c r="D2673">
        <v>4</v>
      </c>
      <c r="E2673" t="s">
        <v>6</v>
      </c>
      <c r="F2673" t="s">
        <v>6</v>
      </c>
      <c r="G2673" t="s">
        <v>6</v>
      </c>
      <c r="H2673">
        <v>21052.799999999999</v>
      </c>
      <c r="I2673">
        <v>5074.4399999999996</v>
      </c>
      <c r="J2673">
        <v>0</v>
      </c>
    </row>
    <row r="2674" spans="1:10" x14ac:dyDescent="0.35">
      <c r="A2674">
        <v>326081</v>
      </c>
      <c r="B2674" t="s">
        <v>20</v>
      </c>
      <c r="C2674">
        <v>2015</v>
      </c>
      <c r="D2674">
        <v>4</v>
      </c>
      <c r="E2674" t="s">
        <v>6</v>
      </c>
      <c r="F2674" t="s">
        <v>6</v>
      </c>
      <c r="G2674" t="s">
        <v>6</v>
      </c>
      <c r="H2674">
        <v>37373.980000000003</v>
      </c>
      <c r="I2674">
        <v>11012.13</v>
      </c>
      <c r="J2674">
        <v>0</v>
      </c>
    </row>
    <row r="2675" spans="1:10" x14ac:dyDescent="0.35">
      <c r="A2675">
        <v>326083</v>
      </c>
      <c r="B2675" t="s">
        <v>20</v>
      </c>
      <c r="C2675">
        <v>2015</v>
      </c>
      <c r="D2675">
        <v>4</v>
      </c>
      <c r="E2675" t="s">
        <v>6</v>
      </c>
      <c r="F2675" t="s">
        <v>6</v>
      </c>
      <c r="G2675" t="s">
        <v>6</v>
      </c>
      <c r="H2675">
        <v>25116.34</v>
      </c>
      <c r="I2675">
        <v>9965.84</v>
      </c>
      <c r="J2675">
        <v>0</v>
      </c>
    </row>
    <row r="2676" spans="1:10" x14ac:dyDescent="0.35">
      <c r="A2676">
        <v>326086</v>
      </c>
      <c r="B2676" t="s">
        <v>20</v>
      </c>
      <c r="C2676">
        <v>2015</v>
      </c>
      <c r="D2676">
        <v>4</v>
      </c>
      <c r="E2676" t="s">
        <v>6</v>
      </c>
      <c r="F2676" t="s">
        <v>6</v>
      </c>
      <c r="G2676" t="s">
        <v>6</v>
      </c>
      <c r="H2676">
        <v>68086.38</v>
      </c>
      <c r="I2676">
        <v>21177.58</v>
      </c>
      <c r="J2676">
        <v>0</v>
      </c>
    </row>
    <row r="2677" spans="1:10" x14ac:dyDescent="0.35">
      <c r="A2677">
        <v>326098</v>
      </c>
      <c r="B2677" t="s">
        <v>20</v>
      </c>
      <c r="C2677">
        <v>2015</v>
      </c>
      <c r="D2677">
        <v>4</v>
      </c>
      <c r="E2677" t="s">
        <v>6</v>
      </c>
      <c r="F2677" t="s">
        <v>6</v>
      </c>
      <c r="G2677" t="s">
        <v>6</v>
      </c>
      <c r="H2677">
        <v>11143.7</v>
      </c>
      <c r="I2677">
        <v>3266.69</v>
      </c>
      <c r="J2677">
        <v>0</v>
      </c>
    </row>
    <row r="2678" spans="1:10" x14ac:dyDescent="0.35">
      <c r="A2678">
        <v>326100</v>
      </c>
      <c r="B2678" t="s">
        <v>20</v>
      </c>
      <c r="C2678">
        <v>2015</v>
      </c>
      <c r="D2678">
        <v>4</v>
      </c>
      <c r="E2678" t="s">
        <v>6</v>
      </c>
      <c r="F2678" t="s">
        <v>6</v>
      </c>
      <c r="G2678" t="s">
        <v>6</v>
      </c>
      <c r="H2678">
        <v>47993.04</v>
      </c>
      <c r="I2678">
        <v>15138.13</v>
      </c>
      <c r="J2678">
        <v>0</v>
      </c>
    </row>
    <row r="2679" spans="1:10" x14ac:dyDescent="0.35">
      <c r="A2679">
        <v>326107</v>
      </c>
      <c r="B2679" t="s">
        <v>20</v>
      </c>
      <c r="C2679">
        <v>2015</v>
      </c>
      <c r="D2679">
        <v>4</v>
      </c>
      <c r="E2679" t="s">
        <v>6</v>
      </c>
      <c r="F2679" t="s">
        <v>6</v>
      </c>
      <c r="G2679" t="s">
        <v>6</v>
      </c>
      <c r="H2679">
        <v>19376.54</v>
      </c>
      <c r="I2679">
        <v>4760.93</v>
      </c>
      <c r="J2679">
        <v>0</v>
      </c>
    </row>
    <row r="2680" spans="1:10" x14ac:dyDescent="0.35">
      <c r="A2680">
        <v>326116</v>
      </c>
      <c r="B2680" t="s">
        <v>20</v>
      </c>
      <c r="C2680">
        <v>2015</v>
      </c>
      <c r="D2680">
        <v>4</v>
      </c>
      <c r="E2680" t="s">
        <v>6</v>
      </c>
      <c r="F2680" t="s">
        <v>6</v>
      </c>
      <c r="G2680" t="s">
        <v>6</v>
      </c>
      <c r="H2680">
        <v>16301.6</v>
      </c>
      <c r="I2680">
        <v>6713.84</v>
      </c>
      <c r="J2680">
        <v>0</v>
      </c>
    </row>
    <row r="2681" spans="1:10" x14ac:dyDescent="0.35">
      <c r="A2681">
        <v>326121</v>
      </c>
      <c r="B2681" t="s">
        <v>20</v>
      </c>
      <c r="C2681">
        <v>2015</v>
      </c>
      <c r="D2681">
        <v>4</v>
      </c>
      <c r="E2681" t="s">
        <v>6</v>
      </c>
      <c r="F2681" t="s">
        <v>6</v>
      </c>
      <c r="G2681" t="s">
        <v>6</v>
      </c>
      <c r="H2681">
        <v>41258.660000000003</v>
      </c>
      <c r="I2681">
        <v>12625.01</v>
      </c>
      <c r="J2681">
        <v>0</v>
      </c>
    </row>
    <row r="2682" spans="1:10" x14ac:dyDescent="0.35">
      <c r="A2682">
        <v>326127</v>
      </c>
      <c r="B2682" t="s">
        <v>20</v>
      </c>
      <c r="C2682">
        <v>2015</v>
      </c>
      <c r="D2682">
        <v>4</v>
      </c>
      <c r="E2682" t="s">
        <v>6</v>
      </c>
      <c r="F2682" t="s">
        <v>6</v>
      </c>
      <c r="G2682" t="s">
        <v>6</v>
      </c>
      <c r="H2682">
        <v>55967.28</v>
      </c>
      <c r="I2682">
        <v>37241.599999999999</v>
      </c>
      <c r="J2682">
        <v>0</v>
      </c>
    </row>
    <row r="2683" spans="1:10" x14ac:dyDescent="0.35">
      <c r="A2683">
        <v>326137</v>
      </c>
      <c r="B2683" t="s">
        <v>20</v>
      </c>
      <c r="C2683">
        <v>2015</v>
      </c>
      <c r="D2683">
        <v>4</v>
      </c>
      <c r="E2683" t="s">
        <v>6</v>
      </c>
      <c r="F2683" t="s">
        <v>6</v>
      </c>
      <c r="G2683" t="s">
        <v>6</v>
      </c>
      <c r="H2683">
        <v>26141.7</v>
      </c>
      <c r="I2683">
        <v>8934.27</v>
      </c>
      <c r="J2683">
        <v>0</v>
      </c>
    </row>
    <row r="2684" spans="1:10" x14ac:dyDescent="0.35">
      <c r="A2684">
        <v>326142</v>
      </c>
      <c r="B2684" t="s">
        <v>20</v>
      </c>
      <c r="C2684">
        <v>2015</v>
      </c>
      <c r="D2684">
        <v>4</v>
      </c>
      <c r="E2684" t="s">
        <v>6</v>
      </c>
      <c r="F2684" t="s">
        <v>6</v>
      </c>
      <c r="G2684" t="s">
        <v>6</v>
      </c>
      <c r="H2684">
        <v>26740.959999999999</v>
      </c>
      <c r="I2684">
        <v>7159.07</v>
      </c>
      <c r="J2684">
        <v>0</v>
      </c>
    </row>
    <row r="2685" spans="1:10" x14ac:dyDescent="0.35">
      <c r="A2685">
        <v>326152</v>
      </c>
      <c r="B2685" t="s">
        <v>20</v>
      </c>
      <c r="C2685">
        <v>2015</v>
      </c>
      <c r="D2685">
        <v>4</v>
      </c>
      <c r="E2685" t="s">
        <v>6</v>
      </c>
      <c r="F2685" t="s">
        <v>6</v>
      </c>
      <c r="G2685" t="s">
        <v>6</v>
      </c>
      <c r="H2685">
        <v>69499.259999999995</v>
      </c>
      <c r="I2685">
        <v>23059.59</v>
      </c>
      <c r="J2685">
        <v>0</v>
      </c>
    </row>
    <row r="2686" spans="1:10" x14ac:dyDescent="0.35">
      <c r="A2686">
        <v>326162</v>
      </c>
      <c r="B2686" t="s">
        <v>20</v>
      </c>
      <c r="C2686">
        <v>2015</v>
      </c>
      <c r="D2686">
        <v>4</v>
      </c>
      <c r="E2686" t="s">
        <v>6</v>
      </c>
      <c r="F2686" t="s">
        <v>6</v>
      </c>
      <c r="G2686" t="s">
        <v>6</v>
      </c>
      <c r="H2686">
        <v>40159.86</v>
      </c>
      <c r="I2686">
        <v>13723.46</v>
      </c>
      <c r="J2686">
        <v>0</v>
      </c>
    </row>
    <row r="2687" spans="1:10" x14ac:dyDescent="0.35">
      <c r="A2687">
        <v>326173</v>
      </c>
      <c r="B2687" t="s">
        <v>20</v>
      </c>
      <c r="C2687">
        <v>2015</v>
      </c>
      <c r="D2687">
        <v>4</v>
      </c>
      <c r="E2687" t="s">
        <v>6</v>
      </c>
      <c r="F2687" t="s">
        <v>6</v>
      </c>
      <c r="G2687" t="s">
        <v>6</v>
      </c>
      <c r="H2687">
        <v>20715.060000000001</v>
      </c>
      <c r="I2687">
        <v>6805.75</v>
      </c>
      <c r="J2687">
        <v>0</v>
      </c>
    </row>
    <row r="2688" spans="1:10" x14ac:dyDescent="0.35">
      <c r="A2688">
        <v>326180</v>
      </c>
      <c r="B2688" t="s">
        <v>20</v>
      </c>
      <c r="C2688">
        <v>2015</v>
      </c>
      <c r="D2688">
        <v>4</v>
      </c>
      <c r="E2688" t="s">
        <v>6</v>
      </c>
      <c r="F2688" t="s">
        <v>6</v>
      </c>
      <c r="G2688" t="s">
        <v>6</v>
      </c>
      <c r="H2688">
        <v>30406.78</v>
      </c>
      <c r="I2688">
        <v>10078.52</v>
      </c>
      <c r="J2688">
        <v>0</v>
      </c>
    </row>
    <row r="2689" spans="1:10" x14ac:dyDescent="0.35">
      <c r="A2689">
        <v>326181</v>
      </c>
      <c r="B2689" t="s">
        <v>20</v>
      </c>
      <c r="C2689">
        <v>2015</v>
      </c>
      <c r="D2689">
        <v>4</v>
      </c>
      <c r="E2689" t="s">
        <v>6</v>
      </c>
      <c r="F2689" t="s">
        <v>6</v>
      </c>
      <c r="G2689" t="s">
        <v>6</v>
      </c>
      <c r="H2689">
        <v>8265.74</v>
      </c>
      <c r="I2689">
        <v>2242.5700000000002</v>
      </c>
      <c r="J2689">
        <v>0</v>
      </c>
    </row>
    <row r="2690" spans="1:10" x14ac:dyDescent="0.35">
      <c r="A2690">
        <v>326193</v>
      </c>
      <c r="B2690" t="s">
        <v>20</v>
      </c>
      <c r="C2690">
        <v>2015</v>
      </c>
      <c r="D2690">
        <v>4</v>
      </c>
      <c r="E2690" t="s">
        <v>6</v>
      </c>
      <c r="F2690" t="s">
        <v>6</v>
      </c>
      <c r="G2690" t="s">
        <v>6</v>
      </c>
      <c r="H2690">
        <v>15764.92</v>
      </c>
      <c r="I2690">
        <v>3424.43</v>
      </c>
      <c r="J2690">
        <v>0</v>
      </c>
    </row>
    <row r="2691" spans="1:10" x14ac:dyDescent="0.35">
      <c r="A2691">
        <v>326196</v>
      </c>
      <c r="B2691" t="s">
        <v>20</v>
      </c>
      <c r="C2691">
        <v>2015</v>
      </c>
      <c r="D2691">
        <v>4</v>
      </c>
      <c r="E2691" t="s">
        <v>6</v>
      </c>
      <c r="F2691" t="s">
        <v>6</v>
      </c>
      <c r="G2691" t="s">
        <v>6</v>
      </c>
      <c r="H2691">
        <v>50644.07</v>
      </c>
      <c r="I2691">
        <v>22495.55</v>
      </c>
      <c r="J2691">
        <v>0</v>
      </c>
    </row>
    <row r="2692" spans="1:10" x14ac:dyDescent="0.35">
      <c r="A2692">
        <v>326208</v>
      </c>
      <c r="B2692" t="s">
        <v>20</v>
      </c>
      <c r="C2692">
        <v>2015</v>
      </c>
      <c r="D2692">
        <v>4</v>
      </c>
      <c r="E2692" t="s">
        <v>6</v>
      </c>
      <c r="F2692" t="s">
        <v>6</v>
      </c>
      <c r="G2692" t="s">
        <v>6</v>
      </c>
      <c r="H2692">
        <v>8769.48</v>
      </c>
      <c r="I2692">
        <v>2447.39</v>
      </c>
      <c r="J2692">
        <v>0</v>
      </c>
    </row>
    <row r="2693" spans="1:10" x14ac:dyDescent="0.35">
      <c r="A2693">
        <v>326213</v>
      </c>
      <c r="B2693" t="s">
        <v>20</v>
      </c>
      <c r="C2693">
        <v>2015</v>
      </c>
      <c r="D2693">
        <v>4</v>
      </c>
      <c r="E2693" t="s">
        <v>6</v>
      </c>
      <c r="F2693" t="s">
        <v>6</v>
      </c>
      <c r="G2693" t="s">
        <v>6</v>
      </c>
      <c r="H2693">
        <v>28293.95</v>
      </c>
      <c r="I2693">
        <v>14183.02</v>
      </c>
      <c r="J2693">
        <v>0</v>
      </c>
    </row>
    <row r="2694" spans="1:10" x14ac:dyDescent="0.35">
      <c r="A2694">
        <v>326217</v>
      </c>
      <c r="B2694" t="s">
        <v>20</v>
      </c>
      <c r="C2694">
        <v>2015</v>
      </c>
      <c r="D2694">
        <v>4</v>
      </c>
      <c r="E2694" t="s">
        <v>6</v>
      </c>
      <c r="F2694" t="s">
        <v>6</v>
      </c>
      <c r="G2694" t="s">
        <v>6</v>
      </c>
      <c r="H2694">
        <v>51886.02</v>
      </c>
      <c r="I2694">
        <v>14284.87</v>
      </c>
      <c r="J2694">
        <v>0</v>
      </c>
    </row>
    <row r="2695" spans="1:10" x14ac:dyDescent="0.35">
      <c r="A2695">
        <v>326230</v>
      </c>
      <c r="B2695" t="s">
        <v>20</v>
      </c>
      <c r="C2695">
        <v>2015</v>
      </c>
      <c r="D2695">
        <v>4</v>
      </c>
      <c r="E2695" t="s">
        <v>6</v>
      </c>
      <c r="F2695" t="s">
        <v>6</v>
      </c>
      <c r="G2695" t="s">
        <v>6</v>
      </c>
      <c r="H2695">
        <v>16160.88</v>
      </c>
      <c r="I2695">
        <v>6500.77</v>
      </c>
      <c r="J2695">
        <v>0</v>
      </c>
    </row>
    <row r="2696" spans="1:10" x14ac:dyDescent="0.35">
      <c r="A2696">
        <v>326233</v>
      </c>
      <c r="B2696" t="s">
        <v>20</v>
      </c>
      <c r="C2696">
        <v>2015</v>
      </c>
      <c r="D2696">
        <v>4</v>
      </c>
      <c r="E2696" t="s">
        <v>6</v>
      </c>
      <c r="F2696" t="s">
        <v>6</v>
      </c>
      <c r="G2696" t="s">
        <v>6</v>
      </c>
      <c r="H2696">
        <v>9499.2800000000007</v>
      </c>
      <c r="I2696">
        <v>2574.59</v>
      </c>
      <c r="J2696">
        <v>0</v>
      </c>
    </row>
    <row r="2697" spans="1:10" x14ac:dyDescent="0.35">
      <c r="A2697">
        <v>326235</v>
      </c>
      <c r="B2697" t="s">
        <v>20</v>
      </c>
      <c r="C2697">
        <v>2015</v>
      </c>
      <c r="D2697">
        <v>4</v>
      </c>
      <c r="E2697" t="s">
        <v>6</v>
      </c>
      <c r="F2697" t="s">
        <v>6</v>
      </c>
      <c r="G2697" t="s">
        <v>6</v>
      </c>
      <c r="H2697">
        <v>23728.080000000002</v>
      </c>
      <c r="I2697">
        <v>6546.48</v>
      </c>
      <c r="J2697">
        <v>0</v>
      </c>
    </row>
    <row r="2698" spans="1:10" x14ac:dyDescent="0.35">
      <c r="A2698">
        <v>326249</v>
      </c>
      <c r="B2698" t="s">
        <v>20</v>
      </c>
      <c r="C2698">
        <v>2015</v>
      </c>
      <c r="D2698">
        <v>4</v>
      </c>
      <c r="E2698" t="s">
        <v>6</v>
      </c>
      <c r="F2698" t="s">
        <v>6</v>
      </c>
      <c r="G2698" t="s">
        <v>6</v>
      </c>
      <c r="H2698">
        <v>10625.02</v>
      </c>
      <c r="I2698">
        <v>2954.69</v>
      </c>
      <c r="J2698">
        <v>0</v>
      </c>
    </row>
    <row r="2699" spans="1:10" x14ac:dyDescent="0.35">
      <c r="A2699">
        <v>326250</v>
      </c>
      <c r="B2699" t="s">
        <v>20</v>
      </c>
      <c r="C2699">
        <v>2015</v>
      </c>
      <c r="D2699">
        <v>4</v>
      </c>
      <c r="E2699" t="s">
        <v>6</v>
      </c>
      <c r="F2699" t="s">
        <v>6</v>
      </c>
      <c r="G2699" t="s">
        <v>6</v>
      </c>
      <c r="H2699">
        <v>16991.7</v>
      </c>
      <c r="I2699">
        <v>4993.38</v>
      </c>
      <c r="J2699">
        <v>0</v>
      </c>
    </row>
    <row r="2700" spans="1:10" x14ac:dyDescent="0.35">
      <c r="A2700">
        <v>326252</v>
      </c>
      <c r="B2700" t="s">
        <v>20</v>
      </c>
      <c r="C2700">
        <v>2015</v>
      </c>
      <c r="D2700">
        <v>4</v>
      </c>
      <c r="E2700" t="s">
        <v>6</v>
      </c>
      <c r="F2700" t="s">
        <v>6</v>
      </c>
      <c r="G2700" t="s">
        <v>6</v>
      </c>
      <c r="H2700">
        <v>61023.22</v>
      </c>
      <c r="I2700">
        <v>27411.97</v>
      </c>
      <c r="J2700">
        <v>0</v>
      </c>
    </row>
    <row r="2701" spans="1:10" x14ac:dyDescent="0.35">
      <c r="A2701">
        <v>326255</v>
      </c>
      <c r="B2701" t="s">
        <v>20</v>
      </c>
      <c r="C2701">
        <v>2015</v>
      </c>
      <c r="D2701">
        <v>4</v>
      </c>
      <c r="E2701" t="s">
        <v>6</v>
      </c>
      <c r="F2701" t="s">
        <v>6</v>
      </c>
      <c r="G2701" t="s">
        <v>6</v>
      </c>
      <c r="H2701">
        <v>12572.32</v>
      </c>
      <c r="I2701">
        <v>3718.14</v>
      </c>
      <c r="J2701">
        <v>0</v>
      </c>
    </row>
    <row r="2702" spans="1:10" x14ac:dyDescent="0.35">
      <c r="A2702">
        <v>326256</v>
      </c>
      <c r="B2702" t="s">
        <v>20</v>
      </c>
      <c r="C2702">
        <v>2015</v>
      </c>
      <c r="D2702">
        <v>4</v>
      </c>
      <c r="E2702" t="s">
        <v>6</v>
      </c>
      <c r="F2702" t="s">
        <v>6</v>
      </c>
      <c r="G2702" t="s">
        <v>6</v>
      </c>
      <c r="H2702">
        <v>96726.06</v>
      </c>
      <c r="I2702">
        <v>41668.85</v>
      </c>
      <c r="J2702">
        <v>0</v>
      </c>
    </row>
    <row r="2703" spans="1:10" x14ac:dyDescent="0.35">
      <c r="A2703">
        <v>326267</v>
      </c>
      <c r="B2703" t="s">
        <v>20</v>
      </c>
      <c r="C2703">
        <v>2015</v>
      </c>
      <c r="D2703">
        <v>4</v>
      </c>
      <c r="E2703" t="s">
        <v>6</v>
      </c>
      <c r="F2703" t="s">
        <v>6</v>
      </c>
      <c r="G2703" t="s">
        <v>6</v>
      </c>
      <c r="H2703">
        <v>29813.5</v>
      </c>
      <c r="I2703">
        <v>9242.4500000000007</v>
      </c>
      <c r="J2703">
        <v>0</v>
      </c>
    </row>
    <row r="2704" spans="1:10" x14ac:dyDescent="0.35">
      <c r="A2704">
        <v>326274</v>
      </c>
      <c r="B2704" t="s">
        <v>20</v>
      </c>
      <c r="C2704">
        <v>2015</v>
      </c>
      <c r="D2704">
        <v>4</v>
      </c>
      <c r="E2704" t="s">
        <v>6</v>
      </c>
      <c r="F2704" t="s">
        <v>6</v>
      </c>
      <c r="G2704" t="s">
        <v>6</v>
      </c>
      <c r="H2704">
        <v>63646.69</v>
      </c>
      <c r="I2704">
        <v>40012.230000000003</v>
      </c>
      <c r="J2704">
        <v>0</v>
      </c>
    </row>
    <row r="2705" spans="1:10" x14ac:dyDescent="0.35">
      <c r="A2705">
        <v>326276</v>
      </c>
      <c r="B2705" t="s">
        <v>20</v>
      </c>
      <c r="C2705">
        <v>2015</v>
      </c>
      <c r="D2705">
        <v>4</v>
      </c>
      <c r="E2705" t="s">
        <v>6</v>
      </c>
      <c r="F2705" t="s">
        <v>6</v>
      </c>
      <c r="G2705" t="s">
        <v>6</v>
      </c>
      <c r="H2705">
        <v>14272.42</v>
      </c>
      <c r="I2705">
        <v>5063.12</v>
      </c>
      <c r="J2705">
        <v>0</v>
      </c>
    </row>
    <row r="2706" spans="1:10" x14ac:dyDescent="0.35">
      <c r="A2706">
        <v>326279</v>
      </c>
      <c r="B2706" t="s">
        <v>20</v>
      </c>
      <c r="C2706">
        <v>2015</v>
      </c>
      <c r="D2706">
        <v>4</v>
      </c>
      <c r="E2706" t="s">
        <v>6</v>
      </c>
      <c r="F2706" t="s">
        <v>6</v>
      </c>
      <c r="G2706" t="s">
        <v>6</v>
      </c>
      <c r="H2706">
        <v>34444.65</v>
      </c>
      <c r="I2706">
        <v>23839.03</v>
      </c>
      <c r="J2706">
        <v>0</v>
      </c>
    </row>
    <row r="2707" spans="1:10" x14ac:dyDescent="0.35">
      <c r="A2707">
        <v>326305</v>
      </c>
      <c r="B2707" t="s">
        <v>20</v>
      </c>
      <c r="C2707">
        <v>2015</v>
      </c>
      <c r="D2707">
        <v>4</v>
      </c>
      <c r="E2707" t="s">
        <v>6</v>
      </c>
      <c r="F2707" t="s">
        <v>6</v>
      </c>
      <c r="G2707" t="s">
        <v>6</v>
      </c>
      <c r="H2707">
        <v>252466.28</v>
      </c>
      <c r="I2707">
        <v>123359.5</v>
      </c>
      <c r="J2707">
        <v>0</v>
      </c>
    </row>
    <row r="2708" spans="1:10" x14ac:dyDescent="0.35">
      <c r="A2708">
        <v>326316</v>
      </c>
      <c r="B2708" t="s">
        <v>20</v>
      </c>
      <c r="C2708">
        <v>2015</v>
      </c>
      <c r="D2708">
        <v>4</v>
      </c>
      <c r="E2708" t="s">
        <v>6</v>
      </c>
      <c r="F2708" t="s">
        <v>6</v>
      </c>
      <c r="G2708" t="s">
        <v>6</v>
      </c>
      <c r="H2708">
        <v>25686.54</v>
      </c>
      <c r="I2708">
        <v>8626.56</v>
      </c>
      <c r="J2708">
        <v>0</v>
      </c>
    </row>
    <row r="2709" spans="1:10" x14ac:dyDescent="0.35">
      <c r="A2709">
        <v>326317</v>
      </c>
      <c r="B2709" t="s">
        <v>20</v>
      </c>
      <c r="C2709">
        <v>2015</v>
      </c>
      <c r="D2709">
        <v>4</v>
      </c>
      <c r="E2709" t="s">
        <v>6</v>
      </c>
      <c r="F2709" t="s">
        <v>6</v>
      </c>
      <c r="G2709" t="s">
        <v>6</v>
      </c>
      <c r="H2709">
        <v>156025.06</v>
      </c>
      <c r="I2709">
        <v>68545.75</v>
      </c>
      <c r="J2709">
        <v>0</v>
      </c>
    </row>
    <row r="2710" spans="1:10" x14ac:dyDescent="0.35">
      <c r="A2710">
        <v>326318</v>
      </c>
      <c r="B2710" t="s">
        <v>20</v>
      </c>
      <c r="C2710">
        <v>2015</v>
      </c>
      <c r="D2710">
        <v>4</v>
      </c>
      <c r="E2710" t="s">
        <v>6</v>
      </c>
      <c r="F2710" t="s">
        <v>6</v>
      </c>
      <c r="G2710" t="s">
        <v>6</v>
      </c>
      <c r="H2710">
        <v>17260.900000000001</v>
      </c>
      <c r="I2710">
        <v>5608.24</v>
      </c>
      <c r="J2710">
        <v>0</v>
      </c>
    </row>
    <row r="2711" spans="1:10" x14ac:dyDescent="0.35">
      <c r="A2711">
        <v>326322</v>
      </c>
      <c r="B2711" t="s">
        <v>20</v>
      </c>
      <c r="C2711">
        <v>2015</v>
      </c>
      <c r="D2711">
        <v>4</v>
      </c>
      <c r="E2711" t="s">
        <v>6</v>
      </c>
      <c r="F2711" t="s">
        <v>6</v>
      </c>
      <c r="G2711" t="s">
        <v>6</v>
      </c>
      <c r="H2711">
        <v>14527.1</v>
      </c>
      <c r="I2711">
        <v>3322.49</v>
      </c>
      <c r="J2711">
        <v>0</v>
      </c>
    </row>
    <row r="2712" spans="1:10" x14ac:dyDescent="0.35">
      <c r="A2712">
        <v>326325</v>
      </c>
      <c r="B2712" t="s">
        <v>20</v>
      </c>
      <c r="C2712">
        <v>2015</v>
      </c>
      <c r="D2712">
        <v>4</v>
      </c>
      <c r="E2712" t="s">
        <v>6</v>
      </c>
      <c r="F2712" t="s">
        <v>6</v>
      </c>
      <c r="G2712" t="s">
        <v>6</v>
      </c>
      <c r="H2712">
        <v>25082.74</v>
      </c>
      <c r="I2712">
        <v>8470.64</v>
      </c>
      <c r="J2712">
        <v>0</v>
      </c>
    </row>
    <row r="2713" spans="1:10" x14ac:dyDescent="0.35">
      <c r="A2713">
        <v>326331</v>
      </c>
      <c r="B2713" t="s">
        <v>20</v>
      </c>
      <c r="C2713">
        <v>2015</v>
      </c>
      <c r="D2713">
        <v>4</v>
      </c>
      <c r="E2713" t="s">
        <v>6</v>
      </c>
      <c r="F2713" t="s">
        <v>6</v>
      </c>
      <c r="G2713" t="s">
        <v>6</v>
      </c>
      <c r="H2713">
        <v>34874.559999999998</v>
      </c>
      <c r="I2713">
        <v>6733.84</v>
      </c>
      <c r="J2713">
        <v>0</v>
      </c>
    </row>
    <row r="2714" spans="1:10" x14ac:dyDescent="0.35">
      <c r="A2714">
        <v>326334</v>
      </c>
      <c r="B2714" t="s">
        <v>20</v>
      </c>
      <c r="C2714">
        <v>2015</v>
      </c>
      <c r="D2714">
        <v>4</v>
      </c>
      <c r="E2714" t="s">
        <v>6</v>
      </c>
      <c r="F2714" t="s">
        <v>6</v>
      </c>
      <c r="G2714" t="s">
        <v>6</v>
      </c>
      <c r="H2714">
        <v>12015.36</v>
      </c>
      <c r="I2714">
        <v>4370.71</v>
      </c>
      <c r="J2714">
        <v>0</v>
      </c>
    </row>
    <row r="2715" spans="1:10" x14ac:dyDescent="0.35">
      <c r="A2715">
        <v>326343</v>
      </c>
      <c r="B2715" t="s">
        <v>20</v>
      </c>
      <c r="C2715">
        <v>2015</v>
      </c>
      <c r="D2715">
        <v>4</v>
      </c>
      <c r="E2715" t="s">
        <v>6</v>
      </c>
      <c r="F2715" t="s">
        <v>6</v>
      </c>
      <c r="G2715" t="s">
        <v>6</v>
      </c>
      <c r="H2715">
        <v>9245.92</v>
      </c>
      <c r="I2715">
        <v>2052.4299999999998</v>
      </c>
      <c r="J2715">
        <v>0</v>
      </c>
    </row>
    <row r="2716" spans="1:10" x14ac:dyDescent="0.35">
      <c r="A2716">
        <v>326351</v>
      </c>
      <c r="B2716" t="s">
        <v>20</v>
      </c>
      <c r="C2716">
        <v>2015</v>
      </c>
      <c r="D2716">
        <v>4</v>
      </c>
      <c r="E2716" t="s">
        <v>6</v>
      </c>
      <c r="F2716" t="s">
        <v>6</v>
      </c>
      <c r="G2716" t="s">
        <v>6</v>
      </c>
      <c r="H2716">
        <v>13910.5</v>
      </c>
      <c r="I2716">
        <v>4837.9799999999996</v>
      </c>
      <c r="J2716">
        <v>0</v>
      </c>
    </row>
    <row r="2717" spans="1:10" x14ac:dyDescent="0.35">
      <c r="A2717">
        <v>326354</v>
      </c>
      <c r="B2717" t="s">
        <v>20</v>
      </c>
      <c r="C2717">
        <v>2015</v>
      </c>
      <c r="D2717">
        <v>4</v>
      </c>
      <c r="E2717" t="s">
        <v>6</v>
      </c>
      <c r="F2717" t="s">
        <v>6</v>
      </c>
      <c r="G2717" t="s">
        <v>6</v>
      </c>
      <c r="H2717">
        <v>52598.559999999998</v>
      </c>
      <c r="I2717">
        <v>15799.51</v>
      </c>
      <c r="J2717">
        <v>0</v>
      </c>
    </row>
    <row r="2718" spans="1:10" x14ac:dyDescent="0.35">
      <c r="A2718">
        <v>326356</v>
      </c>
      <c r="B2718" t="s">
        <v>20</v>
      </c>
      <c r="C2718">
        <v>2015</v>
      </c>
      <c r="D2718">
        <v>4</v>
      </c>
      <c r="E2718" t="s">
        <v>6</v>
      </c>
      <c r="F2718" t="s">
        <v>6</v>
      </c>
      <c r="G2718" t="s">
        <v>6</v>
      </c>
      <c r="H2718">
        <v>80562.92</v>
      </c>
      <c r="I2718">
        <v>68021.27</v>
      </c>
      <c r="J2718">
        <v>0</v>
      </c>
    </row>
    <row r="2719" spans="1:10" x14ac:dyDescent="0.35">
      <c r="A2719">
        <v>326357</v>
      </c>
      <c r="B2719" t="s">
        <v>20</v>
      </c>
      <c r="C2719">
        <v>2015</v>
      </c>
      <c r="D2719">
        <v>4</v>
      </c>
      <c r="E2719" t="s">
        <v>6</v>
      </c>
      <c r="F2719" t="s">
        <v>6</v>
      </c>
      <c r="G2719" t="s">
        <v>6</v>
      </c>
      <c r="H2719">
        <v>41359.96</v>
      </c>
      <c r="I2719">
        <v>12446.86</v>
      </c>
      <c r="J2719">
        <v>0</v>
      </c>
    </row>
    <row r="2720" spans="1:10" x14ac:dyDescent="0.35">
      <c r="A2720">
        <v>326360</v>
      </c>
      <c r="B2720" t="s">
        <v>20</v>
      </c>
      <c r="C2720">
        <v>2015</v>
      </c>
      <c r="D2720">
        <v>4</v>
      </c>
      <c r="E2720" t="s">
        <v>6</v>
      </c>
      <c r="F2720" t="s">
        <v>6</v>
      </c>
      <c r="G2720" t="s">
        <v>6</v>
      </c>
      <c r="H2720">
        <v>26151.88</v>
      </c>
      <c r="I2720">
        <v>7091.9</v>
      </c>
      <c r="J2720">
        <v>0</v>
      </c>
    </row>
    <row r="2721" spans="1:10" x14ac:dyDescent="0.35">
      <c r="A2721">
        <v>326366</v>
      </c>
      <c r="B2721" t="s">
        <v>20</v>
      </c>
      <c r="C2721">
        <v>2015</v>
      </c>
      <c r="D2721">
        <v>4</v>
      </c>
      <c r="E2721" t="s">
        <v>6</v>
      </c>
      <c r="F2721" t="s">
        <v>6</v>
      </c>
      <c r="G2721" t="s">
        <v>6</v>
      </c>
      <c r="H2721">
        <v>21215.48</v>
      </c>
      <c r="I2721">
        <v>6363.75</v>
      </c>
      <c r="J2721">
        <v>0</v>
      </c>
    </row>
    <row r="2722" spans="1:10" x14ac:dyDescent="0.35">
      <c r="A2722">
        <v>326370</v>
      </c>
      <c r="B2722" t="s">
        <v>20</v>
      </c>
      <c r="C2722">
        <v>2015</v>
      </c>
      <c r="D2722">
        <v>4</v>
      </c>
      <c r="E2722" t="s">
        <v>6</v>
      </c>
      <c r="F2722" t="s">
        <v>6</v>
      </c>
      <c r="G2722" t="s">
        <v>6</v>
      </c>
      <c r="H2722">
        <v>46503.74</v>
      </c>
      <c r="I2722">
        <v>11171.35</v>
      </c>
      <c r="J2722">
        <v>0</v>
      </c>
    </row>
    <row r="2723" spans="1:10" x14ac:dyDescent="0.35">
      <c r="A2723">
        <v>326373</v>
      </c>
      <c r="B2723" t="s">
        <v>20</v>
      </c>
      <c r="C2723">
        <v>2015</v>
      </c>
      <c r="D2723">
        <v>4</v>
      </c>
      <c r="E2723" t="s">
        <v>6</v>
      </c>
      <c r="F2723" t="s">
        <v>6</v>
      </c>
      <c r="G2723" t="s">
        <v>6</v>
      </c>
      <c r="H2723">
        <v>16357.46</v>
      </c>
      <c r="I2723">
        <v>6297.82</v>
      </c>
      <c r="J2723">
        <v>0</v>
      </c>
    </row>
    <row r="2724" spans="1:10" x14ac:dyDescent="0.35">
      <c r="A2724">
        <v>326376</v>
      </c>
      <c r="B2724" t="s">
        <v>20</v>
      </c>
      <c r="C2724">
        <v>2015</v>
      </c>
      <c r="D2724">
        <v>4</v>
      </c>
      <c r="E2724" t="s">
        <v>6</v>
      </c>
      <c r="F2724" t="s">
        <v>6</v>
      </c>
      <c r="G2724" t="s">
        <v>6</v>
      </c>
      <c r="H2724">
        <v>9902.68</v>
      </c>
      <c r="I2724">
        <v>3334.72</v>
      </c>
      <c r="J2724">
        <v>0</v>
      </c>
    </row>
    <row r="2725" spans="1:10" x14ac:dyDescent="0.35">
      <c r="A2725">
        <v>326384</v>
      </c>
      <c r="B2725" t="s">
        <v>20</v>
      </c>
      <c r="C2725">
        <v>2015</v>
      </c>
      <c r="D2725">
        <v>4</v>
      </c>
      <c r="E2725" t="s">
        <v>6</v>
      </c>
      <c r="F2725" t="s">
        <v>6</v>
      </c>
      <c r="G2725" t="s">
        <v>6</v>
      </c>
      <c r="H2725">
        <v>25023.58</v>
      </c>
      <c r="I2725">
        <v>3993.6</v>
      </c>
      <c r="J2725">
        <v>0</v>
      </c>
    </row>
    <row r="2726" spans="1:10" x14ac:dyDescent="0.35">
      <c r="A2726">
        <v>326385</v>
      </c>
      <c r="B2726" t="s">
        <v>20</v>
      </c>
      <c r="C2726">
        <v>2015</v>
      </c>
      <c r="D2726">
        <v>4</v>
      </c>
      <c r="E2726" t="s">
        <v>6</v>
      </c>
      <c r="F2726" t="s">
        <v>6</v>
      </c>
      <c r="G2726" t="s">
        <v>6</v>
      </c>
      <c r="H2726">
        <v>28699.82</v>
      </c>
      <c r="I2726">
        <v>9836.2999999999993</v>
      </c>
      <c r="J2726">
        <v>0</v>
      </c>
    </row>
    <row r="2727" spans="1:10" x14ac:dyDescent="0.35">
      <c r="A2727">
        <v>326392</v>
      </c>
      <c r="B2727" t="s">
        <v>20</v>
      </c>
      <c r="C2727">
        <v>2015</v>
      </c>
      <c r="D2727">
        <v>4</v>
      </c>
      <c r="E2727" t="s">
        <v>6</v>
      </c>
      <c r="F2727" t="s">
        <v>6</v>
      </c>
      <c r="G2727" t="s">
        <v>6</v>
      </c>
      <c r="H2727">
        <v>28336.54</v>
      </c>
      <c r="I2727">
        <v>9786.33</v>
      </c>
      <c r="J2727">
        <v>0</v>
      </c>
    </row>
    <row r="2728" spans="1:10" x14ac:dyDescent="0.35">
      <c r="A2728">
        <v>326407</v>
      </c>
      <c r="B2728" t="s">
        <v>20</v>
      </c>
      <c r="C2728">
        <v>2015</v>
      </c>
      <c r="D2728">
        <v>4</v>
      </c>
      <c r="E2728" t="s">
        <v>6</v>
      </c>
      <c r="F2728" t="s">
        <v>6</v>
      </c>
      <c r="G2728" t="s">
        <v>6</v>
      </c>
      <c r="H2728">
        <v>15329.32</v>
      </c>
      <c r="I2728">
        <v>5899.17</v>
      </c>
      <c r="J2728">
        <v>0</v>
      </c>
    </row>
    <row r="2729" spans="1:10" x14ac:dyDescent="0.35">
      <c r="A2729">
        <v>326412</v>
      </c>
      <c r="B2729" t="s">
        <v>20</v>
      </c>
      <c r="C2729">
        <v>2015</v>
      </c>
      <c r="D2729">
        <v>4</v>
      </c>
      <c r="E2729" t="s">
        <v>6</v>
      </c>
      <c r="F2729" t="s">
        <v>6</v>
      </c>
      <c r="G2729" t="s">
        <v>6</v>
      </c>
      <c r="H2729">
        <v>11267.96</v>
      </c>
      <c r="I2729">
        <v>3980.64</v>
      </c>
      <c r="J2729">
        <v>0</v>
      </c>
    </row>
    <row r="2730" spans="1:10" x14ac:dyDescent="0.35">
      <c r="A2730">
        <v>326422</v>
      </c>
      <c r="B2730" t="s">
        <v>20</v>
      </c>
      <c r="C2730">
        <v>2015</v>
      </c>
      <c r="D2730">
        <v>4</v>
      </c>
      <c r="E2730" t="s">
        <v>6</v>
      </c>
      <c r="F2730" t="s">
        <v>6</v>
      </c>
      <c r="G2730" t="s">
        <v>6</v>
      </c>
      <c r="H2730">
        <v>26588.62</v>
      </c>
      <c r="I2730">
        <v>8844.19</v>
      </c>
      <c r="J2730">
        <v>0</v>
      </c>
    </row>
    <row r="2731" spans="1:10" x14ac:dyDescent="0.35">
      <c r="A2731">
        <v>326423</v>
      </c>
      <c r="B2731" t="s">
        <v>20</v>
      </c>
      <c r="C2731">
        <v>2015</v>
      </c>
      <c r="D2731">
        <v>4</v>
      </c>
      <c r="E2731" t="s">
        <v>6</v>
      </c>
      <c r="F2731" t="s">
        <v>6</v>
      </c>
      <c r="G2731" t="s">
        <v>6</v>
      </c>
      <c r="H2731">
        <v>46959.46</v>
      </c>
      <c r="I2731">
        <v>19346.98</v>
      </c>
      <c r="J2731">
        <v>0</v>
      </c>
    </row>
    <row r="2732" spans="1:10" x14ac:dyDescent="0.35">
      <c r="A2732">
        <v>326428</v>
      </c>
      <c r="B2732" t="s">
        <v>20</v>
      </c>
      <c r="C2732">
        <v>2015</v>
      </c>
      <c r="D2732">
        <v>4</v>
      </c>
      <c r="E2732" t="s">
        <v>6</v>
      </c>
      <c r="F2732" t="s">
        <v>6</v>
      </c>
      <c r="G2732" t="s">
        <v>6</v>
      </c>
      <c r="H2732">
        <v>20910.16</v>
      </c>
      <c r="I2732">
        <v>8492.74</v>
      </c>
      <c r="J2732">
        <v>0</v>
      </c>
    </row>
    <row r="2733" spans="1:10" x14ac:dyDescent="0.35">
      <c r="A2733">
        <v>326430</v>
      </c>
      <c r="B2733" t="s">
        <v>20</v>
      </c>
      <c r="C2733">
        <v>2015</v>
      </c>
      <c r="D2733">
        <v>4</v>
      </c>
      <c r="E2733" t="s">
        <v>6</v>
      </c>
      <c r="F2733" t="s">
        <v>6</v>
      </c>
      <c r="G2733" t="s">
        <v>6</v>
      </c>
      <c r="H2733">
        <v>14775.46</v>
      </c>
      <c r="I2733">
        <v>5560.58</v>
      </c>
      <c r="J2733">
        <v>0</v>
      </c>
    </row>
    <row r="2734" spans="1:10" x14ac:dyDescent="0.35">
      <c r="A2734">
        <v>326433</v>
      </c>
      <c r="B2734" t="s">
        <v>20</v>
      </c>
      <c r="C2734">
        <v>2015</v>
      </c>
      <c r="D2734">
        <v>4</v>
      </c>
      <c r="E2734" t="s">
        <v>6</v>
      </c>
      <c r="F2734" t="s">
        <v>6</v>
      </c>
      <c r="G2734" t="s">
        <v>6</v>
      </c>
      <c r="H2734">
        <v>17689.16</v>
      </c>
      <c r="I2734">
        <v>5630.53</v>
      </c>
      <c r="J2734">
        <v>0</v>
      </c>
    </row>
    <row r="2735" spans="1:10" x14ac:dyDescent="0.35">
      <c r="A2735">
        <v>326435</v>
      </c>
      <c r="B2735" t="s">
        <v>20</v>
      </c>
      <c r="C2735">
        <v>2015</v>
      </c>
      <c r="D2735">
        <v>4</v>
      </c>
      <c r="E2735" t="s">
        <v>6</v>
      </c>
      <c r="F2735" t="s">
        <v>6</v>
      </c>
      <c r="G2735" t="s">
        <v>6</v>
      </c>
      <c r="H2735">
        <v>11119.6</v>
      </c>
      <c r="I2735">
        <v>4125.4399999999996</v>
      </c>
      <c r="J2735">
        <v>0</v>
      </c>
    </row>
    <row r="2736" spans="1:10" x14ac:dyDescent="0.35">
      <c r="A2736">
        <v>326436</v>
      </c>
      <c r="B2736" t="s">
        <v>20</v>
      </c>
      <c r="C2736">
        <v>2015</v>
      </c>
      <c r="D2736">
        <v>4</v>
      </c>
      <c r="E2736" t="s">
        <v>6</v>
      </c>
      <c r="F2736" t="s">
        <v>6</v>
      </c>
      <c r="G2736" t="s">
        <v>6</v>
      </c>
      <c r="H2736">
        <v>13735.72</v>
      </c>
      <c r="I2736">
        <v>4181.32</v>
      </c>
      <c r="J2736">
        <v>0</v>
      </c>
    </row>
    <row r="2737" spans="1:10" x14ac:dyDescent="0.35">
      <c r="A2737">
        <v>326439</v>
      </c>
      <c r="B2737" t="s">
        <v>20</v>
      </c>
      <c r="C2737">
        <v>2015</v>
      </c>
      <c r="D2737">
        <v>4</v>
      </c>
      <c r="E2737" t="s">
        <v>6</v>
      </c>
      <c r="F2737" t="s">
        <v>6</v>
      </c>
      <c r="G2737" t="s">
        <v>6</v>
      </c>
      <c r="H2737">
        <v>96971.46</v>
      </c>
      <c r="I2737">
        <v>29555.18</v>
      </c>
      <c r="J2737">
        <v>0</v>
      </c>
    </row>
    <row r="2738" spans="1:10" x14ac:dyDescent="0.35">
      <c r="A2738">
        <v>326442</v>
      </c>
      <c r="B2738" t="s">
        <v>20</v>
      </c>
      <c r="C2738">
        <v>2015</v>
      </c>
      <c r="D2738">
        <v>4</v>
      </c>
      <c r="E2738" t="s">
        <v>6</v>
      </c>
      <c r="F2738" t="s">
        <v>6</v>
      </c>
      <c r="G2738" t="s">
        <v>6</v>
      </c>
      <c r="H2738">
        <v>9293.64</v>
      </c>
      <c r="I2738">
        <v>3180.51</v>
      </c>
      <c r="J2738">
        <v>0</v>
      </c>
    </row>
    <row r="2739" spans="1:10" x14ac:dyDescent="0.35">
      <c r="A2739">
        <v>326445</v>
      </c>
      <c r="B2739" t="s">
        <v>20</v>
      </c>
      <c r="C2739">
        <v>2015</v>
      </c>
      <c r="D2739">
        <v>4</v>
      </c>
      <c r="E2739" t="s">
        <v>6</v>
      </c>
      <c r="F2739" t="s">
        <v>6</v>
      </c>
      <c r="G2739" t="s">
        <v>6</v>
      </c>
      <c r="H2739">
        <v>10661.04</v>
      </c>
      <c r="I2739">
        <v>3383.36</v>
      </c>
      <c r="J2739">
        <v>0</v>
      </c>
    </row>
    <row r="2740" spans="1:10" x14ac:dyDescent="0.35">
      <c r="A2740">
        <v>326448</v>
      </c>
      <c r="B2740" t="s">
        <v>20</v>
      </c>
      <c r="C2740">
        <v>2015</v>
      </c>
      <c r="D2740">
        <v>4</v>
      </c>
      <c r="E2740" t="s">
        <v>6</v>
      </c>
      <c r="F2740" t="s">
        <v>6</v>
      </c>
      <c r="G2740" t="s">
        <v>6</v>
      </c>
      <c r="H2740">
        <v>44975.68</v>
      </c>
      <c r="I2740">
        <v>13619.87</v>
      </c>
      <c r="J2740">
        <v>0</v>
      </c>
    </row>
    <row r="2741" spans="1:10" x14ac:dyDescent="0.35">
      <c r="A2741">
        <v>326450</v>
      </c>
      <c r="B2741" t="s">
        <v>20</v>
      </c>
      <c r="C2741">
        <v>2015</v>
      </c>
      <c r="D2741">
        <v>4</v>
      </c>
      <c r="E2741" t="s">
        <v>6</v>
      </c>
      <c r="F2741" t="s">
        <v>6</v>
      </c>
      <c r="G2741" t="s">
        <v>6</v>
      </c>
      <c r="H2741">
        <v>21182.28</v>
      </c>
      <c r="I2741">
        <v>6335.53</v>
      </c>
      <c r="J2741">
        <v>0</v>
      </c>
    </row>
    <row r="2742" spans="1:10" x14ac:dyDescent="0.35">
      <c r="A2742">
        <v>326457</v>
      </c>
      <c r="B2742" t="s">
        <v>20</v>
      </c>
      <c r="C2742">
        <v>2015</v>
      </c>
      <c r="D2742">
        <v>4</v>
      </c>
      <c r="E2742" t="s">
        <v>6</v>
      </c>
      <c r="F2742" t="s">
        <v>6</v>
      </c>
      <c r="G2742" t="s">
        <v>6</v>
      </c>
      <c r="H2742">
        <v>15687.42</v>
      </c>
      <c r="I2742">
        <v>5863.38</v>
      </c>
      <c r="J2742">
        <v>0</v>
      </c>
    </row>
    <row r="2743" spans="1:10" x14ac:dyDescent="0.35">
      <c r="A2743">
        <v>326460</v>
      </c>
      <c r="B2743" t="s">
        <v>20</v>
      </c>
      <c r="C2743">
        <v>2015</v>
      </c>
      <c r="D2743">
        <v>4</v>
      </c>
      <c r="E2743" t="s">
        <v>6</v>
      </c>
      <c r="F2743" t="s">
        <v>6</v>
      </c>
      <c r="G2743" t="s">
        <v>6</v>
      </c>
      <c r="H2743">
        <v>48683.88</v>
      </c>
      <c r="I2743">
        <v>22763.26</v>
      </c>
      <c r="J2743">
        <v>0</v>
      </c>
    </row>
    <row r="2744" spans="1:10" x14ac:dyDescent="0.35">
      <c r="A2744">
        <v>326463</v>
      </c>
      <c r="B2744" t="s">
        <v>20</v>
      </c>
      <c r="C2744">
        <v>2015</v>
      </c>
      <c r="D2744">
        <v>4</v>
      </c>
      <c r="E2744" t="s">
        <v>6</v>
      </c>
      <c r="F2744" t="s">
        <v>6</v>
      </c>
      <c r="G2744" t="s">
        <v>6</v>
      </c>
      <c r="H2744">
        <v>24720.92</v>
      </c>
      <c r="I2744">
        <v>8380.15</v>
      </c>
      <c r="J2744">
        <v>0</v>
      </c>
    </row>
    <row r="2745" spans="1:10" x14ac:dyDescent="0.35">
      <c r="A2745">
        <v>326467</v>
      </c>
      <c r="B2745" t="s">
        <v>20</v>
      </c>
      <c r="C2745">
        <v>2015</v>
      </c>
      <c r="D2745">
        <v>4</v>
      </c>
      <c r="E2745" t="s">
        <v>6</v>
      </c>
      <c r="F2745" t="s">
        <v>6</v>
      </c>
      <c r="G2745" t="s">
        <v>6</v>
      </c>
      <c r="H2745">
        <v>24266.68</v>
      </c>
      <c r="I2745">
        <v>5964.92</v>
      </c>
      <c r="J2745">
        <v>0</v>
      </c>
    </row>
    <row r="2746" spans="1:10" x14ac:dyDescent="0.35">
      <c r="A2746">
        <v>326468</v>
      </c>
      <c r="B2746" t="s">
        <v>20</v>
      </c>
      <c r="C2746">
        <v>2015</v>
      </c>
      <c r="D2746">
        <v>4</v>
      </c>
      <c r="E2746" t="s">
        <v>6</v>
      </c>
      <c r="F2746" t="s">
        <v>6</v>
      </c>
      <c r="G2746" t="s">
        <v>6</v>
      </c>
      <c r="H2746">
        <v>19114.580000000002</v>
      </c>
      <c r="I2746">
        <v>7580.77</v>
      </c>
      <c r="J2746">
        <v>0</v>
      </c>
    </row>
    <row r="2747" spans="1:10" x14ac:dyDescent="0.35">
      <c r="A2747">
        <v>326472</v>
      </c>
      <c r="B2747" t="s">
        <v>20</v>
      </c>
      <c r="C2747">
        <v>2015</v>
      </c>
      <c r="D2747">
        <v>4</v>
      </c>
      <c r="E2747" t="s">
        <v>6</v>
      </c>
      <c r="F2747" t="s">
        <v>6</v>
      </c>
      <c r="G2747" t="s">
        <v>6</v>
      </c>
      <c r="H2747">
        <v>32891.46</v>
      </c>
      <c r="I2747">
        <v>15293.1</v>
      </c>
      <c r="J2747">
        <v>0</v>
      </c>
    </row>
    <row r="2748" spans="1:10" x14ac:dyDescent="0.35">
      <c r="A2748">
        <v>326473</v>
      </c>
      <c r="B2748" t="s">
        <v>20</v>
      </c>
      <c r="C2748">
        <v>2015</v>
      </c>
      <c r="D2748">
        <v>4</v>
      </c>
      <c r="E2748" t="s">
        <v>6</v>
      </c>
      <c r="F2748" t="s">
        <v>6</v>
      </c>
      <c r="G2748" t="s">
        <v>6</v>
      </c>
      <c r="H2748">
        <v>26861.5</v>
      </c>
      <c r="I2748">
        <v>7721.55</v>
      </c>
      <c r="J2748">
        <v>0</v>
      </c>
    </row>
    <row r="2749" spans="1:10" x14ac:dyDescent="0.35">
      <c r="A2749">
        <v>326477</v>
      </c>
      <c r="B2749" t="s">
        <v>20</v>
      </c>
      <c r="C2749">
        <v>2015</v>
      </c>
      <c r="D2749">
        <v>4</v>
      </c>
      <c r="E2749" t="s">
        <v>6</v>
      </c>
      <c r="F2749" t="s">
        <v>6</v>
      </c>
      <c r="G2749" t="s">
        <v>6</v>
      </c>
      <c r="H2749">
        <v>20557.64</v>
      </c>
      <c r="I2749">
        <v>7285.96</v>
      </c>
      <c r="J2749">
        <v>0</v>
      </c>
    </row>
    <row r="2750" spans="1:10" x14ac:dyDescent="0.35">
      <c r="A2750">
        <v>326479</v>
      </c>
      <c r="B2750" t="s">
        <v>20</v>
      </c>
      <c r="C2750">
        <v>2015</v>
      </c>
      <c r="D2750">
        <v>4</v>
      </c>
      <c r="E2750" t="s">
        <v>6</v>
      </c>
      <c r="F2750" t="s">
        <v>6</v>
      </c>
      <c r="G2750" t="s">
        <v>6</v>
      </c>
      <c r="H2750">
        <v>65724.28</v>
      </c>
      <c r="I2750">
        <v>32020.21</v>
      </c>
      <c r="J2750">
        <v>0</v>
      </c>
    </row>
    <row r="2751" spans="1:10" x14ac:dyDescent="0.35">
      <c r="A2751">
        <v>326481</v>
      </c>
      <c r="B2751" t="s">
        <v>20</v>
      </c>
      <c r="C2751">
        <v>2015</v>
      </c>
      <c r="D2751">
        <v>4</v>
      </c>
      <c r="E2751" t="s">
        <v>6</v>
      </c>
      <c r="F2751" t="s">
        <v>6</v>
      </c>
      <c r="G2751" t="s">
        <v>6</v>
      </c>
      <c r="H2751">
        <v>11859.6</v>
      </c>
      <c r="I2751">
        <v>4464.72</v>
      </c>
      <c r="J2751">
        <v>0</v>
      </c>
    </row>
    <row r="2752" spans="1:10" x14ac:dyDescent="0.35">
      <c r="A2752">
        <v>326490</v>
      </c>
      <c r="B2752" t="s">
        <v>20</v>
      </c>
      <c r="C2752">
        <v>2015</v>
      </c>
      <c r="D2752">
        <v>4</v>
      </c>
      <c r="E2752" t="s">
        <v>6</v>
      </c>
      <c r="F2752" t="s">
        <v>6</v>
      </c>
      <c r="G2752" t="s">
        <v>6</v>
      </c>
      <c r="H2752">
        <v>15026.48</v>
      </c>
      <c r="I2752">
        <v>5764.5</v>
      </c>
      <c r="J2752">
        <v>0</v>
      </c>
    </row>
    <row r="2753" spans="1:10" x14ac:dyDescent="0.35">
      <c r="A2753">
        <v>326496</v>
      </c>
      <c r="B2753" t="s">
        <v>20</v>
      </c>
      <c r="C2753">
        <v>2015</v>
      </c>
      <c r="D2753">
        <v>4</v>
      </c>
      <c r="E2753" t="s">
        <v>6</v>
      </c>
      <c r="F2753" t="s">
        <v>6</v>
      </c>
      <c r="G2753" t="s">
        <v>6</v>
      </c>
      <c r="H2753">
        <v>41231.379999999997</v>
      </c>
      <c r="I2753">
        <v>12373.95</v>
      </c>
      <c r="J2753">
        <v>0</v>
      </c>
    </row>
    <row r="2754" spans="1:10" x14ac:dyDescent="0.35">
      <c r="A2754">
        <v>326498</v>
      </c>
      <c r="B2754" t="s">
        <v>20</v>
      </c>
      <c r="C2754">
        <v>2015</v>
      </c>
      <c r="D2754">
        <v>4</v>
      </c>
      <c r="E2754" t="s">
        <v>6</v>
      </c>
      <c r="F2754" t="s">
        <v>6</v>
      </c>
      <c r="G2754" t="s">
        <v>6</v>
      </c>
      <c r="H2754">
        <v>35020.35</v>
      </c>
      <c r="I2754">
        <v>11084.53</v>
      </c>
      <c r="J2754">
        <v>0</v>
      </c>
    </row>
    <row r="2755" spans="1:10" x14ac:dyDescent="0.35">
      <c r="A2755">
        <v>326499</v>
      </c>
      <c r="B2755" t="s">
        <v>20</v>
      </c>
      <c r="C2755">
        <v>2015</v>
      </c>
      <c r="D2755">
        <v>4</v>
      </c>
      <c r="E2755" t="s">
        <v>6</v>
      </c>
      <c r="F2755" t="s">
        <v>6</v>
      </c>
      <c r="G2755" t="s">
        <v>6</v>
      </c>
      <c r="H2755">
        <v>13748.26</v>
      </c>
      <c r="I2755">
        <v>5103.47</v>
      </c>
      <c r="J2755">
        <v>0</v>
      </c>
    </row>
    <row r="2756" spans="1:10" x14ac:dyDescent="0.35">
      <c r="A2756">
        <v>326500</v>
      </c>
      <c r="B2756" t="s">
        <v>20</v>
      </c>
      <c r="C2756">
        <v>2015</v>
      </c>
      <c r="D2756">
        <v>4</v>
      </c>
      <c r="E2756" t="s">
        <v>6</v>
      </c>
      <c r="F2756" t="s">
        <v>6</v>
      </c>
      <c r="G2756" t="s">
        <v>6</v>
      </c>
      <c r="H2756">
        <v>16032.08</v>
      </c>
      <c r="I2756">
        <v>4910.72</v>
      </c>
      <c r="J2756">
        <v>0</v>
      </c>
    </row>
    <row r="2757" spans="1:10" x14ac:dyDescent="0.35">
      <c r="A2757">
        <v>326511</v>
      </c>
      <c r="B2757" t="s">
        <v>20</v>
      </c>
      <c r="C2757">
        <v>2015</v>
      </c>
      <c r="D2757">
        <v>4</v>
      </c>
      <c r="E2757" t="s">
        <v>6</v>
      </c>
      <c r="F2757" t="s">
        <v>6</v>
      </c>
      <c r="G2757" t="s">
        <v>6</v>
      </c>
      <c r="H2757">
        <v>67969.399999999994</v>
      </c>
      <c r="I2757">
        <v>26934.77</v>
      </c>
      <c r="J2757">
        <v>0</v>
      </c>
    </row>
    <row r="2758" spans="1:10" x14ac:dyDescent="0.35">
      <c r="A2758">
        <v>326514</v>
      </c>
      <c r="B2758" t="s">
        <v>20</v>
      </c>
      <c r="C2758">
        <v>2015</v>
      </c>
      <c r="D2758">
        <v>4</v>
      </c>
      <c r="E2758" t="s">
        <v>6</v>
      </c>
      <c r="F2758" t="s">
        <v>6</v>
      </c>
      <c r="G2758" t="s">
        <v>6</v>
      </c>
      <c r="H2758">
        <v>14473.7</v>
      </c>
      <c r="I2758">
        <v>5638.17</v>
      </c>
      <c r="J2758">
        <v>0</v>
      </c>
    </row>
    <row r="2759" spans="1:10" x14ac:dyDescent="0.35">
      <c r="A2759">
        <v>326523</v>
      </c>
      <c r="B2759" t="s">
        <v>20</v>
      </c>
      <c r="C2759">
        <v>2015</v>
      </c>
      <c r="D2759">
        <v>4</v>
      </c>
      <c r="E2759" t="s">
        <v>6</v>
      </c>
      <c r="F2759" t="s">
        <v>6</v>
      </c>
      <c r="G2759" t="s">
        <v>6</v>
      </c>
      <c r="H2759">
        <v>11194.44</v>
      </c>
      <c r="I2759">
        <v>3696.77</v>
      </c>
      <c r="J2759">
        <v>0</v>
      </c>
    </row>
    <row r="2760" spans="1:10" x14ac:dyDescent="0.35">
      <c r="A2760">
        <v>326532</v>
      </c>
      <c r="B2760" t="s">
        <v>20</v>
      </c>
      <c r="C2760">
        <v>2015</v>
      </c>
      <c r="D2760">
        <v>4</v>
      </c>
      <c r="E2760" t="s">
        <v>6</v>
      </c>
      <c r="F2760" t="s">
        <v>6</v>
      </c>
      <c r="G2760" t="s">
        <v>6</v>
      </c>
      <c r="H2760">
        <v>33833.94</v>
      </c>
      <c r="I2760">
        <v>11642.91</v>
      </c>
      <c r="J2760">
        <v>0</v>
      </c>
    </row>
    <row r="2761" spans="1:10" x14ac:dyDescent="0.35">
      <c r="A2761">
        <v>326535</v>
      </c>
      <c r="B2761" t="s">
        <v>20</v>
      </c>
      <c r="C2761">
        <v>2015</v>
      </c>
      <c r="D2761">
        <v>4</v>
      </c>
      <c r="E2761" t="s">
        <v>6</v>
      </c>
      <c r="F2761" t="s">
        <v>6</v>
      </c>
      <c r="G2761" t="s">
        <v>6</v>
      </c>
      <c r="H2761">
        <v>13464.9</v>
      </c>
      <c r="I2761">
        <v>4058.85</v>
      </c>
      <c r="J2761">
        <v>0</v>
      </c>
    </row>
    <row r="2762" spans="1:10" x14ac:dyDescent="0.35">
      <c r="A2762">
        <v>326536</v>
      </c>
      <c r="B2762" t="s">
        <v>20</v>
      </c>
      <c r="C2762">
        <v>2015</v>
      </c>
      <c r="D2762">
        <v>4</v>
      </c>
      <c r="E2762" t="s">
        <v>6</v>
      </c>
      <c r="F2762" t="s">
        <v>6</v>
      </c>
      <c r="G2762" t="s">
        <v>6</v>
      </c>
      <c r="H2762">
        <v>16854.98</v>
      </c>
      <c r="I2762">
        <v>5127.76</v>
      </c>
      <c r="J2762">
        <v>0</v>
      </c>
    </row>
    <row r="2763" spans="1:10" x14ac:dyDescent="0.35">
      <c r="A2763">
        <v>326538</v>
      </c>
      <c r="B2763" t="s">
        <v>20</v>
      </c>
      <c r="C2763">
        <v>2015</v>
      </c>
      <c r="D2763">
        <v>4</v>
      </c>
      <c r="E2763" t="s">
        <v>6</v>
      </c>
      <c r="F2763" t="s">
        <v>6</v>
      </c>
      <c r="G2763" t="s">
        <v>6</v>
      </c>
      <c r="H2763">
        <v>10733.5</v>
      </c>
      <c r="I2763">
        <v>3524.18</v>
      </c>
      <c r="J2763">
        <v>0</v>
      </c>
    </row>
    <row r="2764" spans="1:10" x14ac:dyDescent="0.35">
      <c r="A2764">
        <v>326539</v>
      </c>
      <c r="B2764" t="s">
        <v>20</v>
      </c>
      <c r="C2764">
        <v>2015</v>
      </c>
      <c r="D2764">
        <v>4</v>
      </c>
      <c r="E2764" t="s">
        <v>6</v>
      </c>
      <c r="F2764" t="s">
        <v>6</v>
      </c>
      <c r="G2764" t="s">
        <v>6</v>
      </c>
      <c r="H2764">
        <v>18524</v>
      </c>
      <c r="I2764">
        <v>3292.74</v>
      </c>
      <c r="J2764">
        <v>0</v>
      </c>
    </row>
    <row r="2765" spans="1:10" x14ac:dyDescent="0.35">
      <c r="A2765">
        <v>326540</v>
      </c>
      <c r="B2765" t="s">
        <v>20</v>
      </c>
      <c r="C2765">
        <v>2015</v>
      </c>
      <c r="D2765">
        <v>4</v>
      </c>
      <c r="E2765" t="s">
        <v>6</v>
      </c>
      <c r="F2765" t="s">
        <v>6</v>
      </c>
      <c r="G2765" t="s">
        <v>6</v>
      </c>
      <c r="H2765">
        <v>44126.64</v>
      </c>
      <c r="I2765">
        <v>12599.24</v>
      </c>
      <c r="J2765">
        <v>0</v>
      </c>
    </row>
    <row r="2766" spans="1:10" x14ac:dyDescent="0.35">
      <c r="A2766">
        <v>326543</v>
      </c>
      <c r="B2766" t="s">
        <v>20</v>
      </c>
      <c r="C2766">
        <v>2015</v>
      </c>
      <c r="D2766">
        <v>4</v>
      </c>
      <c r="E2766" t="s">
        <v>6</v>
      </c>
      <c r="F2766" t="s">
        <v>6</v>
      </c>
      <c r="G2766" t="s">
        <v>6</v>
      </c>
      <c r="H2766">
        <v>19948.240000000002</v>
      </c>
      <c r="I2766">
        <v>7268.69</v>
      </c>
      <c r="J2766">
        <v>0</v>
      </c>
    </row>
    <row r="2767" spans="1:10" x14ac:dyDescent="0.35">
      <c r="A2767">
        <v>326544</v>
      </c>
      <c r="B2767" t="s">
        <v>20</v>
      </c>
      <c r="C2767">
        <v>2015</v>
      </c>
      <c r="D2767">
        <v>4</v>
      </c>
      <c r="E2767" t="s">
        <v>6</v>
      </c>
      <c r="F2767" t="s">
        <v>6</v>
      </c>
      <c r="G2767" t="s">
        <v>6</v>
      </c>
      <c r="H2767">
        <v>85696.9</v>
      </c>
      <c r="I2767">
        <v>32229.18</v>
      </c>
      <c r="J2767">
        <v>0</v>
      </c>
    </row>
    <row r="2768" spans="1:10" x14ac:dyDescent="0.35">
      <c r="A2768">
        <v>326546</v>
      </c>
      <c r="B2768" t="s">
        <v>20</v>
      </c>
      <c r="C2768">
        <v>2015</v>
      </c>
      <c r="D2768">
        <v>4</v>
      </c>
      <c r="E2768" t="s">
        <v>6</v>
      </c>
      <c r="F2768" t="s">
        <v>6</v>
      </c>
      <c r="G2768" t="s">
        <v>6</v>
      </c>
      <c r="H2768">
        <v>189948.84</v>
      </c>
      <c r="I2768">
        <v>105247.06</v>
      </c>
      <c r="J2768">
        <v>0</v>
      </c>
    </row>
    <row r="2769" spans="1:10" x14ac:dyDescent="0.35">
      <c r="A2769">
        <v>326549</v>
      </c>
      <c r="B2769" t="s">
        <v>20</v>
      </c>
      <c r="C2769">
        <v>2015</v>
      </c>
      <c r="D2769">
        <v>4</v>
      </c>
      <c r="E2769" t="s">
        <v>6</v>
      </c>
      <c r="F2769" t="s">
        <v>6</v>
      </c>
      <c r="G2769" t="s">
        <v>6</v>
      </c>
      <c r="H2769">
        <v>21619.599999999999</v>
      </c>
      <c r="I2769">
        <v>8804.65</v>
      </c>
      <c r="J2769">
        <v>0</v>
      </c>
    </row>
    <row r="2770" spans="1:10" x14ac:dyDescent="0.35">
      <c r="A2770">
        <v>326550</v>
      </c>
      <c r="B2770" t="s">
        <v>20</v>
      </c>
      <c r="C2770">
        <v>2015</v>
      </c>
      <c r="D2770">
        <v>4</v>
      </c>
      <c r="E2770" t="s">
        <v>6</v>
      </c>
      <c r="F2770" t="s">
        <v>6</v>
      </c>
      <c r="G2770" t="s">
        <v>6</v>
      </c>
      <c r="H2770">
        <v>15941.88</v>
      </c>
      <c r="I2770">
        <v>6273.19</v>
      </c>
      <c r="J2770">
        <v>0</v>
      </c>
    </row>
    <row r="2771" spans="1:10" x14ac:dyDescent="0.35">
      <c r="A2771">
        <v>326551</v>
      </c>
      <c r="B2771" t="s">
        <v>20</v>
      </c>
      <c r="C2771">
        <v>2015</v>
      </c>
      <c r="D2771">
        <v>4</v>
      </c>
      <c r="E2771" t="s">
        <v>6</v>
      </c>
      <c r="F2771" t="s">
        <v>6</v>
      </c>
      <c r="G2771" t="s">
        <v>6</v>
      </c>
      <c r="H2771">
        <v>35874.699999999997</v>
      </c>
      <c r="I2771">
        <v>10596.51</v>
      </c>
      <c r="J2771">
        <v>0</v>
      </c>
    </row>
    <row r="2772" spans="1:10" x14ac:dyDescent="0.35">
      <c r="A2772">
        <v>326555</v>
      </c>
      <c r="B2772" t="s">
        <v>20</v>
      </c>
      <c r="C2772">
        <v>2015</v>
      </c>
      <c r="D2772">
        <v>4</v>
      </c>
      <c r="E2772" t="s">
        <v>6</v>
      </c>
      <c r="F2772" t="s">
        <v>6</v>
      </c>
      <c r="G2772" t="s">
        <v>6</v>
      </c>
      <c r="H2772">
        <v>14527.9</v>
      </c>
      <c r="I2772">
        <v>4724.6099999999997</v>
      </c>
      <c r="J2772">
        <v>0</v>
      </c>
    </row>
    <row r="2773" spans="1:10" x14ac:dyDescent="0.35">
      <c r="A2773">
        <v>326556</v>
      </c>
      <c r="B2773" t="s">
        <v>20</v>
      </c>
      <c r="C2773">
        <v>2015</v>
      </c>
      <c r="D2773">
        <v>4</v>
      </c>
      <c r="E2773" t="s">
        <v>6</v>
      </c>
      <c r="F2773" t="s">
        <v>6</v>
      </c>
      <c r="G2773" t="s">
        <v>6</v>
      </c>
      <c r="H2773">
        <v>14042.78</v>
      </c>
      <c r="I2773">
        <v>5175.8599999999997</v>
      </c>
      <c r="J2773">
        <v>0</v>
      </c>
    </row>
    <row r="2774" spans="1:10" x14ac:dyDescent="0.35">
      <c r="A2774">
        <v>326559</v>
      </c>
      <c r="B2774" t="s">
        <v>20</v>
      </c>
      <c r="C2774">
        <v>2015</v>
      </c>
      <c r="D2774">
        <v>4</v>
      </c>
      <c r="E2774" t="s">
        <v>6</v>
      </c>
      <c r="F2774" t="s">
        <v>6</v>
      </c>
      <c r="G2774" t="s">
        <v>6</v>
      </c>
      <c r="H2774">
        <v>19478.68</v>
      </c>
      <c r="I2774">
        <v>6963.16</v>
      </c>
      <c r="J2774">
        <v>0</v>
      </c>
    </row>
    <row r="2775" spans="1:10" x14ac:dyDescent="0.35">
      <c r="A2775">
        <v>326561</v>
      </c>
      <c r="B2775" t="s">
        <v>20</v>
      </c>
      <c r="C2775">
        <v>2015</v>
      </c>
      <c r="D2775">
        <v>4</v>
      </c>
      <c r="E2775" t="s">
        <v>6</v>
      </c>
      <c r="F2775" t="s">
        <v>6</v>
      </c>
      <c r="G2775" t="s">
        <v>6</v>
      </c>
      <c r="H2775">
        <v>9141.3799999999992</v>
      </c>
      <c r="I2775">
        <v>2372.54</v>
      </c>
      <c r="J2775">
        <v>0</v>
      </c>
    </row>
    <row r="2776" spans="1:10" x14ac:dyDescent="0.35">
      <c r="A2776">
        <v>326563</v>
      </c>
      <c r="B2776" t="s">
        <v>20</v>
      </c>
      <c r="C2776">
        <v>2015</v>
      </c>
      <c r="D2776">
        <v>4</v>
      </c>
      <c r="E2776" t="s">
        <v>6</v>
      </c>
      <c r="F2776" t="s">
        <v>6</v>
      </c>
      <c r="G2776" t="s">
        <v>6</v>
      </c>
      <c r="H2776">
        <v>14079.32</v>
      </c>
      <c r="I2776">
        <v>3073.59</v>
      </c>
      <c r="J2776">
        <v>0</v>
      </c>
    </row>
    <row r="2777" spans="1:10" x14ac:dyDescent="0.35">
      <c r="A2777">
        <v>326567</v>
      </c>
      <c r="B2777" t="s">
        <v>20</v>
      </c>
      <c r="C2777">
        <v>2015</v>
      </c>
      <c r="D2777">
        <v>4</v>
      </c>
      <c r="E2777" t="s">
        <v>6</v>
      </c>
      <c r="F2777" t="s">
        <v>6</v>
      </c>
      <c r="G2777" t="s">
        <v>6</v>
      </c>
      <c r="H2777">
        <v>30676</v>
      </c>
      <c r="I2777">
        <v>10733.53</v>
      </c>
      <c r="J2777">
        <v>0</v>
      </c>
    </row>
    <row r="2778" spans="1:10" x14ac:dyDescent="0.35">
      <c r="A2778">
        <v>326570</v>
      </c>
      <c r="B2778" t="s">
        <v>20</v>
      </c>
      <c r="C2778">
        <v>2015</v>
      </c>
      <c r="D2778">
        <v>4</v>
      </c>
      <c r="E2778" t="s">
        <v>6</v>
      </c>
      <c r="F2778" t="s">
        <v>6</v>
      </c>
      <c r="G2778" t="s">
        <v>6</v>
      </c>
      <c r="H2778">
        <v>18329.82</v>
      </c>
      <c r="I2778">
        <v>4920.43</v>
      </c>
      <c r="J2778">
        <v>0</v>
      </c>
    </row>
    <row r="2779" spans="1:10" x14ac:dyDescent="0.35">
      <c r="A2779">
        <v>326572</v>
      </c>
      <c r="B2779" t="s">
        <v>20</v>
      </c>
      <c r="C2779">
        <v>2015</v>
      </c>
      <c r="D2779">
        <v>4</v>
      </c>
      <c r="E2779" t="s">
        <v>6</v>
      </c>
      <c r="F2779" t="s">
        <v>6</v>
      </c>
      <c r="G2779" t="s">
        <v>6</v>
      </c>
      <c r="H2779">
        <v>9683.2199999999993</v>
      </c>
      <c r="I2779">
        <v>3652.25</v>
      </c>
      <c r="J2779">
        <v>0</v>
      </c>
    </row>
    <row r="2780" spans="1:10" x14ac:dyDescent="0.35">
      <c r="A2780">
        <v>326576</v>
      </c>
      <c r="B2780" t="s">
        <v>20</v>
      </c>
      <c r="C2780">
        <v>2015</v>
      </c>
      <c r="D2780">
        <v>4</v>
      </c>
      <c r="E2780" t="s">
        <v>6</v>
      </c>
      <c r="F2780" t="s">
        <v>6</v>
      </c>
      <c r="G2780" t="s">
        <v>6</v>
      </c>
      <c r="H2780">
        <v>38728.879999999997</v>
      </c>
      <c r="I2780">
        <v>8220.7999999999993</v>
      </c>
      <c r="J2780">
        <v>0</v>
      </c>
    </row>
    <row r="2781" spans="1:10" x14ac:dyDescent="0.35">
      <c r="A2781">
        <v>326577</v>
      </c>
      <c r="B2781" t="s">
        <v>20</v>
      </c>
      <c r="C2781">
        <v>2015</v>
      </c>
      <c r="D2781">
        <v>4</v>
      </c>
      <c r="E2781" t="s">
        <v>6</v>
      </c>
      <c r="F2781" t="s">
        <v>6</v>
      </c>
      <c r="G2781" t="s">
        <v>6</v>
      </c>
      <c r="H2781">
        <v>19728.259999999998</v>
      </c>
      <c r="I2781">
        <v>4934.09</v>
      </c>
      <c r="J2781">
        <v>0</v>
      </c>
    </row>
    <row r="2782" spans="1:10" x14ac:dyDescent="0.35">
      <c r="A2782">
        <v>326582</v>
      </c>
      <c r="B2782" t="s">
        <v>20</v>
      </c>
      <c r="C2782">
        <v>2015</v>
      </c>
      <c r="D2782">
        <v>4</v>
      </c>
      <c r="E2782" t="s">
        <v>6</v>
      </c>
      <c r="F2782" t="s">
        <v>6</v>
      </c>
      <c r="G2782" t="s">
        <v>6</v>
      </c>
      <c r="H2782">
        <v>12284.7</v>
      </c>
      <c r="I2782">
        <v>3286.16</v>
      </c>
      <c r="J2782">
        <v>0</v>
      </c>
    </row>
    <row r="2783" spans="1:10" x14ac:dyDescent="0.35">
      <c r="A2783">
        <v>326583</v>
      </c>
      <c r="B2783" t="s">
        <v>20</v>
      </c>
      <c r="C2783">
        <v>2015</v>
      </c>
      <c r="D2783">
        <v>4</v>
      </c>
      <c r="E2783" t="s">
        <v>6</v>
      </c>
      <c r="F2783" t="s">
        <v>6</v>
      </c>
      <c r="G2783" t="s">
        <v>6</v>
      </c>
      <c r="H2783">
        <v>48075.86</v>
      </c>
      <c r="I2783">
        <v>15024.51</v>
      </c>
      <c r="J2783">
        <v>0</v>
      </c>
    </row>
    <row r="2784" spans="1:10" x14ac:dyDescent="0.35">
      <c r="A2784">
        <v>326586</v>
      </c>
      <c r="B2784" t="s">
        <v>20</v>
      </c>
      <c r="C2784">
        <v>2015</v>
      </c>
      <c r="D2784">
        <v>4</v>
      </c>
      <c r="E2784" t="s">
        <v>6</v>
      </c>
      <c r="F2784" t="s">
        <v>6</v>
      </c>
      <c r="G2784" t="s">
        <v>6</v>
      </c>
      <c r="H2784">
        <v>11510.06</v>
      </c>
      <c r="I2784">
        <v>3967.54</v>
      </c>
      <c r="J2784">
        <v>0</v>
      </c>
    </row>
    <row r="2785" spans="1:10" x14ac:dyDescent="0.35">
      <c r="A2785">
        <v>326591</v>
      </c>
      <c r="B2785" t="s">
        <v>20</v>
      </c>
      <c r="C2785">
        <v>2015</v>
      </c>
      <c r="D2785">
        <v>4</v>
      </c>
      <c r="E2785" t="s">
        <v>6</v>
      </c>
      <c r="F2785" t="s">
        <v>6</v>
      </c>
      <c r="G2785" t="s">
        <v>6</v>
      </c>
      <c r="H2785">
        <v>11310.1</v>
      </c>
      <c r="I2785">
        <v>4034.38</v>
      </c>
      <c r="J2785">
        <v>0</v>
      </c>
    </row>
    <row r="2786" spans="1:10" x14ac:dyDescent="0.35">
      <c r="A2786">
        <v>326593</v>
      </c>
      <c r="B2786" t="s">
        <v>20</v>
      </c>
      <c r="C2786">
        <v>2015</v>
      </c>
      <c r="D2786">
        <v>4</v>
      </c>
      <c r="E2786" t="s">
        <v>6</v>
      </c>
      <c r="F2786" t="s">
        <v>6</v>
      </c>
      <c r="G2786" t="s">
        <v>6</v>
      </c>
      <c r="H2786">
        <v>11141.54</v>
      </c>
      <c r="I2786">
        <v>2701.87</v>
      </c>
      <c r="J2786">
        <v>0</v>
      </c>
    </row>
    <row r="2787" spans="1:10" x14ac:dyDescent="0.35">
      <c r="A2787">
        <v>326596</v>
      </c>
      <c r="B2787" t="s">
        <v>20</v>
      </c>
      <c r="C2787">
        <v>2015</v>
      </c>
      <c r="D2787">
        <v>4</v>
      </c>
      <c r="E2787" t="s">
        <v>6</v>
      </c>
      <c r="F2787" t="s">
        <v>6</v>
      </c>
      <c r="G2787" t="s">
        <v>6</v>
      </c>
      <c r="H2787">
        <v>24817.88</v>
      </c>
      <c r="I2787">
        <v>8751.57</v>
      </c>
      <c r="J2787">
        <v>0</v>
      </c>
    </row>
    <row r="2788" spans="1:10" x14ac:dyDescent="0.35">
      <c r="A2788">
        <v>326600</v>
      </c>
      <c r="B2788" t="s">
        <v>20</v>
      </c>
      <c r="C2788">
        <v>2015</v>
      </c>
      <c r="D2788">
        <v>4</v>
      </c>
      <c r="E2788" t="s">
        <v>6</v>
      </c>
      <c r="F2788" t="s">
        <v>6</v>
      </c>
      <c r="G2788" t="s">
        <v>6</v>
      </c>
      <c r="H2788">
        <v>21031.46</v>
      </c>
      <c r="I2788">
        <v>6697.56</v>
      </c>
      <c r="J2788">
        <v>0</v>
      </c>
    </row>
    <row r="2789" spans="1:10" x14ac:dyDescent="0.35">
      <c r="A2789">
        <v>326604</v>
      </c>
      <c r="B2789" t="s">
        <v>20</v>
      </c>
      <c r="C2789">
        <v>2015</v>
      </c>
      <c r="D2789">
        <v>4</v>
      </c>
      <c r="E2789" t="s">
        <v>6</v>
      </c>
      <c r="F2789" t="s">
        <v>6</v>
      </c>
      <c r="G2789" t="s">
        <v>6</v>
      </c>
      <c r="H2789">
        <v>50187</v>
      </c>
      <c r="I2789">
        <v>22297.99</v>
      </c>
      <c r="J2789">
        <v>0</v>
      </c>
    </row>
    <row r="2790" spans="1:10" x14ac:dyDescent="0.35">
      <c r="A2790">
        <v>326612</v>
      </c>
      <c r="B2790" t="s">
        <v>20</v>
      </c>
      <c r="C2790">
        <v>2015</v>
      </c>
      <c r="D2790">
        <v>4</v>
      </c>
      <c r="E2790" t="s">
        <v>6</v>
      </c>
      <c r="F2790" t="s">
        <v>6</v>
      </c>
      <c r="G2790" t="s">
        <v>6</v>
      </c>
      <c r="H2790">
        <v>23118.98</v>
      </c>
      <c r="I2790">
        <v>3290.12</v>
      </c>
      <c r="J2790">
        <v>0</v>
      </c>
    </row>
    <row r="2791" spans="1:10" x14ac:dyDescent="0.35">
      <c r="A2791">
        <v>326614</v>
      </c>
      <c r="B2791" t="s">
        <v>20</v>
      </c>
      <c r="C2791">
        <v>2015</v>
      </c>
      <c r="D2791">
        <v>4</v>
      </c>
      <c r="E2791" t="s">
        <v>6</v>
      </c>
      <c r="F2791" t="s">
        <v>6</v>
      </c>
      <c r="G2791" t="s">
        <v>6</v>
      </c>
      <c r="H2791">
        <v>17266.68</v>
      </c>
      <c r="I2791">
        <v>5529.75</v>
      </c>
      <c r="J2791">
        <v>0</v>
      </c>
    </row>
    <row r="2792" spans="1:10" x14ac:dyDescent="0.35">
      <c r="A2792">
        <v>326619</v>
      </c>
      <c r="B2792" t="s">
        <v>20</v>
      </c>
      <c r="C2792">
        <v>2015</v>
      </c>
      <c r="D2792">
        <v>4</v>
      </c>
      <c r="E2792" t="s">
        <v>6</v>
      </c>
      <c r="F2792" t="s">
        <v>6</v>
      </c>
      <c r="G2792" t="s">
        <v>6</v>
      </c>
      <c r="H2792">
        <v>17980.02</v>
      </c>
      <c r="I2792">
        <v>6486.14</v>
      </c>
      <c r="J2792">
        <v>0</v>
      </c>
    </row>
    <row r="2793" spans="1:10" x14ac:dyDescent="0.35">
      <c r="A2793">
        <v>326622</v>
      </c>
      <c r="B2793" t="s">
        <v>20</v>
      </c>
      <c r="C2793">
        <v>2015</v>
      </c>
      <c r="D2793">
        <v>4</v>
      </c>
      <c r="E2793" t="s">
        <v>6</v>
      </c>
      <c r="F2793" t="s">
        <v>6</v>
      </c>
      <c r="G2793" t="s">
        <v>6</v>
      </c>
      <c r="H2793">
        <v>24592.42</v>
      </c>
      <c r="I2793">
        <v>7651.83</v>
      </c>
      <c r="J2793">
        <v>0</v>
      </c>
    </row>
    <row r="2794" spans="1:10" x14ac:dyDescent="0.35">
      <c r="A2794">
        <v>326623</v>
      </c>
      <c r="B2794" t="s">
        <v>20</v>
      </c>
      <c r="C2794">
        <v>2015</v>
      </c>
      <c r="D2794">
        <v>4</v>
      </c>
      <c r="E2794" t="s">
        <v>6</v>
      </c>
      <c r="F2794" t="s">
        <v>6</v>
      </c>
      <c r="G2794" t="s">
        <v>6</v>
      </c>
      <c r="H2794">
        <v>27090.080000000002</v>
      </c>
      <c r="I2794">
        <v>14607.14</v>
      </c>
      <c r="J2794">
        <v>0</v>
      </c>
    </row>
    <row r="2795" spans="1:10" x14ac:dyDescent="0.35">
      <c r="A2795">
        <v>326625</v>
      </c>
      <c r="B2795" t="s">
        <v>20</v>
      </c>
      <c r="C2795">
        <v>2015</v>
      </c>
      <c r="D2795">
        <v>4</v>
      </c>
      <c r="E2795" t="s">
        <v>6</v>
      </c>
      <c r="F2795" t="s">
        <v>6</v>
      </c>
      <c r="G2795" t="s">
        <v>6</v>
      </c>
      <c r="H2795">
        <v>26748.82</v>
      </c>
      <c r="I2795">
        <v>6027.77</v>
      </c>
      <c r="J2795">
        <v>0</v>
      </c>
    </row>
    <row r="2796" spans="1:10" x14ac:dyDescent="0.35">
      <c r="A2796">
        <v>326629</v>
      </c>
      <c r="B2796" t="s">
        <v>20</v>
      </c>
      <c r="C2796">
        <v>2015</v>
      </c>
      <c r="D2796">
        <v>4</v>
      </c>
      <c r="E2796" t="s">
        <v>6</v>
      </c>
      <c r="F2796" t="s">
        <v>6</v>
      </c>
      <c r="G2796" t="s">
        <v>6</v>
      </c>
      <c r="H2796">
        <v>14297.32</v>
      </c>
      <c r="I2796">
        <v>4666.41</v>
      </c>
      <c r="J2796">
        <v>0</v>
      </c>
    </row>
    <row r="2797" spans="1:10" x14ac:dyDescent="0.35">
      <c r="A2797">
        <v>326630</v>
      </c>
      <c r="B2797" t="s">
        <v>20</v>
      </c>
      <c r="C2797">
        <v>2015</v>
      </c>
      <c r="D2797">
        <v>4</v>
      </c>
      <c r="E2797" t="s">
        <v>6</v>
      </c>
      <c r="F2797" t="s">
        <v>6</v>
      </c>
      <c r="G2797" t="s">
        <v>6</v>
      </c>
      <c r="H2797">
        <v>18000.82</v>
      </c>
      <c r="I2797">
        <v>4674.21</v>
      </c>
      <c r="J2797">
        <v>0</v>
      </c>
    </row>
    <row r="2798" spans="1:10" x14ac:dyDescent="0.35">
      <c r="A2798">
        <v>326633</v>
      </c>
      <c r="B2798" t="s">
        <v>20</v>
      </c>
      <c r="C2798">
        <v>2015</v>
      </c>
      <c r="D2798">
        <v>4</v>
      </c>
      <c r="E2798" t="s">
        <v>6</v>
      </c>
      <c r="F2798" t="s">
        <v>6</v>
      </c>
      <c r="G2798" t="s">
        <v>6</v>
      </c>
      <c r="H2798">
        <v>36998.58</v>
      </c>
      <c r="I2798">
        <v>11806.91</v>
      </c>
      <c r="J2798">
        <v>0</v>
      </c>
    </row>
    <row r="2799" spans="1:10" x14ac:dyDescent="0.35">
      <c r="A2799">
        <v>326636</v>
      </c>
      <c r="B2799" t="s">
        <v>20</v>
      </c>
      <c r="C2799">
        <v>2015</v>
      </c>
      <c r="D2799">
        <v>4</v>
      </c>
      <c r="E2799" t="s">
        <v>6</v>
      </c>
      <c r="F2799" t="s">
        <v>6</v>
      </c>
      <c r="G2799" t="s">
        <v>6</v>
      </c>
      <c r="H2799">
        <v>22038.18</v>
      </c>
      <c r="I2799">
        <v>5561.87</v>
      </c>
      <c r="J2799">
        <v>0</v>
      </c>
    </row>
    <row r="2800" spans="1:10" x14ac:dyDescent="0.35">
      <c r="A2800">
        <v>326637</v>
      </c>
      <c r="B2800" t="s">
        <v>20</v>
      </c>
      <c r="C2800">
        <v>2015</v>
      </c>
      <c r="D2800">
        <v>4</v>
      </c>
      <c r="E2800" t="s">
        <v>6</v>
      </c>
      <c r="F2800" t="s">
        <v>6</v>
      </c>
      <c r="G2800" t="s">
        <v>6</v>
      </c>
      <c r="H2800">
        <v>38192.26</v>
      </c>
      <c r="I2800">
        <v>17206.97</v>
      </c>
      <c r="J2800">
        <v>0</v>
      </c>
    </row>
    <row r="2801" spans="1:10" x14ac:dyDescent="0.35">
      <c r="A2801">
        <v>326638</v>
      </c>
      <c r="B2801" t="s">
        <v>20</v>
      </c>
      <c r="C2801">
        <v>2015</v>
      </c>
      <c r="D2801">
        <v>4</v>
      </c>
      <c r="E2801" t="s">
        <v>6</v>
      </c>
      <c r="F2801" t="s">
        <v>6</v>
      </c>
      <c r="G2801" t="s">
        <v>6</v>
      </c>
      <c r="H2801">
        <v>16490.5</v>
      </c>
      <c r="I2801">
        <v>5753.65</v>
      </c>
      <c r="J2801">
        <v>0</v>
      </c>
    </row>
    <row r="2802" spans="1:10" x14ac:dyDescent="0.35">
      <c r="A2802">
        <v>326645</v>
      </c>
      <c r="B2802" t="s">
        <v>20</v>
      </c>
      <c r="C2802">
        <v>2015</v>
      </c>
      <c r="D2802">
        <v>4</v>
      </c>
      <c r="E2802" t="s">
        <v>6</v>
      </c>
      <c r="F2802" t="s">
        <v>6</v>
      </c>
      <c r="G2802" t="s">
        <v>6</v>
      </c>
      <c r="H2802">
        <v>15620.9</v>
      </c>
      <c r="I2802">
        <v>5364.55</v>
      </c>
      <c r="J2802">
        <v>0</v>
      </c>
    </row>
    <row r="2803" spans="1:10" x14ac:dyDescent="0.35">
      <c r="A2803">
        <v>326647</v>
      </c>
      <c r="B2803" t="s">
        <v>20</v>
      </c>
      <c r="C2803">
        <v>2015</v>
      </c>
      <c r="D2803">
        <v>4</v>
      </c>
      <c r="E2803" t="s">
        <v>6</v>
      </c>
      <c r="F2803" t="s">
        <v>6</v>
      </c>
      <c r="G2803" t="s">
        <v>6</v>
      </c>
      <c r="H2803">
        <v>11304.08</v>
      </c>
      <c r="I2803">
        <v>3148.08</v>
      </c>
      <c r="J2803">
        <v>0</v>
      </c>
    </row>
    <row r="2804" spans="1:10" x14ac:dyDescent="0.35">
      <c r="A2804">
        <v>326652</v>
      </c>
      <c r="B2804" t="s">
        <v>20</v>
      </c>
      <c r="C2804">
        <v>2015</v>
      </c>
      <c r="D2804">
        <v>4</v>
      </c>
      <c r="E2804" t="s">
        <v>6</v>
      </c>
      <c r="F2804" t="s">
        <v>6</v>
      </c>
      <c r="G2804" t="s">
        <v>6</v>
      </c>
      <c r="H2804">
        <v>14747.4</v>
      </c>
      <c r="I2804">
        <v>5218.6499999999996</v>
      </c>
      <c r="J2804">
        <v>0</v>
      </c>
    </row>
    <row r="2805" spans="1:10" x14ac:dyDescent="0.35">
      <c r="A2805">
        <v>326657</v>
      </c>
      <c r="B2805" t="s">
        <v>20</v>
      </c>
      <c r="C2805">
        <v>2015</v>
      </c>
      <c r="D2805">
        <v>4</v>
      </c>
      <c r="E2805" t="s">
        <v>6</v>
      </c>
      <c r="F2805" t="s">
        <v>6</v>
      </c>
      <c r="G2805" t="s">
        <v>6</v>
      </c>
      <c r="H2805">
        <v>29283.200000000001</v>
      </c>
      <c r="I2805">
        <v>11271.67</v>
      </c>
      <c r="J2805">
        <v>0</v>
      </c>
    </row>
    <row r="2806" spans="1:10" x14ac:dyDescent="0.35">
      <c r="A2806">
        <v>326661</v>
      </c>
      <c r="B2806" t="s">
        <v>20</v>
      </c>
      <c r="C2806">
        <v>2015</v>
      </c>
      <c r="D2806">
        <v>4</v>
      </c>
      <c r="E2806" t="s">
        <v>6</v>
      </c>
      <c r="F2806" t="s">
        <v>6</v>
      </c>
      <c r="G2806" t="s">
        <v>6</v>
      </c>
      <c r="H2806">
        <v>11802.18</v>
      </c>
      <c r="I2806">
        <v>4657.95</v>
      </c>
      <c r="J2806">
        <v>0</v>
      </c>
    </row>
    <row r="2807" spans="1:10" x14ac:dyDescent="0.35">
      <c r="A2807">
        <v>326667</v>
      </c>
      <c r="B2807" t="s">
        <v>20</v>
      </c>
      <c r="C2807">
        <v>2015</v>
      </c>
      <c r="D2807">
        <v>4</v>
      </c>
      <c r="E2807" t="s">
        <v>6</v>
      </c>
      <c r="F2807" t="s">
        <v>6</v>
      </c>
      <c r="G2807" t="s">
        <v>6</v>
      </c>
      <c r="H2807">
        <v>21313.42</v>
      </c>
      <c r="I2807">
        <v>5196.38</v>
      </c>
      <c r="J2807">
        <v>0</v>
      </c>
    </row>
    <row r="2808" spans="1:10" x14ac:dyDescent="0.35">
      <c r="A2808">
        <v>326672</v>
      </c>
      <c r="B2808" t="s">
        <v>20</v>
      </c>
      <c r="C2808">
        <v>2015</v>
      </c>
      <c r="D2808">
        <v>4</v>
      </c>
      <c r="E2808" t="s">
        <v>6</v>
      </c>
      <c r="F2808" t="s">
        <v>6</v>
      </c>
      <c r="G2808" t="s">
        <v>6</v>
      </c>
      <c r="H2808">
        <v>24953.34</v>
      </c>
      <c r="I2808">
        <v>8571.1299999999992</v>
      </c>
      <c r="J2808">
        <v>0</v>
      </c>
    </row>
    <row r="2809" spans="1:10" x14ac:dyDescent="0.35">
      <c r="A2809">
        <v>326675</v>
      </c>
      <c r="B2809" t="s">
        <v>20</v>
      </c>
      <c r="C2809">
        <v>2015</v>
      </c>
      <c r="D2809">
        <v>4</v>
      </c>
      <c r="E2809" t="s">
        <v>6</v>
      </c>
      <c r="F2809" t="s">
        <v>6</v>
      </c>
      <c r="G2809" t="s">
        <v>6</v>
      </c>
      <c r="H2809">
        <v>20760.48</v>
      </c>
      <c r="I2809">
        <v>6340.07</v>
      </c>
      <c r="J2809">
        <v>0</v>
      </c>
    </row>
    <row r="2810" spans="1:10" x14ac:dyDescent="0.35">
      <c r="A2810">
        <v>326679</v>
      </c>
      <c r="B2810" t="s">
        <v>20</v>
      </c>
      <c r="C2810">
        <v>2015</v>
      </c>
      <c r="D2810">
        <v>4</v>
      </c>
      <c r="E2810" t="s">
        <v>6</v>
      </c>
      <c r="F2810" t="s">
        <v>6</v>
      </c>
      <c r="G2810" t="s">
        <v>6</v>
      </c>
      <c r="H2810">
        <v>15837.9</v>
      </c>
      <c r="I2810">
        <v>5830.7</v>
      </c>
      <c r="J2810">
        <v>0</v>
      </c>
    </row>
    <row r="2811" spans="1:10" x14ac:dyDescent="0.35">
      <c r="A2811">
        <v>326682</v>
      </c>
      <c r="B2811" t="s">
        <v>20</v>
      </c>
      <c r="C2811">
        <v>2015</v>
      </c>
      <c r="D2811">
        <v>4</v>
      </c>
      <c r="E2811" t="s">
        <v>6</v>
      </c>
      <c r="F2811" t="s">
        <v>6</v>
      </c>
      <c r="G2811" t="s">
        <v>6</v>
      </c>
      <c r="H2811">
        <v>45512.74</v>
      </c>
      <c r="I2811">
        <v>21065.95</v>
      </c>
      <c r="J2811">
        <v>0</v>
      </c>
    </row>
    <row r="2812" spans="1:10" x14ac:dyDescent="0.35">
      <c r="A2812">
        <v>326685</v>
      </c>
      <c r="B2812" t="s">
        <v>20</v>
      </c>
      <c r="C2812">
        <v>2015</v>
      </c>
      <c r="D2812">
        <v>4</v>
      </c>
      <c r="E2812" t="s">
        <v>6</v>
      </c>
      <c r="F2812" t="s">
        <v>6</v>
      </c>
      <c r="G2812" t="s">
        <v>6</v>
      </c>
      <c r="H2812">
        <v>17423.52</v>
      </c>
      <c r="I2812">
        <v>7263.87</v>
      </c>
      <c r="J2812">
        <v>0</v>
      </c>
    </row>
    <row r="2813" spans="1:10" x14ac:dyDescent="0.35">
      <c r="A2813">
        <v>326694</v>
      </c>
      <c r="B2813" t="s">
        <v>20</v>
      </c>
      <c r="C2813">
        <v>2015</v>
      </c>
      <c r="D2813">
        <v>4</v>
      </c>
      <c r="E2813" t="s">
        <v>6</v>
      </c>
      <c r="F2813" t="s">
        <v>6</v>
      </c>
      <c r="G2813" t="s">
        <v>6</v>
      </c>
      <c r="H2813">
        <v>19961.52</v>
      </c>
      <c r="I2813">
        <v>4864.87</v>
      </c>
      <c r="J2813">
        <v>0</v>
      </c>
    </row>
    <row r="2814" spans="1:10" x14ac:dyDescent="0.35">
      <c r="A2814">
        <v>326699</v>
      </c>
      <c r="B2814" t="s">
        <v>20</v>
      </c>
      <c r="C2814">
        <v>2015</v>
      </c>
      <c r="D2814">
        <v>4</v>
      </c>
      <c r="E2814" t="s">
        <v>6</v>
      </c>
      <c r="F2814" t="s">
        <v>6</v>
      </c>
      <c r="G2814" t="s">
        <v>6</v>
      </c>
      <c r="H2814">
        <v>18493.759999999998</v>
      </c>
      <c r="I2814">
        <v>4839.24</v>
      </c>
      <c r="J2814">
        <v>0</v>
      </c>
    </row>
    <row r="2815" spans="1:10" x14ac:dyDescent="0.35">
      <c r="A2815">
        <v>326700</v>
      </c>
      <c r="B2815" t="s">
        <v>20</v>
      </c>
      <c r="C2815">
        <v>2015</v>
      </c>
      <c r="D2815">
        <v>4</v>
      </c>
      <c r="E2815" t="s">
        <v>6</v>
      </c>
      <c r="F2815" t="s">
        <v>6</v>
      </c>
      <c r="G2815" t="s">
        <v>6</v>
      </c>
      <c r="H2815">
        <v>18732.84</v>
      </c>
      <c r="I2815">
        <v>4488.43</v>
      </c>
      <c r="J2815">
        <v>0</v>
      </c>
    </row>
    <row r="2816" spans="1:10" x14ac:dyDescent="0.35">
      <c r="A2816">
        <v>326701</v>
      </c>
      <c r="B2816" t="s">
        <v>20</v>
      </c>
      <c r="C2816">
        <v>2015</v>
      </c>
      <c r="D2816">
        <v>4</v>
      </c>
      <c r="E2816" t="s">
        <v>6</v>
      </c>
      <c r="F2816" t="s">
        <v>6</v>
      </c>
      <c r="G2816" t="s">
        <v>6</v>
      </c>
      <c r="H2816">
        <v>19526.439999999999</v>
      </c>
      <c r="I2816">
        <v>7450.4</v>
      </c>
      <c r="J2816">
        <v>0</v>
      </c>
    </row>
    <row r="2817" spans="1:10" x14ac:dyDescent="0.35">
      <c r="A2817">
        <v>326706</v>
      </c>
      <c r="B2817" t="s">
        <v>20</v>
      </c>
      <c r="C2817">
        <v>2015</v>
      </c>
      <c r="D2817">
        <v>4</v>
      </c>
      <c r="E2817" t="s">
        <v>6</v>
      </c>
      <c r="F2817" t="s">
        <v>6</v>
      </c>
      <c r="G2817" t="s">
        <v>6</v>
      </c>
      <c r="H2817">
        <v>35245.879999999997</v>
      </c>
      <c r="I2817">
        <v>18282.2</v>
      </c>
      <c r="J2817">
        <v>0</v>
      </c>
    </row>
    <row r="2818" spans="1:10" x14ac:dyDescent="0.35">
      <c r="A2818">
        <v>326708</v>
      </c>
      <c r="B2818" t="s">
        <v>20</v>
      </c>
      <c r="C2818">
        <v>2015</v>
      </c>
      <c r="D2818">
        <v>4</v>
      </c>
      <c r="E2818" t="s">
        <v>6</v>
      </c>
      <c r="F2818" t="s">
        <v>6</v>
      </c>
      <c r="G2818" t="s">
        <v>6</v>
      </c>
      <c r="H2818">
        <v>23694.959999999999</v>
      </c>
      <c r="I2818">
        <v>8259.2199999999993</v>
      </c>
      <c r="J2818">
        <v>0</v>
      </c>
    </row>
    <row r="2819" spans="1:10" x14ac:dyDescent="0.35">
      <c r="A2819">
        <v>326719</v>
      </c>
      <c r="B2819" t="s">
        <v>20</v>
      </c>
      <c r="C2819">
        <v>2015</v>
      </c>
      <c r="D2819">
        <v>4</v>
      </c>
      <c r="E2819" t="s">
        <v>6</v>
      </c>
      <c r="F2819" t="s">
        <v>6</v>
      </c>
      <c r="G2819" t="s">
        <v>6</v>
      </c>
      <c r="H2819">
        <v>9806.2000000000007</v>
      </c>
      <c r="I2819">
        <v>2857.24</v>
      </c>
      <c r="J2819">
        <v>0</v>
      </c>
    </row>
    <row r="2820" spans="1:10" x14ac:dyDescent="0.35">
      <c r="A2820">
        <v>326722</v>
      </c>
      <c r="B2820" t="s">
        <v>20</v>
      </c>
      <c r="C2820">
        <v>2015</v>
      </c>
      <c r="D2820">
        <v>4</v>
      </c>
      <c r="E2820" t="s">
        <v>6</v>
      </c>
      <c r="F2820" t="s">
        <v>6</v>
      </c>
      <c r="G2820" t="s">
        <v>6</v>
      </c>
      <c r="H2820">
        <v>73289.279999999999</v>
      </c>
      <c r="I2820">
        <v>21646.93</v>
      </c>
      <c r="J2820">
        <v>0</v>
      </c>
    </row>
    <row r="2821" spans="1:10" x14ac:dyDescent="0.35">
      <c r="A2821">
        <v>326723</v>
      </c>
      <c r="B2821" t="s">
        <v>20</v>
      </c>
      <c r="C2821">
        <v>2015</v>
      </c>
      <c r="D2821">
        <v>4</v>
      </c>
      <c r="E2821" t="s">
        <v>6</v>
      </c>
      <c r="F2821" t="s">
        <v>6</v>
      </c>
      <c r="G2821" t="s">
        <v>6</v>
      </c>
      <c r="H2821">
        <v>64670.82</v>
      </c>
      <c r="I2821">
        <v>17774.919999999998</v>
      </c>
      <c r="J2821">
        <v>0</v>
      </c>
    </row>
    <row r="2822" spans="1:10" x14ac:dyDescent="0.35">
      <c r="A2822">
        <v>326726</v>
      </c>
      <c r="B2822" t="s">
        <v>20</v>
      </c>
      <c r="C2822">
        <v>2015</v>
      </c>
      <c r="D2822">
        <v>4</v>
      </c>
      <c r="E2822" t="s">
        <v>6</v>
      </c>
      <c r="F2822" t="s">
        <v>6</v>
      </c>
      <c r="G2822" t="s">
        <v>6</v>
      </c>
      <c r="H2822">
        <v>29324.32</v>
      </c>
      <c r="I2822">
        <v>9899.7000000000007</v>
      </c>
      <c r="J2822">
        <v>0</v>
      </c>
    </row>
    <row r="2823" spans="1:10" x14ac:dyDescent="0.35">
      <c r="A2823">
        <v>326728</v>
      </c>
      <c r="B2823" t="s">
        <v>20</v>
      </c>
      <c r="C2823">
        <v>2015</v>
      </c>
      <c r="D2823">
        <v>4</v>
      </c>
      <c r="E2823" t="s">
        <v>6</v>
      </c>
      <c r="F2823" t="s">
        <v>6</v>
      </c>
      <c r="G2823" t="s">
        <v>6</v>
      </c>
      <c r="H2823">
        <v>10492.72</v>
      </c>
      <c r="I2823">
        <v>2469.7800000000002</v>
      </c>
      <c r="J2823">
        <v>0</v>
      </c>
    </row>
    <row r="2824" spans="1:10" x14ac:dyDescent="0.35">
      <c r="A2824">
        <v>326733</v>
      </c>
      <c r="B2824" t="s">
        <v>20</v>
      </c>
      <c r="C2824">
        <v>2015</v>
      </c>
      <c r="D2824">
        <v>4</v>
      </c>
      <c r="E2824" t="s">
        <v>6</v>
      </c>
      <c r="F2824" t="s">
        <v>6</v>
      </c>
      <c r="G2824" t="s">
        <v>6</v>
      </c>
      <c r="H2824">
        <v>10895.34</v>
      </c>
      <c r="I2824">
        <v>3577.2</v>
      </c>
      <c r="J2824">
        <v>0</v>
      </c>
    </row>
    <row r="2825" spans="1:10" x14ac:dyDescent="0.35">
      <c r="A2825">
        <v>326737</v>
      </c>
      <c r="B2825" t="s">
        <v>20</v>
      </c>
      <c r="C2825">
        <v>2015</v>
      </c>
      <c r="D2825">
        <v>4</v>
      </c>
      <c r="E2825" t="s">
        <v>6</v>
      </c>
      <c r="F2825" t="s">
        <v>6</v>
      </c>
      <c r="G2825" t="s">
        <v>6</v>
      </c>
      <c r="H2825">
        <v>112040.88</v>
      </c>
      <c r="I2825">
        <v>31305.66</v>
      </c>
      <c r="J2825">
        <v>0</v>
      </c>
    </row>
    <row r="2826" spans="1:10" x14ac:dyDescent="0.35">
      <c r="A2826">
        <v>326741</v>
      </c>
      <c r="B2826" t="s">
        <v>20</v>
      </c>
      <c r="C2826">
        <v>2015</v>
      </c>
      <c r="D2826">
        <v>4</v>
      </c>
      <c r="E2826" t="s">
        <v>6</v>
      </c>
      <c r="F2826" t="s">
        <v>6</v>
      </c>
      <c r="G2826" t="s">
        <v>6</v>
      </c>
      <c r="H2826">
        <v>17709.12</v>
      </c>
      <c r="I2826">
        <v>5158.26</v>
      </c>
      <c r="J2826">
        <v>0</v>
      </c>
    </row>
    <row r="2827" spans="1:10" x14ac:dyDescent="0.35">
      <c r="A2827">
        <v>326744</v>
      </c>
      <c r="B2827" t="s">
        <v>20</v>
      </c>
      <c r="C2827">
        <v>2015</v>
      </c>
      <c r="D2827">
        <v>4</v>
      </c>
      <c r="E2827" t="s">
        <v>6</v>
      </c>
      <c r="F2827" t="s">
        <v>6</v>
      </c>
      <c r="G2827" t="s">
        <v>6</v>
      </c>
      <c r="H2827">
        <v>15554.48</v>
      </c>
      <c r="I2827">
        <v>5420.13</v>
      </c>
      <c r="J2827">
        <v>0</v>
      </c>
    </row>
    <row r="2828" spans="1:10" x14ac:dyDescent="0.35">
      <c r="A2828">
        <v>326750</v>
      </c>
      <c r="B2828" t="s">
        <v>20</v>
      </c>
      <c r="C2828">
        <v>2015</v>
      </c>
      <c r="D2828">
        <v>4</v>
      </c>
      <c r="E2828" t="s">
        <v>6</v>
      </c>
      <c r="F2828" t="s">
        <v>6</v>
      </c>
      <c r="G2828" t="s">
        <v>6</v>
      </c>
      <c r="H2828">
        <v>10051.16</v>
      </c>
      <c r="I2828">
        <v>4082.49</v>
      </c>
      <c r="J2828">
        <v>0</v>
      </c>
    </row>
    <row r="2829" spans="1:10" x14ac:dyDescent="0.35">
      <c r="A2829">
        <v>326751</v>
      </c>
      <c r="B2829" t="s">
        <v>20</v>
      </c>
      <c r="C2829">
        <v>2015</v>
      </c>
      <c r="D2829">
        <v>4</v>
      </c>
      <c r="E2829" t="s">
        <v>6</v>
      </c>
      <c r="F2829" t="s">
        <v>6</v>
      </c>
      <c r="G2829" t="s">
        <v>6</v>
      </c>
      <c r="H2829">
        <v>27063.200000000001</v>
      </c>
      <c r="I2829">
        <v>7525.69</v>
      </c>
      <c r="J2829">
        <v>0</v>
      </c>
    </row>
    <row r="2830" spans="1:10" x14ac:dyDescent="0.35">
      <c r="A2830">
        <v>326756</v>
      </c>
      <c r="B2830" t="s">
        <v>20</v>
      </c>
      <c r="C2830">
        <v>2015</v>
      </c>
      <c r="D2830">
        <v>4</v>
      </c>
      <c r="E2830" t="s">
        <v>6</v>
      </c>
      <c r="F2830" t="s">
        <v>6</v>
      </c>
      <c r="G2830" t="s">
        <v>6</v>
      </c>
      <c r="H2830">
        <v>25510.400000000001</v>
      </c>
      <c r="I2830">
        <v>8917.2900000000009</v>
      </c>
      <c r="J2830">
        <v>0</v>
      </c>
    </row>
    <row r="2831" spans="1:10" x14ac:dyDescent="0.35">
      <c r="A2831">
        <v>326765</v>
      </c>
      <c r="B2831" t="s">
        <v>20</v>
      </c>
      <c r="C2831">
        <v>2015</v>
      </c>
      <c r="D2831">
        <v>4</v>
      </c>
      <c r="E2831" t="s">
        <v>6</v>
      </c>
      <c r="F2831" t="s">
        <v>6</v>
      </c>
      <c r="G2831" t="s">
        <v>6</v>
      </c>
      <c r="H2831">
        <v>11037.3</v>
      </c>
      <c r="I2831">
        <v>2921.72</v>
      </c>
      <c r="J2831">
        <v>0</v>
      </c>
    </row>
    <row r="2832" spans="1:10" x14ac:dyDescent="0.35">
      <c r="A2832">
        <v>326766</v>
      </c>
      <c r="B2832" t="s">
        <v>20</v>
      </c>
      <c r="C2832">
        <v>2015</v>
      </c>
      <c r="D2832">
        <v>4</v>
      </c>
      <c r="E2832" t="s">
        <v>6</v>
      </c>
      <c r="F2832" t="s">
        <v>6</v>
      </c>
      <c r="G2832" t="s">
        <v>6</v>
      </c>
      <c r="H2832">
        <v>26206.32</v>
      </c>
      <c r="I2832">
        <v>9090.23</v>
      </c>
      <c r="J2832">
        <v>0</v>
      </c>
    </row>
    <row r="2833" spans="1:10" x14ac:dyDescent="0.35">
      <c r="A2833">
        <v>326776</v>
      </c>
      <c r="B2833" t="s">
        <v>20</v>
      </c>
      <c r="C2833">
        <v>2015</v>
      </c>
      <c r="D2833">
        <v>4</v>
      </c>
      <c r="E2833" t="s">
        <v>6</v>
      </c>
      <c r="F2833" t="s">
        <v>6</v>
      </c>
      <c r="G2833" t="s">
        <v>6</v>
      </c>
      <c r="H2833">
        <v>14645.08</v>
      </c>
      <c r="I2833">
        <v>5862.62</v>
      </c>
      <c r="J2833">
        <v>0</v>
      </c>
    </row>
    <row r="2834" spans="1:10" x14ac:dyDescent="0.35">
      <c r="A2834">
        <v>326777</v>
      </c>
      <c r="B2834" t="s">
        <v>20</v>
      </c>
      <c r="C2834">
        <v>2015</v>
      </c>
      <c r="D2834">
        <v>4</v>
      </c>
      <c r="E2834" t="s">
        <v>6</v>
      </c>
      <c r="F2834" t="s">
        <v>6</v>
      </c>
      <c r="G2834" t="s">
        <v>6</v>
      </c>
      <c r="H2834">
        <v>30358.66</v>
      </c>
      <c r="I2834">
        <v>7592.69</v>
      </c>
      <c r="J2834">
        <v>0</v>
      </c>
    </row>
    <row r="2835" spans="1:10" x14ac:dyDescent="0.35">
      <c r="A2835">
        <v>326779</v>
      </c>
      <c r="B2835" t="s">
        <v>20</v>
      </c>
      <c r="C2835">
        <v>2015</v>
      </c>
      <c r="D2835">
        <v>4</v>
      </c>
      <c r="E2835" t="s">
        <v>6</v>
      </c>
      <c r="F2835" t="s">
        <v>6</v>
      </c>
      <c r="G2835" t="s">
        <v>6</v>
      </c>
      <c r="H2835">
        <v>41749.620000000003</v>
      </c>
      <c r="I2835">
        <v>19804.560000000001</v>
      </c>
      <c r="J2835">
        <v>0</v>
      </c>
    </row>
    <row r="2836" spans="1:10" x14ac:dyDescent="0.35">
      <c r="A2836">
        <v>326780</v>
      </c>
      <c r="B2836" t="s">
        <v>20</v>
      </c>
      <c r="C2836">
        <v>2015</v>
      </c>
      <c r="D2836">
        <v>4</v>
      </c>
      <c r="E2836" t="s">
        <v>6</v>
      </c>
      <c r="F2836" t="s">
        <v>6</v>
      </c>
      <c r="G2836" t="s">
        <v>6</v>
      </c>
      <c r="H2836">
        <v>14241.1</v>
      </c>
      <c r="I2836">
        <v>5637.36</v>
      </c>
      <c r="J2836">
        <v>0</v>
      </c>
    </row>
    <row r="2837" spans="1:10" x14ac:dyDescent="0.35">
      <c r="A2837">
        <v>326783</v>
      </c>
      <c r="B2837" t="s">
        <v>20</v>
      </c>
      <c r="C2837">
        <v>2015</v>
      </c>
      <c r="D2837">
        <v>4</v>
      </c>
      <c r="E2837" t="s">
        <v>6</v>
      </c>
      <c r="F2837" t="s">
        <v>6</v>
      </c>
      <c r="G2837" t="s">
        <v>6</v>
      </c>
      <c r="H2837">
        <v>43029.440000000002</v>
      </c>
      <c r="I2837">
        <v>18552.080000000002</v>
      </c>
      <c r="J2837">
        <v>0</v>
      </c>
    </row>
    <row r="2838" spans="1:10" x14ac:dyDescent="0.35">
      <c r="A2838">
        <v>326785</v>
      </c>
      <c r="B2838" t="s">
        <v>20</v>
      </c>
      <c r="C2838">
        <v>2015</v>
      </c>
      <c r="D2838">
        <v>4</v>
      </c>
      <c r="E2838" t="s">
        <v>6</v>
      </c>
      <c r="F2838" t="s">
        <v>6</v>
      </c>
      <c r="G2838" t="s">
        <v>6</v>
      </c>
      <c r="H2838">
        <v>36077.480000000003</v>
      </c>
      <c r="I2838">
        <v>11465.58</v>
      </c>
      <c r="J2838">
        <v>0</v>
      </c>
    </row>
    <row r="2839" spans="1:10" x14ac:dyDescent="0.35">
      <c r="A2839">
        <v>326788</v>
      </c>
      <c r="B2839" t="s">
        <v>20</v>
      </c>
      <c r="C2839">
        <v>2015</v>
      </c>
      <c r="D2839">
        <v>4</v>
      </c>
      <c r="E2839" t="s">
        <v>6</v>
      </c>
      <c r="F2839" t="s">
        <v>6</v>
      </c>
      <c r="G2839" t="s">
        <v>6</v>
      </c>
      <c r="H2839">
        <v>15509.52</v>
      </c>
      <c r="I2839">
        <v>5473.55</v>
      </c>
      <c r="J2839">
        <v>0</v>
      </c>
    </row>
    <row r="2840" spans="1:10" x14ac:dyDescent="0.35">
      <c r="A2840">
        <v>326792</v>
      </c>
      <c r="B2840" t="s">
        <v>20</v>
      </c>
      <c r="C2840">
        <v>2015</v>
      </c>
      <c r="D2840">
        <v>4</v>
      </c>
      <c r="E2840" t="s">
        <v>6</v>
      </c>
      <c r="F2840" t="s">
        <v>6</v>
      </c>
      <c r="G2840" t="s">
        <v>6</v>
      </c>
      <c r="H2840">
        <v>71693.179999999993</v>
      </c>
      <c r="I2840">
        <v>23471.5</v>
      </c>
      <c r="J2840">
        <v>0</v>
      </c>
    </row>
    <row r="2841" spans="1:10" x14ac:dyDescent="0.35">
      <c r="A2841">
        <v>326799</v>
      </c>
      <c r="B2841" t="s">
        <v>20</v>
      </c>
      <c r="C2841">
        <v>2015</v>
      </c>
      <c r="D2841">
        <v>4</v>
      </c>
      <c r="E2841" t="s">
        <v>6</v>
      </c>
      <c r="F2841" t="s">
        <v>6</v>
      </c>
      <c r="G2841" t="s">
        <v>6</v>
      </c>
      <c r="H2841">
        <v>27751.98</v>
      </c>
      <c r="I2841">
        <v>14167.66</v>
      </c>
      <c r="J2841">
        <v>0</v>
      </c>
    </row>
    <row r="2842" spans="1:10" x14ac:dyDescent="0.35">
      <c r="A2842">
        <v>326801</v>
      </c>
      <c r="B2842" t="s">
        <v>20</v>
      </c>
      <c r="C2842">
        <v>2015</v>
      </c>
      <c r="D2842">
        <v>4</v>
      </c>
      <c r="E2842" t="s">
        <v>6</v>
      </c>
      <c r="F2842" t="s">
        <v>6</v>
      </c>
      <c r="G2842" t="s">
        <v>6</v>
      </c>
      <c r="H2842">
        <v>75140.37</v>
      </c>
      <c r="I2842">
        <v>45553.87</v>
      </c>
      <c r="J2842">
        <v>0</v>
      </c>
    </row>
    <row r="2843" spans="1:10" x14ac:dyDescent="0.35">
      <c r="A2843">
        <v>326802</v>
      </c>
      <c r="B2843" t="s">
        <v>20</v>
      </c>
      <c r="C2843">
        <v>2015</v>
      </c>
      <c r="D2843">
        <v>4</v>
      </c>
      <c r="E2843" t="s">
        <v>6</v>
      </c>
      <c r="F2843" t="s">
        <v>6</v>
      </c>
      <c r="G2843" t="s">
        <v>6</v>
      </c>
      <c r="H2843">
        <v>18710.759999999998</v>
      </c>
      <c r="I2843">
        <v>5747.27</v>
      </c>
      <c r="J2843">
        <v>0</v>
      </c>
    </row>
    <row r="2844" spans="1:10" x14ac:dyDescent="0.35">
      <c r="A2844">
        <v>326805</v>
      </c>
      <c r="B2844" t="s">
        <v>20</v>
      </c>
      <c r="C2844">
        <v>2015</v>
      </c>
      <c r="D2844">
        <v>4</v>
      </c>
      <c r="E2844" t="s">
        <v>6</v>
      </c>
      <c r="F2844" t="s">
        <v>6</v>
      </c>
      <c r="G2844" t="s">
        <v>6</v>
      </c>
      <c r="H2844">
        <v>17146.580000000002</v>
      </c>
      <c r="I2844">
        <v>6548.17</v>
      </c>
      <c r="J2844">
        <v>0</v>
      </c>
    </row>
    <row r="2845" spans="1:10" x14ac:dyDescent="0.35">
      <c r="A2845">
        <v>326807</v>
      </c>
      <c r="B2845" t="s">
        <v>20</v>
      </c>
      <c r="C2845">
        <v>2015</v>
      </c>
      <c r="D2845">
        <v>4</v>
      </c>
      <c r="E2845" t="s">
        <v>6</v>
      </c>
      <c r="F2845" t="s">
        <v>6</v>
      </c>
      <c r="G2845" t="s">
        <v>6</v>
      </c>
      <c r="H2845">
        <v>40596.660000000003</v>
      </c>
      <c r="I2845">
        <v>15826.22</v>
      </c>
      <c r="J2845">
        <v>0</v>
      </c>
    </row>
    <row r="2846" spans="1:10" x14ac:dyDescent="0.35">
      <c r="A2846">
        <v>326811</v>
      </c>
      <c r="B2846" t="s">
        <v>20</v>
      </c>
      <c r="C2846">
        <v>2015</v>
      </c>
      <c r="D2846">
        <v>4</v>
      </c>
      <c r="E2846" t="s">
        <v>6</v>
      </c>
      <c r="F2846" t="s">
        <v>6</v>
      </c>
      <c r="G2846" t="s">
        <v>6</v>
      </c>
      <c r="H2846">
        <v>31524.3</v>
      </c>
      <c r="I2846">
        <v>10443.209999999999</v>
      </c>
      <c r="J2846">
        <v>0</v>
      </c>
    </row>
    <row r="2847" spans="1:10" x14ac:dyDescent="0.35">
      <c r="A2847">
        <v>326816</v>
      </c>
      <c r="B2847" t="s">
        <v>20</v>
      </c>
      <c r="C2847">
        <v>2015</v>
      </c>
      <c r="D2847">
        <v>4</v>
      </c>
      <c r="E2847" t="s">
        <v>6</v>
      </c>
      <c r="F2847" t="s">
        <v>6</v>
      </c>
      <c r="G2847" t="s">
        <v>6</v>
      </c>
      <c r="H2847">
        <v>27299.96</v>
      </c>
      <c r="I2847">
        <v>9913.31</v>
      </c>
      <c r="J2847">
        <v>0</v>
      </c>
    </row>
    <row r="2848" spans="1:10" x14ac:dyDescent="0.35">
      <c r="A2848">
        <v>326823</v>
      </c>
      <c r="B2848" t="s">
        <v>20</v>
      </c>
      <c r="C2848">
        <v>2015</v>
      </c>
      <c r="D2848">
        <v>4</v>
      </c>
      <c r="E2848" t="s">
        <v>6</v>
      </c>
      <c r="F2848" t="s">
        <v>6</v>
      </c>
      <c r="G2848" t="s">
        <v>6</v>
      </c>
      <c r="H2848">
        <v>11669.52</v>
      </c>
      <c r="I2848">
        <v>4349.76</v>
      </c>
      <c r="J2848">
        <v>0</v>
      </c>
    </row>
    <row r="2849" spans="1:10" x14ac:dyDescent="0.35">
      <c r="A2849">
        <v>326827</v>
      </c>
      <c r="B2849" t="s">
        <v>20</v>
      </c>
      <c r="C2849">
        <v>2015</v>
      </c>
      <c r="D2849">
        <v>4</v>
      </c>
      <c r="E2849" t="s">
        <v>6</v>
      </c>
      <c r="F2849" t="s">
        <v>6</v>
      </c>
      <c r="G2849" t="s">
        <v>6</v>
      </c>
      <c r="H2849">
        <v>17681.400000000001</v>
      </c>
      <c r="I2849">
        <v>5223.3</v>
      </c>
      <c r="J2849">
        <v>0</v>
      </c>
    </row>
    <row r="2850" spans="1:10" x14ac:dyDescent="0.35">
      <c r="A2850">
        <v>326829</v>
      </c>
      <c r="B2850" t="s">
        <v>20</v>
      </c>
      <c r="C2850">
        <v>2015</v>
      </c>
      <c r="D2850">
        <v>4</v>
      </c>
      <c r="E2850" t="s">
        <v>6</v>
      </c>
      <c r="F2850" t="s">
        <v>6</v>
      </c>
      <c r="G2850" t="s">
        <v>6</v>
      </c>
      <c r="H2850">
        <v>19925.34</v>
      </c>
      <c r="I2850">
        <v>7218.1</v>
      </c>
      <c r="J2850">
        <v>0</v>
      </c>
    </row>
    <row r="2851" spans="1:10" x14ac:dyDescent="0.35">
      <c r="A2851">
        <v>326831</v>
      </c>
      <c r="B2851" t="s">
        <v>20</v>
      </c>
      <c r="C2851">
        <v>2015</v>
      </c>
      <c r="D2851">
        <v>4</v>
      </c>
      <c r="E2851" t="s">
        <v>6</v>
      </c>
      <c r="F2851" t="s">
        <v>6</v>
      </c>
      <c r="G2851" t="s">
        <v>6</v>
      </c>
      <c r="H2851">
        <v>12986</v>
      </c>
      <c r="I2851">
        <v>2626.8</v>
      </c>
      <c r="J2851">
        <v>0</v>
      </c>
    </row>
    <row r="2852" spans="1:10" x14ac:dyDescent="0.35">
      <c r="A2852">
        <v>326841</v>
      </c>
      <c r="B2852" t="s">
        <v>20</v>
      </c>
      <c r="C2852">
        <v>2015</v>
      </c>
      <c r="D2852">
        <v>4</v>
      </c>
      <c r="E2852" t="s">
        <v>6</v>
      </c>
      <c r="F2852" t="s">
        <v>6</v>
      </c>
      <c r="G2852" t="s">
        <v>6</v>
      </c>
      <c r="H2852">
        <v>10784.88</v>
      </c>
      <c r="I2852">
        <v>3663.62</v>
      </c>
      <c r="J2852">
        <v>0</v>
      </c>
    </row>
    <row r="2853" spans="1:10" x14ac:dyDescent="0.35">
      <c r="A2853">
        <v>326846</v>
      </c>
      <c r="B2853" t="s">
        <v>20</v>
      </c>
      <c r="C2853">
        <v>2015</v>
      </c>
      <c r="D2853">
        <v>4</v>
      </c>
      <c r="E2853" t="s">
        <v>6</v>
      </c>
      <c r="F2853" t="s">
        <v>6</v>
      </c>
      <c r="G2853" t="s">
        <v>6</v>
      </c>
      <c r="H2853">
        <v>26834.9</v>
      </c>
      <c r="I2853">
        <v>8536.57</v>
      </c>
      <c r="J2853">
        <v>0</v>
      </c>
    </row>
    <row r="2854" spans="1:10" x14ac:dyDescent="0.35">
      <c r="A2854">
        <v>326848</v>
      </c>
      <c r="B2854" t="s">
        <v>20</v>
      </c>
      <c r="C2854">
        <v>2015</v>
      </c>
      <c r="D2854">
        <v>4</v>
      </c>
      <c r="E2854" t="s">
        <v>6</v>
      </c>
      <c r="F2854" t="s">
        <v>6</v>
      </c>
      <c r="G2854" t="s">
        <v>6</v>
      </c>
      <c r="H2854">
        <v>51550.18</v>
      </c>
      <c r="I2854">
        <v>14790.37</v>
      </c>
      <c r="J2854">
        <v>0</v>
      </c>
    </row>
    <row r="2855" spans="1:10" x14ac:dyDescent="0.35">
      <c r="A2855">
        <v>326849</v>
      </c>
      <c r="B2855" t="s">
        <v>20</v>
      </c>
      <c r="C2855">
        <v>2015</v>
      </c>
      <c r="D2855">
        <v>4</v>
      </c>
      <c r="E2855" t="s">
        <v>6</v>
      </c>
      <c r="F2855" t="s">
        <v>6</v>
      </c>
      <c r="G2855" t="s">
        <v>6</v>
      </c>
      <c r="H2855">
        <v>65242.1</v>
      </c>
      <c r="I2855">
        <v>58341</v>
      </c>
      <c r="J2855">
        <v>0</v>
      </c>
    </row>
    <row r="2856" spans="1:10" x14ac:dyDescent="0.35">
      <c r="A2856">
        <v>326855</v>
      </c>
      <c r="B2856" t="s">
        <v>20</v>
      </c>
      <c r="C2856">
        <v>2015</v>
      </c>
      <c r="D2856">
        <v>4</v>
      </c>
      <c r="E2856" t="s">
        <v>6</v>
      </c>
      <c r="F2856" t="s">
        <v>6</v>
      </c>
      <c r="G2856" t="s">
        <v>6</v>
      </c>
      <c r="H2856">
        <v>14810.26</v>
      </c>
      <c r="I2856">
        <v>5181.24</v>
      </c>
      <c r="J2856">
        <v>0</v>
      </c>
    </row>
    <row r="2857" spans="1:10" x14ac:dyDescent="0.35">
      <c r="A2857">
        <v>326859</v>
      </c>
      <c r="B2857" t="s">
        <v>20</v>
      </c>
      <c r="C2857">
        <v>2015</v>
      </c>
      <c r="D2857">
        <v>4</v>
      </c>
      <c r="E2857" t="s">
        <v>6</v>
      </c>
      <c r="F2857" t="s">
        <v>6</v>
      </c>
      <c r="G2857" t="s">
        <v>6</v>
      </c>
      <c r="H2857">
        <v>21896.04</v>
      </c>
      <c r="I2857">
        <v>6198.66</v>
      </c>
      <c r="J2857">
        <v>0</v>
      </c>
    </row>
    <row r="2858" spans="1:10" x14ac:dyDescent="0.35">
      <c r="A2858">
        <v>326864</v>
      </c>
      <c r="B2858" t="s">
        <v>20</v>
      </c>
      <c r="C2858">
        <v>2015</v>
      </c>
      <c r="D2858">
        <v>4</v>
      </c>
      <c r="E2858" t="s">
        <v>6</v>
      </c>
      <c r="F2858" t="s">
        <v>6</v>
      </c>
      <c r="G2858" t="s">
        <v>6</v>
      </c>
      <c r="H2858">
        <v>12100.5</v>
      </c>
      <c r="I2858">
        <v>3682.85</v>
      </c>
      <c r="J2858">
        <v>0</v>
      </c>
    </row>
    <row r="2859" spans="1:10" x14ac:dyDescent="0.35">
      <c r="A2859">
        <v>326876</v>
      </c>
      <c r="B2859" t="s">
        <v>20</v>
      </c>
      <c r="C2859">
        <v>2015</v>
      </c>
      <c r="D2859">
        <v>4</v>
      </c>
      <c r="E2859" t="s">
        <v>6</v>
      </c>
      <c r="F2859" t="s">
        <v>6</v>
      </c>
      <c r="G2859" t="s">
        <v>6</v>
      </c>
      <c r="H2859">
        <v>24207.96</v>
      </c>
      <c r="I2859">
        <v>7821.34</v>
      </c>
      <c r="J2859">
        <v>0</v>
      </c>
    </row>
    <row r="2860" spans="1:10" x14ac:dyDescent="0.35">
      <c r="A2860">
        <v>326879</v>
      </c>
      <c r="B2860" t="s">
        <v>20</v>
      </c>
      <c r="C2860">
        <v>2015</v>
      </c>
      <c r="D2860">
        <v>4</v>
      </c>
      <c r="E2860" t="s">
        <v>6</v>
      </c>
      <c r="F2860" t="s">
        <v>6</v>
      </c>
      <c r="G2860" t="s">
        <v>6</v>
      </c>
      <c r="H2860">
        <v>10518</v>
      </c>
      <c r="I2860">
        <v>2796.87</v>
      </c>
      <c r="J2860">
        <v>0</v>
      </c>
    </row>
    <row r="2861" spans="1:10" x14ac:dyDescent="0.35">
      <c r="A2861">
        <v>326883</v>
      </c>
      <c r="B2861" t="s">
        <v>20</v>
      </c>
      <c r="C2861">
        <v>2015</v>
      </c>
      <c r="D2861">
        <v>4</v>
      </c>
      <c r="E2861" t="s">
        <v>6</v>
      </c>
      <c r="F2861" t="s">
        <v>6</v>
      </c>
      <c r="G2861" t="s">
        <v>6</v>
      </c>
      <c r="H2861">
        <v>32395.38</v>
      </c>
      <c r="I2861">
        <v>10781.08</v>
      </c>
      <c r="J2861">
        <v>0</v>
      </c>
    </row>
    <row r="2862" spans="1:10" x14ac:dyDescent="0.35">
      <c r="A2862">
        <v>326885</v>
      </c>
      <c r="B2862" t="s">
        <v>20</v>
      </c>
      <c r="C2862">
        <v>2015</v>
      </c>
      <c r="D2862">
        <v>4</v>
      </c>
      <c r="E2862" t="s">
        <v>6</v>
      </c>
      <c r="F2862" t="s">
        <v>6</v>
      </c>
      <c r="G2862" t="s">
        <v>6</v>
      </c>
      <c r="H2862">
        <v>20910.82</v>
      </c>
      <c r="I2862">
        <v>5093.33</v>
      </c>
      <c r="J2862">
        <v>0</v>
      </c>
    </row>
    <row r="2863" spans="1:10" x14ac:dyDescent="0.35">
      <c r="A2863">
        <v>326893</v>
      </c>
      <c r="B2863" t="s">
        <v>20</v>
      </c>
      <c r="C2863">
        <v>2015</v>
      </c>
      <c r="D2863">
        <v>4</v>
      </c>
      <c r="E2863" t="s">
        <v>6</v>
      </c>
      <c r="F2863" t="s">
        <v>6</v>
      </c>
      <c r="G2863" t="s">
        <v>6</v>
      </c>
      <c r="H2863">
        <v>11639.5</v>
      </c>
      <c r="I2863">
        <v>3192.19</v>
      </c>
      <c r="J2863">
        <v>0</v>
      </c>
    </row>
    <row r="2864" spans="1:10" x14ac:dyDescent="0.35">
      <c r="A2864">
        <v>326895</v>
      </c>
      <c r="B2864" t="s">
        <v>20</v>
      </c>
      <c r="C2864">
        <v>2015</v>
      </c>
      <c r="D2864">
        <v>4</v>
      </c>
      <c r="E2864" t="s">
        <v>6</v>
      </c>
      <c r="F2864" t="s">
        <v>6</v>
      </c>
      <c r="G2864" t="s">
        <v>6</v>
      </c>
      <c r="H2864">
        <v>35962.68</v>
      </c>
      <c r="I2864">
        <v>10868.72</v>
      </c>
      <c r="J2864">
        <v>0</v>
      </c>
    </row>
    <row r="2865" spans="1:10" x14ac:dyDescent="0.35">
      <c r="A2865">
        <v>326897</v>
      </c>
      <c r="B2865" t="s">
        <v>20</v>
      </c>
      <c r="C2865">
        <v>2015</v>
      </c>
      <c r="D2865">
        <v>4</v>
      </c>
      <c r="E2865" t="s">
        <v>6</v>
      </c>
      <c r="F2865" t="s">
        <v>6</v>
      </c>
      <c r="G2865" t="s">
        <v>6</v>
      </c>
      <c r="H2865">
        <v>12451.72</v>
      </c>
      <c r="I2865">
        <v>2926.99</v>
      </c>
      <c r="J2865">
        <v>0</v>
      </c>
    </row>
    <row r="2866" spans="1:10" x14ac:dyDescent="0.35">
      <c r="A2866">
        <v>326899</v>
      </c>
      <c r="B2866" t="s">
        <v>20</v>
      </c>
      <c r="C2866">
        <v>2015</v>
      </c>
      <c r="D2866">
        <v>4</v>
      </c>
      <c r="E2866" t="s">
        <v>6</v>
      </c>
      <c r="F2866" t="s">
        <v>6</v>
      </c>
      <c r="G2866" t="s">
        <v>6</v>
      </c>
      <c r="H2866">
        <v>29203.360000000001</v>
      </c>
      <c r="I2866">
        <v>10110.65</v>
      </c>
      <c r="J2866">
        <v>0</v>
      </c>
    </row>
    <row r="2867" spans="1:10" x14ac:dyDescent="0.35">
      <c r="A2867">
        <v>326906</v>
      </c>
      <c r="B2867" t="s">
        <v>20</v>
      </c>
      <c r="C2867">
        <v>2015</v>
      </c>
      <c r="D2867">
        <v>4</v>
      </c>
      <c r="E2867" t="s">
        <v>6</v>
      </c>
      <c r="F2867" t="s">
        <v>6</v>
      </c>
      <c r="G2867" t="s">
        <v>6</v>
      </c>
      <c r="H2867">
        <v>20404.04</v>
      </c>
      <c r="I2867">
        <v>7430.29</v>
      </c>
      <c r="J2867">
        <v>0</v>
      </c>
    </row>
    <row r="2868" spans="1:10" x14ac:dyDescent="0.35">
      <c r="A2868">
        <v>326911</v>
      </c>
      <c r="B2868" t="s">
        <v>20</v>
      </c>
      <c r="C2868">
        <v>2015</v>
      </c>
      <c r="D2868">
        <v>4</v>
      </c>
      <c r="E2868" t="s">
        <v>6</v>
      </c>
      <c r="F2868" t="s">
        <v>6</v>
      </c>
      <c r="G2868" t="s">
        <v>6</v>
      </c>
      <c r="H2868">
        <v>11063.5</v>
      </c>
      <c r="I2868">
        <v>3955.97</v>
      </c>
      <c r="J2868">
        <v>0</v>
      </c>
    </row>
    <row r="2869" spans="1:10" x14ac:dyDescent="0.35">
      <c r="A2869">
        <v>326913</v>
      </c>
      <c r="B2869" t="s">
        <v>20</v>
      </c>
      <c r="C2869">
        <v>2015</v>
      </c>
      <c r="D2869">
        <v>4</v>
      </c>
      <c r="E2869" t="s">
        <v>6</v>
      </c>
      <c r="F2869" t="s">
        <v>6</v>
      </c>
      <c r="G2869" t="s">
        <v>6</v>
      </c>
      <c r="H2869">
        <v>34876.699999999997</v>
      </c>
      <c r="I2869">
        <v>10711.44</v>
      </c>
      <c r="J2869">
        <v>0</v>
      </c>
    </row>
    <row r="2870" spans="1:10" x14ac:dyDescent="0.35">
      <c r="A2870">
        <v>326919</v>
      </c>
      <c r="B2870" t="s">
        <v>20</v>
      </c>
      <c r="C2870">
        <v>2015</v>
      </c>
      <c r="D2870">
        <v>4</v>
      </c>
      <c r="E2870" t="s">
        <v>6</v>
      </c>
      <c r="F2870" t="s">
        <v>6</v>
      </c>
      <c r="G2870" t="s">
        <v>6</v>
      </c>
      <c r="H2870">
        <v>14055.4</v>
      </c>
      <c r="I2870">
        <v>3624.1</v>
      </c>
      <c r="J2870">
        <v>0</v>
      </c>
    </row>
    <row r="2871" spans="1:10" x14ac:dyDescent="0.35">
      <c r="A2871">
        <v>326920</v>
      </c>
      <c r="B2871" t="s">
        <v>20</v>
      </c>
      <c r="C2871">
        <v>2015</v>
      </c>
      <c r="D2871">
        <v>4</v>
      </c>
      <c r="E2871" t="s">
        <v>6</v>
      </c>
      <c r="F2871" t="s">
        <v>6</v>
      </c>
      <c r="G2871" t="s">
        <v>6</v>
      </c>
      <c r="H2871">
        <v>15270.18</v>
      </c>
      <c r="I2871">
        <v>5447.52</v>
      </c>
      <c r="J2871">
        <v>0</v>
      </c>
    </row>
    <row r="2872" spans="1:10" x14ac:dyDescent="0.35">
      <c r="A2872">
        <v>326930</v>
      </c>
      <c r="B2872" t="s">
        <v>20</v>
      </c>
      <c r="C2872">
        <v>2015</v>
      </c>
      <c r="D2872">
        <v>4</v>
      </c>
      <c r="E2872" t="s">
        <v>6</v>
      </c>
      <c r="F2872" t="s">
        <v>6</v>
      </c>
      <c r="G2872" t="s">
        <v>6</v>
      </c>
      <c r="H2872">
        <v>15615.3</v>
      </c>
      <c r="I2872">
        <v>5461.37</v>
      </c>
      <c r="J2872">
        <v>0</v>
      </c>
    </row>
    <row r="2873" spans="1:10" x14ac:dyDescent="0.35">
      <c r="A2873">
        <v>326933</v>
      </c>
      <c r="B2873" t="s">
        <v>20</v>
      </c>
      <c r="C2873">
        <v>2015</v>
      </c>
      <c r="D2873">
        <v>4</v>
      </c>
      <c r="E2873" t="s">
        <v>6</v>
      </c>
      <c r="F2873" t="s">
        <v>6</v>
      </c>
      <c r="G2873" t="s">
        <v>6</v>
      </c>
      <c r="H2873">
        <v>24197.32</v>
      </c>
      <c r="I2873">
        <v>7071.72</v>
      </c>
      <c r="J2873">
        <v>0</v>
      </c>
    </row>
    <row r="2874" spans="1:10" x14ac:dyDescent="0.35">
      <c r="A2874">
        <v>326937</v>
      </c>
      <c r="B2874" t="s">
        <v>20</v>
      </c>
      <c r="C2874">
        <v>2015</v>
      </c>
      <c r="D2874">
        <v>4</v>
      </c>
      <c r="E2874" t="s">
        <v>6</v>
      </c>
      <c r="F2874" t="s">
        <v>6</v>
      </c>
      <c r="G2874" t="s">
        <v>6</v>
      </c>
      <c r="H2874">
        <v>26823.32</v>
      </c>
      <c r="I2874">
        <v>7268.11</v>
      </c>
      <c r="J2874">
        <v>0</v>
      </c>
    </row>
    <row r="2875" spans="1:10" x14ac:dyDescent="0.35">
      <c r="A2875">
        <v>326938</v>
      </c>
      <c r="B2875" t="s">
        <v>20</v>
      </c>
      <c r="C2875">
        <v>2015</v>
      </c>
      <c r="D2875">
        <v>4</v>
      </c>
      <c r="E2875" t="s">
        <v>6</v>
      </c>
      <c r="F2875" t="s">
        <v>6</v>
      </c>
      <c r="G2875" t="s">
        <v>6</v>
      </c>
      <c r="H2875">
        <v>16319.46</v>
      </c>
      <c r="I2875">
        <v>5992.35</v>
      </c>
      <c r="J2875">
        <v>0</v>
      </c>
    </row>
    <row r="2876" spans="1:10" x14ac:dyDescent="0.35">
      <c r="A2876">
        <v>326939</v>
      </c>
      <c r="B2876" t="s">
        <v>20</v>
      </c>
      <c r="C2876">
        <v>2015</v>
      </c>
      <c r="D2876">
        <v>4</v>
      </c>
      <c r="E2876" t="s">
        <v>6</v>
      </c>
      <c r="F2876" t="s">
        <v>6</v>
      </c>
      <c r="G2876" t="s">
        <v>6</v>
      </c>
      <c r="H2876">
        <v>36631.24</v>
      </c>
      <c r="I2876">
        <v>12415.78</v>
      </c>
      <c r="J2876">
        <v>0</v>
      </c>
    </row>
    <row r="2877" spans="1:10" x14ac:dyDescent="0.35">
      <c r="A2877">
        <v>326941</v>
      </c>
      <c r="B2877" t="s">
        <v>20</v>
      </c>
      <c r="C2877">
        <v>2015</v>
      </c>
      <c r="D2877">
        <v>4</v>
      </c>
      <c r="E2877" t="s">
        <v>6</v>
      </c>
      <c r="F2877" t="s">
        <v>6</v>
      </c>
      <c r="G2877" t="s">
        <v>6</v>
      </c>
      <c r="H2877">
        <v>27416.799999999999</v>
      </c>
      <c r="I2877">
        <v>7161.78</v>
      </c>
      <c r="J2877">
        <v>0</v>
      </c>
    </row>
    <row r="2878" spans="1:10" x14ac:dyDescent="0.35">
      <c r="A2878">
        <v>326944</v>
      </c>
      <c r="B2878" t="s">
        <v>20</v>
      </c>
      <c r="C2878">
        <v>2015</v>
      </c>
      <c r="D2878">
        <v>4</v>
      </c>
      <c r="E2878" t="s">
        <v>6</v>
      </c>
      <c r="F2878" t="s">
        <v>6</v>
      </c>
      <c r="G2878" t="s">
        <v>6</v>
      </c>
      <c r="H2878">
        <v>15595.8</v>
      </c>
      <c r="I2878">
        <v>5732.8</v>
      </c>
      <c r="J2878">
        <v>0</v>
      </c>
    </row>
    <row r="2879" spans="1:10" x14ac:dyDescent="0.35">
      <c r="A2879">
        <v>326947</v>
      </c>
      <c r="B2879" t="s">
        <v>20</v>
      </c>
      <c r="C2879">
        <v>2015</v>
      </c>
      <c r="D2879">
        <v>4</v>
      </c>
      <c r="E2879" t="s">
        <v>6</v>
      </c>
      <c r="F2879" t="s">
        <v>6</v>
      </c>
      <c r="G2879" t="s">
        <v>6</v>
      </c>
      <c r="H2879">
        <v>13174.56</v>
      </c>
      <c r="I2879">
        <v>3938.55</v>
      </c>
      <c r="J2879">
        <v>0</v>
      </c>
    </row>
    <row r="2880" spans="1:10" x14ac:dyDescent="0.35">
      <c r="A2880">
        <v>326953</v>
      </c>
      <c r="B2880" t="s">
        <v>20</v>
      </c>
      <c r="C2880">
        <v>2015</v>
      </c>
      <c r="D2880">
        <v>4</v>
      </c>
      <c r="E2880" t="s">
        <v>6</v>
      </c>
      <c r="F2880" t="s">
        <v>6</v>
      </c>
      <c r="G2880" t="s">
        <v>6</v>
      </c>
      <c r="H2880">
        <v>15726.54</v>
      </c>
      <c r="I2880">
        <v>5704</v>
      </c>
      <c r="J2880">
        <v>0</v>
      </c>
    </row>
    <row r="2881" spans="1:10" x14ac:dyDescent="0.35">
      <c r="A2881">
        <v>326957</v>
      </c>
      <c r="B2881" t="s">
        <v>20</v>
      </c>
      <c r="C2881">
        <v>2015</v>
      </c>
      <c r="D2881">
        <v>4</v>
      </c>
      <c r="E2881" t="s">
        <v>6</v>
      </c>
      <c r="F2881" t="s">
        <v>6</v>
      </c>
      <c r="G2881" t="s">
        <v>6</v>
      </c>
      <c r="H2881">
        <v>28071.54</v>
      </c>
      <c r="I2881">
        <v>8226.76</v>
      </c>
      <c r="J2881">
        <v>0</v>
      </c>
    </row>
    <row r="2882" spans="1:10" x14ac:dyDescent="0.35">
      <c r="A2882">
        <v>326960</v>
      </c>
      <c r="B2882" t="s">
        <v>20</v>
      </c>
      <c r="C2882">
        <v>2015</v>
      </c>
      <c r="D2882">
        <v>4</v>
      </c>
      <c r="E2882" t="s">
        <v>6</v>
      </c>
      <c r="F2882" t="s">
        <v>6</v>
      </c>
      <c r="G2882" t="s">
        <v>6</v>
      </c>
      <c r="H2882">
        <v>12258.84</v>
      </c>
      <c r="I2882">
        <v>2585.2199999999998</v>
      </c>
      <c r="J2882">
        <v>0</v>
      </c>
    </row>
    <row r="2883" spans="1:10" x14ac:dyDescent="0.35">
      <c r="A2883">
        <v>326966</v>
      </c>
      <c r="B2883" t="s">
        <v>20</v>
      </c>
      <c r="C2883">
        <v>2015</v>
      </c>
      <c r="D2883">
        <v>4</v>
      </c>
      <c r="E2883" t="s">
        <v>6</v>
      </c>
      <c r="F2883" t="s">
        <v>6</v>
      </c>
      <c r="G2883" t="s">
        <v>6</v>
      </c>
      <c r="H2883">
        <v>29537.64</v>
      </c>
      <c r="I2883">
        <v>8269.07</v>
      </c>
      <c r="J2883">
        <v>0</v>
      </c>
    </row>
    <row r="2884" spans="1:10" x14ac:dyDescent="0.35">
      <c r="A2884">
        <v>326969</v>
      </c>
      <c r="B2884" t="s">
        <v>20</v>
      </c>
      <c r="C2884">
        <v>2015</v>
      </c>
      <c r="D2884">
        <v>4</v>
      </c>
      <c r="E2884" t="s">
        <v>6</v>
      </c>
      <c r="F2884" t="s">
        <v>6</v>
      </c>
      <c r="G2884" t="s">
        <v>6</v>
      </c>
      <c r="H2884">
        <v>30800.7</v>
      </c>
      <c r="I2884">
        <v>10298.629999999999</v>
      </c>
      <c r="J2884">
        <v>0</v>
      </c>
    </row>
    <row r="2885" spans="1:10" x14ac:dyDescent="0.35">
      <c r="A2885">
        <v>326970</v>
      </c>
      <c r="B2885" t="s">
        <v>20</v>
      </c>
      <c r="C2885">
        <v>2015</v>
      </c>
      <c r="D2885">
        <v>4</v>
      </c>
      <c r="E2885" t="s">
        <v>6</v>
      </c>
      <c r="F2885" t="s">
        <v>6</v>
      </c>
      <c r="G2885" t="s">
        <v>6</v>
      </c>
      <c r="H2885">
        <v>29715.74</v>
      </c>
      <c r="I2885">
        <v>10988.5</v>
      </c>
      <c r="J2885">
        <v>0</v>
      </c>
    </row>
    <row r="2886" spans="1:10" x14ac:dyDescent="0.35">
      <c r="A2886">
        <v>326973</v>
      </c>
      <c r="B2886" t="s">
        <v>20</v>
      </c>
      <c r="C2886">
        <v>2015</v>
      </c>
      <c r="D2886">
        <v>4</v>
      </c>
      <c r="E2886" t="s">
        <v>6</v>
      </c>
      <c r="F2886" t="s">
        <v>6</v>
      </c>
      <c r="G2886" t="s">
        <v>6</v>
      </c>
      <c r="H2886">
        <v>8203.24</v>
      </c>
      <c r="I2886">
        <v>2281.5</v>
      </c>
      <c r="J2886">
        <v>0</v>
      </c>
    </row>
    <row r="2887" spans="1:10" x14ac:dyDescent="0.35">
      <c r="A2887">
        <v>326978</v>
      </c>
      <c r="B2887" t="s">
        <v>20</v>
      </c>
      <c r="C2887">
        <v>2015</v>
      </c>
      <c r="D2887">
        <v>4</v>
      </c>
      <c r="E2887" t="s">
        <v>6</v>
      </c>
      <c r="F2887" t="s">
        <v>6</v>
      </c>
      <c r="G2887" t="s">
        <v>6</v>
      </c>
      <c r="H2887">
        <v>26242.92</v>
      </c>
      <c r="I2887">
        <v>8786.3799999999992</v>
      </c>
      <c r="J2887">
        <v>0</v>
      </c>
    </row>
    <row r="2888" spans="1:10" x14ac:dyDescent="0.35">
      <c r="A2888">
        <v>326985</v>
      </c>
      <c r="B2888" t="s">
        <v>20</v>
      </c>
      <c r="C2888">
        <v>2015</v>
      </c>
      <c r="D2888">
        <v>4</v>
      </c>
      <c r="E2888" t="s">
        <v>6</v>
      </c>
      <c r="F2888" t="s">
        <v>6</v>
      </c>
      <c r="G2888" t="s">
        <v>6</v>
      </c>
      <c r="H2888">
        <v>33732.32</v>
      </c>
      <c r="I2888">
        <v>11594.3</v>
      </c>
      <c r="J2888">
        <v>0</v>
      </c>
    </row>
    <row r="2889" spans="1:10" x14ac:dyDescent="0.35">
      <c r="A2889">
        <v>326992</v>
      </c>
      <c r="B2889" t="s">
        <v>20</v>
      </c>
      <c r="C2889">
        <v>2015</v>
      </c>
      <c r="D2889">
        <v>4</v>
      </c>
      <c r="E2889" t="s">
        <v>6</v>
      </c>
      <c r="F2889" t="s">
        <v>6</v>
      </c>
      <c r="G2889" t="s">
        <v>6</v>
      </c>
      <c r="H2889">
        <v>8919.7000000000007</v>
      </c>
      <c r="I2889">
        <v>2488.6799999999998</v>
      </c>
      <c r="J2889">
        <v>0</v>
      </c>
    </row>
    <row r="2890" spans="1:10" x14ac:dyDescent="0.35">
      <c r="A2890">
        <v>326993</v>
      </c>
      <c r="B2890" t="s">
        <v>20</v>
      </c>
      <c r="C2890">
        <v>2015</v>
      </c>
      <c r="D2890">
        <v>4</v>
      </c>
      <c r="E2890" t="s">
        <v>6</v>
      </c>
      <c r="F2890" t="s">
        <v>6</v>
      </c>
      <c r="G2890" t="s">
        <v>6</v>
      </c>
      <c r="H2890">
        <v>47720.94</v>
      </c>
      <c r="I2890">
        <v>14772.76</v>
      </c>
      <c r="J2890">
        <v>0</v>
      </c>
    </row>
    <row r="2891" spans="1:10" x14ac:dyDescent="0.35">
      <c r="A2891">
        <v>326995</v>
      </c>
      <c r="B2891" t="s">
        <v>20</v>
      </c>
      <c r="C2891">
        <v>2015</v>
      </c>
      <c r="D2891">
        <v>4</v>
      </c>
      <c r="E2891" t="s">
        <v>6</v>
      </c>
      <c r="F2891" t="s">
        <v>6</v>
      </c>
      <c r="G2891" t="s">
        <v>6</v>
      </c>
      <c r="H2891">
        <v>20325.919999999998</v>
      </c>
      <c r="I2891">
        <v>7305.11</v>
      </c>
      <c r="J2891">
        <v>0</v>
      </c>
    </row>
    <row r="2892" spans="1:10" x14ac:dyDescent="0.35">
      <c r="A2892">
        <v>326996</v>
      </c>
      <c r="B2892" t="s">
        <v>20</v>
      </c>
      <c r="C2892">
        <v>2015</v>
      </c>
      <c r="D2892">
        <v>4</v>
      </c>
      <c r="E2892" t="s">
        <v>6</v>
      </c>
      <c r="F2892" t="s">
        <v>6</v>
      </c>
      <c r="G2892" t="s">
        <v>6</v>
      </c>
      <c r="H2892">
        <v>35746.800000000003</v>
      </c>
      <c r="I2892">
        <v>14107.86</v>
      </c>
      <c r="J2892">
        <v>0</v>
      </c>
    </row>
    <row r="2893" spans="1:10" x14ac:dyDescent="0.35">
      <c r="A2893">
        <v>327002</v>
      </c>
      <c r="B2893" t="s">
        <v>20</v>
      </c>
      <c r="C2893">
        <v>2015</v>
      </c>
      <c r="D2893">
        <v>4</v>
      </c>
      <c r="E2893" t="s">
        <v>6</v>
      </c>
      <c r="F2893" t="s">
        <v>6</v>
      </c>
      <c r="G2893" t="s">
        <v>6</v>
      </c>
      <c r="H2893">
        <v>30664.38</v>
      </c>
      <c r="I2893">
        <v>10679.8</v>
      </c>
      <c r="J2893">
        <v>0</v>
      </c>
    </row>
    <row r="2894" spans="1:10" x14ac:dyDescent="0.35">
      <c r="A2894">
        <v>327011</v>
      </c>
      <c r="B2894" t="s">
        <v>20</v>
      </c>
      <c r="C2894">
        <v>2015</v>
      </c>
      <c r="D2894">
        <v>4</v>
      </c>
      <c r="E2894" t="s">
        <v>6</v>
      </c>
      <c r="F2894" t="s">
        <v>6</v>
      </c>
      <c r="G2894" t="s">
        <v>6</v>
      </c>
      <c r="H2894">
        <v>25561.68</v>
      </c>
      <c r="I2894">
        <v>8620.3700000000008</v>
      </c>
      <c r="J2894">
        <v>0</v>
      </c>
    </row>
    <row r="2895" spans="1:10" x14ac:dyDescent="0.35">
      <c r="A2895">
        <v>327013</v>
      </c>
      <c r="B2895" t="s">
        <v>20</v>
      </c>
      <c r="C2895">
        <v>2015</v>
      </c>
      <c r="D2895">
        <v>4</v>
      </c>
      <c r="E2895" t="s">
        <v>6</v>
      </c>
      <c r="F2895" t="s">
        <v>6</v>
      </c>
      <c r="G2895" t="s">
        <v>6</v>
      </c>
      <c r="H2895">
        <v>164415.5</v>
      </c>
      <c r="I2895">
        <v>74763.27</v>
      </c>
      <c r="J2895">
        <v>0</v>
      </c>
    </row>
    <row r="2896" spans="1:10" x14ac:dyDescent="0.35">
      <c r="A2896">
        <v>327017</v>
      </c>
      <c r="B2896" t="s">
        <v>20</v>
      </c>
      <c r="C2896">
        <v>2015</v>
      </c>
      <c r="D2896">
        <v>4</v>
      </c>
      <c r="E2896" t="s">
        <v>6</v>
      </c>
      <c r="F2896" t="s">
        <v>6</v>
      </c>
      <c r="G2896" t="s">
        <v>6</v>
      </c>
      <c r="H2896">
        <v>12174.75</v>
      </c>
      <c r="I2896">
        <v>4661.4399999999996</v>
      </c>
      <c r="J2896">
        <v>0</v>
      </c>
    </row>
    <row r="2897" spans="1:10" x14ac:dyDescent="0.35">
      <c r="A2897">
        <v>327018</v>
      </c>
      <c r="B2897" t="s">
        <v>20</v>
      </c>
      <c r="C2897">
        <v>2015</v>
      </c>
      <c r="D2897">
        <v>4</v>
      </c>
      <c r="E2897" t="s">
        <v>6</v>
      </c>
      <c r="F2897" t="s">
        <v>6</v>
      </c>
      <c r="G2897" t="s">
        <v>6</v>
      </c>
      <c r="H2897">
        <v>27924.959999999999</v>
      </c>
      <c r="I2897">
        <v>8073.44</v>
      </c>
      <c r="J2897">
        <v>0</v>
      </c>
    </row>
    <row r="2898" spans="1:10" x14ac:dyDescent="0.35">
      <c r="A2898">
        <v>327025</v>
      </c>
      <c r="B2898" t="s">
        <v>20</v>
      </c>
      <c r="C2898">
        <v>2015</v>
      </c>
      <c r="D2898">
        <v>4</v>
      </c>
      <c r="E2898" t="s">
        <v>6</v>
      </c>
      <c r="F2898" t="s">
        <v>6</v>
      </c>
      <c r="G2898" t="s">
        <v>6</v>
      </c>
      <c r="H2898">
        <v>10450.44</v>
      </c>
      <c r="I2898">
        <v>3291.42</v>
      </c>
      <c r="J2898">
        <v>0</v>
      </c>
    </row>
    <row r="2899" spans="1:10" x14ac:dyDescent="0.35">
      <c r="A2899">
        <v>327030</v>
      </c>
      <c r="B2899" t="s">
        <v>20</v>
      </c>
      <c r="C2899">
        <v>2015</v>
      </c>
      <c r="D2899">
        <v>4</v>
      </c>
      <c r="E2899" t="s">
        <v>6</v>
      </c>
      <c r="F2899" t="s">
        <v>6</v>
      </c>
      <c r="G2899" t="s">
        <v>6</v>
      </c>
      <c r="H2899">
        <v>10577.16</v>
      </c>
      <c r="I2899">
        <v>3495.27</v>
      </c>
      <c r="J2899">
        <v>0</v>
      </c>
    </row>
    <row r="2900" spans="1:10" x14ac:dyDescent="0.35">
      <c r="A2900">
        <v>327037</v>
      </c>
      <c r="B2900" t="s">
        <v>20</v>
      </c>
      <c r="C2900">
        <v>2015</v>
      </c>
      <c r="D2900">
        <v>4</v>
      </c>
      <c r="E2900" t="s">
        <v>6</v>
      </c>
      <c r="F2900" t="s">
        <v>6</v>
      </c>
      <c r="G2900" t="s">
        <v>6</v>
      </c>
      <c r="H2900">
        <v>26499.02</v>
      </c>
      <c r="I2900">
        <v>8417.27</v>
      </c>
      <c r="J2900">
        <v>0</v>
      </c>
    </row>
    <row r="2901" spans="1:10" x14ac:dyDescent="0.35">
      <c r="A2901">
        <v>327038</v>
      </c>
      <c r="B2901" t="s">
        <v>20</v>
      </c>
      <c r="C2901">
        <v>2015</v>
      </c>
      <c r="D2901">
        <v>4</v>
      </c>
      <c r="E2901" t="s">
        <v>6</v>
      </c>
      <c r="F2901" t="s">
        <v>6</v>
      </c>
      <c r="G2901" t="s">
        <v>6</v>
      </c>
      <c r="H2901">
        <v>68441.759999999995</v>
      </c>
      <c r="I2901">
        <v>21623.78</v>
      </c>
      <c r="J2901">
        <v>0</v>
      </c>
    </row>
    <row r="2902" spans="1:10" x14ac:dyDescent="0.35">
      <c r="A2902">
        <v>327043</v>
      </c>
      <c r="B2902" t="s">
        <v>20</v>
      </c>
      <c r="C2902">
        <v>2015</v>
      </c>
      <c r="D2902">
        <v>4</v>
      </c>
      <c r="E2902" t="s">
        <v>6</v>
      </c>
      <c r="F2902" t="s">
        <v>6</v>
      </c>
      <c r="G2902" t="s">
        <v>6</v>
      </c>
      <c r="H2902">
        <v>16207.06</v>
      </c>
      <c r="I2902">
        <v>6118.91</v>
      </c>
      <c r="J2902">
        <v>0</v>
      </c>
    </row>
    <row r="2903" spans="1:10" x14ac:dyDescent="0.35">
      <c r="A2903">
        <v>327046</v>
      </c>
      <c r="B2903" t="s">
        <v>20</v>
      </c>
      <c r="C2903">
        <v>2015</v>
      </c>
      <c r="D2903">
        <v>4</v>
      </c>
      <c r="E2903" t="s">
        <v>6</v>
      </c>
      <c r="F2903" t="s">
        <v>6</v>
      </c>
      <c r="G2903" t="s">
        <v>6</v>
      </c>
      <c r="H2903">
        <v>29041.22</v>
      </c>
      <c r="I2903">
        <v>10004.459999999999</v>
      </c>
      <c r="J2903">
        <v>0</v>
      </c>
    </row>
    <row r="2904" spans="1:10" x14ac:dyDescent="0.35">
      <c r="A2904">
        <v>327059</v>
      </c>
      <c r="B2904" t="s">
        <v>20</v>
      </c>
      <c r="C2904">
        <v>2015</v>
      </c>
      <c r="D2904">
        <v>4</v>
      </c>
      <c r="E2904" t="s">
        <v>6</v>
      </c>
      <c r="F2904" t="s">
        <v>6</v>
      </c>
      <c r="G2904" t="s">
        <v>6</v>
      </c>
      <c r="H2904">
        <v>24128.400000000001</v>
      </c>
      <c r="I2904">
        <v>8470.11</v>
      </c>
      <c r="J2904">
        <v>0</v>
      </c>
    </row>
    <row r="2905" spans="1:10" x14ac:dyDescent="0.35">
      <c r="A2905">
        <v>327063</v>
      </c>
      <c r="B2905" t="s">
        <v>20</v>
      </c>
      <c r="C2905">
        <v>2015</v>
      </c>
      <c r="D2905">
        <v>4</v>
      </c>
      <c r="E2905" t="s">
        <v>6</v>
      </c>
      <c r="F2905" t="s">
        <v>6</v>
      </c>
      <c r="G2905" t="s">
        <v>6</v>
      </c>
      <c r="H2905">
        <v>19433.080000000002</v>
      </c>
      <c r="I2905">
        <v>6929.03</v>
      </c>
      <c r="J2905">
        <v>0</v>
      </c>
    </row>
    <row r="2906" spans="1:10" x14ac:dyDescent="0.35">
      <c r="A2906">
        <v>327069</v>
      </c>
      <c r="B2906" t="s">
        <v>20</v>
      </c>
      <c r="C2906">
        <v>2015</v>
      </c>
      <c r="D2906">
        <v>4</v>
      </c>
      <c r="E2906" t="s">
        <v>6</v>
      </c>
      <c r="F2906" t="s">
        <v>6</v>
      </c>
      <c r="G2906" t="s">
        <v>6</v>
      </c>
      <c r="H2906">
        <v>26537.599999999999</v>
      </c>
      <c r="I2906">
        <v>8855.14</v>
      </c>
      <c r="J2906">
        <v>0</v>
      </c>
    </row>
    <row r="2907" spans="1:10" x14ac:dyDescent="0.35">
      <c r="A2907">
        <v>327075</v>
      </c>
      <c r="B2907" t="s">
        <v>20</v>
      </c>
      <c r="C2907">
        <v>2015</v>
      </c>
      <c r="D2907">
        <v>4</v>
      </c>
      <c r="E2907" t="s">
        <v>6</v>
      </c>
      <c r="F2907" t="s">
        <v>6</v>
      </c>
      <c r="G2907" t="s">
        <v>6</v>
      </c>
      <c r="H2907">
        <v>24594.560000000001</v>
      </c>
      <c r="I2907">
        <v>8518.66</v>
      </c>
      <c r="J2907">
        <v>0</v>
      </c>
    </row>
    <row r="2908" spans="1:10" x14ac:dyDescent="0.35">
      <c r="A2908">
        <v>327076</v>
      </c>
      <c r="B2908" t="s">
        <v>20</v>
      </c>
      <c r="C2908">
        <v>2015</v>
      </c>
      <c r="D2908">
        <v>4</v>
      </c>
      <c r="E2908" t="s">
        <v>6</v>
      </c>
      <c r="F2908" t="s">
        <v>6</v>
      </c>
      <c r="G2908" t="s">
        <v>6</v>
      </c>
      <c r="H2908">
        <v>9903.98</v>
      </c>
      <c r="I2908">
        <v>2605.5300000000002</v>
      </c>
      <c r="J2908">
        <v>0</v>
      </c>
    </row>
    <row r="2909" spans="1:10" x14ac:dyDescent="0.35">
      <c r="A2909">
        <v>327081</v>
      </c>
      <c r="B2909" t="s">
        <v>20</v>
      </c>
      <c r="C2909">
        <v>2015</v>
      </c>
      <c r="D2909">
        <v>4</v>
      </c>
      <c r="E2909" t="s">
        <v>6</v>
      </c>
      <c r="F2909" t="s">
        <v>6</v>
      </c>
      <c r="G2909" t="s">
        <v>6</v>
      </c>
      <c r="H2909">
        <v>15997.72</v>
      </c>
      <c r="I2909">
        <v>5902.31</v>
      </c>
      <c r="J2909">
        <v>0</v>
      </c>
    </row>
    <row r="2910" spans="1:10" x14ac:dyDescent="0.35">
      <c r="A2910">
        <v>327085</v>
      </c>
      <c r="B2910" t="s">
        <v>20</v>
      </c>
      <c r="C2910">
        <v>2015</v>
      </c>
      <c r="D2910">
        <v>4</v>
      </c>
      <c r="E2910" t="s">
        <v>6</v>
      </c>
      <c r="F2910" t="s">
        <v>6</v>
      </c>
      <c r="G2910" t="s">
        <v>6</v>
      </c>
      <c r="H2910">
        <v>13309.9</v>
      </c>
      <c r="I2910">
        <v>3481.89</v>
      </c>
      <c r="J2910">
        <v>0</v>
      </c>
    </row>
    <row r="2911" spans="1:10" x14ac:dyDescent="0.35">
      <c r="A2911">
        <v>327088</v>
      </c>
      <c r="B2911" t="s">
        <v>20</v>
      </c>
      <c r="C2911">
        <v>2015</v>
      </c>
      <c r="D2911">
        <v>4</v>
      </c>
      <c r="E2911" t="s">
        <v>6</v>
      </c>
      <c r="F2911" t="s">
        <v>6</v>
      </c>
      <c r="G2911" t="s">
        <v>6</v>
      </c>
      <c r="H2911">
        <v>23715.08</v>
      </c>
      <c r="I2911">
        <v>8365.9500000000007</v>
      </c>
      <c r="J2911">
        <v>0</v>
      </c>
    </row>
    <row r="2912" spans="1:10" x14ac:dyDescent="0.35">
      <c r="A2912">
        <v>327101</v>
      </c>
      <c r="B2912" t="s">
        <v>20</v>
      </c>
      <c r="C2912">
        <v>2015</v>
      </c>
      <c r="D2912">
        <v>4</v>
      </c>
      <c r="E2912" t="s">
        <v>6</v>
      </c>
      <c r="F2912" t="s">
        <v>6</v>
      </c>
      <c r="G2912" t="s">
        <v>6</v>
      </c>
      <c r="H2912">
        <v>8288.68</v>
      </c>
      <c r="I2912">
        <v>2317.23</v>
      </c>
      <c r="J2912">
        <v>0</v>
      </c>
    </row>
    <row r="2913" spans="1:10" x14ac:dyDescent="0.35">
      <c r="A2913">
        <v>327104</v>
      </c>
      <c r="B2913" t="s">
        <v>20</v>
      </c>
      <c r="C2913">
        <v>2015</v>
      </c>
      <c r="D2913">
        <v>4</v>
      </c>
      <c r="E2913" t="s">
        <v>6</v>
      </c>
      <c r="F2913" t="s">
        <v>6</v>
      </c>
      <c r="G2913" t="s">
        <v>6</v>
      </c>
      <c r="H2913">
        <v>8808.98</v>
      </c>
      <c r="I2913">
        <v>2397.62</v>
      </c>
      <c r="J2913">
        <v>0</v>
      </c>
    </row>
    <row r="2914" spans="1:10" x14ac:dyDescent="0.35">
      <c r="A2914">
        <v>327105</v>
      </c>
      <c r="B2914" t="s">
        <v>20</v>
      </c>
      <c r="C2914">
        <v>2015</v>
      </c>
      <c r="D2914">
        <v>4</v>
      </c>
      <c r="E2914" t="s">
        <v>6</v>
      </c>
      <c r="F2914" t="s">
        <v>6</v>
      </c>
      <c r="G2914" t="s">
        <v>6</v>
      </c>
      <c r="H2914">
        <v>19369.18</v>
      </c>
      <c r="I2914">
        <v>6952.79</v>
      </c>
      <c r="J2914">
        <v>0</v>
      </c>
    </row>
    <row r="2915" spans="1:10" x14ac:dyDescent="0.35">
      <c r="A2915">
        <v>327108</v>
      </c>
      <c r="B2915" t="s">
        <v>20</v>
      </c>
      <c r="C2915">
        <v>2015</v>
      </c>
      <c r="D2915">
        <v>4</v>
      </c>
      <c r="E2915" t="s">
        <v>6</v>
      </c>
      <c r="F2915" t="s">
        <v>6</v>
      </c>
      <c r="G2915" t="s">
        <v>6</v>
      </c>
      <c r="H2915">
        <v>11053.4</v>
      </c>
      <c r="I2915">
        <v>2997.93</v>
      </c>
      <c r="J2915">
        <v>0</v>
      </c>
    </row>
    <row r="2916" spans="1:10" x14ac:dyDescent="0.35">
      <c r="A2916">
        <v>327110</v>
      </c>
      <c r="B2916" t="s">
        <v>20</v>
      </c>
      <c r="C2916">
        <v>2015</v>
      </c>
      <c r="D2916">
        <v>4</v>
      </c>
      <c r="E2916" t="s">
        <v>6</v>
      </c>
      <c r="F2916" t="s">
        <v>6</v>
      </c>
      <c r="G2916" t="s">
        <v>6</v>
      </c>
      <c r="H2916">
        <v>15491.7</v>
      </c>
      <c r="I2916">
        <v>5429.96</v>
      </c>
      <c r="J2916">
        <v>0</v>
      </c>
    </row>
    <row r="2917" spans="1:10" x14ac:dyDescent="0.35">
      <c r="A2917">
        <v>327119</v>
      </c>
      <c r="B2917" t="s">
        <v>20</v>
      </c>
      <c r="C2917">
        <v>2015</v>
      </c>
      <c r="D2917">
        <v>4</v>
      </c>
      <c r="E2917" t="s">
        <v>6</v>
      </c>
      <c r="F2917" t="s">
        <v>6</v>
      </c>
      <c r="G2917" t="s">
        <v>6</v>
      </c>
      <c r="H2917">
        <v>28894.84</v>
      </c>
      <c r="I2917">
        <v>9963.5</v>
      </c>
      <c r="J2917">
        <v>0</v>
      </c>
    </row>
    <row r="2918" spans="1:10" x14ac:dyDescent="0.35">
      <c r="A2918">
        <v>327121</v>
      </c>
      <c r="B2918" t="s">
        <v>20</v>
      </c>
      <c r="C2918">
        <v>2015</v>
      </c>
      <c r="D2918">
        <v>4</v>
      </c>
      <c r="E2918" t="s">
        <v>6</v>
      </c>
      <c r="F2918" t="s">
        <v>6</v>
      </c>
      <c r="G2918" t="s">
        <v>6</v>
      </c>
      <c r="H2918">
        <v>24685.24</v>
      </c>
      <c r="I2918">
        <v>8675.8700000000008</v>
      </c>
      <c r="J2918">
        <v>0</v>
      </c>
    </row>
    <row r="2919" spans="1:10" x14ac:dyDescent="0.35">
      <c r="A2919">
        <v>327125</v>
      </c>
      <c r="B2919" t="s">
        <v>20</v>
      </c>
      <c r="C2919">
        <v>2015</v>
      </c>
      <c r="D2919">
        <v>4</v>
      </c>
      <c r="E2919" t="s">
        <v>6</v>
      </c>
      <c r="F2919" t="s">
        <v>6</v>
      </c>
      <c r="G2919" t="s">
        <v>6</v>
      </c>
      <c r="H2919">
        <v>213073.9</v>
      </c>
      <c r="I2919">
        <v>123446.09</v>
      </c>
      <c r="J2919">
        <v>0</v>
      </c>
    </row>
    <row r="2920" spans="1:10" x14ac:dyDescent="0.35">
      <c r="A2920">
        <v>327127</v>
      </c>
      <c r="B2920" t="s">
        <v>20</v>
      </c>
      <c r="C2920">
        <v>2015</v>
      </c>
      <c r="D2920">
        <v>4</v>
      </c>
      <c r="E2920" t="s">
        <v>6</v>
      </c>
      <c r="F2920" t="s">
        <v>6</v>
      </c>
      <c r="G2920" t="s">
        <v>6</v>
      </c>
      <c r="H2920">
        <v>20544.7</v>
      </c>
      <c r="I2920">
        <v>7140.62</v>
      </c>
      <c r="J2920">
        <v>0</v>
      </c>
    </row>
    <row r="2921" spans="1:10" x14ac:dyDescent="0.35">
      <c r="A2921">
        <v>327130</v>
      </c>
      <c r="B2921" t="s">
        <v>20</v>
      </c>
      <c r="C2921">
        <v>2015</v>
      </c>
      <c r="D2921">
        <v>4</v>
      </c>
      <c r="E2921" t="s">
        <v>6</v>
      </c>
      <c r="F2921" t="s">
        <v>6</v>
      </c>
      <c r="G2921" t="s">
        <v>6</v>
      </c>
      <c r="H2921">
        <v>9303</v>
      </c>
      <c r="I2921">
        <v>2549.46</v>
      </c>
      <c r="J2921">
        <v>0</v>
      </c>
    </row>
    <row r="2922" spans="1:10" x14ac:dyDescent="0.35">
      <c r="A2922">
        <v>327131</v>
      </c>
      <c r="B2922" t="s">
        <v>20</v>
      </c>
      <c r="C2922">
        <v>2015</v>
      </c>
      <c r="D2922">
        <v>4</v>
      </c>
      <c r="E2922" t="s">
        <v>6</v>
      </c>
      <c r="F2922" t="s">
        <v>6</v>
      </c>
      <c r="G2922" t="s">
        <v>6</v>
      </c>
      <c r="H2922">
        <v>26331.52</v>
      </c>
      <c r="I2922">
        <v>8811.7199999999993</v>
      </c>
      <c r="J2922">
        <v>0</v>
      </c>
    </row>
    <row r="2923" spans="1:10" x14ac:dyDescent="0.35">
      <c r="A2923">
        <v>327143</v>
      </c>
      <c r="B2923" t="s">
        <v>20</v>
      </c>
      <c r="C2923">
        <v>2015</v>
      </c>
      <c r="D2923">
        <v>4</v>
      </c>
      <c r="E2923" t="s">
        <v>6</v>
      </c>
      <c r="F2923" t="s">
        <v>6</v>
      </c>
      <c r="G2923" t="s">
        <v>6</v>
      </c>
      <c r="H2923">
        <v>17081.57</v>
      </c>
      <c r="I2923">
        <v>6405.09</v>
      </c>
      <c r="J2923">
        <v>0</v>
      </c>
    </row>
    <row r="2924" spans="1:10" x14ac:dyDescent="0.35">
      <c r="A2924">
        <v>327149</v>
      </c>
      <c r="B2924" t="s">
        <v>20</v>
      </c>
      <c r="C2924">
        <v>2015</v>
      </c>
      <c r="D2924">
        <v>4</v>
      </c>
      <c r="E2924" t="s">
        <v>6</v>
      </c>
      <c r="F2924" t="s">
        <v>6</v>
      </c>
      <c r="G2924" t="s">
        <v>6</v>
      </c>
      <c r="H2924">
        <v>17405.580000000002</v>
      </c>
      <c r="I2924">
        <v>5413.3</v>
      </c>
      <c r="J2924">
        <v>0</v>
      </c>
    </row>
    <row r="2925" spans="1:10" x14ac:dyDescent="0.35">
      <c r="A2925">
        <v>327152</v>
      </c>
      <c r="B2925" t="s">
        <v>20</v>
      </c>
      <c r="C2925">
        <v>2015</v>
      </c>
      <c r="D2925">
        <v>4</v>
      </c>
      <c r="E2925" t="s">
        <v>6</v>
      </c>
      <c r="F2925" t="s">
        <v>6</v>
      </c>
      <c r="G2925" t="s">
        <v>6</v>
      </c>
      <c r="H2925">
        <v>20241.28</v>
      </c>
      <c r="I2925">
        <v>6327.3</v>
      </c>
      <c r="J2925">
        <v>0</v>
      </c>
    </row>
    <row r="2926" spans="1:10" x14ac:dyDescent="0.35">
      <c r="A2926">
        <v>327153</v>
      </c>
      <c r="B2926" t="s">
        <v>20</v>
      </c>
      <c r="C2926">
        <v>2015</v>
      </c>
      <c r="D2926">
        <v>4</v>
      </c>
      <c r="E2926" t="s">
        <v>6</v>
      </c>
      <c r="F2926" t="s">
        <v>6</v>
      </c>
      <c r="G2926" t="s">
        <v>6</v>
      </c>
      <c r="H2926">
        <v>50082.04</v>
      </c>
      <c r="I2926">
        <v>15488.28</v>
      </c>
      <c r="J2926">
        <v>0</v>
      </c>
    </row>
    <row r="2927" spans="1:10" x14ac:dyDescent="0.35">
      <c r="A2927">
        <v>327155</v>
      </c>
      <c r="B2927" t="s">
        <v>20</v>
      </c>
      <c r="C2927">
        <v>2015</v>
      </c>
      <c r="D2927">
        <v>4</v>
      </c>
      <c r="E2927" t="s">
        <v>6</v>
      </c>
      <c r="F2927" t="s">
        <v>6</v>
      </c>
      <c r="G2927" t="s">
        <v>6</v>
      </c>
      <c r="H2927">
        <v>25353.4</v>
      </c>
      <c r="I2927">
        <v>7103.27</v>
      </c>
      <c r="J2927">
        <v>0</v>
      </c>
    </row>
    <row r="2928" spans="1:10" x14ac:dyDescent="0.35">
      <c r="A2928">
        <v>327156</v>
      </c>
      <c r="B2928" t="s">
        <v>20</v>
      </c>
      <c r="C2928">
        <v>2015</v>
      </c>
      <c r="D2928">
        <v>4</v>
      </c>
      <c r="E2928" t="s">
        <v>6</v>
      </c>
      <c r="F2928" t="s">
        <v>6</v>
      </c>
      <c r="G2928" t="s">
        <v>6</v>
      </c>
      <c r="H2928">
        <v>12026.1</v>
      </c>
      <c r="I2928">
        <v>4195.29</v>
      </c>
      <c r="J2928">
        <v>0</v>
      </c>
    </row>
    <row r="2929" spans="1:10" x14ac:dyDescent="0.35">
      <c r="A2929">
        <v>327159</v>
      </c>
      <c r="B2929" t="s">
        <v>20</v>
      </c>
      <c r="C2929">
        <v>2015</v>
      </c>
      <c r="D2929">
        <v>4</v>
      </c>
      <c r="E2929" t="s">
        <v>6</v>
      </c>
      <c r="F2929" t="s">
        <v>6</v>
      </c>
      <c r="G2929" t="s">
        <v>6</v>
      </c>
      <c r="H2929">
        <v>30356.12</v>
      </c>
      <c r="I2929">
        <v>15355.9</v>
      </c>
      <c r="J2929">
        <v>0</v>
      </c>
    </row>
    <row r="2930" spans="1:10" x14ac:dyDescent="0.35">
      <c r="A2930">
        <v>327166</v>
      </c>
      <c r="B2930" t="s">
        <v>20</v>
      </c>
      <c r="C2930">
        <v>2015</v>
      </c>
      <c r="D2930">
        <v>4</v>
      </c>
      <c r="E2930" t="s">
        <v>6</v>
      </c>
      <c r="F2930" t="s">
        <v>6</v>
      </c>
      <c r="G2930" t="s">
        <v>6</v>
      </c>
      <c r="H2930">
        <v>68537.02</v>
      </c>
      <c r="I2930">
        <v>22299.759999999998</v>
      </c>
      <c r="J2930">
        <v>0</v>
      </c>
    </row>
    <row r="2931" spans="1:10" x14ac:dyDescent="0.35">
      <c r="A2931">
        <v>327169</v>
      </c>
      <c r="B2931" t="s">
        <v>20</v>
      </c>
      <c r="C2931">
        <v>2015</v>
      </c>
      <c r="D2931">
        <v>4</v>
      </c>
      <c r="E2931" t="s">
        <v>6</v>
      </c>
      <c r="F2931" t="s">
        <v>6</v>
      </c>
      <c r="G2931" t="s">
        <v>6</v>
      </c>
      <c r="H2931">
        <v>16215.52</v>
      </c>
      <c r="I2931">
        <v>5992.96</v>
      </c>
      <c r="J2931">
        <v>0</v>
      </c>
    </row>
    <row r="2932" spans="1:10" x14ac:dyDescent="0.35">
      <c r="A2932">
        <v>327179</v>
      </c>
      <c r="B2932" t="s">
        <v>20</v>
      </c>
      <c r="C2932">
        <v>2015</v>
      </c>
      <c r="D2932">
        <v>4</v>
      </c>
      <c r="E2932" t="s">
        <v>6</v>
      </c>
      <c r="F2932" t="s">
        <v>6</v>
      </c>
      <c r="G2932" t="s">
        <v>6</v>
      </c>
      <c r="H2932">
        <v>15076.76</v>
      </c>
      <c r="I2932">
        <v>4411.2700000000004</v>
      </c>
      <c r="J2932">
        <v>0</v>
      </c>
    </row>
    <row r="2933" spans="1:10" x14ac:dyDescent="0.35">
      <c r="A2933">
        <v>327180</v>
      </c>
      <c r="B2933" t="s">
        <v>20</v>
      </c>
      <c r="C2933">
        <v>2015</v>
      </c>
      <c r="D2933">
        <v>4</v>
      </c>
      <c r="E2933" t="s">
        <v>6</v>
      </c>
      <c r="F2933" t="s">
        <v>6</v>
      </c>
      <c r="G2933" t="s">
        <v>6</v>
      </c>
      <c r="H2933">
        <v>27075.46</v>
      </c>
      <c r="I2933">
        <v>7959</v>
      </c>
      <c r="J2933">
        <v>0</v>
      </c>
    </row>
    <row r="2934" spans="1:10" x14ac:dyDescent="0.35">
      <c r="A2934">
        <v>327186</v>
      </c>
      <c r="B2934" t="s">
        <v>20</v>
      </c>
      <c r="C2934">
        <v>2015</v>
      </c>
      <c r="D2934">
        <v>4</v>
      </c>
      <c r="E2934" t="s">
        <v>6</v>
      </c>
      <c r="F2934" t="s">
        <v>6</v>
      </c>
      <c r="G2934" t="s">
        <v>6</v>
      </c>
      <c r="H2934">
        <v>27435.26</v>
      </c>
      <c r="I2934">
        <v>15088.35</v>
      </c>
      <c r="J2934">
        <v>0</v>
      </c>
    </row>
    <row r="2935" spans="1:10" x14ac:dyDescent="0.35">
      <c r="A2935">
        <v>327193</v>
      </c>
      <c r="B2935" t="s">
        <v>20</v>
      </c>
      <c r="C2935">
        <v>2015</v>
      </c>
      <c r="D2935">
        <v>4</v>
      </c>
      <c r="E2935" t="s">
        <v>6</v>
      </c>
      <c r="F2935" t="s">
        <v>6</v>
      </c>
      <c r="G2935" t="s">
        <v>6</v>
      </c>
      <c r="H2935">
        <v>15580.48</v>
      </c>
      <c r="I2935">
        <v>5525.52</v>
      </c>
      <c r="J2935">
        <v>0</v>
      </c>
    </row>
    <row r="2936" spans="1:10" x14ac:dyDescent="0.35">
      <c r="A2936">
        <v>327194</v>
      </c>
      <c r="B2936" t="s">
        <v>20</v>
      </c>
      <c r="C2936">
        <v>2015</v>
      </c>
      <c r="D2936">
        <v>4</v>
      </c>
      <c r="E2936" t="s">
        <v>6</v>
      </c>
      <c r="F2936" t="s">
        <v>6</v>
      </c>
      <c r="G2936" t="s">
        <v>6</v>
      </c>
      <c r="H2936">
        <v>117870.74</v>
      </c>
      <c r="I2936">
        <v>44036.82</v>
      </c>
      <c r="J2936">
        <v>0</v>
      </c>
    </row>
    <row r="2937" spans="1:10" x14ac:dyDescent="0.35">
      <c r="A2937">
        <v>327197</v>
      </c>
      <c r="B2937" t="s">
        <v>20</v>
      </c>
      <c r="C2937">
        <v>2015</v>
      </c>
      <c r="D2937">
        <v>4</v>
      </c>
      <c r="E2937" t="s">
        <v>6</v>
      </c>
      <c r="F2937" t="s">
        <v>6</v>
      </c>
      <c r="G2937" t="s">
        <v>6</v>
      </c>
      <c r="H2937">
        <v>25611.16</v>
      </c>
      <c r="I2937">
        <v>8633.3700000000008</v>
      </c>
      <c r="J2937">
        <v>0</v>
      </c>
    </row>
    <row r="2938" spans="1:10" x14ac:dyDescent="0.35">
      <c r="A2938">
        <v>327201</v>
      </c>
      <c r="B2938" t="s">
        <v>20</v>
      </c>
      <c r="C2938">
        <v>2015</v>
      </c>
      <c r="D2938">
        <v>4</v>
      </c>
      <c r="E2938" t="s">
        <v>6</v>
      </c>
      <c r="F2938" t="s">
        <v>6</v>
      </c>
      <c r="G2938" t="s">
        <v>6</v>
      </c>
      <c r="H2938">
        <v>11679.26</v>
      </c>
      <c r="I2938">
        <v>4179.7299999999996</v>
      </c>
      <c r="J2938">
        <v>0</v>
      </c>
    </row>
    <row r="2939" spans="1:10" x14ac:dyDescent="0.35">
      <c r="A2939">
        <v>327203</v>
      </c>
      <c r="B2939" t="s">
        <v>20</v>
      </c>
      <c r="C2939">
        <v>2015</v>
      </c>
      <c r="D2939">
        <v>4</v>
      </c>
      <c r="E2939" t="s">
        <v>6</v>
      </c>
      <c r="F2939" t="s">
        <v>6</v>
      </c>
      <c r="G2939" t="s">
        <v>6</v>
      </c>
      <c r="H2939">
        <v>19426.18</v>
      </c>
      <c r="I2939">
        <v>4772.38</v>
      </c>
      <c r="J2939">
        <v>0</v>
      </c>
    </row>
    <row r="2940" spans="1:10" x14ac:dyDescent="0.35">
      <c r="A2940">
        <v>327206</v>
      </c>
      <c r="B2940" t="s">
        <v>20</v>
      </c>
      <c r="C2940">
        <v>2015</v>
      </c>
      <c r="D2940">
        <v>4</v>
      </c>
      <c r="E2940" t="s">
        <v>6</v>
      </c>
      <c r="F2940" t="s">
        <v>6</v>
      </c>
      <c r="G2940" t="s">
        <v>6</v>
      </c>
      <c r="H2940">
        <v>98765.94</v>
      </c>
      <c r="I2940">
        <v>32652.93</v>
      </c>
      <c r="J2940">
        <v>0</v>
      </c>
    </row>
    <row r="2941" spans="1:10" x14ac:dyDescent="0.35">
      <c r="A2941">
        <v>327213</v>
      </c>
      <c r="B2941" t="s">
        <v>20</v>
      </c>
      <c r="C2941">
        <v>2015</v>
      </c>
      <c r="D2941">
        <v>4</v>
      </c>
      <c r="E2941" t="s">
        <v>6</v>
      </c>
      <c r="F2941" t="s">
        <v>6</v>
      </c>
      <c r="G2941" t="s">
        <v>6</v>
      </c>
      <c r="H2941">
        <v>11387.12</v>
      </c>
      <c r="I2941">
        <v>4034.67</v>
      </c>
      <c r="J2941">
        <v>0</v>
      </c>
    </row>
    <row r="2942" spans="1:10" x14ac:dyDescent="0.35">
      <c r="A2942">
        <v>327217</v>
      </c>
      <c r="B2942" t="s">
        <v>20</v>
      </c>
      <c r="C2942">
        <v>2015</v>
      </c>
      <c r="D2942">
        <v>4</v>
      </c>
      <c r="E2942" t="s">
        <v>6</v>
      </c>
      <c r="F2942" t="s">
        <v>6</v>
      </c>
      <c r="G2942" t="s">
        <v>6</v>
      </c>
      <c r="H2942">
        <v>15038.5</v>
      </c>
      <c r="I2942">
        <v>5246.19</v>
      </c>
      <c r="J2942">
        <v>0</v>
      </c>
    </row>
    <row r="2943" spans="1:10" x14ac:dyDescent="0.35">
      <c r="A2943">
        <v>327224</v>
      </c>
      <c r="B2943" t="s">
        <v>20</v>
      </c>
      <c r="C2943">
        <v>2015</v>
      </c>
      <c r="D2943">
        <v>4</v>
      </c>
      <c r="E2943" t="s">
        <v>6</v>
      </c>
      <c r="F2943" t="s">
        <v>6</v>
      </c>
      <c r="G2943" t="s">
        <v>6</v>
      </c>
      <c r="H2943">
        <v>27824.42</v>
      </c>
      <c r="I2943">
        <v>9278.2999999999993</v>
      </c>
      <c r="J2943">
        <v>0</v>
      </c>
    </row>
    <row r="2944" spans="1:10" x14ac:dyDescent="0.35">
      <c r="A2944">
        <v>327228</v>
      </c>
      <c r="B2944" t="s">
        <v>20</v>
      </c>
      <c r="C2944">
        <v>2015</v>
      </c>
      <c r="D2944">
        <v>4</v>
      </c>
      <c r="E2944" t="s">
        <v>6</v>
      </c>
      <c r="F2944" t="s">
        <v>6</v>
      </c>
      <c r="G2944" t="s">
        <v>6</v>
      </c>
      <c r="H2944">
        <v>29376.34</v>
      </c>
      <c r="I2944">
        <v>9941.09</v>
      </c>
      <c r="J2944">
        <v>0</v>
      </c>
    </row>
    <row r="2945" spans="1:10" x14ac:dyDescent="0.35">
      <c r="A2945">
        <v>327235</v>
      </c>
      <c r="B2945" t="s">
        <v>20</v>
      </c>
      <c r="C2945">
        <v>2015</v>
      </c>
      <c r="D2945">
        <v>4</v>
      </c>
      <c r="E2945" t="s">
        <v>6</v>
      </c>
      <c r="F2945" t="s">
        <v>6</v>
      </c>
      <c r="G2945" t="s">
        <v>6</v>
      </c>
      <c r="H2945">
        <v>29745.78</v>
      </c>
      <c r="I2945">
        <v>10033.98</v>
      </c>
      <c r="J2945">
        <v>0</v>
      </c>
    </row>
    <row r="2946" spans="1:10" x14ac:dyDescent="0.35">
      <c r="A2946">
        <v>327238</v>
      </c>
      <c r="B2946" t="s">
        <v>20</v>
      </c>
      <c r="C2946">
        <v>2015</v>
      </c>
      <c r="D2946">
        <v>4</v>
      </c>
      <c r="E2946" t="s">
        <v>6</v>
      </c>
      <c r="F2946" t="s">
        <v>6</v>
      </c>
      <c r="G2946" t="s">
        <v>6</v>
      </c>
      <c r="H2946">
        <v>14218.02</v>
      </c>
      <c r="I2946">
        <v>5396.69</v>
      </c>
      <c r="J2946">
        <v>0</v>
      </c>
    </row>
    <row r="2947" spans="1:10" x14ac:dyDescent="0.35">
      <c r="A2947">
        <v>327240</v>
      </c>
      <c r="B2947" t="s">
        <v>20</v>
      </c>
      <c r="C2947">
        <v>2015</v>
      </c>
      <c r="D2947">
        <v>4</v>
      </c>
      <c r="E2947" t="s">
        <v>6</v>
      </c>
      <c r="F2947" t="s">
        <v>6</v>
      </c>
      <c r="G2947" t="s">
        <v>6</v>
      </c>
      <c r="H2947">
        <v>14507</v>
      </c>
      <c r="I2947">
        <v>5089.96</v>
      </c>
      <c r="J2947">
        <v>0</v>
      </c>
    </row>
    <row r="2948" spans="1:10" x14ac:dyDescent="0.35">
      <c r="A2948">
        <v>327242</v>
      </c>
      <c r="B2948" t="s">
        <v>20</v>
      </c>
      <c r="C2948">
        <v>2015</v>
      </c>
      <c r="D2948">
        <v>4</v>
      </c>
      <c r="E2948" t="s">
        <v>6</v>
      </c>
      <c r="F2948" t="s">
        <v>6</v>
      </c>
      <c r="G2948" t="s">
        <v>6</v>
      </c>
      <c r="H2948">
        <v>30048.38</v>
      </c>
      <c r="I2948">
        <v>10244.459999999999</v>
      </c>
      <c r="J2948">
        <v>0</v>
      </c>
    </row>
    <row r="2949" spans="1:10" x14ac:dyDescent="0.35">
      <c r="A2949">
        <v>327244</v>
      </c>
      <c r="B2949" t="s">
        <v>20</v>
      </c>
      <c r="C2949">
        <v>2015</v>
      </c>
      <c r="D2949">
        <v>4</v>
      </c>
      <c r="E2949" t="s">
        <v>6</v>
      </c>
      <c r="F2949" t="s">
        <v>6</v>
      </c>
      <c r="G2949" t="s">
        <v>6</v>
      </c>
      <c r="H2949">
        <v>12346.54</v>
      </c>
      <c r="I2949">
        <v>2758.69</v>
      </c>
      <c r="J2949">
        <v>0</v>
      </c>
    </row>
    <row r="2950" spans="1:10" x14ac:dyDescent="0.35">
      <c r="A2950">
        <v>327246</v>
      </c>
      <c r="B2950" t="s">
        <v>20</v>
      </c>
      <c r="C2950">
        <v>2015</v>
      </c>
      <c r="D2950">
        <v>4</v>
      </c>
      <c r="E2950" t="s">
        <v>6</v>
      </c>
      <c r="F2950" t="s">
        <v>6</v>
      </c>
      <c r="G2950" t="s">
        <v>6</v>
      </c>
      <c r="H2950">
        <v>27009.4</v>
      </c>
      <c r="I2950">
        <v>9322.2000000000007</v>
      </c>
      <c r="J2950">
        <v>0</v>
      </c>
    </row>
    <row r="2951" spans="1:10" x14ac:dyDescent="0.35">
      <c r="A2951">
        <v>327250</v>
      </c>
      <c r="B2951" t="s">
        <v>20</v>
      </c>
      <c r="C2951">
        <v>2015</v>
      </c>
      <c r="D2951">
        <v>4</v>
      </c>
      <c r="E2951" t="s">
        <v>6</v>
      </c>
      <c r="F2951" t="s">
        <v>6</v>
      </c>
      <c r="G2951" t="s">
        <v>6</v>
      </c>
      <c r="H2951">
        <v>15911.6</v>
      </c>
      <c r="I2951">
        <v>5680.73</v>
      </c>
      <c r="J2951">
        <v>0</v>
      </c>
    </row>
    <row r="2952" spans="1:10" x14ac:dyDescent="0.35">
      <c r="A2952">
        <v>327251</v>
      </c>
      <c r="B2952" t="s">
        <v>20</v>
      </c>
      <c r="C2952">
        <v>2015</v>
      </c>
      <c r="D2952">
        <v>4</v>
      </c>
      <c r="E2952" t="s">
        <v>6</v>
      </c>
      <c r="F2952" t="s">
        <v>6</v>
      </c>
      <c r="G2952" t="s">
        <v>6</v>
      </c>
      <c r="H2952">
        <v>31831.94</v>
      </c>
      <c r="I2952">
        <v>12696.96</v>
      </c>
      <c r="J2952">
        <v>0</v>
      </c>
    </row>
    <row r="2953" spans="1:10" x14ac:dyDescent="0.35">
      <c r="A2953">
        <v>327263</v>
      </c>
      <c r="B2953" t="s">
        <v>20</v>
      </c>
      <c r="C2953">
        <v>2015</v>
      </c>
      <c r="D2953">
        <v>4</v>
      </c>
      <c r="E2953" t="s">
        <v>6</v>
      </c>
      <c r="F2953" t="s">
        <v>6</v>
      </c>
      <c r="G2953" t="s">
        <v>6</v>
      </c>
      <c r="H2953">
        <v>20686.080000000002</v>
      </c>
      <c r="I2953">
        <v>7631.49</v>
      </c>
      <c r="J2953">
        <v>0</v>
      </c>
    </row>
    <row r="2954" spans="1:10" x14ac:dyDescent="0.35">
      <c r="A2954">
        <v>327264</v>
      </c>
      <c r="B2954" t="s">
        <v>20</v>
      </c>
      <c r="C2954">
        <v>2015</v>
      </c>
      <c r="D2954">
        <v>4</v>
      </c>
      <c r="E2954" t="s">
        <v>6</v>
      </c>
      <c r="F2954" t="s">
        <v>6</v>
      </c>
      <c r="G2954" t="s">
        <v>6</v>
      </c>
      <c r="H2954">
        <v>24501.24</v>
      </c>
      <c r="I2954">
        <v>7190.78</v>
      </c>
      <c r="J2954">
        <v>0</v>
      </c>
    </row>
    <row r="2955" spans="1:10" x14ac:dyDescent="0.35">
      <c r="A2955">
        <v>327268</v>
      </c>
      <c r="B2955" t="s">
        <v>20</v>
      </c>
      <c r="C2955">
        <v>2015</v>
      </c>
      <c r="D2955">
        <v>4</v>
      </c>
      <c r="E2955" t="s">
        <v>6</v>
      </c>
      <c r="F2955" t="s">
        <v>6</v>
      </c>
      <c r="G2955" t="s">
        <v>6</v>
      </c>
      <c r="H2955">
        <v>15380.76</v>
      </c>
      <c r="I2955">
        <v>5331.04</v>
      </c>
      <c r="J2955">
        <v>0</v>
      </c>
    </row>
    <row r="2956" spans="1:10" x14ac:dyDescent="0.35">
      <c r="A2956">
        <v>327270</v>
      </c>
      <c r="B2956" t="s">
        <v>20</v>
      </c>
      <c r="C2956">
        <v>2015</v>
      </c>
      <c r="D2956">
        <v>4</v>
      </c>
      <c r="E2956" t="s">
        <v>6</v>
      </c>
      <c r="F2956" t="s">
        <v>6</v>
      </c>
      <c r="G2956" t="s">
        <v>6</v>
      </c>
      <c r="H2956">
        <v>37611.9</v>
      </c>
      <c r="I2956">
        <v>12099.13</v>
      </c>
      <c r="J2956">
        <v>0</v>
      </c>
    </row>
    <row r="2957" spans="1:10" x14ac:dyDescent="0.35">
      <c r="A2957">
        <v>327274</v>
      </c>
      <c r="B2957" t="s">
        <v>20</v>
      </c>
      <c r="C2957">
        <v>2015</v>
      </c>
      <c r="D2957">
        <v>4</v>
      </c>
      <c r="E2957" t="s">
        <v>6</v>
      </c>
      <c r="F2957" t="s">
        <v>6</v>
      </c>
      <c r="G2957" t="s">
        <v>6</v>
      </c>
      <c r="H2957">
        <v>25125.86</v>
      </c>
      <c r="I2957">
        <v>9220.32</v>
      </c>
      <c r="J2957">
        <v>0</v>
      </c>
    </row>
    <row r="2958" spans="1:10" x14ac:dyDescent="0.35">
      <c r="A2958">
        <v>327279</v>
      </c>
      <c r="B2958" t="s">
        <v>20</v>
      </c>
      <c r="C2958">
        <v>2015</v>
      </c>
      <c r="D2958">
        <v>4</v>
      </c>
      <c r="E2958" t="s">
        <v>6</v>
      </c>
      <c r="F2958" t="s">
        <v>6</v>
      </c>
      <c r="G2958" t="s">
        <v>6</v>
      </c>
      <c r="H2958">
        <v>32241.62</v>
      </c>
      <c r="I2958">
        <v>12575</v>
      </c>
      <c r="J2958">
        <v>0</v>
      </c>
    </row>
    <row r="2959" spans="1:10" x14ac:dyDescent="0.35">
      <c r="A2959">
        <v>327281</v>
      </c>
      <c r="B2959" t="s">
        <v>20</v>
      </c>
      <c r="C2959">
        <v>2015</v>
      </c>
      <c r="D2959">
        <v>4</v>
      </c>
      <c r="E2959" t="s">
        <v>6</v>
      </c>
      <c r="F2959" t="s">
        <v>6</v>
      </c>
      <c r="G2959" t="s">
        <v>6</v>
      </c>
      <c r="H2959">
        <v>12019.74</v>
      </c>
      <c r="I2959">
        <v>3139.64</v>
      </c>
      <c r="J2959">
        <v>0</v>
      </c>
    </row>
    <row r="2960" spans="1:10" x14ac:dyDescent="0.35">
      <c r="A2960">
        <v>327299</v>
      </c>
      <c r="B2960" t="s">
        <v>20</v>
      </c>
      <c r="C2960">
        <v>2015</v>
      </c>
      <c r="D2960">
        <v>4</v>
      </c>
      <c r="E2960" t="s">
        <v>6</v>
      </c>
      <c r="F2960" t="s">
        <v>6</v>
      </c>
      <c r="G2960" t="s">
        <v>6</v>
      </c>
      <c r="H2960">
        <v>74206.240000000005</v>
      </c>
      <c r="I2960">
        <v>32264.74</v>
      </c>
      <c r="J2960">
        <v>0</v>
      </c>
    </row>
    <row r="2961" spans="1:10" x14ac:dyDescent="0.35">
      <c r="A2961">
        <v>327301</v>
      </c>
      <c r="B2961" t="s">
        <v>20</v>
      </c>
      <c r="C2961">
        <v>2015</v>
      </c>
      <c r="D2961">
        <v>4</v>
      </c>
      <c r="E2961" t="s">
        <v>6</v>
      </c>
      <c r="F2961" t="s">
        <v>6</v>
      </c>
      <c r="G2961" t="s">
        <v>6</v>
      </c>
      <c r="H2961">
        <v>15867.94</v>
      </c>
      <c r="I2961">
        <v>6385.12</v>
      </c>
      <c r="J2961">
        <v>0</v>
      </c>
    </row>
    <row r="2962" spans="1:10" x14ac:dyDescent="0.35">
      <c r="A2962">
        <v>327304</v>
      </c>
      <c r="B2962" t="s">
        <v>20</v>
      </c>
      <c r="C2962">
        <v>2015</v>
      </c>
      <c r="D2962">
        <v>4</v>
      </c>
      <c r="E2962" t="s">
        <v>6</v>
      </c>
      <c r="F2962" t="s">
        <v>6</v>
      </c>
      <c r="G2962" t="s">
        <v>6</v>
      </c>
      <c r="H2962">
        <v>10140.98</v>
      </c>
      <c r="I2962">
        <v>2706.91</v>
      </c>
      <c r="J2962">
        <v>0</v>
      </c>
    </row>
    <row r="2963" spans="1:10" x14ac:dyDescent="0.35">
      <c r="A2963">
        <v>327309</v>
      </c>
      <c r="B2963" t="s">
        <v>20</v>
      </c>
      <c r="C2963">
        <v>2015</v>
      </c>
      <c r="D2963">
        <v>4</v>
      </c>
      <c r="E2963" t="s">
        <v>6</v>
      </c>
      <c r="F2963" t="s">
        <v>6</v>
      </c>
      <c r="G2963" t="s">
        <v>6</v>
      </c>
      <c r="H2963">
        <v>34446.480000000003</v>
      </c>
      <c r="I2963">
        <v>11578.66</v>
      </c>
      <c r="J2963">
        <v>0</v>
      </c>
    </row>
    <row r="2964" spans="1:10" x14ac:dyDescent="0.35">
      <c r="A2964">
        <v>327314</v>
      </c>
      <c r="B2964" t="s">
        <v>20</v>
      </c>
      <c r="C2964">
        <v>2015</v>
      </c>
      <c r="D2964">
        <v>4</v>
      </c>
      <c r="E2964" t="s">
        <v>6</v>
      </c>
      <c r="F2964" t="s">
        <v>6</v>
      </c>
      <c r="G2964" t="s">
        <v>6</v>
      </c>
      <c r="H2964">
        <v>22026.959999999999</v>
      </c>
      <c r="I2964">
        <v>9078.25</v>
      </c>
      <c r="J2964">
        <v>0</v>
      </c>
    </row>
    <row r="2965" spans="1:10" x14ac:dyDescent="0.35">
      <c r="A2965">
        <v>327318</v>
      </c>
      <c r="B2965" t="s">
        <v>20</v>
      </c>
      <c r="C2965">
        <v>2015</v>
      </c>
      <c r="D2965">
        <v>4</v>
      </c>
      <c r="E2965" t="s">
        <v>6</v>
      </c>
      <c r="F2965" t="s">
        <v>6</v>
      </c>
      <c r="G2965" t="s">
        <v>6</v>
      </c>
      <c r="H2965">
        <v>9399.74</v>
      </c>
      <c r="I2965">
        <v>2499.81</v>
      </c>
      <c r="J2965">
        <v>0</v>
      </c>
    </row>
    <row r="2966" spans="1:10" x14ac:dyDescent="0.35">
      <c r="A2966">
        <v>327319</v>
      </c>
      <c r="B2966" t="s">
        <v>20</v>
      </c>
      <c r="C2966">
        <v>2015</v>
      </c>
      <c r="D2966">
        <v>4</v>
      </c>
      <c r="E2966" t="s">
        <v>6</v>
      </c>
      <c r="F2966" t="s">
        <v>6</v>
      </c>
      <c r="G2966" t="s">
        <v>6</v>
      </c>
      <c r="H2966">
        <v>10322.620000000001</v>
      </c>
      <c r="I2966">
        <v>4347.8500000000004</v>
      </c>
      <c r="J2966">
        <v>0</v>
      </c>
    </row>
    <row r="2967" spans="1:10" x14ac:dyDescent="0.35">
      <c r="A2967">
        <v>327323</v>
      </c>
      <c r="B2967" t="s">
        <v>20</v>
      </c>
      <c r="C2967">
        <v>2015</v>
      </c>
      <c r="D2967">
        <v>4</v>
      </c>
      <c r="E2967" t="s">
        <v>6</v>
      </c>
      <c r="F2967" t="s">
        <v>6</v>
      </c>
      <c r="G2967" t="s">
        <v>6</v>
      </c>
      <c r="H2967">
        <v>33223.4</v>
      </c>
      <c r="I2967">
        <v>11213.32</v>
      </c>
      <c r="J2967">
        <v>0</v>
      </c>
    </row>
    <row r="2968" spans="1:10" x14ac:dyDescent="0.35">
      <c r="A2968">
        <v>327330</v>
      </c>
      <c r="B2968" t="s">
        <v>20</v>
      </c>
      <c r="C2968">
        <v>2015</v>
      </c>
      <c r="D2968">
        <v>4</v>
      </c>
      <c r="E2968" t="s">
        <v>6</v>
      </c>
      <c r="F2968" t="s">
        <v>6</v>
      </c>
      <c r="G2968" t="s">
        <v>6</v>
      </c>
      <c r="H2968">
        <v>11702.04</v>
      </c>
      <c r="I2968">
        <v>4110.7</v>
      </c>
      <c r="J2968">
        <v>0</v>
      </c>
    </row>
    <row r="2969" spans="1:10" x14ac:dyDescent="0.35">
      <c r="A2969">
        <v>327337</v>
      </c>
      <c r="B2969" t="s">
        <v>20</v>
      </c>
      <c r="C2969">
        <v>2015</v>
      </c>
      <c r="D2969">
        <v>4</v>
      </c>
      <c r="E2969" t="s">
        <v>6</v>
      </c>
      <c r="F2969" t="s">
        <v>6</v>
      </c>
      <c r="G2969" t="s">
        <v>6</v>
      </c>
      <c r="H2969">
        <v>16573.88</v>
      </c>
      <c r="I2969">
        <v>6357.22</v>
      </c>
      <c r="J2969">
        <v>0</v>
      </c>
    </row>
    <row r="2970" spans="1:10" x14ac:dyDescent="0.35">
      <c r="A2970">
        <v>327340</v>
      </c>
      <c r="B2970" t="s">
        <v>20</v>
      </c>
      <c r="C2970">
        <v>2015</v>
      </c>
      <c r="D2970">
        <v>4</v>
      </c>
      <c r="E2970" t="s">
        <v>6</v>
      </c>
      <c r="F2970" t="s">
        <v>6</v>
      </c>
      <c r="G2970" t="s">
        <v>6</v>
      </c>
      <c r="H2970">
        <v>26204.58</v>
      </c>
      <c r="I2970">
        <v>7374.37</v>
      </c>
      <c r="J2970">
        <v>0</v>
      </c>
    </row>
    <row r="2971" spans="1:10" x14ac:dyDescent="0.35">
      <c r="A2971">
        <v>327342</v>
      </c>
      <c r="B2971" t="s">
        <v>20</v>
      </c>
      <c r="C2971">
        <v>2015</v>
      </c>
      <c r="D2971">
        <v>4</v>
      </c>
      <c r="E2971" t="s">
        <v>6</v>
      </c>
      <c r="F2971" t="s">
        <v>6</v>
      </c>
      <c r="G2971" t="s">
        <v>6</v>
      </c>
      <c r="H2971">
        <v>11830.54</v>
      </c>
      <c r="I2971">
        <v>3666.88</v>
      </c>
      <c r="J2971">
        <v>0</v>
      </c>
    </row>
    <row r="2972" spans="1:10" x14ac:dyDescent="0.35">
      <c r="A2972">
        <v>327350</v>
      </c>
      <c r="B2972" t="s">
        <v>20</v>
      </c>
      <c r="C2972">
        <v>2015</v>
      </c>
      <c r="D2972">
        <v>4</v>
      </c>
      <c r="E2972" t="s">
        <v>6</v>
      </c>
      <c r="F2972" t="s">
        <v>6</v>
      </c>
      <c r="G2972" t="s">
        <v>6</v>
      </c>
      <c r="H2972">
        <v>24977.7</v>
      </c>
      <c r="I2972">
        <v>8615.19</v>
      </c>
      <c r="J2972">
        <v>0</v>
      </c>
    </row>
    <row r="2973" spans="1:10" x14ac:dyDescent="0.35">
      <c r="A2973">
        <v>327359</v>
      </c>
      <c r="B2973" t="s">
        <v>20</v>
      </c>
      <c r="C2973">
        <v>2015</v>
      </c>
      <c r="D2973">
        <v>4</v>
      </c>
      <c r="E2973" t="s">
        <v>6</v>
      </c>
      <c r="F2973" t="s">
        <v>6</v>
      </c>
      <c r="G2973" t="s">
        <v>6</v>
      </c>
      <c r="H2973">
        <v>16134.16</v>
      </c>
      <c r="I2973">
        <v>6299.7</v>
      </c>
      <c r="J2973">
        <v>0</v>
      </c>
    </row>
    <row r="2974" spans="1:10" x14ac:dyDescent="0.35">
      <c r="A2974">
        <v>327360</v>
      </c>
      <c r="B2974" t="s">
        <v>20</v>
      </c>
      <c r="C2974">
        <v>2015</v>
      </c>
      <c r="D2974">
        <v>4</v>
      </c>
      <c r="E2974" t="s">
        <v>6</v>
      </c>
      <c r="F2974" t="s">
        <v>6</v>
      </c>
      <c r="G2974" t="s">
        <v>6</v>
      </c>
      <c r="H2974">
        <v>18917.2</v>
      </c>
      <c r="I2974">
        <v>5963.57</v>
      </c>
      <c r="J2974">
        <v>0</v>
      </c>
    </row>
    <row r="2975" spans="1:10" x14ac:dyDescent="0.35">
      <c r="A2975">
        <v>327367</v>
      </c>
      <c r="B2975" t="s">
        <v>20</v>
      </c>
      <c r="C2975">
        <v>2015</v>
      </c>
      <c r="D2975">
        <v>4</v>
      </c>
      <c r="E2975" t="s">
        <v>6</v>
      </c>
      <c r="F2975" t="s">
        <v>6</v>
      </c>
      <c r="G2975" t="s">
        <v>6</v>
      </c>
      <c r="H2975">
        <v>17010.02</v>
      </c>
      <c r="I2975">
        <v>6021.5</v>
      </c>
      <c r="J2975">
        <v>0</v>
      </c>
    </row>
    <row r="2976" spans="1:10" x14ac:dyDescent="0.35">
      <c r="A2976">
        <v>327376</v>
      </c>
      <c r="B2976" t="s">
        <v>20</v>
      </c>
      <c r="C2976">
        <v>2015</v>
      </c>
      <c r="D2976">
        <v>4</v>
      </c>
      <c r="E2976" t="s">
        <v>6</v>
      </c>
      <c r="F2976" t="s">
        <v>6</v>
      </c>
      <c r="G2976" t="s">
        <v>6</v>
      </c>
      <c r="H2976">
        <v>175371.86</v>
      </c>
      <c r="I2976">
        <v>84842.01</v>
      </c>
      <c r="J2976">
        <v>0</v>
      </c>
    </row>
    <row r="2977" spans="1:10" x14ac:dyDescent="0.35">
      <c r="A2977">
        <v>327377</v>
      </c>
      <c r="B2977" t="s">
        <v>20</v>
      </c>
      <c r="C2977">
        <v>2015</v>
      </c>
      <c r="D2977">
        <v>4</v>
      </c>
      <c r="E2977" t="s">
        <v>6</v>
      </c>
      <c r="F2977" t="s">
        <v>6</v>
      </c>
      <c r="G2977" t="s">
        <v>6</v>
      </c>
      <c r="H2977">
        <v>14042.72</v>
      </c>
      <c r="I2977">
        <v>5282.17</v>
      </c>
      <c r="J2977">
        <v>0</v>
      </c>
    </row>
    <row r="2978" spans="1:10" x14ac:dyDescent="0.35">
      <c r="A2978">
        <v>327380</v>
      </c>
      <c r="B2978" t="s">
        <v>20</v>
      </c>
      <c r="C2978">
        <v>2015</v>
      </c>
      <c r="D2978">
        <v>4</v>
      </c>
      <c r="E2978" t="s">
        <v>6</v>
      </c>
      <c r="F2978" t="s">
        <v>6</v>
      </c>
      <c r="G2978" t="s">
        <v>6</v>
      </c>
      <c r="H2978">
        <v>20303.62</v>
      </c>
      <c r="I2978">
        <v>6198.42</v>
      </c>
      <c r="J2978">
        <v>0</v>
      </c>
    </row>
    <row r="2979" spans="1:10" x14ac:dyDescent="0.35">
      <c r="A2979">
        <v>327389</v>
      </c>
      <c r="B2979" t="s">
        <v>20</v>
      </c>
      <c r="C2979">
        <v>2015</v>
      </c>
      <c r="D2979">
        <v>4</v>
      </c>
      <c r="E2979" t="s">
        <v>6</v>
      </c>
      <c r="F2979" t="s">
        <v>6</v>
      </c>
      <c r="G2979" t="s">
        <v>6</v>
      </c>
      <c r="H2979">
        <v>25883.040000000001</v>
      </c>
      <c r="I2979">
        <v>8699.94</v>
      </c>
      <c r="J2979">
        <v>0</v>
      </c>
    </row>
    <row r="2980" spans="1:10" x14ac:dyDescent="0.35">
      <c r="A2980">
        <v>327396</v>
      </c>
      <c r="B2980" t="s">
        <v>20</v>
      </c>
      <c r="C2980">
        <v>2015</v>
      </c>
      <c r="D2980">
        <v>4</v>
      </c>
      <c r="E2980" t="s">
        <v>6</v>
      </c>
      <c r="F2980" t="s">
        <v>6</v>
      </c>
      <c r="G2980" t="s">
        <v>6</v>
      </c>
      <c r="H2980">
        <v>10443.94</v>
      </c>
      <c r="I2980">
        <v>3196.38</v>
      </c>
      <c r="J2980">
        <v>0</v>
      </c>
    </row>
    <row r="2981" spans="1:10" x14ac:dyDescent="0.35">
      <c r="A2981">
        <v>327416</v>
      </c>
      <c r="B2981" t="s">
        <v>20</v>
      </c>
      <c r="C2981">
        <v>2015</v>
      </c>
      <c r="D2981">
        <v>4</v>
      </c>
      <c r="E2981" t="s">
        <v>6</v>
      </c>
      <c r="F2981" t="s">
        <v>6</v>
      </c>
      <c r="G2981" t="s">
        <v>6</v>
      </c>
      <c r="H2981">
        <v>67557.119999999995</v>
      </c>
      <c r="I2981">
        <v>22984.240000000002</v>
      </c>
      <c r="J2981">
        <v>0</v>
      </c>
    </row>
    <row r="2982" spans="1:10" x14ac:dyDescent="0.35">
      <c r="A2982">
        <v>327438</v>
      </c>
      <c r="B2982" t="s">
        <v>20</v>
      </c>
      <c r="C2982">
        <v>2015</v>
      </c>
      <c r="D2982">
        <v>4</v>
      </c>
      <c r="E2982" t="s">
        <v>6</v>
      </c>
      <c r="F2982" t="s">
        <v>6</v>
      </c>
      <c r="G2982" t="s">
        <v>6</v>
      </c>
      <c r="H2982">
        <v>102340.35</v>
      </c>
      <c r="I2982">
        <v>46316.53</v>
      </c>
      <c r="J2982">
        <v>0</v>
      </c>
    </row>
    <row r="2983" spans="1:10" x14ac:dyDescent="0.35">
      <c r="A2983">
        <v>327455</v>
      </c>
      <c r="B2983" t="s">
        <v>20</v>
      </c>
      <c r="C2983">
        <v>2015</v>
      </c>
      <c r="D2983">
        <v>4</v>
      </c>
      <c r="E2983" t="s">
        <v>6</v>
      </c>
      <c r="F2983" t="s">
        <v>6</v>
      </c>
      <c r="G2983" t="s">
        <v>6</v>
      </c>
      <c r="H2983">
        <v>26268.42</v>
      </c>
      <c r="I2983">
        <v>7053.35</v>
      </c>
      <c r="J2983">
        <v>0</v>
      </c>
    </row>
    <row r="2984" spans="1:10" x14ac:dyDescent="0.35">
      <c r="A2984">
        <v>327476</v>
      </c>
      <c r="B2984" t="s">
        <v>20</v>
      </c>
      <c r="C2984">
        <v>2015</v>
      </c>
      <c r="D2984">
        <v>4</v>
      </c>
      <c r="E2984" t="s">
        <v>6</v>
      </c>
      <c r="F2984" t="s">
        <v>6</v>
      </c>
      <c r="G2984" t="s">
        <v>6</v>
      </c>
      <c r="H2984">
        <v>22926.38</v>
      </c>
      <c r="I2984">
        <v>7026.31</v>
      </c>
      <c r="J2984">
        <v>0</v>
      </c>
    </row>
    <row r="2985" spans="1:10" x14ac:dyDescent="0.35">
      <c r="A2985">
        <v>327481</v>
      </c>
      <c r="B2985" t="s">
        <v>20</v>
      </c>
      <c r="C2985">
        <v>2015</v>
      </c>
      <c r="D2985">
        <v>4</v>
      </c>
      <c r="E2985" t="s">
        <v>6</v>
      </c>
      <c r="F2985" t="s">
        <v>6</v>
      </c>
      <c r="G2985" t="s">
        <v>6</v>
      </c>
      <c r="H2985">
        <v>11095.02</v>
      </c>
      <c r="I2985">
        <v>6397.15</v>
      </c>
      <c r="J2985">
        <v>0</v>
      </c>
    </row>
    <row r="2986" spans="1:10" x14ac:dyDescent="0.35">
      <c r="A2986">
        <v>327489</v>
      </c>
      <c r="B2986" t="s">
        <v>20</v>
      </c>
      <c r="C2986">
        <v>2015</v>
      </c>
      <c r="D2986">
        <v>4</v>
      </c>
      <c r="E2986" t="s">
        <v>6</v>
      </c>
      <c r="F2986" t="s">
        <v>6</v>
      </c>
      <c r="G2986" t="s">
        <v>6</v>
      </c>
      <c r="H2986">
        <v>13276.5</v>
      </c>
      <c r="I2986">
        <v>3442.06</v>
      </c>
      <c r="J2986">
        <v>0</v>
      </c>
    </row>
    <row r="2987" spans="1:10" x14ac:dyDescent="0.35">
      <c r="A2987">
        <v>327492</v>
      </c>
      <c r="B2987" t="s">
        <v>20</v>
      </c>
      <c r="C2987">
        <v>2015</v>
      </c>
      <c r="D2987">
        <v>4</v>
      </c>
      <c r="E2987" t="s">
        <v>6</v>
      </c>
      <c r="F2987" t="s">
        <v>6</v>
      </c>
      <c r="G2987" t="s">
        <v>6</v>
      </c>
      <c r="H2987">
        <v>10763.6</v>
      </c>
      <c r="I2987">
        <v>3051.39</v>
      </c>
      <c r="J2987">
        <v>0</v>
      </c>
    </row>
    <row r="2988" spans="1:10" x14ac:dyDescent="0.35">
      <c r="A2988">
        <v>327498</v>
      </c>
      <c r="B2988" t="s">
        <v>20</v>
      </c>
      <c r="C2988">
        <v>2015</v>
      </c>
      <c r="D2988">
        <v>4</v>
      </c>
      <c r="E2988" t="s">
        <v>6</v>
      </c>
      <c r="F2988" t="s">
        <v>6</v>
      </c>
      <c r="G2988" t="s">
        <v>6</v>
      </c>
      <c r="H2988">
        <v>28918.42</v>
      </c>
      <c r="I2988">
        <v>11673.17</v>
      </c>
      <c r="J2988">
        <v>0</v>
      </c>
    </row>
    <row r="2989" spans="1:10" x14ac:dyDescent="0.35">
      <c r="A2989">
        <v>327508</v>
      </c>
      <c r="B2989" t="s">
        <v>20</v>
      </c>
      <c r="C2989">
        <v>2015</v>
      </c>
      <c r="D2989">
        <v>4</v>
      </c>
      <c r="E2989" t="s">
        <v>6</v>
      </c>
      <c r="F2989" t="s">
        <v>6</v>
      </c>
      <c r="G2989" t="s">
        <v>6</v>
      </c>
      <c r="H2989">
        <v>26299.72</v>
      </c>
      <c r="I2989">
        <v>8759.89</v>
      </c>
      <c r="J2989">
        <v>0</v>
      </c>
    </row>
    <row r="2990" spans="1:10" x14ac:dyDescent="0.35">
      <c r="A2990">
        <v>327509</v>
      </c>
      <c r="B2990" t="s">
        <v>20</v>
      </c>
      <c r="C2990">
        <v>2015</v>
      </c>
      <c r="D2990">
        <v>4</v>
      </c>
      <c r="E2990" t="s">
        <v>6</v>
      </c>
      <c r="F2990" t="s">
        <v>6</v>
      </c>
      <c r="G2990" t="s">
        <v>6</v>
      </c>
      <c r="H2990">
        <v>13526.88</v>
      </c>
      <c r="I2990">
        <v>3289.84</v>
      </c>
      <c r="J2990">
        <v>0</v>
      </c>
    </row>
    <row r="2991" spans="1:10" x14ac:dyDescent="0.35">
      <c r="A2991">
        <v>327511</v>
      </c>
      <c r="B2991" t="s">
        <v>20</v>
      </c>
      <c r="C2991">
        <v>2015</v>
      </c>
      <c r="D2991">
        <v>4</v>
      </c>
      <c r="E2991" t="s">
        <v>6</v>
      </c>
      <c r="F2991" t="s">
        <v>6</v>
      </c>
      <c r="G2991" t="s">
        <v>6</v>
      </c>
      <c r="H2991">
        <v>17432.52</v>
      </c>
      <c r="I2991">
        <v>5957.63</v>
      </c>
      <c r="J2991">
        <v>0</v>
      </c>
    </row>
    <row r="2992" spans="1:10" x14ac:dyDescent="0.35">
      <c r="A2992">
        <v>327519</v>
      </c>
      <c r="B2992" t="s">
        <v>20</v>
      </c>
      <c r="C2992">
        <v>2015</v>
      </c>
      <c r="D2992">
        <v>4</v>
      </c>
      <c r="E2992" t="s">
        <v>6</v>
      </c>
      <c r="F2992" t="s">
        <v>6</v>
      </c>
      <c r="G2992" t="s">
        <v>6</v>
      </c>
      <c r="H2992">
        <v>34666.160000000003</v>
      </c>
      <c r="I2992">
        <v>11994.17</v>
      </c>
      <c r="J2992">
        <v>0</v>
      </c>
    </row>
    <row r="2993" spans="1:10" x14ac:dyDescent="0.35">
      <c r="A2993">
        <v>327525</v>
      </c>
      <c r="B2993" t="s">
        <v>20</v>
      </c>
      <c r="C2993">
        <v>2015</v>
      </c>
      <c r="D2993">
        <v>4</v>
      </c>
      <c r="E2993" t="s">
        <v>6</v>
      </c>
      <c r="F2993" t="s">
        <v>6</v>
      </c>
      <c r="G2993" t="s">
        <v>6</v>
      </c>
      <c r="H2993">
        <v>23879.72</v>
      </c>
      <c r="I2993">
        <v>7003.73</v>
      </c>
      <c r="J2993">
        <v>0</v>
      </c>
    </row>
    <row r="2994" spans="1:10" x14ac:dyDescent="0.35">
      <c r="A2994">
        <v>327528</v>
      </c>
      <c r="B2994" t="s">
        <v>20</v>
      </c>
      <c r="C2994">
        <v>2015</v>
      </c>
      <c r="D2994">
        <v>4</v>
      </c>
      <c r="E2994" t="s">
        <v>6</v>
      </c>
      <c r="F2994" t="s">
        <v>6</v>
      </c>
      <c r="G2994" t="s">
        <v>6</v>
      </c>
      <c r="H2994">
        <v>16312.1</v>
      </c>
      <c r="I2994">
        <v>6285.07</v>
      </c>
      <c r="J2994">
        <v>0</v>
      </c>
    </row>
    <row r="2995" spans="1:10" x14ac:dyDescent="0.35">
      <c r="A2995">
        <v>327532</v>
      </c>
      <c r="B2995" t="s">
        <v>20</v>
      </c>
      <c r="C2995">
        <v>2015</v>
      </c>
      <c r="D2995">
        <v>4</v>
      </c>
      <c r="E2995" t="s">
        <v>6</v>
      </c>
      <c r="F2995" t="s">
        <v>6</v>
      </c>
      <c r="G2995" t="s">
        <v>6</v>
      </c>
      <c r="H2995">
        <v>29754.87</v>
      </c>
      <c r="I2995">
        <v>10038.299999999999</v>
      </c>
      <c r="J2995">
        <v>0</v>
      </c>
    </row>
    <row r="2996" spans="1:10" x14ac:dyDescent="0.35">
      <c r="A2996">
        <v>327534</v>
      </c>
      <c r="B2996" t="s">
        <v>20</v>
      </c>
      <c r="C2996">
        <v>2015</v>
      </c>
      <c r="D2996">
        <v>4</v>
      </c>
      <c r="E2996" t="s">
        <v>6</v>
      </c>
      <c r="F2996" t="s">
        <v>6</v>
      </c>
      <c r="G2996" t="s">
        <v>6</v>
      </c>
      <c r="H2996">
        <v>110443.52</v>
      </c>
      <c r="I2996">
        <v>43931.22</v>
      </c>
      <c r="J2996">
        <v>0</v>
      </c>
    </row>
    <row r="2997" spans="1:10" x14ac:dyDescent="0.35">
      <c r="A2997">
        <v>327537</v>
      </c>
      <c r="B2997" t="s">
        <v>20</v>
      </c>
      <c r="C2997">
        <v>2015</v>
      </c>
      <c r="D2997">
        <v>4</v>
      </c>
      <c r="E2997" t="s">
        <v>6</v>
      </c>
      <c r="F2997" t="s">
        <v>6</v>
      </c>
      <c r="G2997" t="s">
        <v>6</v>
      </c>
      <c r="H2997">
        <v>31680.04</v>
      </c>
      <c r="I2997">
        <v>22597.63</v>
      </c>
      <c r="J2997">
        <v>0</v>
      </c>
    </row>
    <row r="2998" spans="1:10" x14ac:dyDescent="0.35">
      <c r="A2998">
        <v>327541</v>
      </c>
      <c r="B2998" t="s">
        <v>20</v>
      </c>
      <c r="C2998">
        <v>2015</v>
      </c>
      <c r="D2998">
        <v>4</v>
      </c>
      <c r="E2998" t="s">
        <v>6</v>
      </c>
      <c r="F2998" t="s">
        <v>6</v>
      </c>
      <c r="G2998" t="s">
        <v>6</v>
      </c>
      <c r="H2998">
        <v>30928.06</v>
      </c>
      <c r="I2998">
        <v>11112.63</v>
      </c>
      <c r="J2998">
        <v>0</v>
      </c>
    </row>
    <row r="2999" spans="1:10" x14ac:dyDescent="0.35">
      <c r="A2999">
        <v>327543</v>
      </c>
      <c r="B2999" t="s">
        <v>20</v>
      </c>
      <c r="C2999">
        <v>2015</v>
      </c>
      <c r="D2999">
        <v>4</v>
      </c>
      <c r="E2999" t="s">
        <v>6</v>
      </c>
      <c r="F2999" t="s">
        <v>6</v>
      </c>
      <c r="G2999" t="s">
        <v>6</v>
      </c>
      <c r="H2999">
        <v>10237.799999999999</v>
      </c>
      <c r="I2999">
        <v>4038.27</v>
      </c>
      <c r="J2999">
        <v>0</v>
      </c>
    </row>
    <row r="3000" spans="1:10" x14ac:dyDescent="0.35">
      <c r="A3000">
        <v>327550</v>
      </c>
      <c r="B3000" t="s">
        <v>20</v>
      </c>
      <c r="C3000">
        <v>2015</v>
      </c>
      <c r="D3000">
        <v>4</v>
      </c>
      <c r="E3000" t="s">
        <v>6</v>
      </c>
      <c r="F3000" t="s">
        <v>6</v>
      </c>
      <c r="G3000" t="s">
        <v>6</v>
      </c>
      <c r="H3000">
        <v>78944.820000000007</v>
      </c>
      <c r="I3000">
        <v>23502.29</v>
      </c>
      <c r="J3000">
        <v>0</v>
      </c>
    </row>
    <row r="3001" spans="1:10" x14ac:dyDescent="0.35">
      <c r="A3001">
        <v>327554</v>
      </c>
      <c r="B3001" t="s">
        <v>20</v>
      </c>
      <c r="C3001">
        <v>2015</v>
      </c>
      <c r="D3001">
        <v>4</v>
      </c>
      <c r="E3001" t="s">
        <v>6</v>
      </c>
      <c r="F3001" t="s">
        <v>6</v>
      </c>
      <c r="G3001" t="s">
        <v>6</v>
      </c>
      <c r="H3001">
        <v>51719.32</v>
      </c>
      <c r="I3001">
        <v>11808.07</v>
      </c>
      <c r="J3001">
        <v>0</v>
      </c>
    </row>
    <row r="3002" spans="1:10" x14ac:dyDescent="0.35">
      <c r="A3002">
        <v>327556</v>
      </c>
      <c r="B3002" t="s">
        <v>20</v>
      </c>
      <c r="C3002">
        <v>2015</v>
      </c>
      <c r="D3002">
        <v>4</v>
      </c>
      <c r="E3002" t="s">
        <v>6</v>
      </c>
      <c r="F3002" t="s">
        <v>6</v>
      </c>
      <c r="G3002" t="s">
        <v>6</v>
      </c>
      <c r="H3002">
        <v>23748.880000000001</v>
      </c>
      <c r="I3002">
        <v>8085.37</v>
      </c>
      <c r="J3002">
        <v>0</v>
      </c>
    </row>
    <row r="3003" spans="1:10" x14ac:dyDescent="0.35">
      <c r="A3003">
        <v>327566</v>
      </c>
      <c r="B3003" t="s">
        <v>20</v>
      </c>
      <c r="C3003">
        <v>2015</v>
      </c>
      <c r="D3003">
        <v>4</v>
      </c>
      <c r="E3003" t="s">
        <v>6</v>
      </c>
      <c r="F3003" t="s">
        <v>6</v>
      </c>
      <c r="G3003" t="s">
        <v>6</v>
      </c>
      <c r="H3003">
        <v>29531.4</v>
      </c>
      <c r="I3003">
        <v>9978.92</v>
      </c>
      <c r="J3003">
        <v>0</v>
      </c>
    </row>
    <row r="3004" spans="1:10" x14ac:dyDescent="0.35">
      <c r="A3004">
        <v>327572</v>
      </c>
      <c r="B3004" t="s">
        <v>20</v>
      </c>
      <c r="C3004">
        <v>2015</v>
      </c>
      <c r="D3004">
        <v>4</v>
      </c>
      <c r="E3004" t="s">
        <v>6</v>
      </c>
      <c r="F3004" t="s">
        <v>6</v>
      </c>
      <c r="G3004" t="s">
        <v>6</v>
      </c>
      <c r="H3004">
        <v>16653.580000000002</v>
      </c>
      <c r="I3004">
        <v>4936.5600000000004</v>
      </c>
      <c r="J3004">
        <v>0</v>
      </c>
    </row>
    <row r="3005" spans="1:10" x14ac:dyDescent="0.35">
      <c r="A3005">
        <v>327573</v>
      </c>
      <c r="B3005" t="s">
        <v>20</v>
      </c>
      <c r="C3005">
        <v>2015</v>
      </c>
      <c r="D3005">
        <v>4</v>
      </c>
      <c r="E3005" t="s">
        <v>6</v>
      </c>
      <c r="F3005" t="s">
        <v>6</v>
      </c>
      <c r="G3005" t="s">
        <v>6</v>
      </c>
      <c r="H3005">
        <v>11448.9</v>
      </c>
      <c r="I3005">
        <v>4121.93</v>
      </c>
      <c r="J3005">
        <v>0</v>
      </c>
    </row>
    <row r="3006" spans="1:10" x14ac:dyDescent="0.35">
      <c r="A3006">
        <v>327589</v>
      </c>
      <c r="B3006" t="s">
        <v>20</v>
      </c>
      <c r="C3006">
        <v>2015</v>
      </c>
      <c r="D3006">
        <v>4</v>
      </c>
      <c r="E3006" t="s">
        <v>6</v>
      </c>
      <c r="F3006" t="s">
        <v>6</v>
      </c>
      <c r="G3006" t="s">
        <v>6</v>
      </c>
      <c r="H3006">
        <v>14256.5</v>
      </c>
      <c r="I3006">
        <v>4265.09</v>
      </c>
      <c r="J3006">
        <v>0</v>
      </c>
    </row>
    <row r="3007" spans="1:10" x14ac:dyDescent="0.35">
      <c r="A3007">
        <v>327594</v>
      </c>
      <c r="B3007" t="s">
        <v>20</v>
      </c>
      <c r="C3007">
        <v>2015</v>
      </c>
      <c r="D3007">
        <v>4</v>
      </c>
      <c r="E3007" t="s">
        <v>6</v>
      </c>
      <c r="F3007" t="s">
        <v>6</v>
      </c>
      <c r="G3007" t="s">
        <v>6</v>
      </c>
      <c r="H3007">
        <v>12818.74</v>
      </c>
      <c r="I3007">
        <v>3779.66</v>
      </c>
      <c r="J3007">
        <v>0</v>
      </c>
    </row>
    <row r="3008" spans="1:10" x14ac:dyDescent="0.35">
      <c r="A3008">
        <v>327600</v>
      </c>
      <c r="B3008" t="s">
        <v>20</v>
      </c>
      <c r="C3008">
        <v>2015</v>
      </c>
      <c r="D3008">
        <v>4</v>
      </c>
      <c r="E3008" t="s">
        <v>6</v>
      </c>
      <c r="F3008" t="s">
        <v>6</v>
      </c>
      <c r="G3008" t="s">
        <v>6</v>
      </c>
      <c r="H3008">
        <v>27298.18</v>
      </c>
      <c r="I3008">
        <v>8013.37</v>
      </c>
      <c r="J3008">
        <v>0</v>
      </c>
    </row>
    <row r="3009" spans="1:10" x14ac:dyDescent="0.35">
      <c r="A3009">
        <v>327601</v>
      </c>
      <c r="B3009" t="s">
        <v>20</v>
      </c>
      <c r="C3009">
        <v>2015</v>
      </c>
      <c r="D3009">
        <v>4</v>
      </c>
      <c r="E3009" t="s">
        <v>6</v>
      </c>
      <c r="F3009" t="s">
        <v>6</v>
      </c>
      <c r="G3009" t="s">
        <v>6</v>
      </c>
      <c r="H3009">
        <v>33650.800000000003</v>
      </c>
      <c r="I3009">
        <v>12491.94</v>
      </c>
      <c r="J3009">
        <v>0</v>
      </c>
    </row>
    <row r="3010" spans="1:10" x14ac:dyDescent="0.35">
      <c r="A3010">
        <v>327602</v>
      </c>
      <c r="B3010" t="s">
        <v>20</v>
      </c>
      <c r="C3010">
        <v>2015</v>
      </c>
      <c r="D3010">
        <v>4</v>
      </c>
      <c r="E3010" t="s">
        <v>6</v>
      </c>
      <c r="F3010" t="s">
        <v>6</v>
      </c>
      <c r="G3010" t="s">
        <v>6</v>
      </c>
      <c r="H3010">
        <v>19152.28</v>
      </c>
      <c r="I3010">
        <v>4462.74</v>
      </c>
      <c r="J3010">
        <v>0</v>
      </c>
    </row>
    <row r="3011" spans="1:10" x14ac:dyDescent="0.35">
      <c r="A3011">
        <v>327605</v>
      </c>
      <c r="B3011" t="s">
        <v>20</v>
      </c>
      <c r="C3011">
        <v>2015</v>
      </c>
      <c r="D3011">
        <v>4</v>
      </c>
      <c r="E3011" t="s">
        <v>6</v>
      </c>
      <c r="F3011" t="s">
        <v>6</v>
      </c>
      <c r="G3011" t="s">
        <v>6</v>
      </c>
      <c r="H3011">
        <v>11815.56</v>
      </c>
      <c r="I3011">
        <v>3666.47</v>
      </c>
      <c r="J3011">
        <v>0</v>
      </c>
    </row>
    <row r="3012" spans="1:10" x14ac:dyDescent="0.35">
      <c r="A3012">
        <v>327611</v>
      </c>
      <c r="B3012" t="s">
        <v>20</v>
      </c>
      <c r="C3012">
        <v>2015</v>
      </c>
      <c r="D3012">
        <v>4</v>
      </c>
      <c r="E3012" t="s">
        <v>6</v>
      </c>
      <c r="F3012" t="s">
        <v>6</v>
      </c>
      <c r="G3012" t="s">
        <v>6</v>
      </c>
      <c r="H3012">
        <v>16443.52</v>
      </c>
      <c r="I3012">
        <v>6204.35</v>
      </c>
      <c r="J3012">
        <v>0</v>
      </c>
    </row>
    <row r="3013" spans="1:10" x14ac:dyDescent="0.35">
      <c r="A3013">
        <v>327614</v>
      </c>
      <c r="B3013" t="s">
        <v>20</v>
      </c>
      <c r="C3013">
        <v>2015</v>
      </c>
      <c r="D3013">
        <v>4</v>
      </c>
      <c r="E3013" t="s">
        <v>6</v>
      </c>
      <c r="F3013" t="s">
        <v>6</v>
      </c>
      <c r="G3013" t="s">
        <v>6</v>
      </c>
      <c r="H3013">
        <v>45981.42</v>
      </c>
      <c r="I3013">
        <v>14954.19</v>
      </c>
      <c r="J3013">
        <v>0</v>
      </c>
    </row>
    <row r="3014" spans="1:10" x14ac:dyDescent="0.35">
      <c r="A3014">
        <v>327620</v>
      </c>
      <c r="B3014" t="s">
        <v>20</v>
      </c>
      <c r="C3014">
        <v>2015</v>
      </c>
      <c r="D3014">
        <v>4</v>
      </c>
      <c r="E3014" t="s">
        <v>6</v>
      </c>
      <c r="F3014" t="s">
        <v>6</v>
      </c>
      <c r="G3014" t="s">
        <v>6</v>
      </c>
      <c r="H3014">
        <v>28714.98</v>
      </c>
      <c r="I3014">
        <v>10089.83</v>
      </c>
      <c r="J3014">
        <v>0</v>
      </c>
    </row>
    <row r="3015" spans="1:10" x14ac:dyDescent="0.35">
      <c r="A3015">
        <v>327628</v>
      </c>
      <c r="B3015" t="s">
        <v>20</v>
      </c>
      <c r="C3015">
        <v>2015</v>
      </c>
      <c r="D3015">
        <v>4</v>
      </c>
      <c r="E3015" t="s">
        <v>6</v>
      </c>
      <c r="F3015" t="s">
        <v>6</v>
      </c>
      <c r="G3015" t="s">
        <v>6</v>
      </c>
      <c r="H3015">
        <v>15307.94</v>
      </c>
      <c r="I3015">
        <v>5456.94</v>
      </c>
      <c r="J3015">
        <v>0</v>
      </c>
    </row>
    <row r="3016" spans="1:10" x14ac:dyDescent="0.35">
      <c r="A3016">
        <v>327630</v>
      </c>
      <c r="B3016" t="s">
        <v>20</v>
      </c>
      <c r="C3016">
        <v>2015</v>
      </c>
      <c r="D3016">
        <v>4</v>
      </c>
      <c r="E3016" t="s">
        <v>6</v>
      </c>
      <c r="F3016" t="s">
        <v>6</v>
      </c>
      <c r="G3016" t="s">
        <v>6</v>
      </c>
      <c r="H3016">
        <v>11046.36</v>
      </c>
      <c r="I3016">
        <v>3344.65</v>
      </c>
      <c r="J3016">
        <v>0</v>
      </c>
    </row>
    <row r="3017" spans="1:10" x14ac:dyDescent="0.35">
      <c r="A3017">
        <v>327639</v>
      </c>
      <c r="B3017" t="s">
        <v>20</v>
      </c>
      <c r="C3017">
        <v>2015</v>
      </c>
      <c r="D3017">
        <v>4</v>
      </c>
      <c r="E3017" t="s">
        <v>6</v>
      </c>
      <c r="F3017" t="s">
        <v>6</v>
      </c>
      <c r="G3017" t="s">
        <v>6</v>
      </c>
      <c r="H3017">
        <v>26731.22</v>
      </c>
      <c r="I3017">
        <v>9077.3700000000008</v>
      </c>
      <c r="J3017">
        <v>0</v>
      </c>
    </row>
    <row r="3018" spans="1:10" x14ac:dyDescent="0.35">
      <c r="A3018">
        <v>327645</v>
      </c>
      <c r="B3018" t="s">
        <v>20</v>
      </c>
      <c r="C3018">
        <v>2015</v>
      </c>
      <c r="D3018">
        <v>4</v>
      </c>
      <c r="E3018" t="s">
        <v>6</v>
      </c>
      <c r="F3018" t="s">
        <v>6</v>
      </c>
      <c r="G3018" t="s">
        <v>6</v>
      </c>
      <c r="H3018">
        <v>19996.32</v>
      </c>
      <c r="I3018">
        <v>7356.04</v>
      </c>
      <c r="J3018">
        <v>0</v>
      </c>
    </row>
    <row r="3019" spans="1:10" x14ac:dyDescent="0.35">
      <c r="A3019">
        <v>327650</v>
      </c>
      <c r="B3019" t="s">
        <v>20</v>
      </c>
      <c r="C3019">
        <v>2015</v>
      </c>
      <c r="D3019">
        <v>4</v>
      </c>
      <c r="E3019" t="s">
        <v>6</v>
      </c>
      <c r="F3019" t="s">
        <v>6</v>
      </c>
      <c r="G3019" t="s">
        <v>6</v>
      </c>
      <c r="H3019">
        <v>24359.4</v>
      </c>
      <c r="I3019">
        <v>8469.11</v>
      </c>
      <c r="J3019">
        <v>0</v>
      </c>
    </row>
    <row r="3020" spans="1:10" x14ac:dyDescent="0.35">
      <c r="A3020">
        <v>327654</v>
      </c>
      <c r="B3020" t="s">
        <v>20</v>
      </c>
      <c r="C3020">
        <v>2015</v>
      </c>
      <c r="D3020">
        <v>4</v>
      </c>
      <c r="E3020" t="s">
        <v>6</v>
      </c>
      <c r="F3020" t="s">
        <v>6</v>
      </c>
      <c r="G3020" t="s">
        <v>6</v>
      </c>
      <c r="H3020">
        <v>68235</v>
      </c>
      <c r="I3020">
        <v>21716.03</v>
      </c>
      <c r="J3020">
        <v>0</v>
      </c>
    </row>
    <row r="3021" spans="1:10" x14ac:dyDescent="0.35">
      <c r="A3021">
        <v>327656</v>
      </c>
      <c r="B3021" t="s">
        <v>20</v>
      </c>
      <c r="C3021">
        <v>2015</v>
      </c>
      <c r="D3021">
        <v>4</v>
      </c>
      <c r="E3021" t="s">
        <v>6</v>
      </c>
      <c r="F3021" t="s">
        <v>6</v>
      </c>
      <c r="G3021" t="s">
        <v>6</v>
      </c>
      <c r="H3021">
        <v>15488.56</v>
      </c>
      <c r="I3021">
        <v>5646.62</v>
      </c>
      <c r="J3021">
        <v>0</v>
      </c>
    </row>
    <row r="3022" spans="1:10" x14ac:dyDescent="0.35">
      <c r="A3022">
        <v>327658</v>
      </c>
      <c r="B3022" t="s">
        <v>20</v>
      </c>
      <c r="C3022">
        <v>2015</v>
      </c>
      <c r="D3022">
        <v>4</v>
      </c>
      <c r="E3022" t="s">
        <v>6</v>
      </c>
      <c r="F3022" t="s">
        <v>6</v>
      </c>
      <c r="G3022" t="s">
        <v>6</v>
      </c>
      <c r="H3022">
        <v>17430.86</v>
      </c>
      <c r="I3022">
        <v>5031.96</v>
      </c>
      <c r="J3022">
        <v>0</v>
      </c>
    </row>
    <row r="3023" spans="1:10" x14ac:dyDescent="0.35">
      <c r="A3023">
        <v>327660</v>
      </c>
      <c r="B3023" t="s">
        <v>20</v>
      </c>
      <c r="C3023">
        <v>2015</v>
      </c>
      <c r="D3023">
        <v>4</v>
      </c>
      <c r="E3023" t="s">
        <v>6</v>
      </c>
      <c r="F3023" t="s">
        <v>6</v>
      </c>
      <c r="G3023" t="s">
        <v>6</v>
      </c>
      <c r="H3023">
        <v>25669.64</v>
      </c>
      <c r="I3023">
        <v>8651.2099999999991</v>
      </c>
      <c r="J3023">
        <v>0</v>
      </c>
    </row>
    <row r="3024" spans="1:10" x14ac:dyDescent="0.35">
      <c r="A3024">
        <v>327673</v>
      </c>
      <c r="B3024" t="s">
        <v>20</v>
      </c>
      <c r="C3024">
        <v>2015</v>
      </c>
      <c r="D3024">
        <v>4</v>
      </c>
      <c r="E3024" t="s">
        <v>6</v>
      </c>
      <c r="F3024" t="s">
        <v>6</v>
      </c>
      <c r="G3024" t="s">
        <v>6</v>
      </c>
      <c r="H3024">
        <v>15726.42</v>
      </c>
      <c r="I3024">
        <v>5763.88</v>
      </c>
      <c r="J3024">
        <v>0</v>
      </c>
    </row>
    <row r="3025" spans="1:10" x14ac:dyDescent="0.35">
      <c r="A3025">
        <v>327685</v>
      </c>
      <c r="B3025" t="s">
        <v>20</v>
      </c>
      <c r="C3025">
        <v>2015</v>
      </c>
      <c r="D3025">
        <v>4</v>
      </c>
      <c r="E3025" t="s">
        <v>6</v>
      </c>
      <c r="F3025" t="s">
        <v>6</v>
      </c>
      <c r="G3025" t="s">
        <v>6</v>
      </c>
      <c r="H3025">
        <v>78901.42</v>
      </c>
      <c r="I3025">
        <v>60915.41</v>
      </c>
      <c r="J3025">
        <v>0</v>
      </c>
    </row>
    <row r="3026" spans="1:10" x14ac:dyDescent="0.35">
      <c r="A3026">
        <v>327688</v>
      </c>
      <c r="B3026" t="s">
        <v>20</v>
      </c>
      <c r="C3026">
        <v>2015</v>
      </c>
      <c r="D3026">
        <v>4</v>
      </c>
      <c r="E3026" t="s">
        <v>6</v>
      </c>
      <c r="F3026" t="s">
        <v>6</v>
      </c>
      <c r="G3026" t="s">
        <v>6</v>
      </c>
      <c r="H3026">
        <v>17576.560000000001</v>
      </c>
      <c r="I3026">
        <v>4621.72</v>
      </c>
      <c r="J3026">
        <v>0</v>
      </c>
    </row>
    <row r="3027" spans="1:10" x14ac:dyDescent="0.35">
      <c r="A3027">
        <v>327699</v>
      </c>
      <c r="B3027" t="s">
        <v>20</v>
      </c>
      <c r="C3027">
        <v>2015</v>
      </c>
      <c r="D3027">
        <v>4</v>
      </c>
      <c r="E3027" t="s">
        <v>6</v>
      </c>
      <c r="F3027" t="s">
        <v>6</v>
      </c>
      <c r="G3027" t="s">
        <v>6</v>
      </c>
      <c r="H3027">
        <v>11216.16</v>
      </c>
      <c r="I3027">
        <v>4065.73</v>
      </c>
      <c r="J3027">
        <v>0</v>
      </c>
    </row>
    <row r="3028" spans="1:10" x14ac:dyDescent="0.35">
      <c r="A3028">
        <v>327701</v>
      </c>
      <c r="B3028" t="s">
        <v>20</v>
      </c>
      <c r="C3028">
        <v>2015</v>
      </c>
      <c r="D3028">
        <v>4</v>
      </c>
      <c r="E3028" t="s">
        <v>6</v>
      </c>
      <c r="F3028" t="s">
        <v>6</v>
      </c>
      <c r="G3028" t="s">
        <v>6</v>
      </c>
      <c r="H3028">
        <v>13078.2</v>
      </c>
      <c r="I3028">
        <v>3846.19</v>
      </c>
      <c r="J3028">
        <v>0</v>
      </c>
    </row>
    <row r="3029" spans="1:10" x14ac:dyDescent="0.35">
      <c r="A3029">
        <v>327711</v>
      </c>
      <c r="B3029" t="s">
        <v>20</v>
      </c>
      <c r="C3029">
        <v>2015</v>
      </c>
      <c r="D3029">
        <v>4</v>
      </c>
      <c r="E3029" t="s">
        <v>6</v>
      </c>
      <c r="F3029" t="s">
        <v>6</v>
      </c>
      <c r="G3029" t="s">
        <v>6</v>
      </c>
      <c r="H3029">
        <v>14909.16</v>
      </c>
      <c r="I3029">
        <v>3508.31</v>
      </c>
      <c r="J3029">
        <v>0</v>
      </c>
    </row>
    <row r="3030" spans="1:10" x14ac:dyDescent="0.35">
      <c r="A3030">
        <v>327720</v>
      </c>
      <c r="B3030" t="s">
        <v>20</v>
      </c>
      <c r="C3030">
        <v>2015</v>
      </c>
      <c r="D3030">
        <v>4</v>
      </c>
      <c r="E3030" t="s">
        <v>6</v>
      </c>
      <c r="F3030" t="s">
        <v>6</v>
      </c>
      <c r="G3030" t="s">
        <v>6</v>
      </c>
      <c r="H3030">
        <v>31494.84</v>
      </c>
      <c r="I3030">
        <v>11591.87</v>
      </c>
      <c r="J3030">
        <v>0</v>
      </c>
    </row>
    <row r="3031" spans="1:10" x14ac:dyDescent="0.35">
      <c r="A3031">
        <v>327721</v>
      </c>
      <c r="B3031" t="s">
        <v>20</v>
      </c>
      <c r="C3031">
        <v>2015</v>
      </c>
      <c r="D3031">
        <v>4</v>
      </c>
      <c r="E3031" t="s">
        <v>6</v>
      </c>
      <c r="F3031" t="s">
        <v>6</v>
      </c>
      <c r="G3031" t="s">
        <v>6</v>
      </c>
      <c r="H3031">
        <v>29604.3</v>
      </c>
      <c r="I3031">
        <v>10089.19</v>
      </c>
      <c r="J3031">
        <v>0</v>
      </c>
    </row>
    <row r="3032" spans="1:10" x14ac:dyDescent="0.35">
      <c r="A3032">
        <v>327724</v>
      </c>
      <c r="B3032" t="s">
        <v>20</v>
      </c>
      <c r="C3032">
        <v>2015</v>
      </c>
      <c r="D3032">
        <v>4</v>
      </c>
      <c r="E3032" t="s">
        <v>6</v>
      </c>
      <c r="F3032" t="s">
        <v>6</v>
      </c>
      <c r="G3032" t="s">
        <v>6</v>
      </c>
      <c r="H3032">
        <v>11208.08</v>
      </c>
      <c r="I3032">
        <v>3919.95</v>
      </c>
      <c r="J3032">
        <v>0</v>
      </c>
    </row>
    <row r="3033" spans="1:10" x14ac:dyDescent="0.35">
      <c r="A3033">
        <v>327725</v>
      </c>
      <c r="B3033" t="s">
        <v>20</v>
      </c>
      <c r="C3033">
        <v>2015</v>
      </c>
      <c r="D3033">
        <v>4</v>
      </c>
      <c r="E3033" t="s">
        <v>6</v>
      </c>
      <c r="F3033" t="s">
        <v>6</v>
      </c>
      <c r="G3033" t="s">
        <v>6</v>
      </c>
      <c r="H3033">
        <v>22411.08</v>
      </c>
      <c r="I3033">
        <v>5338.37</v>
      </c>
      <c r="J3033">
        <v>0</v>
      </c>
    </row>
    <row r="3034" spans="1:10" x14ac:dyDescent="0.35">
      <c r="A3034">
        <v>327729</v>
      </c>
      <c r="B3034" t="s">
        <v>20</v>
      </c>
      <c r="C3034">
        <v>2015</v>
      </c>
      <c r="D3034">
        <v>4</v>
      </c>
      <c r="E3034" t="s">
        <v>6</v>
      </c>
      <c r="F3034" t="s">
        <v>6</v>
      </c>
      <c r="G3034" t="s">
        <v>6</v>
      </c>
      <c r="H3034">
        <v>30524.06</v>
      </c>
      <c r="I3034">
        <v>10325.19</v>
      </c>
      <c r="J3034">
        <v>0</v>
      </c>
    </row>
    <row r="3035" spans="1:10" x14ac:dyDescent="0.35">
      <c r="A3035">
        <v>327736</v>
      </c>
      <c r="B3035" t="s">
        <v>20</v>
      </c>
      <c r="C3035">
        <v>2015</v>
      </c>
      <c r="D3035">
        <v>4</v>
      </c>
      <c r="E3035" t="s">
        <v>6</v>
      </c>
      <c r="F3035" t="s">
        <v>6</v>
      </c>
      <c r="G3035" t="s">
        <v>6</v>
      </c>
      <c r="H3035">
        <v>25151.94</v>
      </c>
      <c r="I3035">
        <v>8657.08</v>
      </c>
      <c r="J3035">
        <v>0</v>
      </c>
    </row>
    <row r="3036" spans="1:10" x14ac:dyDescent="0.35">
      <c r="A3036">
        <v>327742</v>
      </c>
      <c r="B3036" t="s">
        <v>20</v>
      </c>
      <c r="C3036">
        <v>2015</v>
      </c>
      <c r="D3036">
        <v>4</v>
      </c>
      <c r="E3036" t="s">
        <v>6</v>
      </c>
      <c r="F3036" t="s">
        <v>6</v>
      </c>
      <c r="G3036" t="s">
        <v>6</v>
      </c>
      <c r="H3036">
        <v>8337.64</v>
      </c>
      <c r="I3036">
        <v>2426.7600000000002</v>
      </c>
      <c r="J3036">
        <v>0</v>
      </c>
    </row>
    <row r="3037" spans="1:10" x14ac:dyDescent="0.35">
      <c r="A3037">
        <v>327751</v>
      </c>
      <c r="B3037" t="s">
        <v>20</v>
      </c>
      <c r="C3037">
        <v>2015</v>
      </c>
      <c r="D3037">
        <v>4</v>
      </c>
      <c r="E3037" t="s">
        <v>6</v>
      </c>
      <c r="F3037" t="s">
        <v>6</v>
      </c>
      <c r="G3037" t="s">
        <v>6</v>
      </c>
      <c r="H3037">
        <v>14938.72</v>
      </c>
      <c r="I3037">
        <v>5721.23</v>
      </c>
      <c r="J3037">
        <v>0</v>
      </c>
    </row>
    <row r="3038" spans="1:10" x14ac:dyDescent="0.35">
      <c r="A3038">
        <v>327759</v>
      </c>
      <c r="B3038" t="s">
        <v>20</v>
      </c>
      <c r="C3038">
        <v>2015</v>
      </c>
      <c r="D3038">
        <v>4</v>
      </c>
      <c r="E3038" t="s">
        <v>6</v>
      </c>
      <c r="F3038" t="s">
        <v>6</v>
      </c>
      <c r="G3038" t="s">
        <v>6</v>
      </c>
      <c r="H3038">
        <v>32138.28</v>
      </c>
      <c r="I3038">
        <v>10001.19</v>
      </c>
      <c r="J3038">
        <v>0</v>
      </c>
    </row>
    <row r="3039" spans="1:10" x14ac:dyDescent="0.35">
      <c r="A3039">
        <v>327760</v>
      </c>
      <c r="B3039" t="s">
        <v>20</v>
      </c>
      <c r="C3039">
        <v>2015</v>
      </c>
      <c r="D3039">
        <v>4</v>
      </c>
      <c r="E3039" t="s">
        <v>6</v>
      </c>
      <c r="F3039" t="s">
        <v>6</v>
      </c>
      <c r="G3039" t="s">
        <v>6</v>
      </c>
      <c r="H3039">
        <v>31478.5</v>
      </c>
      <c r="I3039">
        <v>12016.03</v>
      </c>
      <c r="J3039">
        <v>0</v>
      </c>
    </row>
    <row r="3040" spans="1:10" x14ac:dyDescent="0.35">
      <c r="A3040">
        <v>327761</v>
      </c>
      <c r="B3040" t="s">
        <v>20</v>
      </c>
      <c r="C3040">
        <v>2015</v>
      </c>
      <c r="D3040">
        <v>4</v>
      </c>
      <c r="E3040" t="s">
        <v>6</v>
      </c>
      <c r="F3040" t="s">
        <v>6</v>
      </c>
      <c r="G3040" t="s">
        <v>6</v>
      </c>
      <c r="H3040">
        <v>16948.96</v>
      </c>
      <c r="I3040">
        <v>6546.85</v>
      </c>
      <c r="J3040">
        <v>0</v>
      </c>
    </row>
    <row r="3041" spans="1:10" x14ac:dyDescent="0.35">
      <c r="A3041">
        <v>327766</v>
      </c>
      <c r="B3041" t="s">
        <v>20</v>
      </c>
      <c r="C3041">
        <v>2015</v>
      </c>
      <c r="D3041">
        <v>4</v>
      </c>
      <c r="E3041" t="s">
        <v>6</v>
      </c>
      <c r="F3041" t="s">
        <v>6</v>
      </c>
      <c r="G3041" t="s">
        <v>6</v>
      </c>
      <c r="H3041">
        <v>23087.96</v>
      </c>
      <c r="I3041">
        <v>9991.99</v>
      </c>
      <c r="J3041">
        <v>0</v>
      </c>
    </row>
    <row r="3042" spans="1:10" x14ac:dyDescent="0.35">
      <c r="A3042">
        <v>327772</v>
      </c>
      <c r="B3042" t="s">
        <v>20</v>
      </c>
      <c r="C3042">
        <v>2015</v>
      </c>
      <c r="D3042">
        <v>4</v>
      </c>
      <c r="E3042" t="s">
        <v>6</v>
      </c>
      <c r="F3042" t="s">
        <v>6</v>
      </c>
      <c r="G3042" t="s">
        <v>6</v>
      </c>
      <c r="H3042">
        <v>15753.84</v>
      </c>
      <c r="I3042">
        <v>5783.32</v>
      </c>
      <c r="J3042">
        <v>0</v>
      </c>
    </row>
    <row r="3043" spans="1:10" x14ac:dyDescent="0.35">
      <c r="A3043">
        <v>327773</v>
      </c>
      <c r="B3043" t="s">
        <v>20</v>
      </c>
      <c r="C3043">
        <v>2015</v>
      </c>
      <c r="D3043">
        <v>4</v>
      </c>
      <c r="E3043" t="s">
        <v>6</v>
      </c>
      <c r="F3043" t="s">
        <v>6</v>
      </c>
      <c r="G3043" t="s">
        <v>6</v>
      </c>
      <c r="H3043">
        <v>71034.73</v>
      </c>
      <c r="I3043">
        <v>28209.63</v>
      </c>
      <c r="J3043">
        <v>0</v>
      </c>
    </row>
    <row r="3044" spans="1:10" x14ac:dyDescent="0.35">
      <c r="A3044">
        <v>327775</v>
      </c>
      <c r="B3044" t="s">
        <v>20</v>
      </c>
      <c r="C3044">
        <v>2015</v>
      </c>
      <c r="D3044">
        <v>4</v>
      </c>
      <c r="E3044" t="s">
        <v>6</v>
      </c>
      <c r="F3044" t="s">
        <v>6</v>
      </c>
      <c r="G3044" t="s">
        <v>6</v>
      </c>
      <c r="H3044">
        <v>103400.72</v>
      </c>
      <c r="I3044">
        <v>38010.15</v>
      </c>
      <c r="J3044">
        <v>0</v>
      </c>
    </row>
    <row r="3045" spans="1:10" x14ac:dyDescent="0.35">
      <c r="A3045">
        <v>327780</v>
      </c>
      <c r="B3045" t="s">
        <v>20</v>
      </c>
      <c r="C3045">
        <v>2015</v>
      </c>
      <c r="D3045">
        <v>4</v>
      </c>
      <c r="E3045" t="s">
        <v>6</v>
      </c>
      <c r="F3045" t="s">
        <v>6</v>
      </c>
      <c r="G3045" t="s">
        <v>6</v>
      </c>
      <c r="H3045">
        <v>14985.74</v>
      </c>
      <c r="I3045">
        <v>4968.74</v>
      </c>
      <c r="J3045">
        <v>0</v>
      </c>
    </row>
    <row r="3046" spans="1:10" x14ac:dyDescent="0.35">
      <c r="A3046">
        <v>327782</v>
      </c>
      <c r="B3046" t="s">
        <v>20</v>
      </c>
      <c r="C3046">
        <v>2015</v>
      </c>
      <c r="D3046">
        <v>4</v>
      </c>
      <c r="E3046" t="s">
        <v>6</v>
      </c>
      <c r="F3046" t="s">
        <v>6</v>
      </c>
      <c r="G3046" t="s">
        <v>6</v>
      </c>
      <c r="H3046">
        <v>19293.68</v>
      </c>
      <c r="I3046">
        <v>5945.53</v>
      </c>
      <c r="J3046">
        <v>0</v>
      </c>
    </row>
    <row r="3047" spans="1:10" x14ac:dyDescent="0.35">
      <c r="A3047">
        <v>327784</v>
      </c>
      <c r="B3047" t="s">
        <v>20</v>
      </c>
      <c r="C3047">
        <v>2015</v>
      </c>
      <c r="D3047">
        <v>4</v>
      </c>
      <c r="E3047" t="s">
        <v>6</v>
      </c>
      <c r="F3047" t="s">
        <v>6</v>
      </c>
      <c r="G3047" t="s">
        <v>6</v>
      </c>
      <c r="H3047">
        <v>15631.04</v>
      </c>
      <c r="I3047">
        <v>5583.35</v>
      </c>
      <c r="J3047">
        <v>0</v>
      </c>
    </row>
    <row r="3048" spans="1:10" x14ac:dyDescent="0.35">
      <c r="A3048">
        <v>327791</v>
      </c>
      <c r="B3048" t="s">
        <v>20</v>
      </c>
      <c r="C3048">
        <v>2015</v>
      </c>
      <c r="D3048">
        <v>4</v>
      </c>
      <c r="E3048" t="s">
        <v>6</v>
      </c>
      <c r="F3048" t="s">
        <v>6</v>
      </c>
      <c r="G3048" t="s">
        <v>6</v>
      </c>
      <c r="H3048">
        <v>11837.78</v>
      </c>
      <c r="I3048">
        <v>3668.82</v>
      </c>
      <c r="J3048">
        <v>0</v>
      </c>
    </row>
    <row r="3049" spans="1:10" x14ac:dyDescent="0.35">
      <c r="A3049">
        <v>327792</v>
      </c>
      <c r="B3049" t="s">
        <v>20</v>
      </c>
      <c r="C3049">
        <v>2015</v>
      </c>
      <c r="D3049">
        <v>4</v>
      </c>
      <c r="E3049" t="s">
        <v>6</v>
      </c>
      <c r="F3049" t="s">
        <v>6</v>
      </c>
      <c r="G3049" t="s">
        <v>6</v>
      </c>
      <c r="H3049">
        <v>9224.5400000000009</v>
      </c>
      <c r="I3049">
        <v>2612.63</v>
      </c>
      <c r="J3049">
        <v>0</v>
      </c>
    </row>
    <row r="3050" spans="1:10" x14ac:dyDescent="0.35">
      <c r="A3050">
        <v>327798</v>
      </c>
      <c r="B3050" t="s">
        <v>20</v>
      </c>
      <c r="C3050">
        <v>2015</v>
      </c>
      <c r="D3050">
        <v>4</v>
      </c>
      <c r="E3050" t="s">
        <v>6</v>
      </c>
      <c r="F3050" t="s">
        <v>6</v>
      </c>
      <c r="G3050" t="s">
        <v>6</v>
      </c>
      <c r="H3050">
        <v>11592.72</v>
      </c>
      <c r="I3050">
        <v>4448.41</v>
      </c>
      <c r="J3050">
        <v>0</v>
      </c>
    </row>
    <row r="3051" spans="1:10" x14ac:dyDescent="0.35">
      <c r="A3051">
        <v>327801</v>
      </c>
      <c r="B3051" t="s">
        <v>20</v>
      </c>
      <c r="C3051">
        <v>2015</v>
      </c>
      <c r="D3051">
        <v>4</v>
      </c>
      <c r="E3051" t="s">
        <v>6</v>
      </c>
      <c r="F3051" t="s">
        <v>6</v>
      </c>
      <c r="G3051" t="s">
        <v>6</v>
      </c>
      <c r="H3051">
        <v>11419.44</v>
      </c>
      <c r="I3051">
        <v>2948.93</v>
      </c>
      <c r="J3051">
        <v>0</v>
      </c>
    </row>
    <row r="3052" spans="1:10" x14ac:dyDescent="0.35">
      <c r="A3052">
        <v>327803</v>
      </c>
      <c r="B3052" t="s">
        <v>20</v>
      </c>
      <c r="C3052">
        <v>2015</v>
      </c>
      <c r="D3052">
        <v>4</v>
      </c>
      <c r="E3052" t="s">
        <v>6</v>
      </c>
      <c r="F3052" t="s">
        <v>6</v>
      </c>
      <c r="G3052" t="s">
        <v>6</v>
      </c>
      <c r="H3052">
        <v>34143.08</v>
      </c>
      <c r="I3052">
        <v>12321.8</v>
      </c>
      <c r="J3052">
        <v>0</v>
      </c>
    </row>
    <row r="3053" spans="1:10" x14ac:dyDescent="0.35">
      <c r="A3053">
        <v>327807</v>
      </c>
      <c r="B3053" t="s">
        <v>20</v>
      </c>
      <c r="C3053">
        <v>2015</v>
      </c>
      <c r="D3053">
        <v>4</v>
      </c>
      <c r="E3053" t="s">
        <v>6</v>
      </c>
      <c r="F3053" t="s">
        <v>6</v>
      </c>
      <c r="G3053" t="s">
        <v>6</v>
      </c>
      <c r="H3053">
        <v>15851.76</v>
      </c>
      <c r="I3053">
        <v>5447.67</v>
      </c>
      <c r="J3053">
        <v>0</v>
      </c>
    </row>
    <row r="3054" spans="1:10" x14ac:dyDescent="0.35">
      <c r="A3054">
        <v>327808</v>
      </c>
      <c r="B3054" t="s">
        <v>20</v>
      </c>
      <c r="C3054">
        <v>2015</v>
      </c>
      <c r="D3054">
        <v>4</v>
      </c>
      <c r="E3054" t="s">
        <v>6</v>
      </c>
      <c r="F3054" t="s">
        <v>6</v>
      </c>
      <c r="G3054" t="s">
        <v>6</v>
      </c>
      <c r="H3054">
        <v>13816.42</v>
      </c>
      <c r="I3054">
        <v>3650.23</v>
      </c>
      <c r="J3054">
        <v>0</v>
      </c>
    </row>
    <row r="3055" spans="1:10" x14ac:dyDescent="0.35">
      <c r="A3055">
        <v>327813</v>
      </c>
      <c r="B3055" t="s">
        <v>20</v>
      </c>
      <c r="C3055">
        <v>2015</v>
      </c>
      <c r="D3055">
        <v>4</v>
      </c>
      <c r="E3055" t="s">
        <v>6</v>
      </c>
      <c r="F3055" t="s">
        <v>6</v>
      </c>
      <c r="G3055" t="s">
        <v>6</v>
      </c>
      <c r="H3055">
        <v>15627.1</v>
      </c>
      <c r="I3055">
        <v>5755.05</v>
      </c>
      <c r="J3055">
        <v>0</v>
      </c>
    </row>
    <row r="3056" spans="1:10" x14ac:dyDescent="0.35">
      <c r="A3056">
        <v>327816</v>
      </c>
      <c r="B3056" t="s">
        <v>20</v>
      </c>
      <c r="C3056">
        <v>2015</v>
      </c>
      <c r="D3056">
        <v>4</v>
      </c>
      <c r="E3056" t="s">
        <v>6</v>
      </c>
      <c r="F3056" t="s">
        <v>6</v>
      </c>
      <c r="G3056" t="s">
        <v>6</v>
      </c>
      <c r="H3056">
        <v>59969.98</v>
      </c>
      <c r="I3056">
        <v>17734.189999999999</v>
      </c>
      <c r="J3056">
        <v>0</v>
      </c>
    </row>
    <row r="3057" spans="1:10" x14ac:dyDescent="0.35">
      <c r="A3057">
        <v>327817</v>
      </c>
      <c r="B3057" t="s">
        <v>20</v>
      </c>
      <c r="C3057">
        <v>2015</v>
      </c>
      <c r="D3057">
        <v>4</v>
      </c>
      <c r="E3057" t="s">
        <v>6</v>
      </c>
      <c r="F3057" t="s">
        <v>6</v>
      </c>
      <c r="G3057" t="s">
        <v>6</v>
      </c>
      <c r="H3057">
        <v>80830.66</v>
      </c>
      <c r="I3057">
        <v>35724.22</v>
      </c>
      <c r="J3057">
        <v>0</v>
      </c>
    </row>
    <row r="3058" spans="1:10" x14ac:dyDescent="0.35">
      <c r="A3058">
        <v>327826</v>
      </c>
      <c r="B3058" t="s">
        <v>20</v>
      </c>
      <c r="C3058">
        <v>2015</v>
      </c>
      <c r="D3058">
        <v>4</v>
      </c>
      <c r="E3058" t="s">
        <v>6</v>
      </c>
      <c r="F3058" t="s">
        <v>6</v>
      </c>
      <c r="G3058" t="s">
        <v>6</v>
      </c>
      <c r="H3058">
        <v>32596.78</v>
      </c>
      <c r="I3058">
        <v>12418.58</v>
      </c>
      <c r="J3058">
        <v>0</v>
      </c>
    </row>
    <row r="3059" spans="1:10" x14ac:dyDescent="0.35">
      <c r="A3059">
        <v>327829</v>
      </c>
      <c r="B3059" t="s">
        <v>20</v>
      </c>
      <c r="C3059">
        <v>2015</v>
      </c>
      <c r="D3059">
        <v>4</v>
      </c>
      <c r="E3059" t="s">
        <v>6</v>
      </c>
      <c r="F3059" t="s">
        <v>6</v>
      </c>
      <c r="G3059" t="s">
        <v>6</v>
      </c>
      <c r="H3059">
        <v>36010.839999999997</v>
      </c>
      <c r="I3059">
        <v>10144.19</v>
      </c>
      <c r="J3059">
        <v>0</v>
      </c>
    </row>
    <row r="3060" spans="1:10" x14ac:dyDescent="0.35">
      <c r="A3060">
        <v>327833</v>
      </c>
      <c r="B3060" t="s">
        <v>20</v>
      </c>
      <c r="C3060">
        <v>2015</v>
      </c>
      <c r="D3060">
        <v>4</v>
      </c>
      <c r="E3060" t="s">
        <v>6</v>
      </c>
      <c r="F3060" t="s">
        <v>6</v>
      </c>
      <c r="G3060" t="s">
        <v>6</v>
      </c>
      <c r="H3060">
        <v>11033.9</v>
      </c>
      <c r="I3060">
        <v>3804.54</v>
      </c>
      <c r="J3060">
        <v>0</v>
      </c>
    </row>
    <row r="3061" spans="1:10" x14ac:dyDescent="0.35">
      <c r="A3061">
        <v>327837</v>
      </c>
      <c r="B3061" t="s">
        <v>20</v>
      </c>
      <c r="C3061">
        <v>2015</v>
      </c>
      <c r="D3061">
        <v>4</v>
      </c>
      <c r="E3061" t="s">
        <v>6</v>
      </c>
      <c r="F3061" t="s">
        <v>6</v>
      </c>
      <c r="G3061" t="s">
        <v>6</v>
      </c>
      <c r="H3061">
        <v>23580.080000000002</v>
      </c>
      <c r="I3061">
        <v>8269.86</v>
      </c>
      <c r="J3061">
        <v>0</v>
      </c>
    </row>
    <row r="3062" spans="1:10" x14ac:dyDescent="0.35">
      <c r="A3062">
        <v>327842</v>
      </c>
      <c r="B3062" t="s">
        <v>20</v>
      </c>
      <c r="C3062">
        <v>2015</v>
      </c>
      <c r="D3062">
        <v>4</v>
      </c>
      <c r="E3062" t="s">
        <v>6</v>
      </c>
      <c r="F3062" t="s">
        <v>6</v>
      </c>
      <c r="G3062" t="s">
        <v>6</v>
      </c>
      <c r="H3062">
        <v>11555.24</v>
      </c>
      <c r="I3062">
        <v>3601.73</v>
      </c>
      <c r="J3062">
        <v>0</v>
      </c>
    </row>
    <row r="3063" spans="1:10" x14ac:dyDescent="0.35">
      <c r="A3063">
        <v>327844</v>
      </c>
      <c r="B3063" t="s">
        <v>20</v>
      </c>
      <c r="C3063">
        <v>2015</v>
      </c>
      <c r="D3063">
        <v>4</v>
      </c>
      <c r="E3063" t="s">
        <v>6</v>
      </c>
      <c r="F3063" t="s">
        <v>6</v>
      </c>
      <c r="G3063" t="s">
        <v>6</v>
      </c>
      <c r="H3063">
        <v>12278.98</v>
      </c>
      <c r="I3063">
        <v>3583.27</v>
      </c>
      <c r="J3063">
        <v>0</v>
      </c>
    </row>
    <row r="3064" spans="1:10" x14ac:dyDescent="0.35">
      <c r="A3064">
        <v>327854</v>
      </c>
      <c r="B3064" t="s">
        <v>20</v>
      </c>
      <c r="C3064">
        <v>2015</v>
      </c>
      <c r="D3064">
        <v>4</v>
      </c>
      <c r="E3064" t="s">
        <v>6</v>
      </c>
      <c r="F3064" t="s">
        <v>6</v>
      </c>
      <c r="G3064" t="s">
        <v>6</v>
      </c>
      <c r="H3064">
        <v>15689.38</v>
      </c>
      <c r="I3064">
        <v>5767.27</v>
      </c>
      <c r="J3064">
        <v>0</v>
      </c>
    </row>
    <row r="3065" spans="1:10" x14ac:dyDescent="0.35">
      <c r="A3065">
        <v>327860</v>
      </c>
      <c r="B3065" t="s">
        <v>20</v>
      </c>
      <c r="C3065">
        <v>2015</v>
      </c>
      <c r="D3065">
        <v>4</v>
      </c>
      <c r="E3065" t="s">
        <v>6</v>
      </c>
      <c r="F3065" t="s">
        <v>6</v>
      </c>
      <c r="G3065" t="s">
        <v>6</v>
      </c>
      <c r="H3065">
        <v>14771.78</v>
      </c>
      <c r="I3065">
        <v>5683.6</v>
      </c>
      <c r="J3065">
        <v>0</v>
      </c>
    </row>
    <row r="3066" spans="1:10" x14ac:dyDescent="0.35">
      <c r="A3066">
        <v>327865</v>
      </c>
      <c r="B3066" t="s">
        <v>20</v>
      </c>
      <c r="C3066">
        <v>2015</v>
      </c>
      <c r="D3066">
        <v>4</v>
      </c>
      <c r="E3066" t="s">
        <v>6</v>
      </c>
      <c r="F3066" t="s">
        <v>6</v>
      </c>
      <c r="G3066" t="s">
        <v>6</v>
      </c>
      <c r="H3066">
        <v>11364.16</v>
      </c>
      <c r="I3066">
        <v>4174.79</v>
      </c>
      <c r="J3066">
        <v>0</v>
      </c>
    </row>
    <row r="3067" spans="1:10" x14ac:dyDescent="0.35">
      <c r="A3067">
        <v>327878</v>
      </c>
      <c r="B3067" t="s">
        <v>20</v>
      </c>
      <c r="C3067">
        <v>2015</v>
      </c>
      <c r="D3067">
        <v>4</v>
      </c>
      <c r="E3067" t="s">
        <v>6</v>
      </c>
      <c r="F3067" t="s">
        <v>6</v>
      </c>
      <c r="G3067" t="s">
        <v>6</v>
      </c>
      <c r="H3067">
        <v>16519.68</v>
      </c>
      <c r="I3067">
        <v>6258.98</v>
      </c>
      <c r="J3067">
        <v>0</v>
      </c>
    </row>
    <row r="3068" spans="1:10" x14ac:dyDescent="0.35">
      <c r="A3068">
        <v>327880</v>
      </c>
      <c r="B3068" t="s">
        <v>20</v>
      </c>
      <c r="C3068">
        <v>2015</v>
      </c>
      <c r="D3068">
        <v>4</v>
      </c>
      <c r="E3068" t="s">
        <v>6</v>
      </c>
      <c r="F3068" t="s">
        <v>6</v>
      </c>
      <c r="G3068" t="s">
        <v>6</v>
      </c>
      <c r="H3068">
        <v>17878.72</v>
      </c>
      <c r="I3068">
        <v>5452.45</v>
      </c>
      <c r="J3068">
        <v>0</v>
      </c>
    </row>
    <row r="3069" spans="1:10" x14ac:dyDescent="0.35">
      <c r="A3069">
        <v>327883</v>
      </c>
      <c r="B3069" t="s">
        <v>20</v>
      </c>
      <c r="C3069">
        <v>2015</v>
      </c>
      <c r="D3069">
        <v>4</v>
      </c>
      <c r="E3069" t="s">
        <v>6</v>
      </c>
      <c r="F3069" t="s">
        <v>6</v>
      </c>
      <c r="G3069" t="s">
        <v>6</v>
      </c>
      <c r="H3069">
        <v>35441.120000000003</v>
      </c>
      <c r="I3069">
        <v>10621.22</v>
      </c>
      <c r="J3069">
        <v>0</v>
      </c>
    </row>
    <row r="3070" spans="1:10" x14ac:dyDescent="0.35">
      <c r="A3070">
        <v>327888</v>
      </c>
      <c r="B3070" t="s">
        <v>20</v>
      </c>
      <c r="C3070">
        <v>2015</v>
      </c>
      <c r="D3070">
        <v>4</v>
      </c>
      <c r="E3070" t="s">
        <v>6</v>
      </c>
      <c r="F3070" t="s">
        <v>6</v>
      </c>
      <c r="G3070" t="s">
        <v>6</v>
      </c>
      <c r="H3070">
        <v>15938.08</v>
      </c>
      <c r="I3070">
        <v>5829.8</v>
      </c>
      <c r="J3070">
        <v>0</v>
      </c>
    </row>
    <row r="3071" spans="1:10" x14ac:dyDescent="0.35">
      <c r="A3071">
        <v>327894</v>
      </c>
      <c r="B3071" t="s">
        <v>20</v>
      </c>
      <c r="C3071">
        <v>2015</v>
      </c>
      <c r="D3071">
        <v>4</v>
      </c>
      <c r="E3071" t="s">
        <v>6</v>
      </c>
      <c r="F3071" t="s">
        <v>6</v>
      </c>
      <c r="G3071" t="s">
        <v>6</v>
      </c>
      <c r="H3071">
        <v>20964.36</v>
      </c>
      <c r="I3071">
        <v>5184.46</v>
      </c>
      <c r="J3071">
        <v>0</v>
      </c>
    </row>
    <row r="3072" spans="1:10" x14ac:dyDescent="0.35">
      <c r="A3072">
        <v>327896</v>
      </c>
      <c r="B3072" t="s">
        <v>20</v>
      </c>
      <c r="C3072">
        <v>2015</v>
      </c>
      <c r="D3072">
        <v>4</v>
      </c>
      <c r="E3072" t="s">
        <v>6</v>
      </c>
      <c r="F3072" t="s">
        <v>6</v>
      </c>
      <c r="G3072" t="s">
        <v>6</v>
      </c>
      <c r="H3072">
        <v>10942.04</v>
      </c>
      <c r="I3072">
        <v>3854.01</v>
      </c>
      <c r="J3072">
        <v>0</v>
      </c>
    </row>
    <row r="3073" spans="1:10" x14ac:dyDescent="0.35">
      <c r="A3073">
        <v>327902</v>
      </c>
      <c r="B3073" t="s">
        <v>20</v>
      </c>
      <c r="C3073">
        <v>2015</v>
      </c>
      <c r="D3073">
        <v>4</v>
      </c>
      <c r="E3073" t="s">
        <v>6</v>
      </c>
      <c r="F3073" t="s">
        <v>6</v>
      </c>
      <c r="G3073" t="s">
        <v>6</v>
      </c>
      <c r="H3073">
        <v>14776.06</v>
      </c>
      <c r="I3073">
        <v>5537.28</v>
      </c>
      <c r="J3073">
        <v>0</v>
      </c>
    </row>
    <row r="3074" spans="1:10" x14ac:dyDescent="0.35">
      <c r="A3074">
        <v>327907</v>
      </c>
      <c r="B3074" t="s">
        <v>20</v>
      </c>
      <c r="C3074">
        <v>2015</v>
      </c>
      <c r="D3074">
        <v>4</v>
      </c>
      <c r="E3074" t="s">
        <v>6</v>
      </c>
      <c r="F3074" t="s">
        <v>6</v>
      </c>
      <c r="G3074" t="s">
        <v>6</v>
      </c>
      <c r="H3074">
        <v>14736.34</v>
      </c>
      <c r="I3074">
        <v>5450.55</v>
      </c>
      <c r="J3074">
        <v>0</v>
      </c>
    </row>
    <row r="3075" spans="1:10" x14ac:dyDescent="0.35">
      <c r="A3075">
        <v>327914</v>
      </c>
      <c r="B3075" t="s">
        <v>20</v>
      </c>
      <c r="C3075">
        <v>2015</v>
      </c>
      <c r="D3075">
        <v>4</v>
      </c>
      <c r="E3075" t="s">
        <v>6</v>
      </c>
      <c r="F3075" t="s">
        <v>6</v>
      </c>
      <c r="G3075" t="s">
        <v>6</v>
      </c>
      <c r="H3075">
        <v>12786.24</v>
      </c>
      <c r="I3075">
        <v>3778.81</v>
      </c>
      <c r="J3075">
        <v>0</v>
      </c>
    </row>
    <row r="3076" spans="1:10" x14ac:dyDescent="0.35">
      <c r="A3076">
        <v>327923</v>
      </c>
      <c r="B3076" t="s">
        <v>20</v>
      </c>
      <c r="C3076">
        <v>2015</v>
      </c>
      <c r="D3076">
        <v>4</v>
      </c>
      <c r="E3076" t="s">
        <v>6</v>
      </c>
      <c r="F3076" t="s">
        <v>6</v>
      </c>
      <c r="G3076" t="s">
        <v>6</v>
      </c>
      <c r="H3076">
        <v>37554.04</v>
      </c>
      <c r="I3076">
        <v>14640.34</v>
      </c>
      <c r="J3076">
        <v>0</v>
      </c>
    </row>
    <row r="3077" spans="1:10" x14ac:dyDescent="0.35">
      <c r="A3077">
        <v>327926</v>
      </c>
      <c r="B3077" t="s">
        <v>20</v>
      </c>
      <c r="C3077">
        <v>2015</v>
      </c>
      <c r="D3077">
        <v>4</v>
      </c>
      <c r="E3077" t="s">
        <v>6</v>
      </c>
      <c r="F3077" t="s">
        <v>6</v>
      </c>
      <c r="G3077" t="s">
        <v>6</v>
      </c>
      <c r="H3077">
        <v>39672.04</v>
      </c>
      <c r="I3077">
        <v>11396.49</v>
      </c>
      <c r="J3077">
        <v>0</v>
      </c>
    </row>
    <row r="3078" spans="1:10" x14ac:dyDescent="0.35">
      <c r="A3078">
        <v>327929</v>
      </c>
      <c r="B3078" t="s">
        <v>20</v>
      </c>
      <c r="C3078">
        <v>2015</v>
      </c>
      <c r="D3078">
        <v>4</v>
      </c>
      <c r="E3078" t="s">
        <v>6</v>
      </c>
      <c r="F3078" t="s">
        <v>6</v>
      </c>
      <c r="G3078" t="s">
        <v>6</v>
      </c>
      <c r="H3078">
        <v>57886.86</v>
      </c>
      <c r="I3078">
        <v>18597.79</v>
      </c>
      <c r="J3078">
        <v>0</v>
      </c>
    </row>
    <row r="3079" spans="1:10" x14ac:dyDescent="0.35">
      <c r="A3079">
        <v>327933</v>
      </c>
      <c r="B3079" t="s">
        <v>20</v>
      </c>
      <c r="C3079">
        <v>2015</v>
      </c>
      <c r="D3079">
        <v>4</v>
      </c>
      <c r="E3079" t="s">
        <v>6</v>
      </c>
      <c r="F3079" t="s">
        <v>6</v>
      </c>
      <c r="G3079" t="s">
        <v>6</v>
      </c>
      <c r="H3079">
        <v>28791.66</v>
      </c>
      <c r="I3079">
        <v>9938.25</v>
      </c>
      <c r="J3079">
        <v>0</v>
      </c>
    </row>
    <row r="3080" spans="1:10" x14ac:dyDescent="0.35">
      <c r="A3080">
        <v>327940</v>
      </c>
      <c r="B3080" t="s">
        <v>20</v>
      </c>
      <c r="C3080">
        <v>2015</v>
      </c>
      <c r="D3080">
        <v>4</v>
      </c>
      <c r="E3080" t="s">
        <v>6</v>
      </c>
      <c r="F3080" t="s">
        <v>6</v>
      </c>
      <c r="G3080" t="s">
        <v>6</v>
      </c>
      <c r="H3080">
        <v>15030.52</v>
      </c>
      <c r="I3080">
        <v>5738.45</v>
      </c>
      <c r="J3080">
        <v>0</v>
      </c>
    </row>
    <row r="3081" spans="1:10" x14ac:dyDescent="0.35">
      <c r="A3081">
        <v>327948</v>
      </c>
      <c r="B3081" t="s">
        <v>20</v>
      </c>
      <c r="C3081">
        <v>2015</v>
      </c>
      <c r="D3081">
        <v>4</v>
      </c>
      <c r="E3081" t="s">
        <v>6</v>
      </c>
      <c r="F3081" t="s">
        <v>6</v>
      </c>
      <c r="G3081" t="s">
        <v>6</v>
      </c>
      <c r="H3081">
        <v>34819.72</v>
      </c>
      <c r="I3081">
        <v>10568.09</v>
      </c>
      <c r="J3081">
        <v>0</v>
      </c>
    </row>
    <row r="3082" spans="1:10" x14ac:dyDescent="0.35">
      <c r="A3082">
        <v>327952</v>
      </c>
      <c r="B3082" t="s">
        <v>20</v>
      </c>
      <c r="C3082">
        <v>2015</v>
      </c>
      <c r="D3082">
        <v>4</v>
      </c>
      <c r="E3082" t="s">
        <v>6</v>
      </c>
      <c r="F3082" t="s">
        <v>6</v>
      </c>
      <c r="G3082" t="s">
        <v>6</v>
      </c>
      <c r="H3082">
        <v>9273.5</v>
      </c>
      <c r="I3082">
        <v>2520.52</v>
      </c>
      <c r="J3082">
        <v>0</v>
      </c>
    </row>
    <row r="3083" spans="1:10" x14ac:dyDescent="0.35">
      <c r="A3083">
        <v>327955</v>
      </c>
      <c r="B3083" t="s">
        <v>20</v>
      </c>
      <c r="C3083">
        <v>2015</v>
      </c>
      <c r="D3083">
        <v>4</v>
      </c>
      <c r="E3083" t="s">
        <v>6</v>
      </c>
      <c r="F3083" t="s">
        <v>6</v>
      </c>
      <c r="G3083" t="s">
        <v>6</v>
      </c>
      <c r="H3083">
        <v>14169.94</v>
      </c>
      <c r="I3083">
        <v>5533.57</v>
      </c>
      <c r="J3083">
        <v>0</v>
      </c>
    </row>
    <row r="3084" spans="1:10" x14ac:dyDescent="0.35">
      <c r="A3084">
        <v>327958</v>
      </c>
      <c r="B3084" t="s">
        <v>20</v>
      </c>
      <c r="C3084">
        <v>2015</v>
      </c>
      <c r="D3084">
        <v>4</v>
      </c>
      <c r="E3084" t="s">
        <v>6</v>
      </c>
      <c r="F3084" t="s">
        <v>6</v>
      </c>
      <c r="G3084" t="s">
        <v>6</v>
      </c>
      <c r="H3084">
        <v>19345.38</v>
      </c>
      <c r="I3084">
        <v>3458.14</v>
      </c>
      <c r="J3084">
        <v>0</v>
      </c>
    </row>
    <row r="3085" spans="1:10" x14ac:dyDescent="0.35">
      <c r="A3085">
        <v>327960</v>
      </c>
      <c r="B3085" t="s">
        <v>20</v>
      </c>
      <c r="C3085">
        <v>2015</v>
      </c>
      <c r="D3085">
        <v>4</v>
      </c>
      <c r="E3085" t="s">
        <v>6</v>
      </c>
      <c r="F3085" t="s">
        <v>6</v>
      </c>
      <c r="G3085" t="s">
        <v>6</v>
      </c>
      <c r="H3085">
        <v>17413.62</v>
      </c>
      <c r="I3085">
        <v>7297.23</v>
      </c>
      <c r="J3085">
        <v>0</v>
      </c>
    </row>
    <row r="3086" spans="1:10" x14ac:dyDescent="0.35">
      <c r="A3086">
        <v>327971</v>
      </c>
      <c r="B3086" t="s">
        <v>20</v>
      </c>
      <c r="C3086">
        <v>2015</v>
      </c>
      <c r="D3086">
        <v>4</v>
      </c>
      <c r="E3086" t="s">
        <v>6</v>
      </c>
      <c r="F3086" t="s">
        <v>6</v>
      </c>
      <c r="G3086" t="s">
        <v>6</v>
      </c>
      <c r="H3086">
        <v>54164.38</v>
      </c>
      <c r="I3086">
        <v>27760.19</v>
      </c>
      <c r="J3086">
        <v>0</v>
      </c>
    </row>
    <row r="3087" spans="1:10" x14ac:dyDescent="0.35">
      <c r="A3087">
        <v>327976</v>
      </c>
      <c r="B3087" t="s">
        <v>20</v>
      </c>
      <c r="C3087">
        <v>2015</v>
      </c>
      <c r="D3087">
        <v>4</v>
      </c>
      <c r="E3087" t="s">
        <v>6</v>
      </c>
      <c r="F3087" t="s">
        <v>6</v>
      </c>
      <c r="G3087" t="s">
        <v>6</v>
      </c>
      <c r="H3087">
        <v>12038.16</v>
      </c>
      <c r="I3087">
        <v>3677.66</v>
      </c>
      <c r="J3087">
        <v>0</v>
      </c>
    </row>
    <row r="3088" spans="1:10" x14ac:dyDescent="0.35">
      <c r="A3088">
        <v>327980</v>
      </c>
      <c r="B3088" t="s">
        <v>20</v>
      </c>
      <c r="C3088">
        <v>2015</v>
      </c>
      <c r="D3088">
        <v>4</v>
      </c>
      <c r="E3088" t="s">
        <v>6</v>
      </c>
      <c r="F3088" t="s">
        <v>6</v>
      </c>
      <c r="G3088" t="s">
        <v>6</v>
      </c>
      <c r="H3088">
        <v>11795.68</v>
      </c>
      <c r="I3088">
        <v>4574.6099999999997</v>
      </c>
      <c r="J3088">
        <v>0</v>
      </c>
    </row>
    <row r="3089" spans="1:10" x14ac:dyDescent="0.35">
      <c r="A3089">
        <v>327989</v>
      </c>
      <c r="B3089" t="s">
        <v>20</v>
      </c>
      <c r="C3089">
        <v>2015</v>
      </c>
      <c r="D3089">
        <v>4</v>
      </c>
      <c r="E3089" t="s">
        <v>6</v>
      </c>
      <c r="F3089" t="s">
        <v>6</v>
      </c>
      <c r="G3089" t="s">
        <v>6</v>
      </c>
      <c r="H3089">
        <v>39982.82</v>
      </c>
      <c r="I3089">
        <v>12899.18</v>
      </c>
      <c r="J3089">
        <v>0</v>
      </c>
    </row>
    <row r="3090" spans="1:10" x14ac:dyDescent="0.35">
      <c r="A3090">
        <v>327992</v>
      </c>
      <c r="B3090" t="s">
        <v>20</v>
      </c>
      <c r="C3090">
        <v>2015</v>
      </c>
      <c r="D3090">
        <v>4</v>
      </c>
      <c r="E3090" t="s">
        <v>6</v>
      </c>
      <c r="F3090" t="s">
        <v>6</v>
      </c>
      <c r="G3090" t="s">
        <v>6</v>
      </c>
      <c r="H3090">
        <v>21541.08</v>
      </c>
      <c r="I3090">
        <v>8593.39</v>
      </c>
      <c r="J3090">
        <v>0</v>
      </c>
    </row>
    <row r="3091" spans="1:10" x14ac:dyDescent="0.35">
      <c r="A3091">
        <v>328000</v>
      </c>
      <c r="B3091" t="s">
        <v>20</v>
      </c>
      <c r="C3091">
        <v>2015</v>
      </c>
      <c r="D3091">
        <v>4</v>
      </c>
      <c r="E3091" t="s">
        <v>6</v>
      </c>
      <c r="F3091" t="s">
        <v>6</v>
      </c>
      <c r="G3091" t="s">
        <v>6</v>
      </c>
      <c r="H3091">
        <v>16459.68</v>
      </c>
      <c r="I3091">
        <v>5672.07</v>
      </c>
      <c r="J3091">
        <v>0</v>
      </c>
    </row>
    <row r="3092" spans="1:10" x14ac:dyDescent="0.35">
      <c r="A3092">
        <v>328006</v>
      </c>
      <c r="B3092" t="s">
        <v>20</v>
      </c>
      <c r="C3092">
        <v>2015</v>
      </c>
      <c r="D3092">
        <v>4</v>
      </c>
      <c r="E3092" t="s">
        <v>6</v>
      </c>
      <c r="F3092" t="s">
        <v>6</v>
      </c>
      <c r="G3092" t="s">
        <v>6</v>
      </c>
      <c r="H3092">
        <v>16060.22</v>
      </c>
      <c r="I3092">
        <v>5861.71</v>
      </c>
      <c r="J3092">
        <v>0</v>
      </c>
    </row>
    <row r="3093" spans="1:10" x14ac:dyDescent="0.35">
      <c r="A3093">
        <v>328013</v>
      </c>
      <c r="B3093" t="s">
        <v>20</v>
      </c>
      <c r="C3093">
        <v>2015</v>
      </c>
      <c r="D3093">
        <v>4</v>
      </c>
      <c r="E3093" t="s">
        <v>6</v>
      </c>
      <c r="F3093" t="s">
        <v>6</v>
      </c>
      <c r="G3093" t="s">
        <v>6</v>
      </c>
      <c r="H3093">
        <v>67478</v>
      </c>
      <c r="I3093">
        <v>32494.81</v>
      </c>
      <c r="J3093">
        <v>0</v>
      </c>
    </row>
    <row r="3094" spans="1:10" x14ac:dyDescent="0.35">
      <c r="A3094">
        <v>328016</v>
      </c>
      <c r="B3094" t="s">
        <v>20</v>
      </c>
      <c r="C3094">
        <v>2015</v>
      </c>
      <c r="D3094">
        <v>4</v>
      </c>
      <c r="E3094" t="s">
        <v>6</v>
      </c>
      <c r="F3094" t="s">
        <v>6</v>
      </c>
      <c r="G3094" t="s">
        <v>6</v>
      </c>
      <c r="H3094">
        <v>24431.58</v>
      </c>
      <c r="I3094">
        <v>8477.56</v>
      </c>
      <c r="J3094">
        <v>0</v>
      </c>
    </row>
    <row r="3095" spans="1:10" x14ac:dyDescent="0.35">
      <c r="A3095">
        <v>328024</v>
      </c>
      <c r="B3095" t="s">
        <v>20</v>
      </c>
      <c r="C3095">
        <v>2015</v>
      </c>
      <c r="D3095">
        <v>4</v>
      </c>
      <c r="E3095" t="s">
        <v>6</v>
      </c>
      <c r="F3095" t="s">
        <v>6</v>
      </c>
      <c r="G3095" t="s">
        <v>6</v>
      </c>
      <c r="H3095">
        <v>17104.48</v>
      </c>
      <c r="I3095">
        <v>6112.62</v>
      </c>
      <c r="J3095">
        <v>0</v>
      </c>
    </row>
    <row r="3096" spans="1:10" x14ac:dyDescent="0.35">
      <c r="A3096">
        <v>328031</v>
      </c>
      <c r="B3096" t="s">
        <v>20</v>
      </c>
      <c r="C3096">
        <v>2015</v>
      </c>
      <c r="D3096">
        <v>4</v>
      </c>
      <c r="E3096" t="s">
        <v>6</v>
      </c>
      <c r="F3096" t="s">
        <v>6</v>
      </c>
      <c r="G3096" t="s">
        <v>6</v>
      </c>
      <c r="H3096">
        <v>20002</v>
      </c>
      <c r="I3096">
        <v>6993.85</v>
      </c>
      <c r="J3096">
        <v>0</v>
      </c>
    </row>
    <row r="3097" spans="1:10" x14ac:dyDescent="0.35">
      <c r="A3097">
        <v>328041</v>
      </c>
      <c r="B3097" t="s">
        <v>20</v>
      </c>
      <c r="C3097">
        <v>2015</v>
      </c>
      <c r="D3097">
        <v>4</v>
      </c>
      <c r="E3097" t="s">
        <v>6</v>
      </c>
      <c r="F3097" t="s">
        <v>6</v>
      </c>
      <c r="G3097" t="s">
        <v>6</v>
      </c>
      <c r="H3097">
        <v>18726.5</v>
      </c>
      <c r="I3097">
        <v>5700.49</v>
      </c>
      <c r="J3097">
        <v>0</v>
      </c>
    </row>
    <row r="3098" spans="1:10" x14ac:dyDescent="0.35">
      <c r="A3098">
        <v>328054</v>
      </c>
      <c r="B3098" t="s">
        <v>20</v>
      </c>
      <c r="C3098">
        <v>2015</v>
      </c>
      <c r="D3098">
        <v>4</v>
      </c>
      <c r="E3098" t="s">
        <v>6</v>
      </c>
      <c r="F3098" t="s">
        <v>6</v>
      </c>
      <c r="G3098" t="s">
        <v>6</v>
      </c>
      <c r="H3098">
        <v>22844.1</v>
      </c>
      <c r="I3098">
        <v>8536.4500000000007</v>
      </c>
      <c r="J3098">
        <v>0</v>
      </c>
    </row>
    <row r="3099" spans="1:10" x14ac:dyDescent="0.35">
      <c r="A3099">
        <v>328061</v>
      </c>
      <c r="B3099" t="s">
        <v>20</v>
      </c>
      <c r="C3099">
        <v>2015</v>
      </c>
      <c r="D3099">
        <v>4</v>
      </c>
      <c r="E3099" t="s">
        <v>6</v>
      </c>
      <c r="F3099" t="s">
        <v>6</v>
      </c>
      <c r="G3099" t="s">
        <v>6</v>
      </c>
      <c r="H3099">
        <v>14007.16</v>
      </c>
      <c r="I3099">
        <v>5421.57</v>
      </c>
      <c r="J3099">
        <v>0</v>
      </c>
    </row>
    <row r="3100" spans="1:10" x14ac:dyDescent="0.35">
      <c r="A3100">
        <v>328074</v>
      </c>
      <c r="B3100" t="s">
        <v>20</v>
      </c>
      <c r="C3100">
        <v>2015</v>
      </c>
      <c r="D3100">
        <v>4</v>
      </c>
      <c r="E3100" t="s">
        <v>6</v>
      </c>
      <c r="F3100" t="s">
        <v>6</v>
      </c>
      <c r="G3100" t="s">
        <v>6</v>
      </c>
      <c r="H3100">
        <v>15430.58</v>
      </c>
      <c r="I3100">
        <v>5087.49</v>
      </c>
      <c r="J3100">
        <v>0</v>
      </c>
    </row>
    <row r="3101" spans="1:10" x14ac:dyDescent="0.35">
      <c r="A3101">
        <v>328081</v>
      </c>
      <c r="B3101" t="s">
        <v>20</v>
      </c>
      <c r="C3101">
        <v>2015</v>
      </c>
      <c r="D3101">
        <v>4</v>
      </c>
      <c r="E3101" t="s">
        <v>6</v>
      </c>
      <c r="F3101" t="s">
        <v>6</v>
      </c>
      <c r="G3101" t="s">
        <v>6</v>
      </c>
      <c r="H3101">
        <v>16493.04</v>
      </c>
      <c r="I3101">
        <v>4776.1000000000004</v>
      </c>
      <c r="J3101">
        <v>0</v>
      </c>
    </row>
    <row r="3102" spans="1:10" x14ac:dyDescent="0.35">
      <c r="A3102">
        <v>328085</v>
      </c>
      <c r="B3102" t="s">
        <v>20</v>
      </c>
      <c r="C3102">
        <v>2015</v>
      </c>
      <c r="D3102">
        <v>4</v>
      </c>
      <c r="E3102" t="s">
        <v>6</v>
      </c>
      <c r="F3102" t="s">
        <v>6</v>
      </c>
      <c r="G3102" t="s">
        <v>6</v>
      </c>
      <c r="H3102">
        <v>17015.62</v>
      </c>
      <c r="I3102">
        <v>6455.35</v>
      </c>
      <c r="J3102">
        <v>0</v>
      </c>
    </row>
    <row r="3103" spans="1:10" x14ac:dyDescent="0.35">
      <c r="A3103">
        <v>328093</v>
      </c>
      <c r="B3103" t="s">
        <v>20</v>
      </c>
      <c r="C3103">
        <v>2015</v>
      </c>
      <c r="D3103">
        <v>4</v>
      </c>
      <c r="E3103" t="s">
        <v>6</v>
      </c>
      <c r="F3103" t="s">
        <v>6</v>
      </c>
      <c r="G3103" t="s">
        <v>6</v>
      </c>
      <c r="H3103">
        <v>14137.1</v>
      </c>
      <c r="I3103">
        <v>4760.22</v>
      </c>
      <c r="J3103">
        <v>0</v>
      </c>
    </row>
    <row r="3104" spans="1:10" x14ac:dyDescent="0.35">
      <c r="A3104">
        <v>328098</v>
      </c>
      <c r="B3104" t="s">
        <v>20</v>
      </c>
      <c r="C3104">
        <v>2015</v>
      </c>
      <c r="D3104">
        <v>4</v>
      </c>
      <c r="E3104" t="s">
        <v>6</v>
      </c>
      <c r="F3104" t="s">
        <v>6</v>
      </c>
      <c r="G3104" t="s">
        <v>6</v>
      </c>
      <c r="H3104">
        <v>24639.48</v>
      </c>
      <c r="I3104">
        <v>8531.7000000000007</v>
      </c>
      <c r="J3104">
        <v>0</v>
      </c>
    </row>
    <row r="3105" spans="1:10" x14ac:dyDescent="0.35">
      <c r="A3105">
        <v>328102</v>
      </c>
      <c r="B3105" t="s">
        <v>20</v>
      </c>
      <c r="C3105">
        <v>2015</v>
      </c>
      <c r="D3105">
        <v>4</v>
      </c>
      <c r="E3105" t="s">
        <v>6</v>
      </c>
      <c r="F3105" t="s">
        <v>6</v>
      </c>
      <c r="G3105" t="s">
        <v>6</v>
      </c>
      <c r="H3105">
        <v>56178.94</v>
      </c>
      <c r="I3105">
        <v>27712.07</v>
      </c>
      <c r="J3105">
        <v>0</v>
      </c>
    </row>
    <row r="3106" spans="1:10" x14ac:dyDescent="0.35">
      <c r="A3106">
        <v>328104</v>
      </c>
      <c r="B3106" t="s">
        <v>20</v>
      </c>
      <c r="C3106">
        <v>2015</v>
      </c>
      <c r="D3106">
        <v>4</v>
      </c>
      <c r="E3106" t="s">
        <v>6</v>
      </c>
      <c r="F3106" t="s">
        <v>6</v>
      </c>
      <c r="G3106" t="s">
        <v>6</v>
      </c>
      <c r="H3106">
        <v>31852.06</v>
      </c>
      <c r="I3106">
        <v>9990.56</v>
      </c>
      <c r="J3106">
        <v>0</v>
      </c>
    </row>
    <row r="3107" spans="1:10" x14ac:dyDescent="0.35">
      <c r="A3107">
        <v>328110</v>
      </c>
      <c r="B3107" t="s">
        <v>20</v>
      </c>
      <c r="C3107">
        <v>2015</v>
      </c>
      <c r="D3107">
        <v>4</v>
      </c>
      <c r="E3107" t="s">
        <v>6</v>
      </c>
      <c r="F3107" t="s">
        <v>6</v>
      </c>
      <c r="G3107" t="s">
        <v>6</v>
      </c>
      <c r="H3107">
        <v>20439.96</v>
      </c>
      <c r="I3107">
        <v>7037.18</v>
      </c>
      <c r="J3107">
        <v>0</v>
      </c>
    </row>
    <row r="3108" spans="1:10" x14ac:dyDescent="0.35">
      <c r="A3108">
        <v>328114</v>
      </c>
      <c r="B3108" t="s">
        <v>20</v>
      </c>
      <c r="C3108">
        <v>2015</v>
      </c>
      <c r="D3108">
        <v>4</v>
      </c>
      <c r="E3108" t="s">
        <v>6</v>
      </c>
      <c r="F3108" t="s">
        <v>6</v>
      </c>
      <c r="G3108" t="s">
        <v>6</v>
      </c>
      <c r="H3108">
        <v>18722.400000000001</v>
      </c>
      <c r="I3108">
        <v>4723.33</v>
      </c>
      <c r="J3108">
        <v>0</v>
      </c>
    </row>
    <row r="3109" spans="1:10" x14ac:dyDescent="0.35">
      <c r="A3109">
        <v>328118</v>
      </c>
      <c r="B3109" t="s">
        <v>20</v>
      </c>
      <c r="C3109">
        <v>2015</v>
      </c>
      <c r="D3109">
        <v>4</v>
      </c>
      <c r="E3109" t="s">
        <v>6</v>
      </c>
      <c r="F3109" t="s">
        <v>6</v>
      </c>
      <c r="G3109" t="s">
        <v>6</v>
      </c>
      <c r="H3109">
        <v>27867.599999999999</v>
      </c>
      <c r="I3109">
        <v>11651.68</v>
      </c>
      <c r="J3109">
        <v>0</v>
      </c>
    </row>
    <row r="3110" spans="1:10" x14ac:dyDescent="0.35">
      <c r="A3110">
        <v>328128</v>
      </c>
      <c r="B3110" t="s">
        <v>20</v>
      </c>
      <c r="C3110">
        <v>2015</v>
      </c>
      <c r="D3110">
        <v>4</v>
      </c>
      <c r="E3110" t="s">
        <v>6</v>
      </c>
      <c r="F3110" t="s">
        <v>6</v>
      </c>
      <c r="G3110" t="s">
        <v>6</v>
      </c>
      <c r="H3110">
        <v>15631.7</v>
      </c>
      <c r="I3110">
        <v>5464.8</v>
      </c>
      <c r="J3110">
        <v>0</v>
      </c>
    </row>
    <row r="3111" spans="1:10" x14ac:dyDescent="0.35">
      <c r="A3111">
        <v>328131</v>
      </c>
      <c r="B3111" t="s">
        <v>20</v>
      </c>
      <c r="C3111">
        <v>2015</v>
      </c>
      <c r="D3111">
        <v>4</v>
      </c>
      <c r="E3111" t="s">
        <v>6</v>
      </c>
      <c r="F3111" t="s">
        <v>6</v>
      </c>
      <c r="G3111" t="s">
        <v>6</v>
      </c>
      <c r="H3111">
        <v>25034.12</v>
      </c>
      <c r="I3111">
        <v>13319.54</v>
      </c>
      <c r="J3111">
        <v>0</v>
      </c>
    </row>
    <row r="3112" spans="1:10" x14ac:dyDescent="0.35">
      <c r="A3112">
        <v>328137</v>
      </c>
      <c r="B3112" t="s">
        <v>20</v>
      </c>
      <c r="C3112">
        <v>2015</v>
      </c>
      <c r="D3112">
        <v>4</v>
      </c>
      <c r="E3112" t="s">
        <v>6</v>
      </c>
      <c r="F3112" t="s">
        <v>6</v>
      </c>
      <c r="G3112" t="s">
        <v>6</v>
      </c>
      <c r="H3112">
        <v>11266.52</v>
      </c>
      <c r="I3112">
        <v>3403.39</v>
      </c>
      <c r="J3112">
        <v>0</v>
      </c>
    </row>
    <row r="3113" spans="1:10" x14ac:dyDescent="0.35">
      <c r="A3113">
        <v>328142</v>
      </c>
      <c r="B3113" t="s">
        <v>20</v>
      </c>
      <c r="C3113">
        <v>2015</v>
      </c>
      <c r="D3113">
        <v>4</v>
      </c>
      <c r="E3113" t="s">
        <v>6</v>
      </c>
      <c r="F3113" t="s">
        <v>6</v>
      </c>
      <c r="G3113" t="s">
        <v>6</v>
      </c>
      <c r="H3113">
        <v>6968.96</v>
      </c>
      <c r="I3113">
        <v>2090.69</v>
      </c>
      <c r="J3113">
        <v>0</v>
      </c>
    </row>
    <row r="3114" spans="1:10" x14ac:dyDescent="0.35">
      <c r="A3114">
        <v>328153</v>
      </c>
      <c r="B3114" t="s">
        <v>20</v>
      </c>
      <c r="C3114">
        <v>2015</v>
      </c>
      <c r="D3114">
        <v>4</v>
      </c>
      <c r="E3114" t="s">
        <v>6</v>
      </c>
      <c r="F3114" t="s">
        <v>6</v>
      </c>
      <c r="G3114" t="s">
        <v>6</v>
      </c>
      <c r="H3114">
        <v>42737.48</v>
      </c>
      <c r="I3114">
        <v>16444.23</v>
      </c>
      <c r="J3114">
        <v>0</v>
      </c>
    </row>
    <row r="3115" spans="1:10" x14ac:dyDescent="0.35">
      <c r="A3115">
        <v>328160</v>
      </c>
      <c r="B3115" t="s">
        <v>20</v>
      </c>
      <c r="C3115">
        <v>2015</v>
      </c>
      <c r="D3115">
        <v>4</v>
      </c>
      <c r="E3115" t="s">
        <v>6</v>
      </c>
      <c r="F3115" t="s">
        <v>6</v>
      </c>
      <c r="G3115" t="s">
        <v>6</v>
      </c>
      <c r="H3115">
        <v>27210.48</v>
      </c>
      <c r="I3115">
        <v>8987.26</v>
      </c>
      <c r="J3115">
        <v>0</v>
      </c>
    </row>
    <row r="3116" spans="1:10" x14ac:dyDescent="0.35">
      <c r="A3116">
        <v>328167</v>
      </c>
      <c r="B3116" t="s">
        <v>20</v>
      </c>
      <c r="C3116">
        <v>2015</v>
      </c>
      <c r="D3116">
        <v>4</v>
      </c>
      <c r="E3116" t="s">
        <v>6</v>
      </c>
      <c r="F3116" t="s">
        <v>6</v>
      </c>
      <c r="G3116" t="s">
        <v>6</v>
      </c>
      <c r="H3116">
        <v>31168.58</v>
      </c>
      <c r="I3116">
        <v>10595.02</v>
      </c>
      <c r="J3116">
        <v>0</v>
      </c>
    </row>
    <row r="3117" spans="1:10" x14ac:dyDescent="0.35">
      <c r="A3117">
        <v>328172</v>
      </c>
      <c r="B3117" t="s">
        <v>20</v>
      </c>
      <c r="C3117">
        <v>2015</v>
      </c>
      <c r="D3117">
        <v>4</v>
      </c>
      <c r="E3117" t="s">
        <v>6</v>
      </c>
      <c r="F3117" t="s">
        <v>6</v>
      </c>
      <c r="G3117" t="s">
        <v>6</v>
      </c>
      <c r="H3117">
        <v>39860.54</v>
      </c>
      <c r="I3117">
        <v>11517.55</v>
      </c>
      <c r="J3117">
        <v>0</v>
      </c>
    </row>
    <row r="3118" spans="1:10" x14ac:dyDescent="0.35">
      <c r="A3118">
        <v>328175</v>
      </c>
      <c r="B3118" t="s">
        <v>20</v>
      </c>
      <c r="C3118">
        <v>2015</v>
      </c>
      <c r="D3118">
        <v>4</v>
      </c>
      <c r="E3118" t="s">
        <v>6</v>
      </c>
      <c r="F3118" t="s">
        <v>6</v>
      </c>
      <c r="G3118" t="s">
        <v>6</v>
      </c>
      <c r="H3118">
        <v>25426.880000000001</v>
      </c>
      <c r="I3118">
        <v>8589.35</v>
      </c>
      <c r="J3118">
        <v>0</v>
      </c>
    </row>
    <row r="3119" spans="1:10" x14ac:dyDescent="0.35">
      <c r="A3119">
        <v>328203</v>
      </c>
      <c r="B3119" t="s">
        <v>20</v>
      </c>
      <c r="C3119">
        <v>2015</v>
      </c>
      <c r="D3119">
        <v>4</v>
      </c>
      <c r="E3119" t="s">
        <v>6</v>
      </c>
      <c r="F3119" t="s">
        <v>6</v>
      </c>
      <c r="G3119" t="s">
        <v>6</v>
      </c>
      <c r="H3119">
        <v>39628.879999999997</v>
      </c>
      <c r="I3119">
        <v>15872.05</v>
      </c>
      <c r="J3119">
        <v>0</v>
      </c>
    </row>
    <row r="3120" spans="1:10" x14ac:dyDescent="0.35">
      <c r="A3120">
        <v>328211</v>
      </c>
      <c r="B3120" t="s">
        <v>20</v>
      </c>
      <c r="C3120">
        <v>2015</v>
      </c>
      <c r="D3120">
        <v>4</v>
      </c>
      <c r="E3120" t="s">
        <v>6</v>
      </c>
      <c r="F3120" t="s">
        <v>6</v>
      </c>
      <c r="G3120" t="s">
        <v>6</v>
      </c>
      <c r="H3120">
        <v>30078.880000000001</v>
      </c>
      <c r="I3120">
        <v>11267.63</v>
      </c>
      <c r="J3120">
        <v>0</v>
      </c>
    </row>
    <row r="3121" spans="1:10" x14ac:dyDescent="0.35">
      <c r="A3121">
        <v>328223</v>
      </c>
      <c r="B3121" t="s">
        <v>20</v>
      </c>
      <c r="C3121">
        <v>2015</v>
      </c>
      <c r="D3121">
        <v>4</v>
      </c>
      <c r="E3121" t="s">
        <v>6</v>
      </c>
      <c r="F3121" t="s">
        <v>6</v>
      </c>
      <c r="G3121" t="s">
        <v>6</v>
      </c>
      <c r="H3121">
        <v>11412</v>
      </c>
      <c r="I3121">
        <v>4043.11</v>
      </c>
      <c r="J3121">
        <v>0</v>
      </c>
    </row>
    <row r="3122" spans="1:10" x14ac:dyDescent="0.35">
      <c r="A3122">
        <v>328233</v>
      </c>
      <c r="B3122" t="s">
        <v>20</v>
      </c>
      <c r="C3122">
        <v>2015</v>
      </c>
      <c r="D3122">
        <v>4</v>
      </c>
      <c r="E3122" t="s">
        <v>6</v>
      </c>
      <c r="F3122" t="s">
        <v>6</v>
      </c>
      <c r="G3122" t="s">
        <v>6</v>
      </c>
      <c r="H3122">
        <v>32063.200000000001</v>
      </c>
      <c r="I3122">
        <v>11026.2</v>
      </c>
      <c r="J3122">
        <v>0</v>
      </c>
    </row>
    <row r="3123" spans="1:10" x14ac:dyDescent="0.35">
      <c r="A3123">
        <v>328235</v>
      </c>
      <c r="B3123" t="s">
        <v>20</v>
      </c>
      <c r="C3123">
        <v>2015</v>
      </c>
      <c r="D3123">
        <v>4</v>
      </c>
      <c r="E3123" t="s">
        <v>6</v>
      </c>
      <c r="F3123" t="s">
        <v>6</v>
      </c>
      <c r="G3123" t="s">
        <v>6</v>
      </c>
      <c r="H3123">
        <v>74697.36</v>
      </c>
      <c r="I3123">
        <v>24147.16</v>
      </c>
      <c r="J3123">
        <v>0</v>
      </c>
    </row>
    <row r="3124" spans="1:10" x14ac:dyDescent="0.35">
      <c r="A3124">
        <v>328244</v>
      </c>
      <c r="B3124" t="s">
        <v>20</v>
      </c>
      <c r="C3124">
        <v>2015</v>
      </c>
      <c r="D3124">
        <v>4</v>
      </c>
      <c r="E3124" t="s">
        <v>6</v>
      </c>
      <c r="F3124" t="s">
        <v>6</v>
      </c>
      <c r="G3124" t="s">
        <v>6</v>
      </c>
      <c r="H3124">
        <v>17179.28</v>
      </c>
      <c r="I3124">
        <v>5369.77</v>
      </c>
      <c r="J3124">
        <v>0</v>
      </c>
    </row>
    <row r="3125" spans="1:10" x14ac:dyDescent="0.35">
      <c r="A3125">
        <v>328249</v>
      </c>
      <c r="B3125" t="s">
        <v>20</v>
      </c>
      <c r="C3125">
        <v>2015</v>
      </c>
      <c r="D3125">
        <v>4</v>
      </c>
      <c r="E3125" t="s">
        <v>6</v>
      </c>
      <c r="F3125" t="s">
        <v>6</v>
      </c>
      <c r="G3125" t="s">
        <v>6</v>
      </c>
      <c r="H3125">
        <v>19898.14</v>
      </c>
      <c r="I3125">
        <v>5891.05</v>
      </c>
      <c r="J3125">
        <v>0</v>
      </c>
    </row>
    <row r="3126" spans="1:10" x14ac:dyDescent="0.35">
      <c r="A3126">
        <v>328251</v>
      </c>
      <c r="B3126" t="s">
        <v>20</v>
      </c>
      <c r="C3126">
        <v>2015</v>
      </c>
      <c r="D3126">
        <v>4</v>
      </c>
      <c r="E3126" t="s">
        <v>6</v>
      </c>
      <c r="F3126" t="s">
        <v>6</v>
      </c>
      <c r="G3126" t="s">
        <v>6</v>
      </c>
      <c r="H3126">
        <v>29990.5</v>
      </c>
      <c r="I3126">
        <v>10093.030000000001</v>
      </c>
      <c r="J3126">
        <v>0</v>
      </c>
    </row>
    <row r="3127" spans="1:10" x14ac:dyDescent="0.35">
      <c r="A3127">
        <v>328263</v>
      </c>
      <c r="B3127" t="s">
        <v>20</v>
      </c>
      <c r="C3127">
        <v>2015</v>
      </c>
      <c r="D3127">
        <v>4</v>
      </c>
      <c r="E3127" t="s">
        <v>6</v>
      </c>
      <c r="F3127" t="s">
        <v>6</v>
      </c>
      <c r="G3127" t="s">
        <v>6</v>
      </c>
      <c r="H3127">
        <v>15863.78</v>
      </c>
      <c r="I3127">
        <v>5737.25</v>
      </c>
      <c r="J3127">
        <v>0</v>
      </c>
    </row>
    <row r="3128" spans="1:10" x14ac:dyDescent="0.35">
      <c r="A3128">
        <v>328268</v>
      </c>
      <c r="B3128" t="s">
        <v>20</v>
      </c>
      <c r="C3128">
        <v>2015</v>
      </c>
      <c r="D3128">
        <v>4</v>
      </c>
      <c r="E3128" t="s">
        <v>6</v>
      </c>
      <c r="F3128" t="s">
        <v>6</v>
      </c>
      <c r="G3128" t="s">
        <v>6</v>
      </c>
      <c r="H3128">
        <v>16260.14</v>
      </c>
      <c r="I3128">
        <v>4625.6499999999996</v>
      </c>
      <c r="J3128">
        <v>0</v>
      </c>
    </row>
    <row r="3129" spans="1:10" x14ac:dyDescent="0.35">
      <c r="A3129">
        <v>328281</v>
      </c>
      <c r="B3129" t="s">
        <v>20</v>
      </c>
      <c r="C3129">
        <v>2015</v>
      </c>
      <c r="D3129">
        <v>4</v>
      </c>
      <c r="E3129" t="s">
        <v>6</v>
      </c>
      <c r="F3129" t="s">
        <v>6</v>
      </c>
      <c r="G3129" t="s">
        <v>6</v>
      </c>
      <c r="H3129">
        <v>14929.34</v>
      </c>
      <c r="I3129">
        <v>5146.95</v>
      </c>
      <c r="J3129">
        <v>0</v>
      </c>
    </row>
    <row r="3130" spans="1:10" x14ac:dyDescent="0.35">
      <c r="A3130">
        <v>328288</v>
      </c>
      <c r="B3130" t="s">
        <v>20</v>
      </c>
      <c r="C3130">
        <v>2015</v>
      </c>
      <c r="D3130">
        <v>4</v>
      </c>
      <c r="E3130" t="s">
        <v>6</v>
      </c>
      <c r="F3130" t="s">
        <v>6</v>
      </c>
      <c r="G3130" t="s">
        <v>6</v>
      </c>
      <c r="H3130">
        <v>11504.86</v>
      </c>
      <c r="I3130">
        <v>4283.88</v>
      </c>
      <c r="J3130">
        <v>0</v>
      </c>
    </row>
    <row r="3131" spans="1:10" x14ac:dyDescent="0.35">
      <c r="A3131">
        <v>328296</v>
      </c>
      <c r="B3131" t="s">
        <v>20</v>
      </c>
      <c r="C3131">
        <v>2015</v>
      </c>
      <c r="D3131">
        <v>4</v>
      </c>
      <c r="E3131" t="s">
        <v>6</v>
      </c>
      <c r="F3131" t="s">
        <v>6</v>
      </c>
      <c r="G3131" t="s">
        <v>6</v>
      </c>
      <c r="H3131">
        <v>32246.94</v>
      </c>
      <c r="I3131">
        <v>10854.27</v>
      </c>
      <c r="J3131">
        <v>0</v>
      </c>
    </row>
    <row r="3132" spans="1:10" x14ac:dyDescent="0.35">
      <c r="A3132">
        <v>328302</v>
      </c>
      <c r="B3132" t="s">
        <v>20</v>
      </c>
      <c r="C3132">
        <v>2015</v>
      </c>
      <c r="D3132">
        <v>4</v>
      </c>
      <c r="E3132" t="s">
        <v>6</v>
      </c>
      <c r="F3132" t="s">
        <v>6</v>
      </c>
      <c r="G3132" t="s">
        <v>6</v>
      </c>
      <c r="H3132">
        <v>25673.1</v>
      </c>
      <c r="I3132">
        <v>8782.19</v>
      </c>
      <c r="J3132">
        <v>0</v>
      </c>
    </row>
    <row r="3133" spans="1:10" x14ac:dyDescent="0.35">
      <c r="A3133">
        <v>328310</v>
      </c>
      <c r="B3133" t="s">
        <v>20</v>
      </c>
      <c r="C3133">
        <v>2015</v>
      </c>
      <c r="D3133">
        <v>4</v>
      </c>
      <c r="E3133" t="s">
        <v>6</v>
      </c>
      <c r="F3133" t="s">
        <v>6</v>
      </c>
      <c r="G3133" t="s">
        <v>6</v>
      </c>
      <c r="H3133">
        <v>15513.92</v>
      </c>
      <c r="I3133">
        <v>5449.05</v>
      </c>
      <c r="J3133">
        <v>0</v>
      </c>
    </row>
    <row r="3134" spans="1:10" x14ac:dyDescent="0.35">
      <c r="A3134">
        <v>328318</v>
      </c>
      <c r="B3134" t="s">
        <v>20</v>
      </c>
      <c r="C3134">
        <v>2015</v>
      </c>
      <c r="D3134">
        <v>4</v>
      </c>
      <c r="E3134" t="s">
        <v>6</v>
      </c>
      <c r="F3134" t="s">
        <v>6</v>
      </c>
      <c r="G3134" t="s">
        <v>6</v>
      </c>
      <c r="H3134">
        <v>20700.8</v>
      </c>
      <c r="I3134">
        <v>7177.32</v>
      </c>
      <c r="J3134">
        <v>0</v>
      </c>
    </row>
    <row r="3135" spans="1:10" x14ac:dyDescent="0.35">
      <c r="A3135">
        <v>328327</v>
      </c>
      <c r="B3135" t="s">
        <v>20</v>
      </c>
      <c r="C3135">
        <v>2015</v>
      </c>
      <c r="D3135">
        <v>4</v>
      </c>
      <c r="E3135" t="s">
        <v>6</v>
      </c>
      <c r="F3135" t="s">
        <v>6</v>
      </c>
      <c r="G3135" t="s">
        <v>6</v>
      </c>
      <c r="H3135">
        <v>9466.42</v>
      </c>
      <c r="I3135">
        <v>2706.55</v>
      </c>
      <c r="J3135">
        <v>0</v>
      </c>
    </row>
    <row r="3136" spans="1:10" x14ac:dyDescent="0.35">
      <c r="A3136">
        <v>328330</v>
      </c>
      <c r="B3136" t="s">
        <v>20</v>
      </c>
      <c r="C3136">
        <v>2015</v>
      </c>
      <c r="D3136">
        <v>4</v>
      </c>
      <c r="E3136" t="s">
        <v>6</v>
      </c>
      <c r="F3136" t="s">
        <v>6</v>
      </c>
      <c r="G3136" t="s">
        <v>6</v>
      </c>
      <c r="H3136">
        <v>27513.14</v>
      </c>
      <c r="I3136">
        <v>8552.36</v>
      </c>
      <c r="J3136">
        <v>0</v>
      </c>
    </row>
    <row r="3137" spans="1:10" x14ac:dyDescent="0.35">
      <c r="A3137">
        <v>328338</v>
      </c>
      <c r="B3137" t="s">
        <v>20</v>
      </c>
      <c r="C3137">
        <v>2015</v>
      </c>
      <c r="D3137">
        <v>4</v>
      </c>
      <c r="E3137" t="s">
        <v>6</v>
      </c>
      <c r="F3137" t="s">
        <v>6</v>
      </c>
      <c r="G3137" t="s">
        <v>6</v>
      </c>
      <c r="H3137">
        <v>15308.18</v>
      </c>
      <c r="I3137">
        <v>5034.37</v>
      </c>
      <c r="J3137">
        <v>0</v>
      </c>
    </row>
    <row r="3138" spans="1:10" x14ac:dyDescent="0.35">
      <c r="A3138">
        <v>328347</v>
      </c>
      <c r="B3138" t="s">
        <v>20</v>
      </c>
      <c r="C3138">
        <v>2015</v>
      </c>
      <c r="D3138">
        <v>4</v>
      </c>
      <c r="E3138" t="s">
        <v>6</v>
      </c>
      <c r="F3138" t="s">
        <v>6</v>
      </c>
      <c r="G3138" t="s">
        <v>6</v>
      </c>
      <c r="H3138">
        <v>14712.34</v>
      </c>
      <c r="I3138">
        <v>4902.6000000000004</v>
      </c>
      <c r="J3138">
        <v>0</v>
      </c>
    </row>
    <row r="3139" spans="1:10" x14ac:dyDescent="0.35">
      <c r="A3139">
        <v>328356</v>
      </c>
      <c r="B3139" t="s">
        <v>20</v>
      </c>
      <c r="C3139">
        <v>2015</v>
      </c>
      <c r="D3139">
        <v>4</v>
      </c>
      <c r="E3139" t="s">
        <v>6</v>
      </c>
      <c r="F3139" t="s">
        <v>6</v>
      </c>
      <c r="G3139" t="s">
        <v>6</v>
      </c>
      <c r="H3139">
        <v>35223.78</v>
      </c>
      <c r="I3139">
        <v>8702.67</v>
      </c>
      <c r="J3139">
        <v>0</v>
      </c>
    </row>
    <row r="3140" spans="1:10" x14ac:dyDescent="0.35">
      <c r="A3140">
        <v>328360</v>
      </c>
      <c r="B3140" t="s">
        <v>20</v>
      </c>
      <c r="C3140">
        <v>2015</v>
      </c>
      <c r="D3140">
        <v>4</v>
      </c>
      <c r="E3140" t="s">
        <v>6</v>
      </c>
      <c r="F3140" t="s">
        <v>6</v>
      </c>
      <c r="G3140" t="s">
        <v>6</v>
      </c>
      <c r="H3140">
        <v>13033.14</v>
      </c>
      <c r="I3140">
        <v>4494.74</v>
      </c>
      <c r="J3140">
        <v>0</v>
      </c>
    </row>
    <row r="3141" spans="1:10" x14ac:dyDescent="0.35">
      <c r="A3141">
        <v>328369</v>
      </c>
      <c r="B3141" t="s">
        <v>20</v>
      </c>
      <c r="C3141">
        <v>2015</v>
      </c>
      <c r="D3141">
        <v>4</v>
      </c>
      <c r="E3141" t="s">
        <v>6</v>
      </c>
      <c r="F3141" t="s">
        <v>6</v>
      </c>
      <c r="G3141" t="s">
        <v>6</v>
      </c>
      <c r="H3141">
        <v>15527.72</v>
      </c>
      <c r="I3141">
        <v>5514.73</v>
      </c>
      <c r="J3141">
        <v>0</v>
      </c>
    </row>
    <row r="3142" spans="1:10" x14ac:dyDescent="0.35">
      <c r="A3142">
        <v>328378</v>
      </c>
      <c r="B3142" t="s">
        <v>20</v>
      </c>
      <c r="C3142">
        <v>2015</v>
      </c>
      <c r="D3142">
        <v>4</v>
      </c>
      <c r="E3142" t="s">
        <v>6</v>
      </c>
      <c r="F3142" t="s">
        <v>6</v>
      </c>
      <c r="G3142" t="s">
        <v>6</v>
      </c>
      <c r="H3142">
        <v>27219.759999999998</v>
      </c>
      <c r="I3142">
        <v>7397</v>
      </c>
      <c r="J3142">
        <v>0</v>
      </c>
    </row>
    <row r="3143" spans="1:10" x14ac:dyDescent="0.35">
      <c r="A3143">
        <v>328379</v>
      </c>
      <c r="B3143" t="s">
        <v>20</v>
      </c>
      <c r="C3143">
        <v>2015</v>
      </c>
      <c r="D3143">
        <v>4</v>
      </c>
      <c r="E3143" t="s">
        <v>6</v>
      </c>
      <c r="F3143" t="s">
        <v>6</v>
      </c>
      <c r="G3143" t="s">
        <v>6</v>
      </c>
      <c r="H3143">
        <v>19694.14</v>
      </c>
      <c r="I3143">
        <v>7064.19</v>
      </c>
      <c r="J3143">
        <v>0</v>
      </c>
    </row>
    <row r="3144" spans="1:10" x14ac:dyDescent="0.35">
      <c r="A3144">
        <v>328395</v>
      </c>
      <c r="B3144" t="s">
        <v>20</v>
      </c>
      <c r="C3144">
        <v>2015</v>
      </c>
      <c r="D3144">
        <v>4</v>
      </c>
      <c r="E3144" t="s">
        <v>6</v>
      </c>
      <c r="F3144" t="s">
        <v>6</v>
      </c>
      <c r="G3144" t="s">
        <v>6</v>
      </c>
      <c r="H3144">
        <v>19623.259999999998</v>
      </c>
      <c r="I3144">
        <v>7532.44</v>
      </c>
      <c r="J3144">
        <v>0</v>
      </c>
    </row>
    <row r="3145" spans="1:10" x14ac:dyDescent="0.35">
      <c r="A3145">
        <v>328404</v>
      </c>
      <c r="B3145" t="s">
        <v>20</v>
      </c>
      <c r="C3145">
        <v>2015</v>
      </c>
      <c r="D3145">
        <v>4</v>
      </c>
      <c r="E3145" t="s">
        <v>6</v>
      </c>
      <c r="F3145" t="s">
        <v>6</v>
      </c>
      <c r="G3145" t="s">
        <v>6</v>
      </c>
      <c r="H3145">
        <v>15414.68</v>
      </c>
      <c r="I3145">
        <v>4724.6000000000004</v>
      </c>
      <c r="J3145">
        <v>0</v>
      </c>
    </row>
    <row r="3146" spans="1:10" x14ac:dyDescent="0.35">
      <c r="A3146">
        <v>328411</v>
      </c>
      <c r="B3146" t="s">
        <v>20</v>
      </c>
      <c r="C3146">
        <v>2015</v>
      </c>
      <c r="D3146">
        <v>4</v>
      </c>
      <c r="E3146" t="s">
        <v>6</v>
      </c>
      <c r="F3146" t="s">
        <v>6</v>
      </c>
      <c r="G3146" t="s">
        <v>6</v>
      </c>
      <c r="H3146">
        <v>15299.56</v>
      </c>
      <c r="I3146">
        <v>4244.71</v>
      </c>
      <c r="J3146">
        <v>0</v>
      </c>
    </row>
    <row r="3147" spans="1:10" x14ac:dyDescent="0.35">
      <c r="A3147">
        <v>328484</v>
      </c>
      <c r="B3147" t="s">
        <v>20</v>
      </c>
      <c r="C3147">
        <v>2015</v>
      </c>
      <c r="D3147">
        <v>4</v>
      </c>
      <c r="E3147" t="s">
        <v>6</v>
      </c>
      <c r="F3147" t="s">
        <v>6</v>
      </c>
      <c r="G3147" t="s">
        <v>6</v>
      </c>
      <c r="H3147">
        <v>15586.52</v>
      </c>
      <c r="I3147">
        <v>4404.4799999999996</v>
      </c>
      <c r="J3147">
        <v>0</v>
      </c>
    </row>
    <row r="3148" spans="1:10" x14ac:dyDescent="0.35">
      <c r="A3148">
        <v>328519</v>
      </c>
      <c r="B3148" t="s">
        <v>20</v>
      </c>
      <c r="C3148">
        <v>2015</v>
      </c>
      <c r="D3148">
        <v>4</v>
      </c>
      <c r="E3148" t="s">
        <v>6</v>
      </c>
      <c r="F3148" t="s">
        <v>6</v>
      </c>
      <c r="G3148" t="s">
        <v>6</v>
      </c>
      <c r="H3148">
        <v>30288.06</v>
      </c>
      <c r="I3148">
        <v>9170.15</v>
      </c>
      <c r="J3148">
        <v>0</v>
      </c>
    </row>
    <row r="3149" spans="1:10" x14ac:dyDescent="0.35">
      <c r="A3149">
        <v>328531</v>
      </c>
      <c r="B3149" t="s">
        <v>20</v>
      </c>
      <c r="C3149">
        <v>2015</v>
      </c>
      <c r="D3149">
        <v>4</v>
      </c>
      <c r="E3149" t="s">
        <v>6</v>
      </c>
      <c r="F3149" t="s">
        <v>6</v>
      </c>
      <c r="G3149" t="s">
        <v>6</v>
      </c>
      <c r="H3149">
        <v>21564.32</v>
      </c>
      <c r="I3149">
        <v>5355.68</v>
      </c>
      <c r="J3149">
        <v>0</v>
      </c>
    </row>
    <row r="3150" spans="1:10" x14ac:dyDescent="0.35">
      <c r="A3150">
        <v>328668</v>
      </c>
      <c r="B3150" t="s">
        <v>20</v>
      </c>
      <c r="C3150">
        <v>2015</v>
      </c>
      <c r="D3150">
        <v>4</v>
      </c>
      <c r="E3150" t="s">
        <v>6</v>
      </c>
      <c r="F3150" t="s">
        <v>6</v>
      </c>
      <c r="G3150" t="s">
        <v>6</v>
      </c>
      <c r="H3150">
        <v>12925.44</v>
      </c>
      <c r="I3150">
        <v>3434.89</v>
      </c>
      <c r="J3150">
        <v>0</v>
      </c>
    </row>
    <row r="3151" spans="1:10" x14ac:dyDescent="0.35">
      <c r="A3151">
        <v>328681</v>
      </c>
      <c r="B3151" t="s">
        <v>20</v>
      </c>
      <c r="C3151">
        <v>2015</v>
      </c>
      <c r="D3151">
        <v>4</v>
      </c>
      <c r="E3151" t="s">
        <v>6</v>
      </c>
      <c r="F3151" t="s">
        <v>6</v>
      </c>
      <c r="G3151" t="s">
        <v>6</v>
      </c>
      <c r="H3151">
        <v>17623.18</v>
      </c>
      <c r="I3151">
        <v>4413.16</v>
      </c>
      <c r="J3151">
        <v>0</v>
      </c>
    </row>
    <row r="3152" spans="1:10" x14ac:dyDescent="0.35">
      <c r="A3152">
        <v>328692</v>
      </c>
      <c r="B3152" t="s">
        <v>20</v>
      </c>
      <c r="C3152">
        <v>2015</v>
      </c>
      <c r="D3152">
        <v>4</v>
      </c>
      <c r="E3152" t="s">
        <v>6</v>
      </c>
      <c r="F3152" t="s">
        <v>6</v>
      </c>
      <c r="G3152" t="s">
        <v>6</v>
      </c>
      <c r="H3152">
        <v>98385.81</v>
      </c>
      <c r="I3152">
        <v>63409.18</v>
      </c>
      <c r="J3152">
        <v>0</v>
      </c>
    </row>
    <row r="3153" spans="1:10" x14ac:dyDescent="0.35">
      <c r="A3153">
        <v>328737</v>
      </c>
      <c r="B3153" t="s">
        <v>20</v>
      </c>
      <c r="C3153">
        <v>2015</v>
      </c>
      <c r="D3153">
        <v>4</v>
      </c>
      <c r="E3153" t="s">
        <v>6</v>
      </c>
      <c r="F3153" t="s">
        <v>6</v>
      </c>
      <c r="G3153" t="s">
        <v>6</v>
      </c>
      <c r="H3153">
        <v>24783.78</v>
      </c>
      <c r="I3153">
        <v>7319.16</v>
      </c>
      <c r="J3153">
        <v>0</v>
      </c>
    </row>
    <row r="3154" spans="1:10" x14ac:dyDescent="0.35">
      <c r="A3154">
        <v>328743</v>
      </c>
      <c r="B3154" t="s">
        <v>20</v>
      </c>
      <c r="C3154">
        <v>2015</v>
      </c>
      <c r="D3154">
        <v>4</v>
      </c>
      <c r="E3154" t="s">
        <v>6</v>
      </c>
      <c r="F3154" t="s">
        <v>6</v>
      </c>
      <c r="G3154" t="s">
        <v>6</v>
      </c>
      <c r="H3154">
        <v>33500.300000000003</v>
      </c>
      <c r="I3154">
        <v>9994.9599999999991</v>
      </c>
      <c r="J3154">
        <v>0</v>
      </c>
    </row>
    <row r="3155" spans="1:10" x14ac:dyDescent="0.35">
      <c r="A3155">
        <v>328745</v>
      </c>
      <c r="B3155" t="s">
        <v>20</v>
      </c>
      <c r="C3155">
        <v>2015</v>
      </c>
      <c r="D3155">
        <v>4</v>
      </c>
      <c r="E3155" t="s">
        <v>6</v>
      </c>
      <c r="F3155" t="s">
        <v>6</v>
      </c>
      <c r="G3155" t="s">
        <v>6</v>
      </c>
      <c r="H3155">
        <v>43408.7</v>
      </c>
      <c r="I3155">
        <v>23175.63</v>
      </c>
      <c r="J3155">
        <v>0</v>
      </c>
    </row>
    <row r="3156" spans="1:10" x14ac:dyDescent="0.35">
      <c r="A3156">
        <v>328783</v>
      </c>
      <c r="B3156" t="s">
        <v>20</v>
      </c>
      <c r="C3156">
        <v>2015</v>
      </c>
      <c r="D3156">
        <v>4</v>
      </c>
      <c r="E3156" t="s">
        <v>6</v>
      </c>
      <c r="F3156" t="s">
        <v>6</v>
      </c>
      <c r="G3156" t="s">
        <v>6</v>
      </c>
      <c r="H3156">
        <v>27618.94</v>
      </c>
      <c r="I3156">
        <v>7819.28</v>
      </c>
      <c r="J3156">
        <v>0</v>
      </c>
    </row>
    <row r="3157" spans="1:10" x14ac:dyDescent="0.35">
      <c r="A3157">
        <v>328810</v>
      </c>
      <c r="B3157" t="s">
        <v>20</v>
      </c>
      <c r="C3157">
        <v>2015</v>
      </c>
      <c r="D3157">
        <v>4</v>
      </c>
      <c r="E3157" t="s">
        <v>6</v>
      </c>
      <c r="F3157" t="s">
        <v>6</v>
      </c>
      <c r="G3157" t="s">
        <v>6</v>
      </c>
      <c r="H3157">
        <v>27301.98</v>
      </c>
      <c r="I3157">
        <v>4851.6899999999996</v>
      </c>
      <c r="J3157">
        <v>0</v>
      </c>
    </row>
    <row r="3158" spans="1:10" x14ac:dyDescent="0.35">
      <c r="A3158">
        <v>328819</v>
      </c>
      <c r="B3158" t="s">
        <v>20</v>
      </c>
      <c r="C3158">
        <v>2015</v>
      </c>
      <c r="D3158">
        <v>4</v>
      </c>
      <c r="E3158" t="s">
        <v>6</v>
      </c>
      <c r="F3158" t="s">
        <v>6</v>
      </c>
      <c r="G3158" t="s">
        <v>6</v>
      </c>
      <c r="H3158">
        <v>67458.12</v>
      </c>
      <c r="I3158">
        <v>26701.87</v>
      </c>
      <c r="J3158">
        <v>0</v>
      </c>
    </row>
    <row r="3159" spans="1:10" x14ac:dyDescent="0.35">
      <c r="A3159">
        <v>328836</v>
      </c>
      <c r="B3159" t="s">
        <v>20</v>
      </c>
      <c r="C3159">
        <v>2015</v>
      </c>
      <c r="D3159">
        <v>4</v>
      </c>
      <c r="E3159" t="s">
        <v>6</v>
      </c>
      <c r="F3159" t="s">
        <v>6</v>
      </c>
      <c r="G3159" t="s">
        <v>6</v>
      </c>
      <c r="H3159">
        <v>16571.919999999998</v>
      </c>
      <c r="I3159">
        <v>2656.83</v>
      </c>
      <c r="J3159">
        <v>0</v>
      </c>
    </row>
    <row r="3160" spans="1:10" x14ac:dyDescent="0.35">
      <c r="A3160">
        <v>328855</v>
      </c>
      <c r="B3160" t="s">
        <v>20</v>
      </c>
      <c r="C3160">
        <v>2015</v>
      </c>
      <c r="D3160">
        <v>4</v>
      </c>
      <c r="E3160" t="s">
        <v>6</v>
      </c>
      <c r="F3160" t="s">
        <v>6</v>
      </c>
      <c r="G3160" t="s">
        <v>6</v>
      </c>
      <c r="H3160">
        <v>19489.240000000002</v>
      </c>
      <c r="I3160">
        <v>5329.92</v>
      </c>
      <c r="J3160">
        <v>0</v>
      </c>
    </row>
    <row r="3161" spans="1:10" x14ac:dyDescent="0.35">
      <c r="A3161">
        <v>328861</v>
      </c>
      <c r="B3161" t="s">
        <v>20</v>
      </c>
      <c r="C3161">
        <v>2015</v>
      </c>
      <c r="D3161">
        <v>4</v>
      </c>
      <c r="E3161" t="s">
        <v>6</v>
      </c>
      <c r="F3161" t="s">
        <v>6</v>
      </c>
      <c r="G3161" t="s">
        <v>6</v>
      </c>
      <c r="H3161">
        <v>33478.620000000003</v>
      </c>
      <c r="I3161">
        <v>10686.1</v>
      </c>
      <c r="J3161">
        <v>0</v>
      </c>
    </row>
    <row r="3162" spans="1:10" x14ac:dyDescent="0.35">
      <c r="A3162">
        <v>328872</v>
      </c>
      <c r="B3162" t="s">
        <v>20</v>
      </c>
      <c r="C3162">
        <v>2015</v>
      </c>
      <c r="D3162">
        <v>4</v>
      </c>
      <c r="E3162" t="s">
        <v>6</v>
      </c>
      <c r="F3162" t="s">
        <v>6</v>
      </c>
      <c r="G3162" t="s">
        <v>6</v>
      </c>
      <c r="H3162">
        <v>20930.5</v>
      </c>
      <c r="I3162">
        <v>6409.58</v>
      </c>
      <c r="J3162">
        <v>0</v>
      </c>
    </row>
    <row r="3163" spans="1:10" x14ac:dyDescent="0.35">
      <c r="A3163">
        <v>328878</v>
      </c>
      <c r="B3163" t="s">
        <v>20</v>
      </c>
      <c r="C3163">
        <v>2015</v>
      </c>
      <c r="D3163">
        <v>4</v>
      </c>
      <c r="E3163" t="s">
        <v>6</v>
      </c>
      <c r="F3163" t="s">
        <v>6</v>
      </c>
      <c r="G3163" t="s">
        <v>6</v>
      </c>
      <c r="H3163">
        <v>32310.42</v>
      </c>
      <c r="I3163">
        <v>22930.29</v>
      </c>
      <c r="J3163">
        <v>0</v>
      </c>
    </row>
    <row r="3164" spans="1:10" x14ac:dyDescent="0.35">
      <c r="A3164">
        <v>328885</v>
      </c>
      <c r="B3164" t="s">
        <v>20</v>
      </c>
      <c r="C3164">
        <v>2015</v>
      </c>
      <c r="D3164">
        <v>4</v>
      </c>
      <c r="E3164" t="s">
        <v>6</v>
      </c>
      <c r="F3164" t="s">
        <v>6</v>
      </c>
      <c r="G3164" t="s">
        <v>6</v>
      </c>
      <c r="H3164">
        <v>25711.279999999999</v>
      </c>
      <c r="I3164">
        <v>5743.07</v>
      </c>
      <c r="J3164">
        <v>0</v>
      </c>
    </row>
    <row r="3165" spans="1:10" x14ac:dyDescent="0.35">
      <c r="A3165">
        <v>328888</v>
      </c>
      <c r="B3165" t="s">
        <v>20</v>
      </c>
      <c r="C3165">
        <v>2015</v>
      </c>
      <c r="D3165">
        <v>4</v>
      </c>
      <c r="E3165" t="s">
        <v>6</v>
      </c>
      <c r="F3165" t="s">
        <v>6</v>
      </c>
      <c r="G3165" t="s">
        <v>6</v>
      </c>
      <c r="H3165">
        <v>14510.26</v>
      </c>
      <c r="I3165">
        <v>2988.39</v>
      </c>
      <c r="J3165">
        <v>0</v>
      </c>
    </row>
    <row r="3166" spans="1:10" x14ac:dyDescent="0.35">
      <c r="A3166">
        <v>328924</v>
      </c>
      <c r="B3166" t="s">
        <v>20</v>
      </c>
      <c r="C3166">
        <v>2015</v>
      </c>
      <c r="D3166">
        <v>4</v>
      </c>
      <c r="E3166" t="s">
        <v>6</v>
      </c>
      <c r="F3166" t="s">
        <v>6</v>
      </c>
      <c r="G3166" t="s">
        <v>6</v>
      </c>
      <c r="H3166">
        <v>17651.36</v>
      </c>
      <c r="I3166">
        <v>8532.35</v>
      </c>
      <c r="J3166">
        <v>0</v>
      </c>
    </row>
    <row r="3167" spans="1:10" x14ac:dyDescent="0.35">
      <c r="A3167">
        <v>328971</v>
      </c>
      <c r="B3167" t="s">
        <v>20</v>
      </c>
      <c r="C3167">
        <v>2015</v>
      </c>
      <c r="D3167">
        <v>4</v>
      </c>
      <c r="E3167" t="s">
        <v>6</v>
      </c>
      <c r="F3167" t="s">
        <v>6</v>
      </c>
      <c r="G3167" t="s">
        <v>6</v>
      </c>
      <c r="H3167">
        <v>13578.18</v>
      </c>
      <c r="I3167">
        <v>4135.74</v>
      </c>
      <c r="J3167">
        <v>0</v>
      </c>
    </row>
    <row r="3168" spans="1:10" x14ac:dyDescent="0.35">
      <c r="A3168">
        <v>329001</v>
      </c>
      <c r="B3168" t="s">
        <v>20</v>
      </c>
      <c r="C3168">
        <v>2015</v>
      </c>
      <c r="D3168">
        <v>4</v>
      </c>
      <c r="E3168" t="s">
        <v>6</v>
      </c>
      <c r="F3168" t="s">
        <v>6</v>
      </c>
      <c r="G3168" t="s">
        <v>6</v>
      </c>
      <c r="H3168">
        <v>22771.38</v>
      </c>
      <c r="I3168">
        <v>6451.76</v>
      </c>
      <c r="J3168">
        <v>0</v>
      </c>
    </row>
    <row r="3169" spans="1:10" x14ac:dyDescent="0.35">
      <c r="A3169">
        <v>329016</v>
      </c>
      <c r="B3169" t="s">
        <v>20</v>
      </c>
      <c r="C3169">
        <v>2015</v>
      </c>
      <c r="D3169">
        <v>4</v>
      </c>
      <c r="E3169" t="s">
        <v>6</v>
      </c>
      <c r="F3169" t="s">
        <v>6</v>
      </c>
      <c r="G3169" t="s">
        <v>6</v>
      </c>
      <c r="H3169">
        <v>25665.94</v>
      </c>
      <c r="I3169">
        <v>8210.7000000000007</v>
      </c>
      <c r="J3169">
        <v>0</v>
      </c>
    </row>
    <row r="3170" spans="1:10" x14ac:dyDescent="0.35">
      <c r="A3170">
        <v>329090</v>
      </c>
      <c r="B3170" t="s">
        <v>20</v>
      </c>
      <c r="C3170">
        <v>2015</v>
      </c>
      <c r="D3170">
        <v>4</v>
      </c>
      <c r="E3170" t="s">
        <v>6</v>
      </c>
      <c r="F3170" t="s">
        <v>6</v>
      </c>
      <c r="G3170" t="s">
        <v>6</v>
      </c>
      <c r="H3170">
        <v>10780.68</v>
      </c>
      <c r="I3170">
        <v>2970.59</v>
      </c>
      <c r="J3170">
        <v>0</v>
      </c>
    </row>
    <row r="3171" spans="1:10" x14ac:dyDescent="0.35">
      <c r="A3171">
        <v>329124</v>
      </c>
      <c r="B3171" t="s">
        <v>20</v>
      </c>
      <c r="C3171">
        <v>2015</v>
      </c>
      <c r="D3171">
        <v>4</v>
      </c>
      <c r="E3171" t="s">
        <v>6</v>
      </c>
      <c r="F3171" t="s">
        <v>6</v>
      </c>
      <c r="G3171" t="s">
        <v>6</v>
      </c>
      <c r="H3171">
        <v>46315.76</v>
      </c>
      <c r="I3171">
        <v>10976.59</v>
      </c>
      <c r="J3171">
        <v>0</v>
      </c>
    </row>
    <row r="3172" spans="1:10" x14ac:dyDescent="0.35">
      <c r="A3172">
        <v>329145</v>
      </c>
      <c r="B3172" t="s">
        <v>20</v>
      </c>
      <c r="C3172">
        <v>2015</v>
      </c>
      <c r="D3172">
        <v>4</v>
      </c>
      <c r="E3172" t="s">
        <v>6</v>
      </c>
      <c r="F3172" t="s">
        <v>6</v>
      </c>
      <c r="G3172" t="s">
        <v>6</v>
      </c>
      <c r="H3172">
        <v>12428.56</v>
      </c>
      <c r="I3172">
        <v>3364.53</v>
      </c>
      <c r="J3172">
        <v>0</v>
      </c>
    </row>
    <row r="3173" spans="1:10" x14ac:dyDescent="0.35">
      <c r="A3173">
        <v>329175</v>
      </c>
      <c r="B3173" t="s">
        <v>20</v>
      </c>
      <c r="C3173">
        <v>2015</v>
      </c>
      <c r="D3173">
        <v>4</v>
      </c>
      <c r="E3173" t="s">
        <v>6</v>
      </c>
      <c r="F3173" t="s">
        <v>6</v>
      </c>
      <c r="G3173" t="s">
        <v>6</v>
      </c>
      <c r="H3173">
        <v>22272.74</v>
      </c>
      <c r="I3173">
        <v>5564.3</v>
      </c>
      <c r="J3173">
        <v>0</v>
      </c>
    </row>
    <row r="3174" spans="1:10" x14ac:dyDescent="0.35">
      <c r="A3174">
        <v>329300</v>
      </c>
      <c r="B3174" t="s">
        <v>20</v>
      </c>
      <c r="C3174">
        <v>2015</v>
      </c>
      <c r="D3174">
        <v>4</v>
      </c>
      <c r="E3174" t="s">
        <v>6</v>
      </c>
      <c r="F3174" t="s">
        <v>6</v>
      </c>
      <c r="G3174" t="s">
        <v>6</v>
      </c>
      <c r="H3174">
        <v>7594.5</v>
      </c>
      <c r="I3174">
        <v>2120.36</v>
      </c>
      <c r="J3174">
        <v>0</v>
      </c>
    </row>
    <row r="3175" spans="1:10" x14ac:dyDescent="0.35">
      <c r="A3175">
        <v>329319</v>
      </c>
      <c r="B3175" t="s">
        <v>20</v>
      </c>
      <c r="C3175">
        <v>2015</v>
      </c>
      <c r="D3175">
        <v>4</v>
      </c>
      <c r="E3175" t="s">
        <v>6</v>
      </c>
      <c r="F3175" t="s">
        <v>6</v>
      </c>
      <c r="G3175" t="s">
        <v>6</v>
      </c>
      <c r="H3175">
        <v>28518.21</v>
      </c>
      <c r="I3175">
        <v>18615.63</v>
      </c>
      <c r="J3175">
        <v>0</v>
      </c>
    </row>
    <row r="3176" spans="1:10" x14ac:dyDescent="0.35">
      <c r="A3176">
        <v>329352</v>
      </c>
      <c r="B3176" t="s">
        <v>20</v>
      </c>
      <c r="C3176">
        <v>2015</v>
      </c>
      <c r="D3176">
        <v>4</v>
      </c>
      <c r="E3176" t="s">
        <v>6</v>
      </c>
      <c r="F3176" t="s">
        <v>6</v>
      </c>
      <c r="G3176" t="s">
        <v>6</v>
      </c>
      <c r="H3176">
        <v>24816.26</v>
      </c>
      <c r="I3176">
        <v>7040.54</v>
      </c>
      <c r="J3176">
        <v>0</v>
      </c>
    </row>
    <row r="3177" spans="1:10" x14ac:dyDescent="0.35">
      <c r="A3177">
        <v>329494</v>
      </c>
      <c r="B3177" t="s">
        <v>20</v>
      </c>
      <c r="C3177">
        <v>2015</v>
      </c>
      <c r="D3177">
        <v>4</v>
      </c>
      <c r="E3177" t="s">
        <v>6</v>
      </c>
      <c r="F3177" t="s">
        <v>6</v>
      </c>
      <c r="G3177" t="s">
        <v>6</v>
      </c>
      <c r="H3177">
        <v>34732.160000000003</v>
      </c>
      <c r="I3177">
        <v>15460.7</v>
      </c>
      <c r="J3177">
        <v>0</v>
      </c>
    </row>
    <row r="3178" spans="1:10" x14ac:dyDescent="0.35">
      <c r="A3178">
        <v>329535</v>
      </c>
      <c r="B3178" t="s">
        <v>20</v>
      </c>
      <c r="C3178">
        <v>2015</v>
      </c>
      <c r="D3178">
        <v>4</v>
      </c>
      <c r="E3178" t="s">
        <v>6</v>
      </c>
      <c r="F3178" t="s">
        <v>6</v>
      </c>
      <c r="G3178" t="s">
        <v>6</v>
      </c>
      <c r="H3178">
        <v>31334.9</v>
      </c>
      <c r="I3178">
        <v>8831.85</v>
      </c>
      <c r="J3178">
        <v>0</v>
      </c>
    </row>
    <row r="3179" spans="1:10" x14ac:dyDescent="0.35">
      <c r="A3179">
        <v>295817</v>
      </c>
      <c r="B3179" t="s">
        <v>20</v>
      </c>
      <c r="C3179">
        <v>2015</v>
      </c>
      <c r="D3179">
        <v>7</v>
      </c>
      <c r="E3179" t="s">
        <v>7</v>
      </c>
      <c r="F3179" t="s">
        <v>7</v>
      </c>
      <c r="G3179" t="s">
        <v>7</v>
      </c>
      <c r="H3179">
        <v>101920.56</v>
      </c>
      <c r="I3179">
        <v>30596.3</v>
      </c>
      <c r="J3179">
        <v>0</v>
      </c>
    </row>
    <row r="3180" spans="1:10" x14ac:dyDescent="0.35">
      <c r="A3180">
        <v>296192</v>
      </c>
      <c r="B3180" t="s">
        <v>20</v>
      </c>
      <c r="C3180">
        <v>2015</v>
      </c>
      <c r="D3180">
        <v>7</v>
      </c>
      <c r="E3180" t="s">
        <v>7</v>
      </c>
      <c r="F3180" t="s">
        <v>7</v>
      </c>
      <c r="G3180" t="s">
        <v>7</v>
      </c>
      <c r="H3180">
        <v>28271.360000000001</v>
      </c>
      <c r="I3180">
        <v>7531.23</v>
      </c>
      <c r="J3180">
        <v>0</v>
      </c>
    </row>
    <row r="3181" spans="1:10" x14ac:dyDescent="0.35">
      <c r="A3181">
        <v>297309</v>
      </c>
      <c r="B3181" t="s">
        <v>20</v>
      </c>
      <c r="C3181">
        <v>2015</v>
      </c>
      <c r="D3181">
        <v>7</v>
      </c>
      <c r="E3181" t="s">
        <v>7</v>
      </c>
      <c r="F3181" t="s">
        <v>7</v>
      </c>
      <c r="G3181" t="s">
        <v>7</v>
      </c>
      <c r="H3181">
        <v>39884.019999999997</v>
      </c>
      <c r="I3181">
        <v>11818.65</v>
      </c>
      <c r="J3181">
        <v>0</v>
      </c>
    </row>
    <row r="3182" spans="1:10" x14ac:dyDescent="0.35">
      <c r="A3182">
        <v>298557</v>
      </c>
      <c r="B3182" t="s">
        <v>20</v>
      </c>
      <c r="C3182">
        <v>2015</v>
      </c>
      <c r="D3182">
        <v>7</v>
      </c>
      <c r="E3182" t="s">
        <v>7</v>
      </c>
      <c r="F3182" t="s">
        <v>7</v>
      </c>
      <c r="G3182" t="s">
        <v>7</v>
      </c>
      <c r="H3182">
        <v>14501.66</v>
      </c>
      <c r="I3182">
        <v>3222.28</v>
      </c>
      <c r="J3182">
        <v>0</v>
      </c>
    </row>
    <row r="3183" spans="1:10" x14ac:dyDescent="0.35">
      <c r="A3183">
        <v>298803</v>
      </c>
      <c r="B3183" t="s">
        <v>20</v>
      </c>
      <c r="C3183">
        <v>2015</v>
      </c>
      <c r="D3183">
        <v>7</v>
      </c>
      <c r="E3183" t="s">
        <v>7</v>
      </c>
      <c r="F3183" t="s">
        <v>7</v>
      </c>
      <c r="G3183" t="s">
        <v>7</v>
      </c>
      <c r="H3183">
        <v>15394.86</v>
      </c>
      <c r="I3183">
        <v>4084.99</v>
      </c>
      <c r="J3183">
        <v>0</v>
      </c>
    </row>
    <row r="3184" spans="1:10" x14ac:dyDescent="0.35">
      <c r="A3184">
        <v>299003</v>
      </c>
      <c r="B3184" t="s">
        <v>20</v>
      </c>
      <c r="C3184">
        <v>2015</v>
      </c>
      <c r="D3184">
        <v>7</v>
      </c>
      <c r="E3184" t="s">
        <v>7</v>
      </c>
      <c r="F3184" t="s">
        <v>7</v>
      </c>
      <c r="G3184" t="s">
        <v>7</v>
      </c>
      <c r="H3184">
        <v>15798.36</v>
      </c>
      <c r="I3184">
        <v>2976.84</v>
      </c>
      <c r="J3184">
        <v>0</v>
      </c>
    </row>
    <row r="3185" spans="1:10" x14ac:dyDescent="0.35">
      <c r="A3185">
        <v>299440</v>
      </c>
      <c r="B3185" t="s">
        <v>20</v>
      </c>
      <c r="C3185">
        <v>2015</v>
      </c>
      <c r="D3185">
        <v>7</v>
      </c>
      <c r="E3185" t="s">
        <v>7</v>
      </c>
      <c r="F3185" t="s">
        <v>7</v>
      </c>
      <c r="G3185" t="s">
        <v>7</v>
      </c>
      <c r="H3185">
        <v>51426.92</v>
      </c>
      <c r="I3185">
        <v>14907.51</v>
      </c>
      <c r="J3185">
        <v>0</v>
      </c>
    </row>
    <row r="3186" spans="1:10" x14ac:dyDescent="0.35">
      <c r="A3186">
        <v>317715</v>
      </c>
      <c r="B3186" t="s">
        <v>20</v>
      </c>
      <c r="C3186">
        <v>2015</v>
      </c>
      <c r="D3186">
        <v>7</v>
      </c>
      <c r="E3186" t="s">
        <v>7</v>
      </c>
      <c r="F3186" t="s">
        <v>7</v>
      </c>
      <c r="G3186" t="s">
        <v>7</v>
      </c>
      <c r="H3186">
        <v>72081.88</v>
      </c>
      <c r="I3186">
        <v>55030.87</v>
      </c>
      <c r="J3186">
        <v>0</v>
      </c>
    </row>
    <row r="3187" spans="1:10" x14ac:dyDescent="0.35">
      <c r="A3187">
        <v>317727</v>
      </c>
      <c r="B3187" t="s">
        <v>20</v>
      </c>
      <c r="C3187">
        <v>2015</v>
      </c>
      <c r="D3187">
        <v>7</v>
      </c>
      <c r="E3187" t="s">
        <v>7</v>
      </c>
      <c r="F3187" t="s">
        <v>7</v>
      </c>
      <c r="G3187" t="s">
        <v>7</v>
      </c>
      <c r="H3187">
        <v>62186.9</v>
      </c>
      <c r="I3187">
        <v>44030.78</v>
      </c>
      <c r="J3187">
        <v>0</v>
      </c>
    </row>
    <row r="3188" spans="1:10" x14ac:dyDescent="0.35">
      <c r="A3188">
        <v>317735</v>
      </c>
      <c r="B3188" t="s">
        <v>20</v>
      </c>
      <c r="C3188">
        <v>2015</v>
      </c>
      <c r="D3188">
        <v>7</v>
      </c>
      <c r="E3188" t="s">
        <v>7</v>
      </c>
      <c r="F3188" t="s">
        <v>7</v>
      </c>
      <c r="G3188" t="s">
        <v>7</v>
      </c>
      <c r="H3188">
        <v>72043.06</v>
      </c>
      <c r="I3188">
        <v>50685.59</v>
      </c>
      <c r="J3188">
        <v>0</v>
      </c>
    </row>
    <row r="3189" spans="1:10" x14ac:dyDescent="0.35">
      <c r="A3189">
        <v>317741</v>
      </c>
      <c r="B3189" t="s">
        <v>20</v>
      </c>
      <c r="C3189">
        <v>2015</v>
      </c>
      <c r="D3189">
        <v>7</v>
      </c>
      <c r="E3189" t="s">
        <v>7</v>
      </c>
      <c r="F3189" t="s">
        <v>7</v>
      </c>
      <c r="G3189" t="s">
        <v>7</v>
      </c>
      <c r="H3189">
        <v>61347.28</v>
      </c>
      <c r="I3189">
        <v>42380.32</v>
      </c>
      <c r="J3189">
        <v>0</v>
      </c>
    </row>
    <row r="3190" spans="1:10" x14ac:dyDescent="0.35">
      <c r="A3190">
        <v>317771</v>
      </c>
      <c r="B3190" t="s">
        <v>20</v>
      </c>
      <c r="C3190">
        <v>2015</v>
      </c>
      <c r="D3190">
        <v>7</v>
      </c>
      <c r="E3190" t="s">
        <v>7</v>
      </c>
      <c r="F3190" t="s">
        <v>7</v>
      </c>
      <c r="G3190" t="s">
        <v>7</v>
      </c>
      <c r="H3190">
        <v>73658.44</v>
      </c>
      <c r="I3190">
        <v>57209.09</v>
      </c>
      <c r="J3190">
        <v>0</v>
      </c>
    </row>
    <row r="3191" spans="1:10" x14ac:dyDescent="0.35">
      <c r="A3191">
        <v>317797</v>
      </c>
      <c r="B3191" t="s">
        <v>20</v>
      </c>
      <c r="C3191">
        <v>2015</v>
      </c>
      <c r="D3191">
        <v>7</v>
      </c>
      <c r="E3191" t="s">
        <v>7</v>
      </c>
      <c r="F3191" t="s">
        <v>7</v>
      </c>
      <c r="G3191" t="s">
        <v>7</v>
      </c>
      <c r="H3191">
        <v>60963.74</v>
      </c>
      <c r="I3191">
        <v>42202.9</v>
      </c>
      <c r="J3191">
        <v>0</v>
      </c>
    </row>
    <row r="3192" spans="1:10" x14ac:dyDescent="0.35">
      <c r="A3192">
        <v>317811</v>
      </c>
      <c r="B3192" t="s">
        <v>20</v>
      </c>
      <c r="C3192">
        <v>2015</v>
      </c>
      <c r="D3192">
        <v>7</v>
      </c>
      <c r="E3192" t="s">
        <v>7</v>
      </c>
      <c r="F3192" t="s">
        <v>7</v>
      </c>
      <c r="G3192" t="s">
        <v>7</v>
      </c>
      <c r="H3192">
        <v>64560.74</v>
      </c>
      <c r="I3192">
        <v>48072</v>
      </c>
      <c r="J3192">
        <v>0</v>
      </c>
    </row>
    <row r="3193" spans="1:10" x14ac:dyDescent="0.35">
      <c r="A3193">
        <v>317820</v>
      </c>
      <c r="B3193" t="s">
        <v>20</v>
      </c>
      <c r="C3193">
        <v>2015</v>
      </c>
      <c r="D3193">
        <v>7</v>
      </c>
      <c r="E3193" t="s">
        <v>7</v>
      </c>
      <c r="F3193" t="s">
        <v>7</v>
      </c>
      <c r="G3193" t="s">
        <v>7</v>
      </c>
      <c r="H3193">
        <v>63891.22</v>
      </c>
      <c r="I3193">
        <v>47937.19</v>
      </c>
      <c r="J3193">
        <v>0</v>
      </c>
    </row>
    <row r="3194" spans="1:10" x14ac:dyDescent="0.35">
      <c r="A3194">
        <v>317832</v>
      </c>
      <c r="B3194" t="s">
        <v>20</v>
      </c>
      <c r="C3194">
        <v>2015</v>
      </c>
      <c r="D3194">
        <v>7</v>
      </c>
      <c r="E3194" t="s">
        <v>7</v>
      </c>
      <c r="F3194" t="s">
        <v>7</v>
      </c>
      <c r="G3194" t="s">
        <v>7</v>
      </c>
      <c r="H3194">
        <v>62257.38</v>
      </c>
      <c r="I3194">
        <v>45347.75</v>
      </c>
      <c r="J3194">
        <v>0</v>
      </c>
    </row>
    <row r="3195" spans="1:10" x14ac:dyDescent="0.35">
      <c r="A3195">
        <v>317855</v>
      </c>
      <c r="B3195" t="s">
        <v>20</v>
      </c>
      <c r="C3195">
        <v>2015</v>
      </c>
      <c r="D3195">
        <v>7</v>
      </c>
      <c r="E3195" t="s">
        <v>7</v>
      </c>
      <c r="F3195" t="s">
        <v>7</v>
      </c>
      <c r="G3195" t="s">
        <v>7</v>
      </c>
      <c r="H3195">
        <v>60892.42</v>
      </c>
      <c r="I3195">
        <v>46199.66</v>
      </c>
      <c r="J3195">
        <v>0</v>
      </c>
    </row>
    <row r="3196" spans="1:10" x14ac:dyDescent="0.35">
      <c r="A3196">
        <v>317919</v>
      </c>
      <c r="B3196" t="s">
        <v>20</v>
      </c>
      <c r="C3196">
        <v>2015</v>
      </c>
      <c r="D3196">
        <v>7</v>
      </c>
      <c r="E3196" t="s">
        <v>7</v>
      </c>
      <c r="F3196" t="s">
        <v>7</v>
      </c>
      <c r="G3196" t="s">
        <v>7</v>
      </c>
      <c r="H3196">
        <v>26934.98</v>
      </c>
      <c r="I3196">
        <v>11543.26</v>
      </c>
      <c r="J3196">
        <v>0</v>
      </c>
    </row>
    <row r="3197" spans="1:10" x14ac:dyDescent="0.35">
      <c r="A3197">
        <v>317969</v>
      </c>
      <c r="B3197" t="s">
        <v>20</v>
      </c>
      <c r="C3197">
        <v>2015</v>
      </c>
      <c r="D3197">
        <v>7</v>
      </c>
      <c r="E3197" t="s">
        <v>7</v>
      </c>
      <c r="F3197" t="s">
        <v>7</v>
      </c>
      <c r="G3197" t="s">
        <v>7</v>
      </c>
      <c r="H3197">
        <v>98837.72</v>
      </c>
      <c r="I3197">
        <v>81218.97</v>
      </c>
      <c r="J3197">
        <v>0</v>
      </c>
    </row>
    <row r="3198" spans="1:10" x14ac:dyDescent="0.35">
      <c r="A3198">
        <v>317973</v>
      </c>
      <c r="B3198" t="s">
        <v>20</v>
      </c>
      <c r="C3198">
        <v>2015</v>
      </c>
      <c r="D3198">
        <v>7</v>
      </c>
      <c r="E3198" t="s">
        <v>7</v>
      </c>
      <c r="F3198" t="s">
        <v>7</v>
      </c>
      <c r="G3198" t="s">
        <v>7</v>
      </c>
      <c r="H3198">
        <v>72483.72</v>
      </c>
      <c r="I3198">
        <v>56764.43</v>
      </c>
      <c r="J3198">
        <v>0</v>
      </c>
    </row>
    <row r="3199" spans="1:10" x14ac:dyDescent="0.35">
      <c r="A3199">
        <v>317988</v>
      </c>
      <c r="B3199" t="s">
        <v>20</v>
      </c>
      <c r="C3199">
        <v>2015</v>
      </c>
      <c r="D3199">
        <v>7</v>
      </c>
      <c r="E3199" t="s">
        <v>7</v>
      </c>
      <c r="F3199" t="s">
        <v>7</v>
      </c>
      <c r="G3199" t="s">
        <v>7</v>
      </c>
      <c r="H3199">
        <v>77221.960000000006</v>
      </c>
      <c r="I3199">
        <v>58714.86</v>
      </c>
      <c r="J3199">
        <v>0</v>
      </c>
    </row>
    <row r="3200" spans="1:10" x14ac:dyDescent="0.35">
      <c r="A3200">
        <v>318005</v>
      </c>
      <c r="B3200" t="s">
        <v>20</v>
      </c>
      <c r="C3200">
        <v>2015</v>
      </c>
      <c r="D3200">
        <v>7</v>
      </c>
      <c r="E3200" t="s">
        <v>7</v>
      </c>
      <c r="F3200" t="s">
        <v>7</v>
      </c>
      <c r="G3200" t="s">
        <v>7</v>
      </c>
      <c r="H3200">
        <v>75416.22</v>
      </c>
      <c r="I3200">
        <v>58514.09</v>
      </c>
      <c r="J3200">
        <v>0</v>
      </c>
    </row>
    <row r="3201" spans="1:10" x14ac:dyDescent="0.35">
      <c r="A3201">
        <v>318010</v>
      </c>
      <c r="B3201" t="s">
        <v>20</v>
      </c>
      <c r="C3201">
        <v>2015</v>
      </c>
      <c r="D3201">
        <v>7</v>
      </c>
      <c r="E3201" t="s">
        <v>7</v>
      </c>
      <c r="F3201" t="s">
        <v>7</v>
      </c>
      <c r="G3201" t="s">
        <v>7</v>
      </c>
      <c r="H3201">
        <v>63155.74</v>
      </c>
      <c r="I3201">
        <v>44635.3</v>
      </c>
      <c r="J3201">
        <v>0</v>
      </c>
    </row>
    <row r="3202" spans="1:10" x14ac:dyDescent="0.35">
      <c r="A3202">
        <v>318016</v>
      </c>
      <c r="B3202" t="s">
        <v>20</v>
      </c>
      <c r="C3202">
        <v>2015</v>
      </c>
      <c r="D3202">
        <v>7</v>
      </c>
      <c r="E3202" t="s">
        <v>7</v>
      </c>
      <c r="F3202" t="s">
        <v>7</v>
      </c>
      <c r="G3202" t="s">
        <v>7</v>
      </c>
      <c r="H3202">
        <v>74914.960000000006</v>
      </c>
      <c r="I3202">
        <v>58326.61</v>
      </c>
      <c r="J3202">
        <v>0</v>
      </c>
    </row>
    <row r="3203" spans="1:10" x14ac:dyDescent="0.35">
      <c r="A3203">
        <v>318023</v>
      </c>
      <c r="B3203" t="s">
        <v>20</v>
      </c>
      <c r="C3203">
        <v>2015</v>
      </c>
      <c r="D3203">
        <v>7</v>
      </c>
      <c r="E3203" t="s">
        <v>7</v>
      </c>
      <c r="F3203" t="s">
        <v>7</v>
      </c>
      <c r="G3203" t="s">
        <v>7</v>
      </c>
      <c r="H3203">
        <v>50967.86</v>
      </c>
      <c r="I3203">
        <v>27166.26</v>
      </c>
      <c r="J3203">
        <v>0</v>
      </c>
    </row>
    <row r="3204" spans="1:10" x14ac:dyDescent="0.35">
      <c r="A3204">
        <v>318030</v>
      </c>
      <c r="B3204" t="s">
        <v>20</v>
      </c>
      <c r="C3204">
        <v>2015</v>
      </c>
      <c r="D3204">
        <v>7</v>
      </c>
      <c r="E3204" t="s">
        <v>7</v>
      </c>
      <c r="F3204" t="s">
        <v>7</v>
      </c>
      <c r="G3204" t="s">
        <v>7</v>
      </c>
      <c r="H3204">
        <v>72086.559999999998</v>
      </c>
      <c r="I3204">
        <v>55054.17</v>
      </c>
      <c r="J3204">
        <v>0</v>
      </c>
    </row>
    <row r="3205" spans="1:10" x14ac:dyDescent="0.35">
      <c r="A3205">
        <v>318035</v>
      </c>
      <c r="B3205" t="s">
        <v>20</v>
      </c>
      <c r="C3205">
        <v>2015</v>
      </c>
      <c r="D3205">
        <v>7</v>
      </c>
      <c r="E3205" t="s">
        <v>7</v>
      </c>
      <c r="F3205" t="s">
        <v>7</v>
      </c>
      <c r="G3205" t="s">
        <v>7</v>
      </c>
      <c r="H3205">
        <v>67691.539999999994</v>
      </c>
      <c r="I3205">
        <v>49341.919999999998</v>
      </c>
      <c r="J3205">
        <v>0</v>
      </c>
    </row>
    <row r="3206" spans="1:10" x14ac:dyDescent="0.35">
      <c r="A3206">
        <v>318039</v>
      </c>
      <c r="B3206" t="s">
        <v>20</v>
      </c>
      <c r="C3206">
        <v>2015</v>
      </c>
      <c r="D3206">
        <v>7</v>
      </c>
      <c r="E3206" t="s">
        <v>7</v>
      </c>
      <c r="F3206" t="s">
        <v>7</v>
      </c>
      <c r="G3206" t="s">
        <v>7</v>
      </c>
      <c r="H3206">
        <v>65069.42</v>
      </c>
      <c r="I3206">
        <v>45997.15</v>
      </c>
      <c r="J3206">
        <v>0</v>
      </c>
    </row>
    <row r="3207" spans="1:10" x14ac:dyDescent="0.35">
      <c r="A3207">
        <v>318047</v>
      </c>
      <c r="B3207" t="s">
        <v>20</v>
      </c>
      <c r="C3207">
        <v>2015</v>
      </c>
      <c r="D3207">
        <v>7</v>
      </c>
      <c r="E3207" t="s">
        <v>7</v>
      </c>
      <c r="F3207" t="s">
        <v>7</v>
      </c>
      <c r="G3207" t="s">
        <v>7</v>
      </c>
      <c r="H3207">
        <v>67268.320000000007</v>
      </c>
      <c r="I3207">
        <v>49097.13</v>
      </c>
      <c r="J3207">
        <v>0</v>
      </c>
    </row>
    <row r="3208" spans="1:10" x14ac:dyDescent="0.35">
      <c r="A3208">
        <v>318061</v>
      </c>
      <c r="B3208" t="s">
        <v>20</v>
      </c>
      <c r="C3208">
        <v>2015</v>
      </c>
      <c r="D3208">
        <v>7</v>
      </c>
      <c r="E3208" t="s">
        <v>7</v>
      </c>
      <c r="F3208" t="s">
        <v>7</v>
      </c>
      <c r="G3208" t="s">
        <v>7</v>
      </c>
      <c r="H3208">
        <v>122633.64</v>
      </c>
      <c r="I3208">
        <v>102012.27</v>
      </c>
      <c r="J3208">
        <v>0</v>
      </c>
    </row>
    <row r="3209" spans="1:10" x14ac:dyDescent="0.35">
      <c r="A3209">
        <v>318074</v>
      </c>
      <c r="B3209" t="s">
        <v>20</v>
      </c>
      <c r="C3209">
        <v>2015</v>
      </c>
      <c r="D3209">
        <v>7</v>
      </c>
      <c r="E3209" t="s">
        <v>7</v>
      </c>
      <c r="F3209" t="s">
        <v>7</v>
      </c>
      <c r="G3209" t="s">
        <v>7</v>
      </c>
      <c r="H3209">
        <v>18193.599999999999</v>
      </c>
      <c r="I3209">
        <v>5734.04</v>
      </c>
      <c r="J3209">
        <v>0</v>
      </c>
    </row>
    <row r="3210" spans="1:10" x14ac:dyDescent="0.35">
      <c r="A3210">
        <v>318081</v>
      </c>
      <c r="B3210" t="s">
        <v>20</v>
      </c>
      <c r="C3210">
        <v>2015</v>
      </c>
      <c r="D3210">
        <v>7</v>
      </c>
      <c r="E3210" t="s">
        <v>7</v>
      </c>
      <c r="F3210" t="s">
        <v>7</v>
      </c>
      <c r="G3210" t="s">
        <v>7</v>
      </c>
      <c r="H3210">
        <v>66782.899999999994</v>
      </c>
      <c r="I3210">
        <v>49042.36</v>
      </c>
      <c r="J3210">
        <v>0</v>
      </c>
    </row>
    <row r="3211" spans="1:10" x14ac:dyDescent="0.35">
      <c r="A3211">
        <v>318094</v>
      </c>
      <c r="B3211" t="s">
        <v>20</v>
      </c>
      <c r="C3211">
        <v>2015</v>
      </c>
      <c r="D3211">
        <v>7</v>
      </c>
      <c r="E3211" t="s">
        <v>7</v>
      </c>
      <c r="F3211" t="s">
        <v>7</v>
      </c>
      <c r="G3211" t="s">
        <v>7</v>
      </c>
      <c r="H3211">
        <v>24598.62</v>
      </c>
      <c r="I3211">
        <v>8604.1200000000008</v>
      </c>
      <c r="J3211">
        <v>0</v>
      </c>
    </row>
    <row r="3212" spans="1:10" x14ac:dyDescent="0.35">
      <c r="A3212">
        <v>318098</v>
      </c>
      <c r="B3212" t="s">
        <v>20</v>
      </c>
      <c r="C3212">
        <v>2015</v>
      </c>
      <c r="D3212">
        <v>7</v>
      </c>
      <c r="E3212" t="s">
        <v>7</v>
      </c>
      <c r="F3212" t="s">
        <v>7</v>
      </c>
      <c r="G3212" t="s">
        <v>7</v>
      </c>
      <c r="H3212">
        <v>141451.18</v>
      </c>
      <c r="I3212">
        <v>62299.21</v>
      </c>
      <c r="J3212">
        <v>0</v>
      </c>
    </row>
    <row r="3213" spans="1:10" x14ac:dyDescent="0.35">
      <c r="A3213">
        <v>318100</v>
      </c>
      <c r="B3213" t="s">
        <v>20</v>
      </c>
      <c r="C3213">
        <v>2015</v>
      </c>
      <c r="D3213">
        <v>7</v>
      </c>
      <c r="E3213" t="s">
        <v>7</v>
      </c>
      <c r="F3213" t="s">
        <v>7</v>
      </c>
      <c r="G3213" t="s">
        <v>7</v>
      </c>
      <c r="H3213">
        <v>66323.320000000007</v>
      </c>
      <c r="I3213">
        <v>47358.1</v>
      </c>
      <c r="J3213">
        <v>0</v>
      </c>
    </row>
    <row r="3214" spans="1:10" x14ac:dyDescent="0.35">
      <c r="A3214">
        <v>318110</v>
      </c>
      <c r="B3214" t="s">
        <v>20</v>
      </c>
      <c r="C3214">
        <v>2015</v>
      </c>
      <c r="D3214">
        <v>7</v>
      </c>
      <c r="E3214" t="s">
        <v>7</v>
      </c>
      <c r="F3214" t="s">
        <v>7</v>
      </c>
      <c r="G3214" t="s">
        <v>7</v>
      </c>
      <c r="H3214">
        <v>39604</v>
      </c>
      <c r="I3214">
        <v>14116.17</v>
      </c>
      <c r="J3214">
        <v>0</v>
      </c>
    </row>
    <row r="3215" spans="1:10" x14ac:dyDescent="0.35">
      <c r="A3215">
        <v>318114</v>
      </c>
      <c r="B3215" t="s">
        <v>20</v>
      </c>
      <c r="C3215">
        <v>2015</v>
      </c>
      <c r="D3215">
        <v>7</v>
      </c>
      <c r="E3215" t="s">
        <v>7</v>
      </c>
      <c r="F3215" t="s">
        <v>7</v>
      </c>
      <c r="G3215" t="s">
        <v>7</v>
      </c>
      <c r="H3215">
        <v>63387.66</v>
      </c>
      <c r="I3215">
        <v>45909.78</v>
      </c>
      <c r="J3215">
        <v>0</v>
      </c>
    </row>
    <row r="3216" spans="1:10" x14ac:dyDescent="0.35">
      <c r="A3216">
        <v>318119</v>
      </c>
      <c r="B3216" t="s">
        <v>20</v>
      </c>
      <c r="C3216">
        <v>2015</v>
      </c>
      <c r="D3216">
        <v>7</v>
      </c>
      <c r="E3216" t="s">
        <v>7</v>
      </c>
      <c r="F3216" t="s">
        <v>7</v>
      </c>
      <c r="G3216" t="s">
        <v>7</v>
      </c>
      <c r="H3216">
        <v>70751</v>
      </c>
      <c r="I3216">
        <v>53944.63</v>
      </c>
      <c r="J3216">
        <v>0</v>
      </c>
    </row>
    <row r="3217" spans="1:10" x14ac:dyDescent="0.35">
      <c r="A3217">
        <v>318126</v>
      </c>
      <c r="B3217" t="s">
        <v>20</v>
      </c>
      <c r="C3217">
        <v>2015</v>
      </c>
      <c r="D3217">
        <v>7</v>
      </c>
      <c r="E3217" t="s">
        <v>7</v>
      </c>
      <c r="F3217" t="s">
        <v>7</v>
      </c>
      <c r="G3217" t="s">
        <v>7</v>
      </c>
      <c r="H3217">
        <v>129362.55</v>
      </c>
      <c r="I3217">
        <v>121562.4</v>
      </c>
      <c r="J3217">
        <v>0</v>
      </c>
    </row>
    <row r="3218" spans="1:10" x14ac:dyDescent="0.35">
      <c r="A3218">
        <v>318127</v>
      </c>
      <c r="B3218" t="s">
        <v>20</v>
      </c>
      <c r="C3218">
        <v>2015</v>
      </c>
      <c r="D3218">
        <v>7</v>
      </c>
      <c r="E3218" t="s">
        <v>7</v>
      </c>
      <c r="F3218" t="s">
        <v>7</v>
      </c>
      <c r="G3218" t="s">
        <v>7</v>
      </c>
      <c r="H3218">
        <v>99811.44</v>
      </c>
      <c r="I3218">
        <v>82465.64</v>
      </c>
      <c r="J3218">
        <v>0</v>
      </c>
    </row>
    <row r="3219" spans="1:10" x14ac:dyDescent="0.35">
      <c r="A3219">
        <v>318134</v>
      </c>
      <c r="B3219" t="s">
        <v>20</v>
      </c>
      <c r="C3219">
        <v>2015</v>
      </c>
      <c r="D3219">
        <v>7</v>
      </c>
      <c r="E3219" t="s">
        <v>7</v>
      </c>
      <c r="F3219" t="s">
        <v>7</v>
      </c>
      <c r="G3219" t="s">
        <v>7</v>
      </c>
      <c r="H3219">
        <v>64837.3</v>
      </c>
      <c r="I3219">
        <v>47020.959999999999</v>
      </c>
      <c r="J3219">
        <v>0</v>
      </c>
    </row>
    <row r="3220" spans="1:10" x14ac:dyDescent="0.35">
      <c r="A3220">
        <v>318142</v>
      </c>
      <c r="B3220" t="s">
        <v>20</v>
      </c>
      <c r="C3220">
        <v>2015</v>
      </c>
      <c r="D3220">
        <v>7</v>
      </c>
      <c r="E3220" t="s">
        <v>7</v>
      </c>
      <c r="F3220" t="s">
        <v>7</v>
      </c>
      <c r="G3220" t="s">
        <v>7</v>
      </c>
      <c r="H3220">
        <v>67141.22</v>
      </c>
      <c r="I3220">
        <v>48777.51</v>
      </c>
      <c r="J3220">
        <v>0</v>
      </c>
    </row>
    <row r="3221" spans="1:10" x14ac:dyDescent="0.35">
      <c r="A3221">
        <v>318160</v>
      </c>
      <c r="B3221" t="s">
        <v>20</v>
      </c>
      <c r="C3221">
        <v>2015</v>
      </c>
      <c r="D3221">
        <v>7</v>
      </c>
      <c r="E3221" t="s">
        <v>7</v>
      </c>
      <c r="F3221" t="s">
        <v>7</v>
      </c>
      <c r="G3221" t="s">
        <v>7</v>
      </c>
      <c r="H3221">
        <v>16388.88</v>
      </c>
      <c r="I3221">
        <v>8701.43</v>
      </c>
      <c r="J3221">
        <v>0</v>
      </c>
    </row>
    <row r="3222" spans="1:10" x14ac:dyDescent="0.35">
      <c r="A3222">
        <v>318170</v>
      </c>
      <c r="B3222" t="s">
        <v>20</v>
      </c>
      <c r="C3222">
        <v>2015</v>
      </c>
      <c r="D3222">
        <v>7</v>
      </c>
      <c r="E3222" t="s">
        <v>7</v>
      </c>
      <c r="F3222" t="s">
        <v>7</v>
      </c>
      <c r="G3222" t="s">
        <v>7</v>
      </c>
      <c r="H3222">
        <v>65258.37</v>
      </c>
      <c r="I3222">
        <v>48211.87</v>
      </c>
      <c r="J3222">
        <v>0</v>
      </c>
    </row>
    <row r="3223" spans="1:10" x14ac:dyDescent="0.35">
      <c r="A3223">
        <v>318189</v>
      </c>
      <c r="B3223" t="s">
        <v>20</v>
      </c>
      <c r="C3223">
        <v>2015</v>
      </c>
      <c r="D3223">
        <v>7</v>
      </c>
      <c r="E3223" t="s">
        <v>7</v>
      </c>
      <c r="F3223" t="s">
        <v>7</v>
      </c>
      <c r="G3223" t="s">
        <v>7</v>
      </c>
      <c r="H3223">
        <v>79496.02</v>
      </c>
      <c r="I3223">
        <v>57092.21</v>
      </c>
      <c r="J3223">
        <v>0</v>
      </c>
    </row>
    <row r="3224" spans="1:10" x14ac:dyDescent="0.35">
      <c r="A3224">
        <v>318196</v>
      </c>
      <c r="B3224" t="s">
        <v>20</v>
      </c>
      <c r="C3224">
        <v>2015</v>
      </c>
      <c r="D3224">
        <v>7</v>
      </c>
      <c r="E3224" t="s">
        <v>7</v>
      </c>
      <c r="F3224" t="s">
        <v>7</v>
      </c>
      <c r="G3224" t="s">
        <v>7</v>
      </c>
      <c r="H3224">
        <v>30709.14</v>
      </c>
      <c r="I3224">
        <v>13626.38</v>
      </c>
      <c r="J3224">
        <v>0</v>
      </c>
    </row>
    <row r="3225" spans="1:10" x14ac:dyDescent="0.35">
      <c r="A3225">
        <v>318204</v>
      </c>
      <c r="B3225" t="s">
        <v>20</v>
      </c>
      <c r="C3225">
        <v>2015</v>
      </c>
      <c r="D3225">
        <v>7</v>
      </c>
      <c r="E3225" t="s">
        <v>7</v>
      </c>
      <c r="F3225" t="s">
        <v>7</v>
      </c>
      <c r="G3225" t="s">
        <v>7</v>
      </c>
      <c r="H3225">
        <v>70990.02</v>
      </c>
      <c r="I3225">
        <v>54864.66</v>
      </c>
      <c r="J3225">
        <v>0</v>
      </c>
    </row>
    <row r="3226" spans="1:10" x14ac:dyDescent="0.35">
      <c r="A3226">
        <v>318210</v>
      </c>
      <c r="B3226" t="s">
        <v>20</v>
      </c>
      <c r="C3226">
        <v>2015</v>
      </c>
      <c r="D3226">
        <v>7</v>
      </c>
      <c r="E3226" t="s">
        <v>7</v>
      </c>
      <c r="F3226" t="s">
        <v>7</v>
      </c>
      <c r="G3226" t="s">
        <v>7</v>
      </c>
      <c r="H3226">
        <v>55497.82</v>
      </c>
      <c r="I3226">
        <v>40564.43</v>
      </c>
      <c r="J3226">
        <v>0</v>
      </c>
    </row>
    <row r="3227" spans="1:10" x14ac:dyDescent="0.35">
      <c r="A3227">
        <v>318218</v>
      </c>
      <c r="B3227" t="s">
        <v>20</v>
      </c>
      <c r="C3227">
        <v>2015</v>
      </c>
      <c r="D3227">
        <v>7</v>
      </c>
      <c r="E3227" t="s">
        <v>7</v>
      </c>
      <c r="F3227" t="s">
        <v>7</v>
      </c>
      <c r="G3227" t="s">
        <v>7</v>
      </c>
      <c r="H3227">
        <v>222482.16</v>
      </c>
      <c r="I3227">
        <v>204675.31</v>
      </c>
      <c r="J3227">
        <v>0</v>
      </c>
    </row>
    <row r="3228" spans="1:10" x14ac:dyDescent="0.35">
      <c r="A3228">
        <v>318226</v>
      </c>
      <c r="B3228" t="s">
        <v>20</v>
      </c>
      <c r="C3228">
        <v>2015</v>
      </c>
      <c r="D3228">
        <v>7</v>
      </c>
      <c r="E3228" t="s">
        <v>7</v>
      </c>
      <c r="F3228" t="s">
        <v>7</v>
      </c>
      <c r="G3228" t="s">
        <v>7</v>
      </c>
      <c r="H3228">
        <v>64857.72</v>
      </c>
      <c r="I3228">
        <v>46991.46</v>
      </c>
      <c r="J3228">
        <v>0</v>
      </c>
    </row>
    <row r="3229" spans="1:10" x14ac:dyDescent="0.35">
      <c r="A3229">
        <v>318230</v>
      </c>
      <c r="B3229" t="s">
        <v>20</v>
      </c>
      <c r="C3229">
        <v>2015</v>
      </c>
      <c r="D3229">
        <v>7</v>
      </c>
      <c r="E3229" t="s">
        <v>7</v>
      </c>
      <c r="F3229" t="s">
        <v>7</v>
      </c>
      <c r="G3229" t="s">
        <v>7</v>
      </c>
      <c r="H3229">
        <v>39969.730000000003</v>
      </c>
      <c r="I3229">
        <v>26266.67</v>
      </c>
      <c r="J3229">
        <v>0</v>
      </c>
    </row>
    <row r="3230" spans="1:10" x14ac:dyDescent="0.35">
      <c r="A3230">
        <v>318235</v>
      </c>
      <c r="B3230" t="s">
        <v>20</v>
      </c>
      <c r="C3230">
        <v>2015</v>
      </c>
      <c r="D3230">
        <v>7</v>
      </c>
      <c r="E3230" t="s">
        <v>7</v>
      </c>
      <c r="F3230" t="s">
        <v>7</v>
      </c>
      <c r="G3230" t="s">
        <v>7</v>
      </c>
      <c r="H3230">
        <v>65751.42</v>
      </c>
      <c r="I3230">
        <v>46527.8</v>
      </c>
      <c r="J3230">
        <v>0</v>
      </c>
    </row>
    <row r="3231" spans="1:10" x14ac:dyDescent="0.35">
      <c r="A3231">
        <v>318246</v>
      </c>
      <c r="B3231" t="s">
        <v>20</v>
      </c>
      <c r="C3231">
        <v>2015</v>
      </c>
      <c r="D3231">
        <v>7</v>
      </c>
      <c r="E3231" t="s">
        <v>7</v>
      </c>
      <c r="F3231" t="s">
        <v>7</v>
      </c>
      <c r="G3231" t="s">
        <v>7</v>
      </c>
      <c r="H3231">
        <v>73256.58</v>
      </c>
      <c r="I3231">
        <v>56059.13</v>
      </c>
      <c r="J3231">
        <v>0</v>
      </c>
    </row>
    <row r="3232" spans="1:10" x14ac:dyDescent="0.35">
      <c r="A3232">
        <v>318253</v>
      </c>
      <c r="B3232" t="s">
        <v>20</v>
      </c>
      <c r="C3232">
        <v>2015</v>
      </c>
      <c r="D3232">
        <v>7</v>
      </c>
      <c r="E3232" t="s">
        <v>7</v>
      </c>
      <c r="F3232" t="s">
        <v>7</v>
      </c>
      <c r="G3232" t="s">
        <v>7</v>
      </c>
      <c r="H3232">
        <v>33164.5</v>
      </c>
      <c r="I3232">
        <v>11274.42</v>
      </c>
      <c r="J3232">
        <v>0</v>
      </c>
    </row>
    <row r="3233" spans="1:10" x14ac:dyDescent="0.35">
      <c r="A3233">
        <v>318256</v>
      </c>
      <c r="B3233" t="s">
        <v>20</v>
      </c>
      <c r="C3233">
        <v>2015</v>
      </c>
      <c r="D3233">
        <v>7</v>
      </c>
      <c r="E3233" t="s">
        <v>7</v>
      </c>
      <c r="F3233" t="s">
        <v>7</v>
      </c>
      <c r="G3233" t="s">
        <v>7</v>
      </c>
      <c r="H3233">
        <v>67001.820000000007</v>
      </c>
      <c r="I3233">
        <v>49044.63</v>
      </c>
      <c r="J3233">
        <v>0</v>
      </c>
    </row>
    <row r="3234" spans="1:10" x14ac:dyDescent="0.35">
      <c r="A3234">
        <v>318265</v>
      </c>
      <c r="B3234" t="s">
        <v>20</v>
      </c>
      <c r="C3234">
        <v>2015</v>
      </c>
      <c r="D3234">
        <v>7</v>
      </c>
      <c r="E3234" t="s">
        <v>7</v>
      </c>
      <c r="F3234" t="s">
        <v>7</v>
      </c>
      <c r="G3234" t="s">
        <v>7</v>
      </c>
      <c r="H3234">
        <v>201068.36</v>
      </c>
      <c r="I3234">
        <v>182122.7</v>
      </c>
      <c r="J3234">
        <v>0</v>
      </c>
    </row>
    <row r="3235" spans="1:10" x14ac:dyDescent="0.35">
      <c r="A3235">
        <v>318271</v>
      </c>
      <c r="B3235" t="s">
        <v>20</v>
      </c>
      <c r="C3235">
        <v>2015</v>
      </c>
      <c r="D3235">
        <v>7</v>
      </c>
      <c r="E3235" t="s">
        <v>7</v>
      </c>
      <c r="F3235" t="s">
        <v>7</v>
      </c>
      <c r="G3235" t="s">
        <v>7</v>
      </c>
      <c r="H3235">
        <v>57446.2</v>
      </c>
      <c r="I3235">
        <v>21952.84</v>
      </c>
      <c r="J3235">
        <v>0</v>
      </c>
    </row>
    <row r="3236" spans="1:10" x14ac:dyDescent="0.35">
      <c r="A3236">
        <v>318287</v>
      </c>
      <c r="B3236" t="s">
        <v>20</v>
      </c>
      <c r="C3236">
        <v>2015</v>
      </c>
      <c r="D3236">
        <v>7</v>
      </c>
      <c r="E3236" t="s">
        <v>7</v>
      </c>
      <c r="F3236" t="s">
        <v>7</v>
      </c>
      <c r="G3236" t="s">
        <v>7</v>
      </c>
      <c r="H3236">
        <v>62761.5</v>
      </c>
      <c r="I3236">
        <v>28157.22</v>
      </c>
      <c r="J3236">
        <v>0</v>
      </c>
    </row>
    <row r="3237" spans="1:10" x14ac:dyDescent="0.35">
      <c r="A3237">
        <v>318300</v>
      </c>
      <c r="B3237" t="s">
        <v>20</v>
      </c>
      <c r="C3237">
        <v>2015</v>
      </c>
      <c r="D3237">
        <v>7</v>
      </c>
      <c r="E3237" t="s">
        <v>7</v>
      </c>
      <c r="F3237" t="s">
        <v>7</v>
      </c>
      <c r="G3237" t="s">
        <v>7</v>
      </c>
      <c r="H3237">
        <v>89148.86</v>
      </c>
      <c r="I3237">
        <v>58232.51</v>
      </c>
      <c r="J3237">
        <v>0</v>
      </c>
    </row>
    <row r="3238" spans="1:10" x14ac:dyDescent="0.35">
      <c r="A3238">
        <v>318304</v>
      </c>
      <c r="B3238" t="s">
        <v>20</v>
      </c>
      <c r="C3238">
        <v>2015</v>
      </c>
      <c r="D3238">
        <v>7</v>
      </c>
      <c r="E3238" t="s">
        <v>7</v>
      </c>
      <c r="F3238" t="s">
        <v>7</v>
      </c>
      <c r="G3238" t="s">
        <v>7</v>
      </c>
      <c r="H3238">
        <v>23904.799999999999</v>
      </c>
      <c r="I3238">
        <v>8310.35</v>
      </c>
      <c r="J3238">
        <v>0</v>
      </c>
    </row>
    <row r="3239" spans="1:10" x14ac:dyDescent="0.35">
      <c r="A3239">
        <v>318312</v>
      </c>
      <c r="B3239" t="s">
        <v>20</v>
      </c>
      <c r="C3239">
        <v>2015</v>
      </c>
      <c r="D3239">
        <v>7</v>
      </c>
      <c r="E3239" t="s">
        <v>7</v>
      </c>
      <c r="F3239" t="s">
        <v>7</v>
      </c>
      <c r="G3239" t="s">
        <v>7</v>
      </c>
      <c r="H3239">
        <v>69177.22</v>
      </c>
      <c r="I3239">
        <v>31761.19</v>
      </c>
      <c r="J3239">
        <v>0</v>
      </c>
    </row>
    <row r="3240" spans="1:10" x14ac:dyDescent="0.35">
      <c r="A3240">
        <v>318319</v>
      </c>
      <c r="B3240" t="s">
        <v>20</v>
      </c>
      <c r="C3240">
        <v>2015</v>
      </c>
      <c r="D3240">
        <v>7</v>
      </c>
      <c r="E3240" t="s">
        <v>7</v>
      </c>
      <c r="F3240" t="s">
        <v>7</v>
      </c>
      <c r="G3240" t="s">
        <v>7</v>
      </c>
      <c r="H3240">
        <v>76383.38</v>
      </c>
      <c r="I3240">
        <v>57557.68</v>
      </c>
      <c r="J3240">
        <v>0</v>
      </c>
    </row>
    <row r="3241" spans="1:10" x14ac:dyDescent="0.35">
      <c r="A3241">
        <v>318328</v>
      </c>
      <c r="B3241" t="s">
        <v>20</v>
      </c>
      <c r="C3241">
        <v>2015</v>
      </c>
      <c r="D3241">
        <v>7</v>
      </c>
      <c r="E3241" t="s">
        <v>7</v>
      </c>
      <c r="F3241" t="s">
        <v>7</v>
      </c>
      <c r="G3241" t="s">
        <v>7</v>
      </c>
      <c r="H3241">
        <v>163095.6</v>
      </c>
      <c r="I3241">
        <v>139418.97</v>
      </c>
      <c r="J3241">
        <v>0</v>
      </c>
    </row>
    <row r="3242" spans="1:10" x14ac:dyDescent="0.35">
      <c r="A3242">
        <v>318339</v>
      </c>
      <c r="B3242" t="s">
        <v>20</v>
      </c>
      <c r="C3242">
        <v>2015</v>
      </c>
      <c r="D3242">
        <v>7</v>
      </c>
      <c r="E3242" t="s">
        <v>7</v>
      </c>
      <c r="F3242" t="s">
        <v>7</v>
      </c>
      <c r="G3242" t="s">
        <v>7</v>
      </c>
      <c r="H3242">
        <v>28095.040000000001</v>
      </c>
      <c r="I3242">
        <v>19197.93</v>
      </c>
      <c r="J3242">
        <v>0</v>
      </c>
    </row>
    <row r="3243" spans="1:10" x14ac:dyDescent="0.35">
      <c r="A3243">
        <v>318343</v>
      </c>
      <c r="B3243" t="s">
        <v>20</v>
      </c>
      <c r="C3243">
        <v>2015</v>
      </c>
      <c r="D3243">
        <v>7</v>
      </c>
      <c r="E3243" t="s">
        <v>7</v>
      </c>
      <c r="F3243" t="s">
        <v>7</v>
      </c>
      <c r="G3243" t="s">
        <v>7</v>
      </c>
      <c r="H3243">
        <v>66771</v>
      </c>
      <c r="I3243">
        <v>53496.480000000003</v>
      </c>
      <c r="J3243">
        <v>0</v>
      </c>
    </row>
    <row r="3244" spans="1:10" x14ac:dyDescent="0.35">
      <c r="A3244">
        <v>318345</v>
      </c>
      <c r="B3244" t="s">
        <v>20</v>
      </c>
      <c r="C3244">
        <v>2015</v>
      </c>
      <c r="D3244">
        <v>7</v>
      </c>
      <c r="E3244" t="s">
        <v>7</v>
      </c>
      <c r="F3244" t="s">
        <v>7</v>
      </c>
      <c r="G3244" t="s">
        <v>7</v>
      </c>
      <c r="H3244">
        <v>80280.86</v>
      </c>
      <c r="I3244">
        <v>62199.02</v>
      </c>
      <c r="J3244">
        <v>0</v>
      </c>
    </row>
    <row r="3245" spans="1:10" x14ac:dyDescent="0.35">
      <c r="A3245">
        <v>318347</v>
      </c>
      <c r="B3245" t="s">
        <v>20</v>
      </c>
      <c r="C3245">
        <v>2015</v>
      </c>
      <c r="D3245">
        <v>7</v>
      </c>
      <c r="E3245" t="s">
        <v>7</v>
      </c>
      <c r="F3245" t="s">
        <v>7</v>
      </c>
      <c r="G3245" t="s">
        <v>7</v>
      </c>
      <c r="H3245">
        <v>8201.9</v>
      </c>
      <c r="I3245">
        <v>2280.37</v>
      </c>
      <c r="J3245">
        <v>0</v>
      </c>
    </row>
    <row r="3246" spans="1:10" x14ac:dyDescent="0.35">
      <c r="A3246">
        <v>318358</v>
      </c>
      <c r="B3246" t="s">
        <v>20</v>
      </c>
      <c r="C3246">
        <v>2015</v>
      </c>
      <c r="D3246">
        <v>7</v>
      </c>
      <c r="E3246" t="s">
        <v>7</v>
      </c>
      <c r="F3246" t="s">
        <v>7</v>
      </c>
      <c r="G3246" t="s">
        <v>7</v>
      </c>
      <c r="H3246">
        <v>75078.600000000006</v>
      </c>
      <c r="I3246">
        <v>56315.16</v>
      </c>
      <c r="J3246">
        <v>0</v>
      </c>
    </row>
    <row r="3247" spans="1:10" x14ac:dyDescent="0.35">
      <c r="A3247">
        <v>318368</v>
      </c>
      <c r="B3247" t="s">
        <v>20</v>
      </c>
      <c r="C3247">
        <v>2015</v>
      </c>
      <c r="D3247">
        <v>7</v>
      </c>
      <c r="E3247" t="s">
        <v>7</v>
      </c>
      <c r="F3247" t="s">
        <v>7</v>
      </c>
      <c r="G3247" t="s">
        <v>7</v>
      </c>
      <c r="H3247">
        <v>68008.37</v>
      </c>
      <c r="I3247">
        <v>26944.36</v>
      </c>
      <c r="J3247">
        <v>0</v>
      </c>
    </row>
    <row r="3248" spans="1:10" x14ac:dyDescent="0.35">
      <c r="A3248">
        <v>318378</v>
      </c>
      <c r="B3248" t="s">
        <v>20</v>
      </c>
      <c r="C3248">
        <v>2015</v>
      </c>
      <c r="D3248">
        <v>7</v>
      </c>
      <c r="E3248" t="s">
        <v>7</v>
      </c>
      <c r="F3248" t="s">
        <v>7</v>
      </c>
      <c r="G3248" t="s">
        <v>7</v>
      </c>
      <c r="H3248">
        <v>143253.01</v>
      </c>
      <c r="I3248">
        <v>126961.66</v>
      </c>
      <c r="J3248">
        <v>0</v>
      </c>
    </row>
    <row r="3249" spans="1:10" x14ac:dyDescent="0.35">
      <c r="A3249">
        <v>318384</v>
      </c>
      <c r="B3249" t="s">
        <v>20</v>
      </c>
      <c r="C3249">
        <v>2015</v>
      </c>
      <c r="D3249">
        <v>7</v>
      </c>
      <c r="E3249" t="s">
        <v>7</v>
      </c>
      <c r="F3249" t="s">
        <v>7</v>
      </c>
      <c r="G3249" t="s">
        <v>7</v>
      </c>
      <c r="H3249">
        <v>66246.320000000007</v>
      </c>
      <c r="I3249">
        <v>48702.64</v>
      </c>
      <c r="J3249">
        <v>0</v>
      </c>
    </row>
    <row r="3250" spans="1:10" x14ac:dyDescent="0.35">
      <c r="A3250">
        <v>318389</v>
      </c>
      <c r="B3250" t="s">
        <v>20</v>
      </c>
      <c r="C3250">
        <v>2015</v>
      </c>
      <c r="D3250">
        <v>7</v>
      </c>
      <c r="E3250" t="s">
        <v>7</v>
      </c>
      <c r="F3250" t="s">
        <v>7</v>
      </c>
      <c r="G3250" t="s">
        <v>7</v>
      </c>
      <c r="H3250">
        <v>59889.46</v>
      </c>
      <c r="I3250">
        <v>41847.360000000001</v>
      </c>
      <c r="J3250">
        <v>0</v>
      </c>
    </row>
    <row r="3251" spans="1:10" x14ac:dyDescent="0.35">
      <c r="A3251">
        <v>318410</v>
      </c>
      <c r="B3251" t="s">
        <v>20</v>
      </c>
      <c r="C3251">
        <v>2015</v>
      </c>
      <c r="D3251">
        <v>7</v>
      </c>
      <c r="E3251" t="s">
        <v>7</v>
      </c>
      <c r="F3251" t="s">
        <v>7</v>
      </c>
      <c r="G3251" t="s">
        <v>7</v>
      </c>
      <c r="H3251">
        <v>63707.74</v>
      </c>
      <c r="I3251">
        <v>45207.33</v>
      </c>
      <c r="J3251">
        <v>0</v>
      </c>
    </row>
    <row r="3252" spans="1:10" x14ac:dyDescent="0.35">
      <c r="A3252">
        <v>318418</v>
      </c>
      <c r="B3252" t="s">
        <v>20</v>
      </c>
      <c r="C3252">
        <v>2015</v>
      </c>
      <c r="D3252">
        <v>7</v>
      </c>
      <c r="E3252" t="s">
        <v>7</v>
      </c>
      <c r="F3252" t="s">
        <v>7</v>
      </c>
      <c r="G3252" t="s">
        <v>7</v>
      </c>
      <c r="H3252">
        <v>59817.78</v>
      </c>
      <c r="I3252">
        <v>42107.76</v>
      </c>
      <c r="J3252">
        <v>0</v>
      </c>
    </row>
    <row r="3253" spans="1:10" x14ac:dyDescent="0.35">
      <c r="A3253">
        <v>318428</v>
      </c>
      <c r="B3253" t="s">
        <v>20</v>
      </c>
      <c r="C3253">
        <v>2015</v>
      </c>
      <c r="D3253">
        <v>7</v>
      </c>
      <c r="E3253" t="s">
        <v>7</v>
      </c>
      <c r="F3253" t="s">
        <v>7</v>
      </c>
      <c r="G3253" t="s">
        <v>7</v>
      </c>
      <c r="H3253">
        <v>4552.18</v>
      </c>
      <c r="I3253">
        <v>1587.16</v>
      </c>
      <c r="J3253">
        <v>0</v>
      </c>
    </row>
    <row r="3254" spans="1:10" x14ac:dyDescent="0.35">
      <c r="A3254">
        <v>318432</v>
      </c>
      <c r="B3254" t="s">
        <v>20</v>
      </c>
      <c r="C3254">
        <v>2015</v>
      </c>
      <c r="D3254">
        <v>7</v>
      </c>
      <c r="E3254" t="s">
        <v>7</v>
      </c>
      <c r="F3254" t="s">
        <v>7</v>
      </c>
      <c r="G3254" t="s">
        <v>7</v>
      </c>
      <c r="H3254">
        <v>19790.439999999999</v>
      </c>
      <c r="I3254">
        <v>9931.82</v>
      </c>
      <c r="J3254">
        <v>0</v>
      </c>
    </row>
    <row r="3255" spans="1:10" x14ac:dyDescent="0.35">
      <c r="A3255">
        <v>318442</v>
      </c>
      <c r="B3255" t="s">
        <v>20</v>
      </c>
      <c r="C3255">
        <v>2015</v>
      </c>
      <c r="D3255">
        <v>7</v>
      </c>
      <c r="E3255" t="s">
        <v>7</v>
      </c>
      <c r="F3255" t="s">
        <v>7</v>
      </c>
      <c r="G3255" t="s">
        <v>7</v>
      </c>
      <c r="H3255">
        <v>62609.24</v>
      </c>
      <c r="I3255">
        <v>45773.85</v>
      </c>
      <c r="J3255">
        <v>0</v>
      </c>
    </row>
    <row r="3256" spans="1:10" x14ac:dyDescent="0.35">
      <c r="A3256">
        <v>318465</v>
      </c>
      <c r="B3256" t="s">
        <v>20</v>
      </c>
      <c r="C3256">
        <v>2015</v>
      </c>
      <c r="D3256">
        <v>7</v>
      </c>
      <c r="E3256" t="s">
        <v>7</v>
      </c>
      <c r="F3256" t="s">
        <v>7</v>
      </c>
      <c r="G3256" t="s">
        <v>7</v>
      </c>
      <c r="H3256">
        <v>80675.14</v>
      </c>
      <c r="I3256">
        <v>66536.25</v>
      </c>
      <c r="J3256">
        <v>0</v>
      </c>
    </row>
    <row r="3257" spans="1:10" x14ac:dyDescent="0.35">
      <c r="A3257">
        <v>318482</v>
      </c>
      <c r="B3257" t="s">
        <v>20</v>
      </c>
      <c r="C3257">
        <v>2015</v>
      </c>
      <c r="D3257">
        <v>7</v>
      </c>
      <c r="E3257" t="s">
        <v>7</v>
      </c>
      <c r="F3257" t="s">
        <v>7</v>
      </c>
      <c r="G3257" t="s">
        <v>7</v>
      </c>
      <c r="H3257">
        <v>77321.66</v>
      </c>
      <c r="I3257">
        <v>59011.199999999997</v>
      </c>
      <c r="J3257">
        <v>0</v>
      </c>
    </row>
    <row r="3258" spans="1:10" x14ac:dyDescent="0.35">
      <c r="A3258">
        <v>318490</v>
      </c>
      <c r="B3258" t="s">
        <v>20</v>
      </c>
      <c r="C3258">
        <v>2015</v>
      </c>
      <c r="D3258">
        <v>7</v>
      </c>
      <c r="E3258" t="s">
        <v>7</v>
      </c>
      <c r="F3258" t="s">
        <v>7</v>
      </c>
      <c r="G3258" t="s">
        <v>7</v>
      </c>
      <c r="H3258">
        <v>73273.8</v>
      </c>
      <c r="I3258">
        <v>55568.52</v>
      </c>
      <c r="J3258">
        <v>0</v>
      </c>
    </row>
    <row r="3259" spans="1:10" x14ac:dyDescent="0.35">
      <c r="A3259">
        <v>318491</v>
      </c>
      <c r="B3259" t="s">
        <v>20</v>
      </c>
      <c r="C3259">
        <v>2015</v>
      </c>
      <c r="D3259">
        <v>7</v>
      </c>
      <c r="E3259" t="s">
        <v>7</v>
      </c>
      <c r="F3259" t="s">
        <v>7</v>
      </c>
      <c r="G3259" t="s">
        <v>7</v>
      </c>
      <c r="H3259">
        <v>77055.360000000001</v>
      </c>
      <c r="I3259">
        <v>59080.09</v>
      </c>
      <c r="J3259">
        <v>0</v>
      </c>
    </row>
    <row r="3260" spans="1:10" x14ac:dyDescent="0.35">
      <c r="A3260">
        <v>318498</v>
      </c>
      <c r="B3260" t="s">
        <v>20</v>
      </c>
      <c r="C3260">
        <v>2015</v>
      </c>
      <c r="D3260">
        <v>7</v>
      </c>
      <c r="E3260" t="s">
        <v>7</v>
      </c>
      <c r="F3260" t="s">
        <v>7</v>
      </c>
      <c r="G3260" t="s">
        <v>7</v>
      </c>
      <c r="H3260">
        <v>73168.28</v>
      </c>
      <c r="I3260">
        <v>55887.07</v>
      </c>
      <c r="J3260">
        <v>0</v>
      </c>
    </row>
    <row r="3261" spans="1:10" x14ac:dyDescent="0.35">
      <c r="A3261">
        <v>318504</v>
      </c>
      <c r="B3261" t="s">
        <v>20</v>
      </c>
      <c r="C3261">
        <v>2015</v>
      </c>
      <c r="D3261">
        <v>7</v>
      </c>
      <c r="E3261" t="s">
        <v>7</v>
      </c>
      <c r="F3261" t="s">
        <v>7</v>
      </c>
      <c r="G3261" t="s">
        <v>7</v>
      </c>
      <c r="H3261">
        <v>79096.86</v>
      </c>
      <c r="I3261">
        <v>56728.45</v>
      </c>
      <c r="J3261">
        <v>0</v>
      </c>
    </row>
    <row r="3262" spans="1:10" x14ac:dyDescent="0.35">
      <c r="A3262">
        <v>318510</v>
      </c>
      <c r="B3262" t="s">
        <v>20</v>
      </c>
      <c r="C3262">
        <v>2015</v>
      </c>
      <c r="D3262">
        <v>7</v>
      </c>
      <c r="E3262" t="s">
        <v>7</v>
      </c>
      <c r="F3262" t="s">
        <v>7</v>
      </c>
      <c r="G3262" t="s">
        <v>7</v>
      </c>
      <c r="H3262">
        <v>64730.22</v>
      </c>
      <c r="I3262">
        <v>46211.28</v>
      </c>
      <c r="J3262">
        <v>0</v>
      </c>
    </row>
    <row r="3263" spans="1:10" x14ac:dyDescent="0.35">
      <c r="A3263">
        <v>318514</v>
      </c>
      <c r="B3263" t="s">
        <v>20</v>
      </c>
      <c r="C3263">
        <v>2015</v>
      </c>
      <c r="D3263">
        <v>7</v>
      </c>
      <c r="E3263" t="s">
        <v>7</v>
      </c>
      <c r="F3263" t="s">
        <v>7</v>
      </c>
      <c r="G3263" t="s">
        <v>7</v>
      </c>
      <c r="H3263">
        <v>73864.5</v>
      </c>
      <c r="I3263">
        <v>53854.69</v>
      </c>
      <c r="J3263">
        <v>0</v>
      </c>
    </row>
    <row r="3264" spans="1:10" x14ac:dyDescent="0.35">
      <c r="A3264">
        <v>318520</v>
      </c>
      <c r="B3264" t="s">
        <v>20</v>
      </c>
      <c r="C3264">
        <v>2015</v>
      </c>
      <c r="D3264">
        <v>7</v>
      </c>
      <c r="E3264" t="s">
        <v>7</v>
      </c>
      <c r="F3264" t="s">
        <v>7</v>
      </c>
      <c r="G3264" t="s">
        <v>7</v>
      </c>
      <c r="H3264">
        <v>68155.98</v>
      </c>
      <c r="I3264">
        <v>49289.79</v>
      </c>
      <c r="J3264">
        <v>0</v>
      </c>
    </row>
    <row r="3265" spans="1:10" x14ac:dyDescent="0.35">
      <c r="A3265">
        <v>318527</v>
      </c>
      <c r="B3265" t="s">
        <v>20</v>
      </c>
      <c r="C3265">
        <v>2015</v>
      </c>
      <c r="D3265">
        <v>7</v>
      </c>
      <c r="E3265" t="s">
        <v>7</v>
      </c>
      <c r="F3265" t="s">
        <v>7</v>
      </c>
      <c r="G3265" t="s">
        <v>7</v>
      </c>
      <c r="H3265">
        <v>69816.160000000003</v>
      </c>
      <c r="I3265">
        <v>54324.77</v>
      </c>
      <c r="J3265">
        <v>0</v>
      </c>
    </row>
    <row r="3266" spans="1:10" x14ac:dyDescent="0.35">
      <c r="A3266">
        <v>318538</v>
      </c>
      <c r="B3266" t="s">
        <v>20</v>
      </c>
      <c r="C3266">
        <v>2015</v>
      </c>
      <c r="D3266">
        <v>7</v>
      </c>
      <c r="E3266" t="s">
        <v>7</v>
      </c>
      <c r="F3266" t="s">
        <v>7</v>
      </c>
      <c r="G3266" t="s">
        <v>7</v>
      </c>
      <c r="H3266">
        <v>75284.240000000005</v>
      </c>
      <c r="I3266">
        <v>57511.08</v>
      </c>
      <c r="J3266">
        <v>0</v>
      </c>
    </row>
    <row r="3267" spans="1:10" x14ac:dyDescent="0.35">
      <c r="A3267">
        <v>318540</v>
      </c>
      <c r="B3267" t="s">
        <v>20</v>
      </c>
      <c r="C3267">
        <v>2015</v>
      </c>
      <c r="D3267">
        <v>7</v>
      </c>
      <c r="E3267" t="s">
        <v>7</v>
      </c>
      <c r="F3267" t="s">
        <v>7</v>
      </c>
      <c r="G3267" t="s">
        <v>7</v>
      </c>
      <c r="H3267">
        <v>31915.98</v>
      </c>
      <c r="I3267">
        <v>17243.88</v>
      </c>
      <c r="J3267">
        <v>0</v>
      </c>
    </row>
    <row r="3268" spans="1:10" x14ac:dyDescent="0.35">
      <c r="A3268">
        <v>318551</v>
      </c>
      <c r="B3268" t="s">
        <v>20</v>
      </c>
      <c r="C3268">
        <v>2015</v>
      </c>
      <c r="D3268">
        <v>7</v>
      </c>
      <c r="E3268" t="s">
        <v>7</v>
      </c>
      <c r="F3268" t="s">
        <v>7</v>
      </c>
      <c r="G3268" t="s">
        <v>7</v>
      </c>
      <c r="H3268">
        <v>80262.080000000002</v>
      </c>
      <c r="I3268">
        <v>59583.16</v>
      </c>
      <c r="J3268">
        <v>0</v>
      </c>
    </row>
    <row r="3269" spans="1:10" x14ac:dyDescent="0.35">
      <c r="A3269">
        <v>318565</v>
      </c>
      <c r="B3269" t="s">
        <v>20</v>
      </c>
      <c r="C3269">
        <v>2015</v>
      </c>
      <c r="D3269">
        <v>7</v>
      </c>
      <c r="E3269" t="s">
        <v>7</v>
      </c>
      <c r="F3269" t="s">
        <v>7</v>
      </c>
      <c r="G3269" t="s">
        <v>7</v>
      </c>
      <c r="H3269">
        <v>38806.629999999997</v>
      </c>
      <c r="I3269">
        <v>22996.78</v>
      </c>
      <c r="J3269">
        <v>0</v>
      </c>
    </row>
    <row r="3270" spans="1:10" x14ac:dyDescent="0.35">
      <c r="A3270">
        <v>318571</v>
      </c>
      <c r="B3270" t="s">
        <v>20</v>
      </c>
      <c r="C3270">
        <v>2015</v>
      </c>
      <c r="D3270">
        <v>7</v>
      </c>
      <c r="E3270" t="s">
        <v>7</v>
      </c>
      <c r="F3270" t="s">
        <v>7</v>
      </c>
      <c r="G3270" t="s">
        <v>7</v>
      </c>
      <c r="H3270">
        <v>77941.45</v>
      </c>
      <c r="I3270">
        <v>59842.58</v>
      </c>
      <c r="J3270">
        <v>0</v>
      </c>
    </row>
    <row r="3271" spans="1:10" x14ac:dyDescent="0.35">
      <c r="A3271">
        <v>318574</v>
      </c>
      <c r="B3271" t="s">
        <v>20</v>
      </c>
      <c r="C3271">
        <v>2015</v>
      </c>
      <c r="D3271">
        <v>7</v>
      </c>
      <c r="E3271" t="s">
        <v>7</v>
      </c>
      <c r="F3271" t="s">
        <v>7</v>
      </c>
      <c r="G3271" t="s">
        <v>7</v>
      </c>
      <c r="H3271">
        <v>68272.320000000007</v>
      </c>
      <c r="I3271">
        <v>50223.27</v>
      </c>
      <c r="J3271">
        <v>0</v>
      </c>
    </row>
    <row r="3272" spans="1:10" x14ac:dyDescent="0.35">
      <c r="A3272">
        <v>318585</v>
      </c>
      <c r="B3272" t="s">
        <v>20</v>
      </c>
      <c r="C3272">
        <v>2015</v>
      </c>
      <c r="D3272">
        <v>7</v>
      </c>
      <c r="E3272" t="s">
        <v>7</v>
      </c>
      <c r="F3272" t="s">
        <v>7</v>
      </c>
      <c r="G3272" t="s">
        <v>7</v>
      </c>
      <c r="H3272">
        <v>73514.259999999995</v>
      </c>
      <c r="I3272">
        <v>54651.58</v>
      </c>
      <c r="J3272">
        <v>0</v>
      </c>
    </row>
    <row r="3273" spans="1:10" x14ac:dyDescent="0.35">
      <c r="A3273">
        <v>318595</v>
      </c>
      <c r="B3273" t="s">
        <v>20</v>
      </c>
      <c r="C3273">
        <v>2015</v>
      </c>
      <c r="D3273">
        <v>7</v>
      </c>
      <c r="E3273" t="s">
        <v>7</v>
      </c>
      <c r="F3273" t="s">
        <v>7</v>
      </c>
      <c r="G3273" t="s">
        <v>7</v>
      </c>
      <c r="H3273">
        <v>19919.14</v>
      </c>
      <c r="I3273">
        <v>11095.54</v>
      </c>
      <c r="J3273">
        <v>0</v>
      </c>
    </row>
    <row r="3274" spans="1:10" x14ac:dyDescent="0.35">
      <c r="A3274">
        <v>318609</v>
      </c>
      <c r="B3274" t="s">
        <v>20</v>
      </c>
      <c r="C3274">
        <v>2015</v>
      </c>
      <c r="D3274">
        <v>7</v>
      </c>
      <c r="E3274" t="s">
        <v>7</v>
      </c>
      <c r="F3274" t="s">
        <v>7</v>
      </c>
      <c r="G3274" t="s">
        <v>7</v>
      </c>
      <c r="H3274">
        <v>94769.96</v>
      </c>
      <c r="I3274">
        <v>76255.42</v>
      </c>
      <c r="J3274">
        <v>0</v>
      </c>
    </row>
    <row r="3275" spans="1:10" x14ac:dyDescent="0.35">
      <c r="A3275">
        <v>318618</v>
      </c>
      <c r="B3275" t="s">
        <v>20</v>
      </c>
      <c r="C3275">
        <v>2015</v>
      </c>
      <c r="D3275">
        <v>7</v>
      </c>
      <c r="E3275" t="s">
        <v>7</v>
      </c>
      <c r="F3275" t="s">
        <v>7</v>
      </c>
      <c r="G3275" t="s">
        <v>7</v>
      </c>
      <c r="H3275">
        <v>46857</v>
      </c>
      <c r="I3275">
        <v>33020.550000000003</v>
      </c>
      <c r="J3275">
        <v>0</v>
      </c>
    </row>
    <row r="3276" spans="1:10" x14ac:dyDescent="0.35">
      <c r="A3276">
        <v>318625</v>
      </c>
      <c r="B3276" t="s">
        <v>20</v>
      </c>
      <c r="C3276">
        <v>2015</v>
      </c>
      <c r="D3276">
        <v>7</v>
      </c>
      <c r="E3276" t="s">
        <v>7</v>
      </c>
      <c r="F3276" t="s">
        <v>7</v>
      </c>
      <c r="G3276" t="s">
        <v>7</v>
      </c>
      <c r="H3276">
        <v>68328.78</v>
      </c>
      <c r="I3276">
        <v>53801.61</v>
      </c>
      <c r="J3276">
        <v>0</v>
      </c>
    </row>
    <row r="3277" spans="1:10" x14ac:dyDescent="0.35">
      <c r="A3277">
        <v>318635</v>
      </c>
      <c r="B3277" t="s">
        <v>20</v>
      </c>
      <c r="C3277">
        <v>2015</v>
      </c>
      <c r="D3277">
        <v>7</v>
      </c>
      <c r="E3277" t="s">
        <v>7</v>
      </c>
      <c r="F3277" t="s">
        <v>7</v>
      </c>
      <c r="G3277" t="s">
        <v>7</v>
      </c>
      <c r="H3277">
        <v>76919.08</v>
      </c>
      <c r="I3277">
        <v>54338.91</v>
      </c>
      <c r="J3277">
        <v>0</v>
      </c>
    </row>
    <row r="3278" spans="1:10" x14ac:dyDescent="0.35">
      <c r="A3278">
        <v>318648</v>
      </c>
      <c r="B3278" t="s">
        <v>20</v>
      </c>
      <c r="C3278">
        <v>2015</v>
      </c>
      <c r="D3278">
        <v>7</v>
      </c>
      <c r="E3278" t="s">
        <v>7</v>
      </c>
      <c r="F3278" t="s">
        <v>7</v>
      </c>
      <c r="G3278" t="s">
        <v>7</v>
      </c>
      <c r="H3278">
        <v>65273.760000000002</v>
      </c>
      <c r="I3278">
        <v>46738.63</v>
      </c>
      <c r="J3278">
        <v>0</v>
      </c>
    </row>
    <row r="3279" spans="1:10" x14ac:dyDescent="0.35">
      <c r="A3279">
        <v>318656</v>
      </c>
      <c r="B3279" t="s">
        <v>20</v>
      </c>
      <c r="C3279">
        <v>2015</v>
      </c>
      <c r="D3279">
        <v>7</v>
      </c>
      <c r="E3279" t="s">
        <v>7</v>
      </c>
      <c r="F3279" t="s">
        <v>7</v>
      </c>
      <c r="G3279" t="s">
        <v>7</v>
      </c>
      <c r="H3279">
        <v>126571.56</v>
      </c>
      <c r="I3279">
        <v>95863.79</v>
      </c>
      <c r="J3279">
        <v>0</v>
      </c>
    </row>
    <row r="3280" spans="1:10" x14ac:dyDescent="0.35">
      <c r="A3280">
        <v>318659</v>
      </c>
      <c r="B3280" t="s">
        <v>20</v>
      </c>
      <c r="C3280">
        <v>2015</v>
      </c>
      <c r="D3280">
        <v>7</v>
      </c>
      <c r="E3280" t="s">
        <v>7</v>
      </c>
      <c r="F3280" t="s">
        <v>7</v>
      </c>
      <c r="G3280" t="s">
        <v>7</v>
      </c>
      <c r="H3280">
        <v>79732.679999999993</v>
      </c>
      <c r="I3280">
        <v>59635.61</v>
      </c>
      <c r="J3280">
        <v>0</v>
      </c>
    </row>
    <row r="3281" spans="1:10" x14ac:dyDescent="0.35">
      <c r="A3281">
        <v>318674</v>
      </c>
      <c r="B3281" t="s">
        <v>20</v>
      </c>
      <c r="C3281">
        <v>2015</v>
      </c>
      <c r="D3281">
        <v>7</v>
      </c>
      <c r="E3281" t="s">
        <v>7</v>
      </c>
      <c r="F3281" t="s">
        <v>7</v>
      </c>
      <c r="G3281" t="s">
        <v>7</v>
      </c>
      <c r="H3281">
        <v>52956.03</v>
      </c>
      <c r="I3281">
        <v>38940.58</v>
      </c>
      <c r="J3281">
        <v>0</v>
      </c>
    </row>
    <row r="3282" spans="1:10" x14ac:dyDescent="0.35">
      <c r="A3282">
        <v>318699</v>
      </c>
      <c r="B3282" t="s">
        <v>20</v>
      </c>
      <c r="C3282">
        <v>2015</v>
      </c>
      <c r="D3282">
        <v>7</v>
      </c>
      <c r="E3282" t="s">
        <v>7</v>
      </c>
      <c r="F3282" t="s">
        <v>7</v>
      </c>
      <c r="G3282" t="s">
        <v>7</v>
      </c>
      <c r="H3282">
        <v>19575.2</v>
      </c>
      <c r="I3282">
        <v>7991.27</v>
      </c>
      <c r="J3282">
        <v>0</v>
      </c>
    </row>
    <row r="3283" spans="1:10" x14ac:dyDescent="0.35">
      <c r="A3283">
        <v>318702</v>
      </c>
      <c r="B3283" t="s">
        <v>20</v>
      </c>
      <c r="C3283">
        <v>2015</v>
      </c>
      <c r="D3283">
        <v>7</v>
      </c>
      <c r="E3283" t="s">
        <v>7</v>
      </c>
      <c r="F3283" t="s">
        <v>7</v>
      </c>
      <c r="G3283" t="s">
        <v>7</v>
      </c>
      <c r="H3283">
        <v>23476.7</v>
      </c>
      <c r="I3283">
        <v>12001.8</v>
      </c>
      <c r="J3283">
        <v>0</v>
      </c>
    </row>
    <row r="3284" spans="1:10" x14ac:dyDescent="0.35">
      <c r="A3284">
        <v>318712</v>
      </c>
      <c r="B3284" t="s">
        <v>20</v>
      </c>
      <c r="C3284">
        <v>2015</v>
      </c>
      <c r="D3284">
        <v>7</v>
      </c>
      <c r="E3284" t="s">
        <v>7</v>
      </c>
      <c r="F3284" t="s">
        <v>7</v>
      </c>
      <c r="G3284" t="s">
        <v>7</v>
      </c>
      <c r="H3284">
        <v>68207.679999999993</v>
      </c>
      <c r="I3284">
        <v>47878.34</v>
      </c>
      <c r="J3284">
        <v>0</v>
      </c>
    </row>
    <row r="3285" spans="1:10" x14ac:dyDescent="0.35">
      <c r="A3285">
        <v>318713</v>
      </c>
      <c r="B3285" t="s">
        <v>20</v>
      </c>
      <c r="C3285">
        <v>2015</v>
      </c>
      <c r="D3285">
        <v>7</v>
      </c>
      <c r="E3285" t="s">
        <v>7</v>
      </c>
      <c r="F3285" t="s">
        <v>7</v>
      </c>
      <c r="G3285" t="s">
        <v>7</v>
      </c>
      <c r="H3285">
        <v>68303.28</v>
      </c>
      <c r="I3285">
        <v>49343.15</v>
      </c>
      <c r="J3285">
        <v>0</v>
      </c>
    </row>
    <row r="3286" spans="1:10" x14ac:dyDescent="0.35">
      <c r="A3286">
        <v>318720</v>
      </c>
      <c r="B3286" t="s">
        <v>20</v>
      </c>
      <c r="C3286">
        <v>2015</v>
      </c>
      <c r="D3286">
        <v>7</v>
      </c>
      <c r="E3286" t="s">
        <v>7</v>
      </c>
      <c r="F3286" t="s">
        <v>7</v>
      </c>
      <c r="G3286" t="s">
        <v>7</v>
      </c>
      <c r="H3286">
        <v>77983.34</v>
      </c>
      <c r="I3286">
        <v>59195.08</v>
      </c>
      <c r="J3286">
        <v>0</v>
      </c>
    </row>
    <row r="3287" spans="1:10" x14ac:dyDescent="0.35">
      <c r="A3287">
        <v>318725</v>
      </c>
      <c r="B3287" t="s">
        <v>20</v>
      </c>
      <c r="C3287">
        <v>2015</v>
      </c>
      <c r="D3287">
        <v>7</v>
      </c>
      <c r="E3287" t="s">
        <v>7</v>
      </c>
      <c r="F3287" t="s">
        <v>7</v>
      </c>
      <c r="G3287" t="s">
        <v>7</v>
      </c>
      <c r="H3287">
        <v>73895.7</v>
      </c>
      <c r="I3287">
        <v>56232.99</v>
      </c>
      <c r="J3287">
        <v>0</v>
      </c>
    </row>
    <row r="3288" spans="1:10" x14ac:dyDescent="0.35">
      <c r="A3288">
        <v>318742</v>
      </c>
      <c r="B3288" t="s">
        <v>20</v>
      </c>
      <c r="C3288">
        <v>2015</v>
      </c>
      <c r="D3288">
        <v>7</v>
      </c>
      <c r="E3288" t="s">
        <v>7</v>
      </c>
      <c r="F3288" t="s">
        <v>7</v>
      </c>
      <c r="G3288" t="s">
        <v>7</v>
      </c>
      <c r="H3288">
        <v>36387.89</v>
      </c>
      <c r="I3288">
        <v>22319.1</v>
      </c>
      <c r="J3288">
        <v>0</v>
      </c>
    </row>
    <row r="3289" spans="1:10" x14ac:dyDescent="0.35">
      <c r="A3289">
        <v>318752</v>
      </c>
      <c r="B3289" t="s">
        <v>20</v>
      </c>
      <c r="C3289">
        <v>2015</v>
      </c>
      <c r="D3289">
        <v>7</v>
      </c>
      <c r="E3289" t="s">
        <v>7</v>
      </c>
      <c r="F3289" t="s">
        <v>7</v>
      </c>
      <c r="G3289" t="s">
        <v>7</v>
      </c>
      <c r="H3289">
        <v>64222.9</v>
      </c>
      <c r="I3289">
        <v>46427.81</v>
      </c>
      <c r="J3289">
        <v>0</v>
      </c>
    </row>
    <row r="3290" spans="1:10" x14ac:dyDescent="0.35">
      <c r="A3290">
        <v>318813</v>
      </c>
      <c r="B3290" t="s">
        <v>20</v>
      </c>
      <c r="C3290">
        <v>2015</v>
      </c>
      <c r="D3290">
        <v>7</v>
      </c>
      <c r="E3290" t="s">
        <v>7</v>
      </c>
      <c r="F3290" t="s">
        <v>7</v>
      </c>
      <c r="G3290" t="s">
        <v>7</v>
      </c>
      <c r="H3290">
        <v>28618.76</v>
      </c>
      <c r="I3290">
        <v>9026.09</v>
      </c>
      <c r="J3290">
        <v>0</v>
      </c>
    </row>
    <row r="3291" spans="1:10" x14ac:dyDescent="0.35">
      <c r="A3291">
        <v>318830</v>
      </c>
      <c r="B3291" t="s">
        <v>20</v>
      </c>
      <c r="C3291">
        <v>2015</v>
      </c>
      <c r="D3291">
        <v>7</v>
      </c>
      <c r="E3291" t="s">
        <v>7</v>
      </c>
      <c r="F3291" t="s">
        <v>7</v>
      </c>
      <c r="G3291" t="s">
        <v>7</v>
      </c>
      <c r="H3291">
        <v>74861.98</v>
      </c>
      <c r="I3291">
        <v>56258.61</v>
      </c>
      <c r="J3291">
        <v>0</v>
      </c>
    </row>
    <row r="3292" spans="1:10" x14ac:dyDescent="0.35">
      <c r="A3292">
        <v>318834</v>
      </c>
      <c r="B3292" t="s">
        <v>20</v>
      </c>
      <c r="C3292">
        <v>2015</v>
      </c>
      <c r="D3292">
        <v>7</v>
      </c>
      <c r="E3292" t="s">
        <v>7</v>
      </c>
      <c r="F3292" t="s">
        <v>7</v>
      </c>
      <c r="G3292" t="s">
        <v>7</v>
      </c>
      <c r="H3292">
        <v>68758.399999999994</v>
      </c>
      <c r="I3292">
        <v>49490.64</v>
      </c>
      <c r="J3292">
        <v>0</v>
      </c>
    </row>
    <row r="3293" spans="1:10" x14ac:dyDescent="0.35">
      <c r="A3293">
        <v>318841</v>
      </c>
      <c r="B3293" t="s">
        <v>20</v>
      </c>
      <c r="C3293">
        <v>2015</v>
      </c>
      <c r="D3293">
        <v>7</v>
      </c>
      <c r="E3293" t="s">
        <v>7</v>
      </c>
      <c r="F3293" t="s">
        <v>7</v>
      </c>
      <c r="G3293" t="s">
        <v>7</v>
      </c>
      <c r="H3293">
        <v>66072.22</v>
      </c>
      <c r="I3293">
        <v>48916.04</v>
      </c>
      <c r="J3293">
        <v>0</v>
      </c>
    </row>
    <row r="3294" spans="1:10" x14ac:dyDescent="0.35">
      <c r="A3294">
        <v>318843</v>
      </c>
      <c r="B3294" t="s">
        <v>20</v>
      </c>
      <c r="C3294">
        <v>2015</v>
      </c>
      <c r="D3294">
        <v>7</v>
      </c>
      <c r="E3294" t="s">
        <v>7</v>
      </c>
      <c r="F3294" t="s">
        <v>7</v>
      </c>
      <c r="G3294" t="s">
        <v>7</v>
      </c>
      <c r="H3294">
        <v>67485.259999999995</v>
      </c>
      <c r="I3294">
        <v>49184.03</v>
      </c>
      <c r="J3294">
        <v>0</v>
      </c>
    </row>
    <row r="3295" spans="1:10" x14ac:dyDescent="0.35">
      <c r="A3295">
        <v>318861</v>
      </c>
      <c r="B3295" t="s">
        <v>20</v>
      </c>
      <c r="C3295">
        <v>2015</v>
      </c>
      <c r="D3295">
        <v>7</v>
      </c>
      <c r="E3295" t="s">
        <v>7</v>
      </c>
      <c r="F3295" t="s">
        <v>7</v>
      </c>
      <c r="G3295" t="s">
        <v>7</v>
      </c>
      <c r="H3295">
        <v>73163.240000000005</v>
      </c>
      <c r="I3295">
        <v>55887.66</v>
      </c>
      <c r="J3295">
        <v>0</v>
      </c>
    </row>
    <row r="3296" spans="1:10" x14ac:dyDescent="0.35">
      <c r="A3296">
        <v>318864</v>
      </c>
      <c r="B3296" t="s">
        <v>20</v>
      </c>
      <c r="C3296">
        <v>2015</v>
      </c>
      <c r="D3296">
        <v>7</v>
      </c>
      <c r="E3296" t="s">
        <v>7</v>
      </c>
      <c r="F3296" t="s">
        <v>7</v>
      </c>
      <c r="G3296" t="s">
        <v>7</v>
      </c>
      <c r="H3296">
        <v>5187.62</v>
      </c>
      <c r="I3296">
        <v>1743.12</v>
      </c>
      <c r="J3296">
        <v>0</v>
      </c>
    </row>
    <row r="3297" spans="1:10" x14ac:dyDescent="0.35">
      <c r="A3297">
        <v>318869</v>
      </c>
      <c r="B3297" t="s">
        <v>20</v>
      </c>
      <c r="C3297">
        <v>2015</v>
      </c>
      <c r="D3297">
        <v>7</v>
      </c>
      <c r="E3297" t="s">
        <v>7</v>
      </c>
      <c r="F3297" t="s">
        <v>7</v>
      </c>
      <c r="G3297" t="s">
        <v>7</v>
      </c>
      <c r="H3297">
        <v>67113.86</v>
      </c>
      <c r="I3297">
        <v>49065.45</v>
      </c>
      <c r="J3297">
        <v>0</v>
      </c>
    </row>
    <row r="3298" spans="1:10" x14ac:dyDescent="0.35">
      <c r="A3298">
        <v>318877</v>
      </c>
      <c r="B3298" t="s">
        <v>20</v>
      </c>
      <c r="C3298">
        <v>2015</v>
      </c>
      <c r="D3298">
        <v>7</v>
      </c>
      <c r="E3298" t="s">
        <v>7</v>
      </c>
      <c r="F3298" t="s">
        <v>7</v>
      </c>
      <c r="G3298" t="s">
        <v>7</v>
      </c>
      <c r="H3298">
        <v>65860.36</v>
      </c>
      <c r="I3298">
        <v>48776.92</v>
      </c>
      <c r="J3298">
        <v>0</v>
      </c>
    </row>
    <row r="3299" spans="1:10" x14ac:dyDescent="0.35">
      <c r="A3299">
        <v>318878</v>
      </c>
      <c r="B3299" t="s">
        <v>20</v>
      </c>
      <c r="C3299">
        <v>2015</v>
      </c>
      <c r="D3299">
        <v>7</v>
      </c>
      <c r="E3299" t="s">
        <v>7</v>
      </c>
      <c r="F3299" t="s">
        <v>7</v>
      </c>
      <c r="G3299" t="s">
        <v>7</v>
      </c>
      <c r="H3299">
        <v>62964.5</v>
      </c>
      <c r="I3299">
        <v>45808.15</v>
      </c>
      <c r="J3299">
        <v>0</v>
      </c>
    </row>
    <row r="3300" spans="1:10" x14ac:dyDescent="0.35">
      <c r="A3300">
        <v>318887</v>
      </c>
      <c r="B3300" t="s">
        <v>20</v>
      </c>
      <c r="C3300">
        <v>2015</v>
      </c>
      <c r="D3300">
        <v>7</v>
      </c>
      <c r="E3300" t="s">
        <v>7</v>
      </c>
      <c r="F3300" t="s">
        <v>7</v>
      </c>
      <c r="G3300" t="s">
        <v>7</v>
      </c>
      <c r="H3300">
        <v>66891.5</v>
      </c>
      <c r="I3300">
        <v>46025.01</v>
      </c>
      <c r="J3300">
        <v>0</v>
      </c>
    </row>
    <row r="3301" spans="1:10" x14ac:dyDescent="0.35">
      <c r="A3301">
        <v>318901</v>
      </c>
      <c r="B3301" t="s">
        <v>20</v>
      </c>
      <c r="C3301">
        <v>2015</v>
      </c>
      <c r="D3301">
        <v>7</v>
      </c>
      <c r="E3301" t="s">
        <v>7</v>
      </c>
      <c r="F3301" t="s">
        <v>7</v>
      </c>
      <c r="G3301" t="s">
        <v>7</v>
      </c>
      <c r="H3301">
        <v>67872.899999999994</v>
      </c>
      <c r="I3301">
        <v>46936.26</v>
      </c>
      <c r="J3301">
        <v>0</v>
      </c>
    </row>
    <row r="3302" spans="1:10" x14ac:dyDescent="0.35">
      <c r="A3302">
        <v>318909</v>
      </c>
      <c r="B3302" t="s">
        <v>20</v>
      </c>
      <c r="C3302">
        <v>2015</v>
      </c>
      <c r="D3302">
        <v>7</v>
      </c>
      <c r="E3302" t="s">
        <v>7</v>
      </c>
      <c r="F3302" t="s">
        <v>7</v>
      </c>
      <c r="G3302" t="s">
        <v>7</v>
      </c>
      <c r="H3302">
        <v>66605.86</v>
      </c>
      <c r="I3302">
        <v>48971.74</v>
      </c>
      <c r="J3302">
        <v>0</v>
      </c>
    </row>
    <row r="3303" spans="1:10" x14ac:dyDescent="0.35">
      <c r="A3303">
        <v>318923</v>
      </c>
      <c r="B3303" t="s">
        <v>20</v>
      </c>
      <c r="C3303">
        <v>2015</v>
      </c>
      <c r="D3303">
        <v>7</v>
      </c>
      <c r="E3303" t="s">
        <v>7</v>
      </c>
      <c r="F3303" t="s">
        <v>7</v>
      </c>
      <c r="G3303" t="s">
        <v>7</v>
      </c>
      <c r="H3303">
        <v>79378.880000000005</v>
      </c>
      <c r="I3303">
        <v>55616.42</v>
      </c>
      <c r="J3303">
        <v>0</v>
      </c>
    </row>
    <row r="3304" spans="1:10" x14ac:dyDescent="0.35">
      <c r="A3304">
        <v>318929</v>
      </c>
      <c r="B3304" t="s">
        <v>20</v>
      </c>
      <c r="C3304">
        <v>2015</v>
      </c>
      <c r="D3304">
        <v>7</v>
      </c>
      <c r="E3304" t="s">
        <v>7</v>
      </c>
      <c r="F3304" t="s">
        <v>7</v>
      </c>
      <c r="G3304" t="s">
        <v>7</v>
      </c>
      <c r="H3304">
        <v>66363.34</v>
      </c>
      <c r="I3304">
        <v>48894.81</v>
      </c>
      <c r="J3304">
        <v>0</v>
      </c>
    </row>
    <row r="3305" spans="1:10" x14ac:dyDescent="0.35">
      <c r="A3305">
        <v>318944</v>
      </c>
      <c r="B3305" t="s">
        <v>20</v>
      </c>
      <c r="C3305">
        <v>2015</v>
      </c>
      <c r="D3305">
        <v>7</v>
      </c>
      <c r="E3305" t="s">
        <v>7</v>
      </c>
      <c r="F3305" t="s">
        <v>7</v>
      </c>
      <c r="G3305" t="s">
        <v>7</v>
      </c>
      <c r="H3305">
        <v>10013.879999999999</v>
      </c>
      <c r="I3305">
        <v>7460.62</v>
      </c>
      <c r="J3305">
        <v>0</v>
      </c>
    </row>
    <row r="3306" spans="1:10" x14ac:dyDescent="0.35">
      <c r="A3306">
        <v>318968</v>
      </c>
      <c r="B3306" t="s">
        <v>20</v>
      </c>
      <c r="C3306">
        <v>2015</v>
      </c>
      <c r="D3306">
        <v>7</v>
      </c>
      <c r="E3306" t="s">
        <v>7</v>
      </c>
      <c r="F3306" t="s">
        <v>7</v>
      </c>
      <c r="G3306" t="s">
        <v>7</v>
      </c>
      <c r="H3306">
        <v>66048.5</v>
      </c>
      <c r="I3306">
        <v>48837.88</v>
      </c>
      <c r="J3306">
        <v>0</v>
      </c>
    </row>
    <row r="3307" spans="1:10" x14ac:dyDescent="0.35">
      <c r="A3307">
        <v>318974</v>
      </c>
      <c r="B3307" t="s">
        <v>20</v>
      </c>
      <c r="C3307">
        <v>2015</v>
      </c>
      <c r="D3307">
        <v>7</v>
      </c>
      <c r="E3307" t="s">
        <v>7</v>
      </c>
      <c r="F3307" t="s">
        <v>7</v>
      </c>
      <c r="G3307" t="s">
        <v>7</v>
      </c>
      <c r="H3307">
        <v>67410.06</v>
      </c>
      <c r="I3307">
        <v>46970.96</v>
      </c>
      <c r="J3307">
        <v>0</v>
      </c>
    </row>
    <row r="3308" spans="1:10" x14ac:dyDescent="0.35">
      <c r="A3308">
        <v>318984</v>
      </c>
      <c r="B3308" t="s">
        <v>20</v>
      </c>
      <c r="C3308">
        <v>2015</v>
      </c>
      <c r="D3308">
        <v>7</v>
      </c>
      <c r="E3308" t="s">
        <v>7</v>
      </c>
      <c r="F3308" t="s">
        <v>7</v>
      </c>
      <c r="G3308" t="s">
        <v>7</v>
      </c>
      <c r="H3308">
        <v>64642.9</v>
      </c>
      <c r="I3308">
        <v>49261.67</v>
      </c>
      <c r="J3308">
        <v>0</v>
      </c>
    </row>
    <row r="3309" spans="1:10" x14ac:dyDescent="0.35">
      <c r="A3309">
        <v>318991</v>
      </c>
      <c r="B3309" t="s">
        <v>20</v>
      </c>
      <c r="C3309">
        <v>2015</v>
      </c>
      <c r="D3309">
        <v>7</v>
      </c>
      <c r="E3309" t="s">
        <v>7</v>
      </c>
      <c r="F3309" t="s">
        <v>7</v>
      </c>
      <c r="G3309" t="s">
        <v>7</v>
      </c>
      <c r="H3309">
        <v>61208.9</v>
      </c>
      <c r="I3309">
        <v>44437.61</v>
      </c>
      <c r="J3309">
        <v>0</v>
      </c>
    </row>
    <row r="3310" spans="1:10" x14ac:dyDescent="0.35">
      <c r="A3310">
        <v>318998</v>
      </c>
      <c r="B3310" t="s">
        <v>20</v>
      </c>
      <c r="C3310">
        <v>2015</v>
      </c>
      <c r="D3310">
        <v>7</v>
      </c>
      <c r="E3310" t="s">
        <v>7</v>
      </c>
      <c r="F3310" t="s">
        <v>7</v>
      </c>
      <c r="G3310" t="s">
        <v>7</v>
      </c>
      <c r="H3310">
        <v>71936.039999999994</v>
      </c>
      <c r="I3310">
        <v>53853.72</v>
      </c>
      <c r="J3310">
        <v>0</v>
      </c>
    </row>
    <row r="3311" spans="1:10" x14ac:dyDescent="0.35">
      <c r="A3311">
        <v>319004</v>
      </c>
      <c r="B3311" t="s">
        <v>20</v>
      </c>
      <c r="C3311">
        <v>2015</v>
      </c>
      <c r="D3311">
        <v>7</v>
      </c>
      <c r="E3311" t="s">
        <v>7</v>
      </c>
      <c r="F3311" t="s">
        <v>7</v>
      </c>
      <c r="G3311" t="s">
        <v>7</v>
      </c>
      <c r="H3311">
        <v>46194.96</v>
      </c>
      <c r="I3311">
        <v>19596</v>
      </c>
      <c r="J3311">
        <v>0</v>
      </c>
    </row>
    <row r="3312" spans="1:10" x14ac:dyDescent="0.35">
      <c r="A3312">
        <v>319045</v>
      </c>
      <c r="B3312" t="s">
        <v>20</v>
      </c>
      <c r="C3312">
        <v>2015</v>
      </c>
      <c r="D3312">
        <v>7</v>
      </c>
      <c r="E3312" t="s">
        <v>7</v>
      </c>
      <c r="F3312" t="s">
        <v>7</v>
      </c>
      <c r="G3312" t="s">
        <v>7</v>
      </c>
      <c r="H3312">
        <v>66624.12</v>
      </c>
      <c r="I3312">
        <v>46809.18</v>
      </c>
      <c r="J3312">
        <v>0</v>
      </c>
    </row>
    <row r="3313" spans="1:10" x14ac:dyDescent="0.35">
      <c r="A3313">
        <v>319051</v>
      </c>
      <c r="B3313" t="s">
        <v>20</v>
      </c>
      <c r="C3313">
        <v>2015</v>
      </c>
      <c r="D3313">
        <v>7</v>
      </c>
      <c r="E3313" t="s">
        <v>7</v>
      </c>
      <c r="F3313" t="s">
        <v>7</v>
      </c>
      <c r="G3313" t="s">
        <v>7</v>
      </c>
      <c r="H3313">
        <v>73743.679999999993</v>
      </c>
      <c r="I3313">
        <v>55529.03</v>
      </c>
      <c r="J3313">
        <v>0</v>
      </c>
    </row>
    <row r="3314" spans="1:10" x14ac:dyDescent="0.35">
      <c r="A3314">
        <v>319057</v>
      </c>
      <c r="B3314" t="s">
        <v>20</v>
      </c>
      <c r="C3314">
        <v>2015</v>
      </c>
      <c r="D3314">
        <v>7</v>
      </c>
      <c r="E3314" t="s">
        <v>7</v>
      </c>
      <c r="F3314" t="s">
        <v>7</v>
      </c>
      <c r="G3314" t="s">
        <v>7</v>
      </c>
      <c r="H3314">
        <v>66248.12</v>
      </c>
      <c r="I3314">
        <v>48906.34</v>
      </c>
      <c r="J3314">
        <v>0</v>
      </c>
    </row>
    <row r="3315" spans="1:10" x14ac:dyDescent="0.35">
      <c r="A3315">
        <v>319065</v>
      </c>
      <c r="B3315" t="s">
        <v>20</v>
      </c>
      <c r="C3315">
        <v>2015</v>
      </c>
      <c r="D3315">
        <v>7</v>
      </c>
      <c r="E3315" t="s">
        <v>7</v>
      </c>
      <c r="F3315" t="s">
        <v>7</v>
      </c>
      <c r="G3315" t="s">
        <v>7</v>
      </c>
      <c r="H3315">
        <v>76503.399999999994</v>
      </c>
      <c r="I3315">
        <v>48982.48</v>
      </c>
      <c r="J3315">
        <v>0</v>
      </c>
    </row>
    <row r="3316" spans="1:10" x14ac:dyDescent="0.35">
      <c r="A3316">
        <v>319075</v>
      </c>
      <c r="B3316" t="s">
        <v>20</v>
      </c>
      <c r="C3316">
        <v>2015</v>
      </c>
      <c r="D3316">
        <v>7</v>
      </c>
      <c r="E3316" t="s">
        <v>7</v>
      </c>
      <c r="F3316" t="s">
        <v>7</v>
      </c>
      <c r="G3316" t="s">
        <v>7</v>
      </c>
      <c r="H3316">
        <v>31971.27</v>
      </c>
      <c r="I3316">
        <v>12196.74</v>
      </c>
      <c r="J3316">
        <v>0</v>
      </c>
    </row>
    <row r="3317" spans="1:10" x14ac:dyDescent="0.35">
      <c r="A3317">
        <v>319086</v>
      </c>
      <c r="B3317" t="s">
        <v>20</v>
      </c>
      <c r="C3317">
        <v>2015</v>
      </c>
      <c r="D3317">
        <v>7</v>
      </c>
      <c r="E3317" t="s">
        <v>7</v>
      </c>
      <c r="F3317" t="s">
        <v>7</v>
      </c>
      <c r="G3317" t="s">
        <v>7</v>
      </c>
      <c r="H3317">
        <v>81841.88</v>
      </c>
      <c r="I3317">
        <v>59694.12</v>
      </c>
      <c r="J3317">
        <v>0</v>
      </c>
    </row>
    <row r="3318" spans="1:10" x14ac:dyDescent="0.35">
      <c r="A3318">
        <v>319096</v>
      </c>
      <c r="B3318" t="s">
        <v>20</v>
      </c>
      <c r="C3318">
        <v>2015</v>
      </c>
      <c r="D3318">
        <v>7</v>
      </c>
      <c r="E3318" t="s">
        <v>7</v>
      </c>
      <c r="F3318" t="s">
        <v>7</v>
      </c>
      <c r="G3318" t="s">
        <v>7</v>
      </c>
      <c r="H3318">
        <v>60481.68</v>
      </c>
      <c r="I3318">
        <v>50384.36</v>
      </c>
      <c r="J3318">
        <v>0</v>
      </c>
    </row>
    <row r="3319" spans="1:10" x14ac:dyDescent="0.35">
      <c r="A3319">
        <v>319099</v>
      </c>
      <c r="B3319" t="s">
        <v>20</v>
      </c>
      <c r="C3319">
        <v>2015</v>
      </c>
      <c r="D3319">
        <v>7</v>
      </c>
      <c r="E3319" t="s">
        <v>7</v>
      </c>
      <c r="F3319" t="s">
        <v>7</v>
      </c>
      <c r="G3319" t="s">
        <v>7</v>
      </c>
      <c r="H3319">
        <v>76451.679999999993</v>
      </c>
      <c r="I3319">
        <v>56352.33</v>
      </c>
      <c r="J3319">
        <v>0</v>
      </c>
    </row>
    <row r="3320" spans="1:10" x14ac:dyDescent="0.35">
      <c r="A3320">
        <v>319102</v>
      </c>
      <c r="B3320" t="s">
        <v>20</v>
      </c>
      <c r="C3320">
        <v>2015</v>
      </c>
      <c r="D3320">
        <v>7</v>
      </c>
      <c r="E3320" t="s">
        <v>7</v>
      </c>
      <c r="F3320" t="s">
        <v>7</v>
      </c>
      <c r="G3320" t="s">
        <v>7</v>
      </c>
      <c r="H3320">
        <v>193816.26</v>
      </c>
      <c r="I3320">
        <v>178744.78</v>
      </c>
      <c r="J3320">
        <v>0</v>
      </c>
    </row>
    <row r="3321" spans="1:10" x14ac:dyDescent="0.35">
      <c r="A3321">
        <v>319106</v>
      </c>
      <c r="B3321" t="s">
        <v>20</v>
      </c>
      <c r="C3321">
        <v>2015</v>
      </c>
      <c r="D3321">
        <v>7</v>
      </c>
      <c r="E3321" t="s">
        <v>7</v>
      </c>
      <c r="F3321" t="s">
        <v>7</v>
      </c>
      <c r="G3321" t="s">
        <v>7</v>
      </c>
      <c r="H3321">
        <v>65641.14</v>
      </c>
      <c r="I3321">
        <v>48721.65</v>
      </c>
      <c r="J3321">
        <v>0</v>
      </c>
    </row>
    <row r="3322" spans="1:10" x14ac:dyDescent="0.35">
      <c r="A3322">
        <v>319134</v>
      </c>
      <c r="B3322" t="s">
        <v>20</v>
      </c>
      <c r="C3322">
        <v>2015</v>
      </c>
      <c r="D3322">
        <v>7</v>
      </c>
      <c r="E3322" t="s">
        <v>7</v>
      </c>
      <c r="F3322" t="s">
        <v>7</v>
      </c>
      <c r="G3322" t="s">
        <v>7</v>
      </c>
      <c r="H3322">
        <v>64459.54</v>
      </c>
      <c r="I3322">
        <v>45036.95</v>
      </c>
      <c r="J3322">
        <v>0</v>
      </c>
    </row>
    <row r="3323" spans="1:10" x14ac:dyDescent="0.35">
      <c r="A3323">
        <v>319142</v>
      </c>
      <c r="B3323" t="s">
        <v>20</v>
      </c>
      <c r="C3323">
        <v>2015</v>
      </c>
      <c r="D3323">
        <v>7</v>
      </c>
      <c r="E3323" t="s">
        <v>7</v>
      </c>
      <c r="F3323" t="s">
        <v>7</v>
      </c>
      <c r="G3323" t="s">
        <v>7</v>
      </c>
      <c r="H3323">
        <v>149768.13</v>
      </c>
      <c r="I3323">
        <v>131577.47</v>
      </c>
      <c r="J3323">
        <v>0</v>
      </c>
    </row>
    <row r="3324" spans="1:10" x14ac:dyDescent="0.35">
      <c r="A3324">
        <v>319146</v>
      </c>
      <c r="B3324" t="s">
        <v>20</v>
      </c>
      <c r="C3324">
        <v>2015</v>
      </c>
      <c r="D3324">
        <v>7</v>
      </c>
      <c r="E3324" t="s">
        <v>7</v>
      </c>
      <c r="F3324" t="s">
        <v>7</v>
      </c>
      <c r="G3324" t="s">
        <v>7</v>
      </c>
      <c r="H3324">
        <v>74097.66</v>
      </c>
      <c r="I3324">
        <v>55691.96</v>
      </c>
      <c r="J3324">
        <v>0</v>
      </c>
    </row>
    <row r="3325" spans="1:10" x14ac:dyDescent="0.35">
      <c r="A3325">
        <v>319150</v>
      </c>
      <c r="B3325" t="s">
        <v>20</v>
      </c>
      <c r="C3325">
        <v>2015</v>
      </c>
      <c r="D3325">
        <v>7</v>
      </c>
      <c r="E3325" t="s">
        <v>7</v>
      </c>
      <c r="F3325" t="s">
        <v>7</v>
      </c>
      <c r="G3325" t="s">
        <v>7</v>
      </c>
      <c r="H3325">
        <v>73823.179999999993</v>
      </c>
      <c r="I3325">
        <v>54249.24</v>
      </c>
      <c r="J3325">
        <v>0</v>
      </c>
    </row>
    <row r="3326" spans="1:10" x14ac:dyDescent="0.35">
      <c r="A3326">
        <v>319156</v>
      </c>
      <c r="B3326" t="s">
        <v>20</v>
      </c>
      <c r="C3326">
        <v>2015</v>
      </c>
      <c r="D3326">
        <v>7</v>
      </c>
      <c r="E3326" t="s">
        <v>7</v>
      </c>
      <c r="F3326" t="s">
        <v>7</v>
      </c>
      <c r="G3326" t="s">
        <v>7</v>
      </c>
      <c r="H3326">
        <v>126323.02</v>
      </c>
      <c r="I3326">
        <v>108197.8</v>
      </c>
      <c r="J3326">
        <v>0</v>
      </c>
    </row>
    <row r="3327" spans="1:10" x14ac:dyDescent="0.35">
      <c r="A3327">
        <v>319163</v>
      </c>
      <c r="B3327" t="s">
        <v>20</v>
      </c>
      <c r="C3327">
        <v>2015</v>
      </c>
      <c r="D3327">
        <v>7</v>
      </c>
      <c r="E3327" t="s">
        <v>7</v>
      </c>
      <c r="F3327" t="s">
        <v>7</v>
      </c>
      <c r="G3327" t="s">
        <v>7</v>
      </c>
      <c r="H3327">
        <v>27154.22</v>
      </c>
      <c r="I3327">
        <v>8808.2999999999993</v>
      </c>
      <c r="J3327">
        <v>0</v>
      </c>
    </row>
    <row r="3328" spans="1:10" x14ac:dyDescent="0.35">
      <c r="A3328">
        <v>319166</v>
      </c>
      <c r="B3328" t="s">
        <v>20</v>
      </c>
      <c r="C3328">
        <v>2015</v>
      </c>
      <c r="D3328">
        <v>7</v>
      </c>
      <c r="E3328" t="s">
        <v>7</v>
      </c>
      <c r="F3328" t="s">
        <v>7</v>
      </c>
      <c r="G3328" t="s">
        <v>7</v>
      </c>
      <c r="H3328">
        <v>25895.26</v>
      </c>
      <c r="I3328">
        <v>9619.11</v>
      </c>
      <c r="J3328">
        <v>0</v>
      </c>
    </row>
    <row r="3329" spans="1:10" x14ac:dyDescent="0.35">
      <c r="A3329">
        <v>319178</v>
      </c>
      <c r="B3329" t="s">
        <v>20</v>
      </c>
      <c r="C3329">
        <v>2015</v>
      </c>
      <c r="D3329">
        <v>7</v>
      </c>
      <c r="E3329" t="s">
        <v>7</v>
      </c>
      <c r="F3329" t="s">
        <v>7</v>
      </c>
      <c r="G3329" t="s">
        <v>7</v>
      </c>
      <c r="H3329">
        <v>139856.5</v>
      </c>
      <c r="I3329">
        <v>121649.66</v>
      </c>
      <c r="J3329">
        <v>0</v>
      </c>
    </row>
    <row r="3330" spans="1:10" x14ac:dyDescent="0.35">
      <c r="A3330">
        <v>319182</v>
      </c>
      <c r="B3330" t="s">
        <v>20</v>
      </c>
      <c r="C3330">
        <v>2015</v>
      </c>
      <c r="D3330">
        <v>7</v>
      </c>
      <c r="E3330" t="s">
        <v>7</v>
      </c>
      <c r="F3330" t="s">
        <v>7</v>
      </c>
      <c r="G3330" t="s">
        <v>7</v>
      </c>
      <c r="H3330">
        <v>64538.14</v>
      </c>
      <c r="I3330">
        <v>51713.74</v>
      </c>
      <c r="J3330">
        <v>0</v>
      </c>
    </row>
    <row r="3331" spans="1:10" x14ac:dyDescent="0.35">
      <c r="A3331">
        <v>319193</v>
      </c>
      <c r="B3331" t="s">
        <v>20</v>
      </c>
      <c r="C3331">
        <v>2015</v>
      </c>
      <c r="D3331">
        <v>7</v>
      </c>
      <c r="E3331" t="s">
        <v>7</v>
      </c>
      <c r="F3331" t="s">
        <v>7</v>
      </c>
      <c r="G3331" t="s">
        <v>7</v>
      </c>
      <c r="H3331">
        <v>137091.9</v>
      </c>
      <c r="I3331">
        <v>83183.850000000006</v>
      </c>
      <c r="J3331">
        <v>0</v>
      </c>
    </row>
    <row r="3332" spans="1:10" x14ac:dyDescent="0.35">
      <c r="A3332">
        <v>319197</v>
      </c>
      <c r="B3332" t="s">
        <v>20</v>
      </c>
      <c r="C3332">
        <v>2015</v>
      </c>
      <c r="D3332">
        <v>7</v>
      </c>
      <c r="E3332" t="s">
        <v>7</v>
      </c>
      <c r="F3332" t="s">
        <v>7</v>
      </c>
      <c r="G3332" t="s">
        <v>7</v>
      </c>
      <c r="H3332">
        <v>61480.38</v>
      </c>
      <c r="I3332">
        <v>44202.09</v>
      </c>
      <c r="J3332">
        <v>0</v>
      </c>
    </row>
    <row r="3333" spans="1:10" x14ac:dyDescent="0.35">
      <c r="A3333">
        <v>319201</v>
      </c>
      <c r="B3333" t="s">
        <v>20</v>
      </c>
      <c r="C3333">
        <v>2015</v>
      </c>
      <c r="D3333">
        <v>7</v>
      </c>
      <c r="E3333" t="s">
        <v>7</v>
      </c>
      <c r="F3333" t="s">
        <v>7</v>
      </c>
      <c r="G3333" t="s">
        <v>7</v>
      </c>
      <c r="H3333">
        <v>58759.62</v>
      </c>
      <c r="I3333">
        <v>43933.67</v>
      </c>
      <c r="J3333">
        <v>0</v>
      </c>
    </row>
    <row r="3334" spans="1:10" x14ac:dyDescent="0.35">
      <c r="A3334">
        <v>319203</v>
      </c>
      <c r="B3334" t="s">
        <v>20</v>
      </c>
      <c r="C3334">
        <v>2015</v>
      </c>
      <c r="D3334">
        <v>7</v>
      </c>
      <c r="E3334" t="s">
        <v>7</v>
      </c>
      <c r="F3334" t="s">
        <v>7</v>
      </c>
      <c r="G3334" t="s">
        <v>7</v>
      </c>
      <c r="H3334">
        <v>74810.98</v>
      </c>
      <c r="I3334">
        <v>53896.99</v>
      </c>
      <c r="J3334">
        <v>0</v>
      </c>
    </row>
    <row r="3335" spans="1:10" x14ac:dyDescent="0.35">
      <c r="A3335">
        <v>319207</v>
      </c>
      <c r="B3335" t="s">
        <v>20</v>
      </c>
      <c r="C3335">
        <v>2015</v>
      </c>
      <c r="D3335">
        <v>7</v>
      </c>
      <c r="E3335" t="s">
        <v>7</v>
      </c>
      <c r="F3335" t="s">
        <v>7</v>
      </c>
      <c r="G3335" t="s">
        <v>7</v>
      </c>
      <c r="H3335">
        <v>141081.51999999999</v>
      </c>
      <c r="I3335">
        <v>125302.51</v>
      </c>
      <c r="J3335">
        <v>0</v>
      </c>
    </row>
    <row r="3336" spans="1:10" x14ac:dyDescent="0.35">
      <c r="A3336">
        <v>319209</v>
      </c>
      <c r="B3336" t="s">
        <v>20</v>
      </c>
      <c r="C3336">
        <v>2015</v>
      </c>
      <c r="D3336">
        <v>7</v>
      </c>
      <c r="E3336" t="s">
        <v>7</v>
      </c>
      <c r="F3336" t="s">
        <v>7</v>
      </c>
      <c r="G3336" t="s">
        <v>7</v>
      </c>
      <c r="H3336">
        <v>70928.72</v>
      </c>
      <c r="I3336">
        <v>52423.08</v>
      </c>
      <c r="J3336">
        <v>0</v>
      </c>
    </row>
    <row r="3337" spans="1:10" x14ac:dyDescent="0.35">
      <c r="A3337">
        <v>319214</v>
      </c>
      <c r="B3337" t="s">
        <v>20</v>
      </c>
      <c r="C3337">
        <v>2015</v>
      </c>
      <c r="D3337">
        <v>7</v>
      </c>
      <c r="E3337" t="s">
        <v>7</v>
      </c>
      <c r="F3337" t="s">
        <v>7</v>
      </c>
      <c r="G3337" t="s">
        <v>7</v>
      </c>
      <c r="H3337">
        <v>63754.52</v>
      </c>
      <c r="I3337">
        <v>46033.15</v>
      </c>
      <c r="J3337">
        <v>0</v>
      </c>
    </row>
    <row r="3338" spans="1:10" x14ac:dyDescent="0.35">
      <c r="A3338">
        <v>319220</v>
      </c>
      <c r="B3338" t="s">
        <v>20</v>
      </c>
      <c r="C3338">
        <v>2015</v>
      </c>
      <c r="D3338">
        <v>7</v>
      </c>
      <c r="E3338" t="s">
        <v>7</v>
      </c>
      <c r="F3338" t="s">
        <v>7</v>
      </c>
      <c r="G3338" t="s">
        <v>7</v>
      </c>
      <c r="H3338">
        <v>65898.559999999998</v>
      </c>
      <c r="I3338">
        <v>48786.080000000002</v>
      </c>
      <c r="J3338">
        <v>0</v>
      </c>
    </row>
    <row r="3339" spans="1:10" x14ac:dyDescent="0.35">
      <c r="A3339">
        <v>319236</v>
      </c>
      <c r="B3339" t="s">
        <v>20</v>
      </c>
      <c r="C3339">
        <v>2015</v>
      </c>
      <c r="D3339">
        <v>7</v>
      </c>
      <c r="E3339" t="s">
        <v>7</v>
      </c>
      <c r="F3339" t="s">
        <v>7</v>
      </c>
      <c r="G3339" t="s">
        <v>7</v>
      </c>
      <c r="H3339">
        <v>14672.8</v>
      </c>
      <c r="I3339">
        <v>4558.04</v>
      </c>
      <c r="J3339">
        <v>0</v>
      </c>
    </row>
    <row r="3340" spans="1:10" x14ac:dyDescent="0.35">
      <c r="A3340">
        <v>319237</v>
      </c>
      <c r="B3340" t="s">
        <v>20</v>
      </c>
      <c r="C3340">
        <v>2015</v>
      </c>
      <c r="D3340">
        <v>7</v>
      </c>
      <c r="E3340" t="s">
        <v>7</v>
      </c>
      <c r="F3340" t="s">
        <v>7</v>
      </c>
      <c r="G3340" t="s">
        <v>7</v>
      </c>
      <c r="H3340">
        <v>38462.400000000001</v>
      </c>
      <c r="I3340">
        <v>11314.38</v>
      </c>
      <c r="J3340">
        <v>0</v>
      </c>
    </row>
    <row r="3341" spans="1:10" x14ac:dyDescent="0.35">
      <c r="A3341">
        <v>319244</v>
      </c>
      <c r="B3341" t="s">
        <v>20</v>
      </c>
      <c r="C3341">
        <v>2015</v>
      </c>
      <c r="D3341">
        <v>7</v>
      </c>
      <c r="E3341" t="s">
        <v>7</v>
      </c>
      <c r="F3341" t="s">
        <v>7</v>
      </c>
      <c r="G3341" t="s">
        <v>7</v>
      </c>
      <c r="H3341">
        <v>63954.76</v>
      </c>
      <c r="I3341">
        <v>39547.99</v>
      </c>
      <c r="J3341">
        <v>0</v>
      </c>
    </row>
    <row r="3342" spans="1:10" x14ac:dyDescent="0.35">
      <c r="A3342">
        <v>319247</v>
      </c>
      <c r="B3342" t="s">
        <v>20</v>
      </c>
      <c r="C3342">
        <v>2015</v>
      </c>
      <c r="D3342">
        <v>7</v>
      </c>
      <c r="E3342" t="s">
        <v>7</v>
      </c>
      <c r="F3342" t="s">
        <v>7</v>
      </c>
      <c r="G3342" t="s">
        <v>7</v>
      </c>
      <c r="H3342">
        <v>56969.93</v>
      </c>
      <c r="I3342">
        <v>24691.94</v>
      </c>
      <c r="J3342">
        <v>0</v>
      </c>
    </row>
    <row r="3343" spans="1:10" x14ac:dyDescent="0.35">
      <c r="A3343">
        <v>319259</v>
      </c>
      <c r="B3343" t="s">
        <v>20</v>
      </c>
      <c r="C3343">
        <v>2015</v>
      </c>
      <c r="D3343">
        <v>7</v>
      </c>
      <c r="E3343" t="s">
        <v>7</v>
      </c>
      <c r="F3343" t="s">
        <v>7</v>
      </c>
      <c r="G3343" t="s">
        <v>7</v>
      </c>
      <c r="H3343">
        <v>73271.539999999994</v>
      </c>
      <c r="I3343">
        <v>55451.72</v>
      </c>
      <c r="J3343">
        <v>0</v>
      </c>
    </row>
    <row r="3344" spans="1:10" x14ac:dyDescent="0.35">
      <c r="A3344">
        <v>319266</v>
      </c>
      <c r="B3344" t="s">
        <v>20</v>
      </c>
      <c r="C3344">
        <v>2015</v>
      </c>
      <c r="D3344">
        <v>7</v>
      </c>
      <c r="E3344" t="s">
        <v>7</v>
      </c>
      <c r="F3344" t="s">
        <v>7</v>
      </c>
      <c r="G3344" t="s">
        <v>7</v>
      </c>
      <c r="H3344">
        <v>66892.479999999996</v>
      </c>
      <c r="I3344">
        <v>49076.36</v>
      </c>
      <c r="J3344">
        <v>0</v>
      </c>
    </row>
    <row r="3345" spans="1:10" x14ac:dyDescent="0.35">
      <c r="A3345">
        <v>319276</v>
      </c>
      <c r="B3345" t="s">
        <v>20</v>
      </c>
      <c r="C3345">
        <v>2015</v>
      </c>
      <c r="D3345">
        <v>7</v>
      </c>
      <c r="E3345" t="s">
        <v>7</v>
      </c>
      <c r="F3345" t="s">
        <v>7</v>
      </c>
      <c r="G3345" t="s">
        <v>7</v>
      </c>
      <c r="H3345">
        <v>73991.679999999993</v>
      </c>
      <c r="I3345">
        <v>55667.31</v>
      </c>
      <c r="J3345">
        <v>0</v>
      </c>
    </row>
    <row r="3346" spans="1:10" x14ac:dyDescent="0.35">
      <c r="A3346">
        <v>319288</v>
      </c>
      <c r="B3346" t="s">
        <v>20</v>
      </c>
      <c r="C3346">
        <v>2015</v>
      </c>
      <c r="D3346">
        <v>7</v>
      </c>
      <c r="E3346" t="s">
        <v>7</v>
      </c>
      <c r="F3346" t="s">
        <v>7</v>
      </c>
      <c r="G3346" t="s">
        <v>7</v>
      </c>
      <c r="H3346">
        <v>53519.82</v>
      </c>
      <c r="I3346">
        <v>41787.800000000003</v>
      </c>
      <c r="J3346">
        <v>0</v>
      </c>
    </row>
    <row r="3347" spans="1:10" x14ac:dyDescent="0.35">
      <c r="A3347">
        <v>319297</v>
      </c>
      <c r="B3347" t="s">
        <v>20</v>
      </c>
      <c r="C3347">
        <v>2015</v>
      </c>
      <c r="D3347">
        <v>7</v>
      </c>
      <c r="E3347" t="s">
        <v>7</v>
      </c>
      <c r="F3347" t="s">
        <v>7</v>
      </c>
      <c r="G3347" t="s">
        <v>7</v>
      </c>
      <c r="H3347">
        <v>33556.080000000002</v>
      </c>
      <c r="I3347">
        <v>14729.33</v>
      </c>
      <c r="J3347">
        <v>0</v>
      </c>
    </row>
    <row r="3348" spans="1:10" x14ac:dyDescent="0.35">
      <c r="A3348">
        <v>319302</v>
      </c>
      <c r="B3348" t="s">
        <v>20</v>
      </c>
      <c r="C3348">
        <v>2015</v>
      </c>
      <c r="D3348">
        <v>7</v>
      </c>
      <c r="E3348" t="s">
        <v>7</v>
      </c>
      <c r="F3348" t="s">
        <v>7</v>
      </c>
      <c r="G3348" t="s">
        <v>7</v>
      </c>
      <c r="H3348">
        <v>74540.56</v>
      </c>
      <c r="I3348">
        <v>57232.37</v>
      </c>
      <c r="J3348">
        <v>0</v>
      </c>
    </row>
    <row r="3349" spans="1:10" x14ac:dyDescent="0.35">
      <c r="A3349">
        <v>319306</v>
      </c>
      <c r="B3349" t="s">
        <v>20</v>
      </c>
      <c r="C3349">
        <v>2015</v>
      </c>
      <c r="D3349">
        <v>7</v>
      </c>
      <c r="E3349" t="s">
        <v>7</v>
      </c>
      <c r="F3349" t="s">
        <v>7</v>
      </c>
      <c r="G3349" t="s">
        <v>7</v>
      </c>
      <c r="H3349">
        <v>83218.28</v>
      </c>
      <c r="I3349">
        <v>37030.86</v>
      </c>
      <c r="J3349">
        <v>0</v>
      </c>
    </row>
    <row r="3350" spans="1:10" x14ac:dyDescent="0.35">
      <c r="A3350">
        <v>319309</v>
      </c>
      <c r="B3350" t="s">
        <v>20</v>
      </c>
      <c r="C3350">
        <v>2015</v>
      </c>
      <c r="D3350">
        <v>7</v>
      </c>
      <c r="E3350" t="s">
        <v>7</v>
      </c>
      <c r="F3350" t="s">
        <v>7</v>
      </c>
      <c r="G3350" t="s">
        <v>7</v>
      </c>
      <c r="H3350">
        <v>71263.16</v>
      </c>
      <c r="I3350">
        <v>47598.22</v>
      </c>
      <c r="J3350">
        <v>0</v>
      </c>
    </row>
    <row r="3351" spans="1:10" x14ac:dyDescent="0.35">
      <c r="A3351">
        <v>319312</v>
      </c>
      <c r="B3351" t="s">
        <v>20</v>
      </c>
      <c r="C3351">
        <v>2015</v>
      </c>
      <c r="D3351">
        <v>7</v>
      </c>
      <c r="E3351" t="s">
        <v>7</v>
      </c>
      <c r="F3351" t="s">
        <v>7</v>
      </c>
      <c r="G3351" t="s">
        <v>7</v>
      </c>
      <c r="H3351">
        <v>69843.259999999995</v>
      </c>
      <c r="I3351">
        <v>51157.55</v>
      </c>
      <c r="J3351">
        <v>0</v>
      </c>
    </row>
    <row r="3352" spans="1:10" x14ac:dyDescent="0.35">
      <c r="A3352">
        <v>319315</v>
      </c>
      <c r="B3352" t="s">
        <v>20</v>
      </c>
      <c r="C3352">
        <v>2015</v>
      </c>
      <c r="D3352">
        <v>7</v>
      </c>
      <c r="E3352" t="s">
        <v>7</v>
      </c>
      <c r="F3352" t="s">
        <v>7</v>
      </c>
      <c r="G3352" t="s">
        <v>7</v>
      </c>
      <c r="H3352">
        <v>56054.26</v>
      </c>
      <c r="I3352">
        <v>36891.72</v>
      </c>
      <c r="J3352">
        <v>0</v>
      </c>
    </row>
    <row r="3353" spans="1:10" x14ac:dyDescent="0.35">
      <c r="A3353">
        <v>319325</v>
      </c>
      <c r="B3353" t="s">
        <v>20</v>
      </c>
      <c r="C3353">
        <v>2015</v>
      </c>
      <c r="D3353">
        <v>7</v>
      </c>
      <c r="E3353" t="s">
        <v>7</v>
      </c>
      <c r="F3353" t="s">
        <v>7</v>
      </c>
      <c r="G3353" t="s">
        <v>7</v>
      </c>
      <c r="H3353">
        <v>67588.98</v>
      </c>
      <c r="I3353">
        <v>49196.95</v>
      </c>
      <c r="J3353">
        <v>0</v>
      </c>
    </row>
    <row r="3354" spans="1:10" x14ac:dyDescent="0.35">
      <c r="A3354">
        <v>319326</v>
      </c>
      <c r="B3354" t="s">
        <v>20</v>
      </c>
      <c r="C3354">
        <v>2015</v>
      </c>
      <c r="D3354">
        <v>7</v>
      </c>
      <c r="E3354" t="s">
        <v>7</v>
      </c>
      <c r="F3354" t="s">
        <v>7</v>
      </c>
      <c r="G3354" t="s">
        <v>7</v>
      </c>
      <c r="H3354">
        <v>51786.76</v>
      </c>
      <c r="I3354">
        <v>22249.63</v>
      </c>
      <c r="J3354">
        <v>0</v>
      </c>
    </row>
    <row r="3355" spans="1:10" x14ac:dyDescent="0.35">
      <c r="A3355">
        <v>319328</v>
      </c>
      <c r="B3355" t="s">
        <v>20</v>
      </c>
      <c r="C3355">
        <v>2015</v>
      </c>
      <c r="D3355">
        <v>7</v>
      </c>
      <c r="E3355" t="s">
        <v>7</v>
      </c>
      <c r="F3355" t="s">
        <v>7</v>
      </c>
      <c r="G3355" t="s">
        <v>7</v>
      </c>
      <c r="H3355">
        <v>77651.240000000005</v>
      </c>
      <c r="I3355">
        <v>59180.74</v>
      </c>
      <c r="J3355">
        <v>0</v>
      </c>
    </row>
    <row r="3356" spans="1:10" x14ac:dyDescent="0.35">
      <c r="A3356">
        <v>319336</v>
      </c>
      <c r="B3356" t="s">
        <v>20</v>
      </c>
      <c r="C3356">
        <v>2015</v>
      </c>
      <c r="D3356">
        <v>7</v>
      </c>
      <c r="E3356" t="s">
        <v>7</v>
      </c>
      <c r="F3356" t="s">
        <v>7</v>
      </c>
      <c r="G3356" t="s">
        <v>7</v>
      </c>
      <c r="H3356">
        <v>73346.5</v>
      </c>
      <c r="I3356">
        <v>55399.519999999997</v>
      </c>
      <c r="J3356">
        <v>0</v>
      </c>
    </row>
    <row r="3357" spans="1:10" x14ac:dyDescent="0.35">
      <c r="A3357">
        <v>319340</v>
      </c>
      <c r="B3357" t="s">
        <v>20</v>
      </c>
      <c r="C3357">
        <v>2015</v>
      </c>
      <c r="D3357">
        <v>7</v>
      </c>
      <c r="E3357" t="s">
        <v>7</v>
      </c>
      <c r="F3357" t="s">
        <v>7</v>
      </c>
      <c r="G3357" t="s">
        <v>7</v>
      </c>
      <c r="H3357">
        <v>33158.26</v>
      </c>
      <c r="I3357">
        <v>14487.08</v>
      </c>
      <c r="J3357">
        <v>0</v>
      </c>
    </row>
    <row r="3358" spans="1:10" x14ac:dyDescent="0.35">
      <c r="A3358">
        <v>319342</v>
      </c>
      <c r="B3358" t="s">
        <v>20</v>
      </c>
      <c r="C3358">
        <v>2015</v>
      </c>
      <c r="D3358">
        <v>7</v>
      </c>
      <c r="E3358" t="s">
        <v>7</v>
      </c>
      <c r="F3358" t="s">
        <v>7</v>
      </c>
      <c r="G3358" t="s">
        <v>7</v>
      </c>
      <c r="H3358">
        <v>72533.440000000002</v>
      </c>
      <c r="I3358">
        <v>55705.89</v>
      </c>
      <c r="J3358">
        <v>0</v>
      </c>
    </row>
    <row r="3359" spans="1:10" x14ac:dyDescent="0.35">
      <c r="A3359">
        <v>319355</v>
      </c>
      <c r="B3359" t="s">
        <v>20</v>
      </c>
      <c r="C3359">
        <v>2015</v>
      </c>
      <c r="D3359">
        <v>7</v>
      </c>
      <c r="E3359" t="s">
        <v>7</v>
      </c>
      <c r="F3359" t="s">
        <v>7</v>
      </c>
      <c r="G3359" t="s">
        <v>7</v>
      </c>
      <c r="H3359">
        <v>67084.02</v>
      </c>
      <c r="I3359">
        <v>48857.16</v>
      </c>
      <c r="J3359">
        <v>0</v>
      </c>
    </row>
    <row r="3360" spans="1:10" x14ac:dyDescent="0.35">
      <c r="A3360">
        <v>319370</v>
      </c>
      <c r="B3360" t="s">
        <v>20</v>
      </c>
      <c r="C3360">
        <v>2015</v>
      </c>
      <c r="D3360">
        <v>7</v>
      </c>
      <c r="E3360" t="s">
        <v>7</v>
      </c>
      <c r="F3360" t="s">
        <v>7</v>
      </c>
      <c r="G3360" t="s">
        <v>7</v>
      </c>
      <c r="H3360">
        <v>75055.06</v>
      </c>
      <c r="I3360">
        <v>56537.38</v>
      </c>
      <c r="J3360">
        <v>0</v>
      </c>
    </row>
    <row r="3361" spans="1:10" x14ac:dyDescent="0.35">
      <c r="A3361">
        <v>319372</v>
      </c>
      <c r="B3361" t="s">
        <v>20</v>
      </c>
      <c r="C3361">
        <v>2015</v>
      </c>
      <c r="D3361">
        <v>7</v>
      </c>
      <c r="E3361" t="s">
        <v>7</v>
      </c>
      <c r="F3361" t="s">
        <v>7</v>
      </c>
      <c r="G3361" t="s">
        <v>7</v>
      </c>
      <c r="H3361">
        <v>65890.48</v>
      </c>
      <c r="I3361">
        <v>29056.21</v>
      </c>
      <c r="J3361">
        <v>0</v>
      </c>
    </row>
    <row r="3362" spans="1:10" x14ac:dyDescent="0.35">
      <c r="A3362">
        <v>319378</v>
      </c>
      <c r="B3362" t="s">
        <v>20</v>
      </c>
      <c r="C3362">
        <v>2015</v>
      </c>
      <c r="D3362">
        <v>7</v>
      </c>
      <c r="E3362" t="s">
        <v>7</v>
      </c>
      <c r="F3362" t="s">
        <v>7</v>
      </c>
      <c r="G3362" t="s">
        <v>7</v>
      </c>
      <c r="H3362">
        <v>49966.89</v>
      </c>
      <c r="I3362">
        <v>37626.28</v>
      </c>
      <c r="J3362">
        <v>0</v>
      </c>
    </row>
    <row r="3363" spans="1:10" x14ac:dyDescent="0.35">
      <c r="A3363">
        <v>319389</v>
      </c>
      <c r="B3363" t="s">
        <v>20</v>
      </c>
      <c r="C3363">
        <v>2015</v>
      </c>
      <c r="D3363">
        <v>7</v>
      </c>
      <c r="E3363" t="s">
        <v>7</v>
      </c>
      <c r="F3363" t="s">
        <v>7</v>
      </c>
      <c r="G3363" t="s">
        <v>7</v>
      </c>
      <c r="H3363">
        <v>62814.18</v>
      </c>
      <c r="I3363">
        <v>45772.04</v>
      </c>
      <c r="J3363">
        <v>0</v>
      </c>
    </row>
    <row r="3364" spans="1:10" x14ac:dyDescent="0.35">
      <c r="A3364">
        <v>319390</v>
      </c>
      <c r="B3364" t="s">
        <v>20</v>
      </c>
      <c r="C3364">
        <v>2015</v>
      </c>
      <c r="D3364">
        <v>7</v>
      </c>
      <c r="E3364" t="s">
        <v>7</v>
      </c>
      <c r="F3364" t="s">
        <v>7</v>
      </c>
      <c r="G3364" t="s">
        <v>7</v>
      </c>
      <c r="H3364">
        <v>73724.14</v>
      </c>
      <c r="I3364">
        <v>55602.25</v>
      </c>
      <c r="J3364">
        <v>0</v>
      </c>
    </row>
    <row r="3365" spans="1:10" x14ac:dyDescent="0.35">
      <c r="A3365">
        <v>319410</v>
      </c>
      <c r="B3365" t="s">
        <v>20</v>
      </c>
      <c r="C3365">
        <v>2015</v>
      </c>
      <c r="D3365">
        <v>7</v>
      </c>
      <c r="E3365" t="s">
        <v>7</v>
      </c>
      <c r="F3365" t="s">
        <v>7</v>
      </c>
      <c r="G3365" t="s">
        <v>7</v>
      </c>
      <c r="H3365">
        <v>70967.520000000004</v>
      </c>
      <c r="I3365">
        <v>52510.18</v>
      </c>
      <c r="J3365">
        <v>0</v>
      </c>
    </row>
    <row r="3366" spans="1:10" x14ac:dyDescent="0.35">
      <c r="A3366">
        <v>319416</v>
      </c>
      <c r="B3366" t="s">
        <v>20</v>
      </c>
      <c r="C3366">
        <v>2015</v>
      </c>
      <c r="D3366">
        <v>7</v>
      </c>
      <c r="E3366" t="s">
        <v>7</v>
      </c>
      <c r="F3366" t="s">
        <v>7</v>
      </c>
      <c r="G3366" t="s">
        <v>7</v>
      </c>
      <c r="H3366">
        <v>70020.5</v>
      </c>
      <c r="I3366">
        <v>52203.19</v>
      </c>
      <c r="J3366">
        <v>0</v>
      </c>
    </row>
    <row r="3367" spans="1:10" x14ac:dyDescent="0.35">
      <c r="A3367">
        <v>319423</v>
      </c>
      <c r="B3367" t="s">
        <v>20</v>
      </c>
      <c r="C3367">
        <v>2015</v>
      </c>
      <c r="D3367">
        <v>7</v>
      </c>
      <c r="E3367" t="s">
        <v>7</v>
      </c>
      <c r="F3367" t="s">
        <v>7</v>
      </c>
      <c r="G3367" t="s">
        <v>7</v>
      </c>
      <c r="H3367">
        <v>80541.62</v>
      </c>
      <c r="I3367">
        <v>51936.03</v>
      </c>
      <c r="J3367">
        <v>0</v>
      </c>
    </row>
    <row r="3368" spans="1:10" x14ac:dyDescent="0.35">
      <c r="A3368">
        <v>319426</v>
      </c>
      <c r="B3368" t="s">
        <v>20</v>
      </c>
      <c r="C3368">
        <v>2015</v>
      </c>
      <c r="D3368">
        <v>7</v>
      </c>
      <c r="E3368" t="s">
        <v>7</v>
      </c>
      <c r="F3368" t="s">
        <v>7</v>
      </c>
      <c r="G3368" t="s">
        <v>7</v>
      </c>
      <c r="H3368">
        <v>62907.1</v>
      </c>
      <c r="I3368">
        <v>44742.75</v>
      </c>
      <c r="J3368">
        <v>0</v>
      </c>
    </row>
    <row r="3369" spans="1:10" x14ac:dyDescent="0.35">
      <c r="A3369">
        <v>319431</v>
      </c>
      <c r="B3369" t="s">
        <v>20</v>
      </c>
      <c r="C3369">
        <v>2015</v>
      </c>
      <c r="D3369">
        <v>7</v>
      </c>
      <c r="E3369" t="s">
        <v>7</v>
      </c>
      <c r="F3369" t="s">
        <v>7</v>
      </c>
      <c r="G3369" t="s">
        <v>7</v>
      </c>
      <c r="H3369">
        <v>64657.22</v>
      </c>
      <c r="I3369">
        <v>47262.69</v>
      </c>
      <c r="J3369">
        <v>0</v>
      </c>
    </row>
    <row r="3370" spans="1:10" x14ac:dyDescent="0.35">
      <c r="A3370">
        <v>319434</v>
      </c>
      <c r="B3370" t="s">
        <v>20</v>
      </c>
      <c r="C3370">
        <v>2015</v>
      </c>
      <c r="D3370">
        <v>7</v>
      </c>
      <c r="E3370" t="s">
        <v>7</v>
      </c>
      <c r="F3370" t="s">
        <v>7</v>
      </c>
      <c r="G3370" t="s">
        <v>7</v>
      </c>
      <c r="H3370">
        <v>73606.36</v>
      </c>
      <c r="I3370">
        <v>55651.95</v>
      </c>
      <c r="J3370">
        <v>0</v>
      </c>
    </row>
    <row r="3371" spans="1:10" x14ac:dyDescent="0.35">
      <c r="A3371">
        <v>319441</v>
      </c>
      <c r="B3371" t="s">
        <v>20</v>
      </c>
      <c r="C3371">
        <v>2015</v>
      </c>
      <c r="D3371">
        <v>7</v>
      </c>
      <c r="E3371" t="s">
        <v>7</v>
      </c>
      <c r="F3371" t="s">
        <v>7</v>
      </c>
      <c r="G3371" t="s">
        <v>7</v>
      </c>
      <c r="H3371">
        <v>32263.94</v>
      </c>
      <c r="I3371">
        <v>12589.18</v>
      </c>
      <c r="J3371">
        <v>0</v>
      </c>
    </row>
    <row r="3372" spans="1:10" x14ac:dyDescent="0.35">
      <c r="A3372">
        <v>319452</v>
      </c>
      <c r="B3372" t="s">
        <v>20</v>
      </c>
      <c r="C3372">
        <v>2015</v>
      </c>
      <c r="D3372">
        <v>7</v>
      </c>
      <c r="E3372" t="s">
        <v>7</v>
      </c>
      <c r="F3372" t="s">
        <v>7</v>
      </c>
      <c r="G3372" t="s">
        <v>7</v>
      </c>
      <c r="H3372">
        <v>49571.08</v>
      </c>
      <c r="I3372">
        <v>45128.09</v>
      </c>
      <c r="J3372">
        <v>0</v>
      </c>
    </row>
    <row r="3373" spans="1:10" x14ac:dyDescent="0.35">
      <c r="A3373">
        <v>319467</v>
      </c>
      <c r="B3373" t="s">
        <v>20</v>
      </c>
      <c r="C3373">
        <v>2015</v>
      </c>
      <c r="D3373">
        <v>7</v>
      </c>
      <c r="E3373" t="s">
        <v>7</v>
      </c>
      <c r="F3373" t="s">
        <v>7</v>
      </c>
      <c r="G3373" t="s">
        <v>7</v>
      </c>
      <c r="H3373">
        <v>58033.78</v>
      </c>
      <c r="I3373">
        <v>32621.46</v>
      </c>
      <c r="J3373">
        <v>0</v>
      </c>
    </row>
    <row r="3374" spans="1:10" x14ac:dyDescent="0.35">
      <c r="A3374">
        <v>319469</v>
      </c>
      <c r="B3374" t="s">
        <v>20</v>
      </c>
      <c r="C3374">
        <v>2015</v>
      </c>
      <c r="D3374">
        <v>7</v>
      </c>
      <c r="E3374" t="s">
        <v>7</v>
      </c>
      <c r="F3374" t="s">
        <v>7</v>
      </c>
      <c r="G3374" t="s">
        <v>7</v>
      </c>
      <c r="H3374">
        <v>63928.72</v>
      </c>
      <c r="I3374">
        <v>46390.52</v>
      </c>
      <c r="J3374">
        <v>0</v>
      </c>
    </row>
    <row r="3375" spans="1:10" x14ac:dyDescent="0.35">
      <c r="A3375">
        <v>319473</v>
      </c>
      <c r="B3375" t="s">
        <v>20</v>
      </c>
      <c r="C3375">
        <v>2015</v>
      </c>
      <c r="D3375">
        <v>7</v>
      </c>
      <c r="E3375" t="s">
        <v>7</v>
      </c>
      <c r="F3375" t="s">
        <v>7</v>
      </c>
      <c r="G3375" t="s">
        <v>7</v>
      </c>
      <c r="H3375">
        <v>41726.67</v>
      </c>
      <c r="I3375">
        <v>30694.98</v>
      </c>
      <c r="J3375">
        <v>0</v>
      </c>
    </row>
    <row r="3376" spans="1:10" x14ac:dyDescent="0.35">
      <c r="A3376">
        <v>319480</v>
      </c>
      <c r="B3376" t="s">
        <v>20</v>
      </c>
      <c r="C3376">
        <v>2015</v>
      </c>
      <c r="D3376">
        <v>7</v>
      </c>
      <c r="E3376" t="s">
        <v>7</v>
      </c>
      <c r="F3376" t="s">
        <v>7</v>
      </c>
      <c r="G3376" t="s">
        <v>7</v>
      </c>
      <c r="H3376">
        <v>40737.300000000003</v>
      </c>
      <c r="I3376">
        <v>29341.61</v>
      </c>
      <c r="J3376">
        <v>0</v>
      </c>
    </row>
    <row r="3377" spans="1:10" x14ac:dyDescent="0.35">
      <c r="A3377">
        <v>319485</v>
      </c>
      <c r="B3377" t="s">
        <v>20</v>
      </c>
      <c r="C3377">
        <v>2015</v>
      </c>
      <c r="D3377">
        <v>7</v>
      </c>
      <c r="E3377" t="s">
        <v>7</v>
      </c>
      <c r="F3377" t="s">
        <v>7</v>
      </c>
      <c r="G3377" t="s">
        <v>7</v>
      </c>
      <c r="H3377">
        <v>67813.58</v>
      </c>
      <c r="I3377">
        <v>49327.44</v>
      </c>
      <c r="J3377">
        <v>0</v>
      </c>
    </row>
    <row r="3378" spans="1:10" x14ac:dyDescent="0.35">
      <c r="A3378">
        <v>319504</v>
      </c>
      <c r="B3378" t="s">
        <v>20</v>
      </c>
      <c r="C3378">
        <v>2015</v>
      </c>
      <c r="D3378">
        <v>7</v>
      </c>
      <c r="E3378" t="s">
        <v>7</v>
      </c>
      <c r="F3378" t="s">
        <v>7</v>
      </c>
      <c r="G3378" t="s">
        <v>7</v>
      </c>
      <c r="H3378">
        <v>126314.43</v>
      </c>
      <c r="I3378">
        <v>110996.22</v>
      </c>
      <c r="J3378">
        <v>0</v>
      </c>
    </row>
    <row r="3379" spans="1:10" x14ac:dyDescent="0.35">
      <c r="A3379">
        <v>319505</v>
      </c>
      <c r="B3379" t="s">
        <v>20</v>
      </c>
      <c r="C3379">
        <v>2015</v>
      </c>
      <c r="D3379">
        <v>7</v>
      </c>
      <c r="E3379" t="s">
        <v>7</v>
      </c>
      <c r="F3379" t="s">
        <v>7</v>
      </c>
      <c r="G3379" t="s">
        <v>7</v>
      </c>
      <c r="H3379">
        <v>69351.5</v>
      </c>
      <c r="I3379">
        <v>49650.27</v>
      </c>
      <c r="J3379">
        <v>0</v>
      </c>
    </row>
    <row r="3380" spans="1:10" x14ac:dyDescent="0.35">
      <c r="A3380">
        <v>319514</v>
      </c>
      <c r="B3380" t="s">
        <v>20</v>
      </c>
      <c r="C3380">
        <v>2015</v>
      </c>
      <c r="D3380">
        <v>7</v>
      </c>
      <c r="E3380" t="s">
        <v>7</v>
      </c>
      <c r="F3380" t="s">
        <v>7</v>
      </c>
      <c r="G3380" t="s">
        <v>7</v>
      </c>
      <c r="H3380">
        <v>54958.28</v>
      </c>
      <c r="I3380">
        <v>21503.02</v>
      </c>
      <c r="J3380">
        <v>0</v>
      </c>
    </row>
    <row r="3381" spans="1:10" x14ac:dyDescent="0.35">
      <c r="A3381">
        <v>319523</v>
      </c>
      <c r="B3381" t="s">
        <v>20</v>
      </c>
      <c r="C3381">
        <v>2015</v>
      </c>
      <c r="D3381">
        <v>7</v>
      </c>
      <c r="E3381" t="s">
        <v>7</v>
      </c>
      <c r="F3381" t="s">
        <v>7</v>
      </c>
      <c r="G3381" t="s">
        <v>7</v>
      </c>
      <c r="H3381">
        <v>205062.08</v>
      </c>
      <c r="I3381">
        <v>93105.54</v>
      </c>
      <c r="J3381">
        <v>0</v>
      </c>
    </row>
    <row r="3382" spans="1:10" x14ac:dyDescent="0.35">
      <c r="A3382">
        <v>319528</v>
      </c>
      <c r="B3382" t="s">
        <v>20</v>
      </c>
      <c r="C3382">
        <v>2015</v>
      </c>
      <c r="D3382">
        <v>7</v>
      </c>
      <c r="E3382" t="s">
        <v>7</v>
      </c>
      <c r="F3382" t="s">
        <v>7</v>
      </c>
      <c r="G3382" t="s">
        <v>7</v>
      </c>
      <c r="H3382">
        <v>48148.14</v>
      </c>
      <c r="I3382">
        <v>12575.99</v>
      </c>
      <c r="J3382">
        <v>0</v>
      </c>
    </row>
    <row r="3383" spans="1:10" x14ac:dyDescent="0.35">
      <c r="A3383">
        <v>319531</v>
      </c>
      <c r="B3383" t="s">
        <v>20</v>
      </c>
      <c r="C3383">
        <v>2015</v>
      </c>
      <c r="D3383">
        <v>7</v>
      </c>
      <c r="E3383" t="s">
        <v>7</v>
      </c>
      <c r="F3383" t="s">
        <v>7</v>
      </c>
      <c r="G3383" t="s">
        <v>7</v>
      </c>
      <c r="H3383">
        <v>21864.22</v>
      </c>
      <c r="I3383">
        <v>7661.55</v>
      </c>
      <c r="J3383">
        <v>0</v>
      </c>
    </row>
    <row r="3384" spans="1:10" x14ac:dyDescent="0.35">
      <c r="A3384">
        <v>319535</v>
      </c>
      <c r="B3384" t="s">
        <v>20</v>
      </c>
      <c r="C3384">
        <v>2015</v>
      </c>
      <c r="D3384">
        <v>7</v>
      </c>
      <c r="E3384" t="s">
        <v>7</v>
      </c>
      <c r="F3384" t="s">
        <v>7</v>
      </c>
      <c r="G3384" t="s">
        <v>7</v>
      </c>
      <c r="H3384">
        <v>35414.589999999997</v>
      </c>
      <c r="I3384">
        <v>16075.16</v>
      </c>
      <c r="J3384">
        <v>0</v>
      </c>
    </row>
    <row r="3385" spans="1:10" x14ac:dyDescent="0.35">
      <c r="A3385">
        <v>319536</v>
      </c>
      <c r="B3385" t="s">
        <v>20</v>
      </c>
      <c r="C3385">
        <v>2015</v>
      </c>
      <c r="D3385">
        <v>7</v>
      </c>
      <c r="E3385" t="s">
        <v>7</v>
      </c>
      <c r="F3385" t="s">
        <v>7</v>
      </c>
      <c r="G3385" t="s">
        <v>7</v>
      </c>
      <c r="H3385">
        <v>27544.58</v>
      </c>
      <c r="I3385">
        <v>8088.07</v>
      </c>
      <c r="J3385">
        <v>0</v>
      </c>
    </row>
    <row r="3386" spans="1:10" x14ac:dyDescent="0.35">
      <c r="A3386">
        <v>319542</v>
      </c>
      <c r="B3386" t="s">
        <v>20</v>
      </c>
      <c r="C3386">
        <v>2015</v>
      </c>
      <c r="D3386">
        <v>7</v>
      </c>
      <c r="E3386" t="s">
        <v>7</v>
      </c>
      <c r="F3386" t="s">
        <v>7</v>
      </c>
      <c r="G3386" t="s">
        <v>7</v>
      </c>
      <c r="H3386">
        <v>66509.919999999998</v>
      </c>
      <c r="I3386">
        <v>49023.46</v>
      </c>
      <c r="J3386">
        <v>0</v>
      </c>
    </row>
    <row r="3387" spans="1:10" x14ac:dyDescent="0.35">
      <c r="A3387">
        <v>319546</v>
      </c>
      <c r="B3387" t="s">
        <v>20</v>
      </c>
      <c r="C3387">
        <v>2015</v>
      </c>
      <c r="D3387">
        <v>7</v>
      </c>
      <c r="E3387" t="s">
        <v>7</v>
      </c>
      <c r="F3387" t="s">
        <v>7</v>
      </c>
      <c r="G3387" t="s">
        <v>7</v>
      </c>
      <c r="H3387">
        <v>153390.32</v>
      </c>
      <c r="I3387">
        <v>58359.17</v>
      </c>
      <c r="J3387">
        <v>0</v>
      </c>
    </row>
    <row r="3388" spans="1:10" x14ac:dyDescent="0.35">
      <c r="A3388">
        <v>319560</v>
      </c>
      <c r="B3388" t="s">
        <v>20</v>
      </c>
      <c r="C3388">
        <v>2015</v>
      </c>
      <c r="D3388">
        <v>7</v>
      </c>
      <c r="E3388" t="s">
        <v>7</v>
      </c>
      <c r="F3388" t="s">
        <v>7</v>
      </c>
      <c r="G3388" t="s">
        <v>7</v>
      </c>
      <c r="H3388">
        <v>27796.94</v>
      </c>
      <c r="I3388">
        <v>6126.43</v>
      </c>
      <c r="J3388">
        <v>0</v>
      </c>
    </row>
    <row r="3389" spans="1:10" x14ac:dyDescent="0.35">
      <c r="A3389">
        <v>319564</v>
      </c>
      <c r="B3389" t="s">
        <v>20</v>
      </c>
      <c r="C3389">
        <v>2015</v>
      </c>
      <c r="D3389">
        <v>7</v>
      </c>
      <c r="E3389" t="s">
        <v>7</v>
      </c>
      <c r="F3389" t="s">
        <v>7</v>
      </c>
      <c r="G3389" t="s">
        <v>7</v>
      </c>
      <c r="H3389">
        <v>65305.48</v>
      </c>
      <c r="I3389">
        <v>46855</v>
      </c>
      <c r="J3389">
        <v>0</v>
      </c>
    </row>
    <row r="3390" spans="1:10" x14ac:dyDescent="0.35">
      <c r="A3390">
        <v>319567</v>
      </c>
      <c r="B3390" t="s">
        <v>20</v>
      </c>
      <c r="C3390">
        <v>2015</v>
      </c>
      <c r="D3390">
        <v>7</v>
      </c>
      <c r="E3390" t="s">
        <v>7</v>
      </c>
      <c r="F3390" t="s">
        <v>7</v>
      </c>
      <c r="G3390" t="s">
        <v>7</v>
      </c>
      <c r="H3390">
        <v>22951.22</v>
      </c>
      <c r="I3390">
        <v>6659.45</v>
      </c>
      <c r="J3390">
        <v>0</v>
      </c>
    </row>
    <row r="3391" spans="1:10" x14ac:dyDescent="0.35">
      <c r="A3391">
        <v>319572</v>
      </c>
      <c r="B3391" t="s">
        <v>20</v>
      </c>
      <c r="C3391">
        <v>2015</v>
      </c>
      <c r="D3391">
        <v>7</v>
      </c>
      <c r="E3391" t="s">
        <v>7</v>
      </c>
      <c r="F3391" t="s">
        <v>7</v>
      </c>
      <c r="G3391" t="s">
        <v>7</v>
      </c>
      <c r="H3391">
        <v>64791.38</v>
      </c>
      <c r="I3391">
        <v>46721.73</v>
      </c>
      <c r="J3391">
        <v>0</v>
      </c>
    </row>
    <row r="3392" spans="1:10" x14ac:dyDescent="0.35">
      <c r="A3392">
        <v>319573</v>
      </c>
      <c r="B3392" t="s">
        <v>20</v>
      </c>
      <c r="C3392">
        <v>2015</v>
      </c>
      <c r="D3392">
        <v>7</v>
      </c>
      <c r="E3392" t="s">
        <v>7</v>
      </c>
      <c r="F3392" t="s">
        <v>7</v>
      </c>
      <c r="G3392" t="s">
        <v>7</v>
      </c>
      <c r="H3392">
        <v>23701.42</v>
      </c>
      <c r="I3392">
        <v>6751.18</v>
      </c>
      <c r="J3392">
        <v>0</v>
      </c>
    </row>
    <row r="3393" spans="1:10" x14ac:dyDescent="0.35">
      <c r="A3393">
        <v>319583</v>
      </c>
      <c r="B3393" t="s">
        <v>20</v>
      </c>
      <c r="C3393">
        <v>2015</v>
      </c>
      <c r="D3393">
        <v>7</v>
      </c>
      <c r="E3393" t="s">
        <v>7</v>
      </c>
      <c r="F3393" t="s">
        <v>7</v>
      </c>
      <c r="G3393" t="s">
        <v>7</v>
      </c>
      <c r="H3393">
        <v>71738.44</v>
      </c>
      <c r="I3393">
        <v>48787.02</v>
      </c>
      <c r="J3393">
        <v>0</v>
      </c>
    </row>
    <row r="3394" spans="1:10" x14ac:dyDescent="0.35">
      <c r="A3394">
        <v>319591</v>
      </c>
      <c r="B3394" t="s">
        <v>20</v>
      </c>
      <c r="C3394">
        <v>2015</v>
      </c>
      <c r="D3394">
        <v>7</v>
      </c>
      <c r="E3394" t="s">
        <v>7</v>
      </c>
      <c r="F3394" t="s">
        <v>7</v>
      </c>
      <c r="G3394" t="s">
        <v>7</v>
      </c>
      <c r="H3394">
        <v>30373.81</v>
      </c>
      <c r="I3394">
        <v>13529.29</v>
      </c>
      <c r="J3394">
        <v>0</v>
      </c>
    </row>
    <row r="3395" spans="1:10" x14ac:dyDescent="0.35">
      <c r="A3395">
        <v>319594</v>
      </c>
      <c r="B3395" t="s">
        <v>20</v>
      </c>
      <c r="C3395">
        <v>2015</v>
      </c>
      <c r="D3395">
        <v>7</v>
      </c>
      <c r="E3395" t="s">
        <v>7</v>
      </c>
      <c r="F3395" t="s">
        <v>7</v>
      </c>
      <c r="G3395" t="s">
        <v>7</v>
      </c>
      <c r="H3395">
        <v>33476.800000000003</v>
      </c>
      <c r="I3395">
        <v>9408.51</v>
      </c>
      <c r="J3395">
        <v>0</v>
      </c>
    </row>
    <row r="3396" spans="1:10" x14ac:dyDescent="0.35">
      <c r="A3396">
        <v>319595</v>
      </c>
      <c r="B3396" t="s">
        <v>20</v>
      </c>
      <c r="C3396">
        <v>2015</v>
      </c>
      <c r="D3396">
        <v>7</v>
      </c>
      <c r="E3396" t="s">
        <v>7</v>
      </c>
      <c r="F3396" t="s">
        <v>7</v>
      </c>
      <c r="G3396" t="s">
        <v>7</v>
      </c>
      <c r="H3396">
        <v>52545.22</v>
      </c>
      <c r="I3396">
        <v>35826.28</v>
      </c>
      <c r="J3396">
        <v>0</v>
      </c>
    </row>
    <row r="3397" spans="1:10" x14ac:dyDescent="0.35">
      <c r="A3397">
        <v>319596</v>
      </c>
      <c r="B3397" t="s">
        <v>20</v>
      </c>
      <c r="C3397">
        <v>2015</v>
      </c>
      <c r="D3397">
        <v>7</v>
      </c>
      <c r="E3397" t="s">
        <v>7</v>
      </c>
      <c r="F3397" t="s">
        <v>7</v>
      </c>
      <c r="G3397" t="s">
        <v>7</v>
      </c>
      <c r="H3397">
        <v>72020.100000000006</v>
      </c>
      <c r="I3397">
        <v>53003.81</v>
      </c>
      <c r="J3397">
        <v>0</v>
      </c>
    </row>
    <row r="3398" spans="1:10" x14ac:dyDescent="0.35">
      <c r="A3398">
        <v>319604</v>
      </c>
      <c r="B3398" t="s">
        <v>20</v>
      </c>
      <c r="C3398">
        <v>2015</v>
      </c>
      <c r="D3398">
        <v>7</v>
      </c>
      <c r="E3398" t="s">
        <v>7</v>
      </c>
      <c r="F3398" t="s">
        <v>7</v>
      </c>
      <c r="G3398" t="s">
        <v>7</v>
      </c>
      <c r="H3398">
        <v>67185.7</v>
      </c>
      <c r="I3398">
        <v>46701.35</v>
      </c>
      <c r="J3398">
        <v>0</v>
      </c>
    </row>
    <row r="3399" spans="1:10" x14ac:dyDescent="0.35">
      <c r="A3399">
        <v>319606</v>
      </c>
      <c r="B3399" t="s">
        <v>20</v>
      </c>
      <c r="C3399">
        <v>2015</v>
      </c>
      <c r="D3399">
        <v>7</v>
      </c>
      <c r="E3399" t="s">
        <v>7</v>
      </c>
      <c r="F3399" t="s">
        <v>7</v>
      </c>
      <c r="G3399" t="s">
        <v>7</v>
      </c>
      <c r="H3399">
        <v>14870.96</v>
      </c>
      <c r="I3399">
        <v>4044.02</v>
      </c>
      <c r="J3399">
        <v>0</v>
      </c>
    </row>
    <row r="3400" spans="1:10" x14ac:dyDescent="0.35">
      <c r="A3400">
        <v>319610</v>
      </c>
      <c r="B3400" t="s">
        <v>20</v>
      </c>
      <c r="C3400">
        <v>2015</v>
      </c>
      <c r="D3400">
        <v>7</v>
      </c>
      <c r="E3400" t="s">
        <v>7</v>
      </c>
      <c r="F3400" t="s">
        <v>7</v>
      </c>
      <c r="G3400" t="s">
        <v>7</v>
      </c>
      <c r="H3400">
        <v>65928.92</v>
      </c>
      <c r="I3400">
        <v>46970.81</v>
      </c>
      <c r="J3400">
        <v>0</v>
      </c>
    </row>
    <row r="3401" spans="1:10" x14ac:dyDescent="0.35">
      <c r="A3401">
        <v>319614</v>
      </c>
      <c r="B3401" t="s">
        <v>20</v>
      </c>
      <c r="C3401">
        <v>2015</v>
      </c>
      <c r="D3401">
        <v>7</v>
      </c>
      <c r="E3401" t="s">
        <v>7</v>
      </c>
      <c r="F3401" t="s">
        <v>7</v>
      </c>
      <c r="G3401" t="s">
        <v>7</v>
      </c>
      <c r="H3401">
        <v>148165.07999999999</v>
      </c>
      <c r="I3401">
        <v>47827.12</v>
      </c>
      <c r="J3401">
        <v>0</v>
      </c>
    </row>
    <row r="3402" spans="1:10" x14ac:dyDescent="0.35">
      <c r="A3402">
        <v>319622</v>
      </c>
      <c r="B3402" t="s">
        <v>20</v>
      </c>
      <c r="C3402">
        <v>2015</v>
      </c>
      <c r="D3402">
        <v>7</v>
      </c>
      <c r="E3402" t="s">
        <v>7</v>
      </c>
      <c r="F3402" t="s">
        <v>7</v>
      </c>
      <c r="G3402" t="s">
        <v>7</v>
      </c>
      <c r="H3402">
        <v>63949.26</v>
      </c>
      <c r="I3402">
        <v>46517.85</v>
      </c>
      <c r="J3402">
        <v>0</v>
      </c>
    </row>
    <row r="3403" spans="1:10" x14ac:dyDescent="0.35">
      <c r="A3403">
        <v>319624</v>
      </c>
      <c r="B3403" t="s">
        <v>20</v>
      </c>
      <c r="C3403">
        <v>2015</v>
      </c>
      <c r="D3403">
        <v>7</v>
      </c>
      <c r="E3403" t="s">
        <v>7</v>
      </c>
      <c r="F3403" t="s">
        <v>7</v>
      </c>
      <c r="G3403" t="s">
        <v>7</v>
      </c>
      <c r="H3403">
        <v>25136.38</v>
      </c>
      <c r="I3403">
        <v>6525.87</v>
      </c>
      <c r="J3403">
        <v>0</v>
      </c>
    </row>
    <row r="3404" spans="1:10" x14ac:dyDescent="0.35">
      <c r="A3404">
        <v>319627</v>
      </c>
      <c r="B3404" t="s">
        <v>20</v>
      </c>
      <c r="C3404">
        <v>2015</v>
      </c>
      <c r="D3404">
        <v>7</v>
      </c>
      <c r="E3404" t="s">
        <v>7</v>
      </c>
      <c r="F3404" t="s">
        <v>7</v>
      </c>
      <c r="G3404" t="s">
        <v>7</v>
      </c>
      <c r="H3404">
        <v>116893.42</v>
      </c>
      <c r="I3404">
        <v>60182.35</v>
      </c>
      <c r="J3404">
        <v>0</v>
      </c>
    </row>
    <row r="3405" spans="1:10" x14ac:dyDescent="0.35">
      <c r="A3405">
        <v>319628</v>
      </c>
      <c r="B3405" t="s">
        <v>20</v>
      </c>
      <c r="C3405">
        <v>2015</v>
      </c>
      <c r="D3405">
        <v>7</v>
      </c>
      <c r="E3405" t="s">
        <v>7</v>
      </c>
      <c r="F3405" t="s">
        <v>7</v>
      </c>
      <c r="G3405" t="s">
        <v>7</v>
      </c>
      <c r="H3405">
        <v>71559.740000000005</v>
      </c>
      <c r="I3405">
        <v>52622.81</v>
      </c>
      <c r="J3405">
        <v>0</v>
      </c>
    </row>
    <row r="3406" spans="1:10" x14ac:dyDescent="0.35">
      <c r="A3406">
        <v>319631</v>
      </c>
      <c r="B3406" t="s">
        <v>20</v>
      </c>
      <c r="C3406">
        <v>2015</v>
      </c>
      <c r="D3406">
        <v>7</v>
      </c>
      <c r="E3406" t="s">
        <v>7</v>
      </c>
      <c r="F3406" t="s">
        <v>7</v>
      </c>
      <c r="G3406" t="s">
        <v>7</v>
      </c>
      <c r="H3406">
        <v>24807.08</v>
      </c>
      <c r="I3406">
        <v>6940.79</v>
      </c>
      <c r="J3406">
        <v>0</v>
      </c>
    </row>
    <row r="3407" spans="1:10" x14ac:dyDescent="0.35">
      <c r="A3407">
        <v>319633</v>
      </c>
      <c r="B3407" t="s">
        <v>20</v>
      </c>
      <c r="C3407">
        <v>2015</v>
      </c>
      <c r="D3407">
        <v>7</v>
      </c>
      <c r="E3407" t="s">
        <v>7</v>
      </c>
      <c r="F3407" t="s">
        <v>7</v>
      </c>
      <c r="G3407" t="s">
        <v>7</v>
      </c>
      <c r="H3407">
        <v>73115.8</v>
      </c>
      <c r="I3407">
        <v>48487.56</v>
      </c>
      <c r="J3407">
        <v>0</v>
      </c>
    </row>
    <row r="3408" spans="1:10" x14ac:dyDescent="0.35">
      <c r="A3408">
        <v>319637</v>
      </c>
      <c r="B3408" t="s">
        <v>20</v>
      </c>
      <c r="C3408">
        <v>2015</v>
      </c>
      <c r="D3408">
        <v>7</v>
      </c>
      <c r="E3408" t="s">
        <v>7</v>
      </c>
      <c r="F3408" t="s">
        <v>7</v>
      </c>
      <c r="G3408" t="s">
        <v>7</v>
      </c>
      <c r="H3408">
        <v>72794.02</v>
      </c>
      <c r="I3408">
        <v>49612.63</v>
      </c>
      <c r="J3408">
        <v>0</v>
      </c>
    </row>
    <row r="3409" spans="1:10" x14ac:dyDescent="0.35">
      <c r="A3409">
        <v>319638</v>
      </c>
      <c r="B3409" t="s">
        <v>20</v>
      </c>
      <c r="C3409">
        <v>2015</v>
      </c>
      <c r="D3409">
        <v>7</v>
      </c>
      <c r="E3409" t="s">
        <v>7</v>
      </c>
      <c r="F3409" t="s">
        <v>7</v>
      </c>
      <c r="G3409" t="s">
        <v>7</v>
      </c>
      <c r="H3409">
        <v>162511.12</v>
      </c>
      <c r="I3409">
        <v>74188.539999999994</v>
      </c>
      <c r="J3409">
        <v>0</v>
      </c>
    </row>
    <row r="3410" spans="1:10" x14ac:dyDescent="0.35">
      <c r="A3410">
        <v>319640</v>
      </c>
      <c r="B3410" t="s">
        <v>20</v>
      </c>
      <c r="C3410">
        <v>2015</v>
      </c>
      <c r="D3410">
        <v>7</v>
      </c>
      <c r="E3410" t="s">
        <v>7</v>
      </c>
      <c r="F3410" t="s">
        <v>7</v>
      </c>
      <c r="G3410" t="s">
        <v>7</v>
      </c>
      <c r="H3410">
        <v>18893.7</v>
      </c>
      <c r="I3410">
        <v>4651.37</v>
      </c>
      <c r="J3410">
        <v>0</v>
      </c>
    </row>
    <row r="3411" spans="1:10" x14ac:dyDescent="0.35">
      <c r="A3411">
        <v>319649</v>
      </c>
      <c r="B3411" t="s">
        <v>20</v>
      </c>
      <c r="C3411">
        <v>2015</v>
      </c>
      <c r="D3411">
        <v>7</v>
      </c>
      <c r="E3411" t="s">
        <v>7</v>
      </c>
      <c r="F3411" t="s">
        <v>7</v>
      </c>
      <c r="G3411" t="s">
        <v>7</v>
      </c>
      <c r="H3411">
        <v>122575.22</v>
      </c>
      <c r="I3411">
        <v>66539.69</v>
      </c>
      <c r="J3411">
        <v>0</v>
      </c>
    </row>
    <row r="3412" spans="1:10" x14ac:dyDescent="0.35">
      <c r="A3412">
        <v>319654</v>
      </c>
      <c r="B3412" t="s">
        <v>20</v>
      </c>
      <c r="C3412">
        <v>2015</v>
      </c>
      <c r="D3412">
        <v>7</v>
      </c>
      <c r="E3412" t="s">
        <v>7</v>
      </c>
      <c r="F3412" t="s">
        <v>7</v>
      </c>
      <c r="G3412" t="s">
        <v>7</v>
      </c>
      <c r="H3412">
        <v>44630.28</v>
      </c>
      <c r="I3412">
        <v>16737.919999999998</v>
      </c>
      <c r="J3412">
        <v>0</v>
      </c>
    </row>
    <row r="3413" spans="1:10" x14ac:dyDescent="0.35">
      <c r="A3413">
        <v>319658</v>
      </c>
      <c r="B3413" t="s">
        <v>20</v>
      </c>
      <c r="C3413">
        <v>2015</v>
      </c>
      <c r="D3413">
        <v>7</v>
      </c>
      <c r="E3413" t="s">
        <v>7</v>
      </c>
      <c r="F3413" t="s">
        <v>7</v>
      </c>
      <c r="G3413" t="s">
        <v>7</v>
      </c>
      <c r="H3413">
        <v>53312.84</v>
      </c>
      <c r="I3413">
        <v>16020.65</v>
      </c>
      <c r="J3413">
        <v>0</v>
      </c>
    </row>
    <row r="3414" spans="1:10" x14ac:dyDescent="0.35">
      <c r="A3414">
        <v>319661</v>
      </c>
      <c r="B3414" t="s">
        <v>20</v>
      </c>
      <c r="C3414">
        <v>2015</v>
      </c>
      <c r="D3414">
        <v>7</v>
      </c>
      <c r="E3414" t="s">
        <v>7</v>
      </c>
      <c r="F3414" t="s">
        <v>7</v>
      </c>
      <c r="G3414" t="s">
        <v>7</v>
      </c>
      <c r="H3414">
        <v>25085.439999999999</v>
      </c>
      <c r="I3414">
        <v>7176.91</v>
      </c>
      <c r="J3414">
        <v>0</v>
      </c>
    </row>
    <row r="3415" spans="1:10" x14ac:dyDescent="0.35">
      <c r="A3415">
        <v>319662</v>
      </c>
      <c r="B3415" t="s">
        <v>20</v>
      </c>
      <c r="C3415">
        <v>2015</v>
      </c>
      <c r="D3415">
        <v>7</v>
      </c>
      <c r="E3415" t="s">
        <v>7</v>
      </c>
      <c r="F3415" t="s">
        <v>7</v>
      </c>
      <c r="G3415" t="s">
        <v>7</v>
      </c>
      <c r="H3415">
        <v>17958.580000000002</v>
      </c>
      <c r="I3415">
        <v>9097.64</v>
      </c>
      <c r="J3415">
        <v>0</v>
      </c>
    </row>
    <row r="3416" spans="1:10" x14ac:dyDescent="0.35">
      <c r="A3416">
        <v>319665</v>
      </c>
      <c r="B3416" t="s">
        <v>20</v>
      </c>
      <c r="C3416">
        <v>2015</v>
      </c>
      <c r="D3416">
        <v>7</v>
      </c>
      <c r="E3416" t="s">
        <v>7</v>
      </c>
      <c r="F3416" t="s">
        <v>7</v>
      </c>
      <c r="G3416" t="s">
        <v>7</v>
      </c>
      <c r="H3416">
        <v>68218.95</v>
      </c>
      <c r="I3416">
        <v>47810.53</v>
      </c>
      <c r="J3416">
        <v>0</v>
      </c>
    </row>
    <row r="3417" spans="1:10" x14ac:dyDescent="0.35">
      <c r="A3417">
        <v>319667</v>
      </c>
      <c r="B3417" t="s">
        <v>20</v>
      </c>
      <c r="C3417">
        <v>2015</v>
      </c>
      <c r="D3417">
        <v>7</v>
      </c>
      <c r="E3417" t="s">
        <v>7</v>
      </c>
      <c r="F3417" t="s">
        <v>7</v>
      </c>
      <c r="G3417" t="s">
        <v>7</v>
      </c>
      <c r="H3417">
        <v>67929.62</v>
      </c>
      <c r="I3417">
        <v>19175.419999999998</v>
      </c>
      <c r="J3417">
        <v>0</v>
      </c>
    </row>
    <row r="3418" spans="1:10" x14ac:dyDescent="0.35">
      <c r="A3418">
        <v>319673</v>
      </c>
      <c r="B3418" t="s">
        <v>20</v>
      </c>
      <c r="C3418">
        <v>2015</v>
      </c>
      <c r="D3418">
        <v>7</v>
      </c>
      <c r="E3418" t="s">
        <v>7</v>
      </c>
      <c r="F3418" t="s">
        <v>7</v>
      </c>
      <c r="G3418" t="s">
        <v>7</v>
      </c>
      <c r="H3418">
        <v>69428.710000000006</v>
      </c>
      <c r="I3418">
        <v>48593.41</v>
      </c>
      <c r="J3418">
        <v>0</v>
      </c>
    </row>
    <row r="3419" spans="1:10" x14ac:dyDescent="0.35">
      <c r="A3419">
        <v>319679</v>
      </c>
      <c r="B3419" t="s">
        <v>20</v>
      </c>
      <c r="C3419">
        <v>2015</v>
      </c>
      <c r="D3419">
        <v>7</v>
      </c>
      <c r="E3419" t="s">
        <v>7</v>
      </c>
      <c r="F3419" t="s">
        <v>7</v>
      </c>
      <c r="G3419" t="s">
        <v>7</v>
      </c>
      <c r="H3419">
        <v>71112.479999999996</v>
      </c>
      <c r="I3419">
        <v>51013.29</v>
      </c>
      <c r="J3419">
        <v>0</v>
      </c>
    </row>
    <row r="3420" spans="1:10" x14ac:dyDescent="0.35">
      <c r="A3420">
        <v>319681</v>
      </c>
      <c r="B3420" t="s">
        <v>20</v>
      </c>
      <c r="C3420">
        <v>2015</v>
      </c>
      <c r="D3420">
        <v>7</v>
      </c>
      <c r="E3420" t="s">
        <v>7</v>
      </c>
      <c r="F3420" t="s">
        <v>7</v>
      </c>
      <c r="G3420" t="s">
        <v>7</v>
      </c>
      <c r="H3420">
        <v>81801.14</v>
      </c>
      <c r="I3420">
        <v>26249.67</v>
      </c>
      <c r="J3420">
        <v>0</v>
      </c>
    </row>
    <row r="3421" spans="1:10" x14ac:dyDescent="0.35">
      <c r="A3421">
        <v>319683</v>
      </c>
      <c r="B3421" t="s">
        <v>20</v>
      </c>
      <c r="C3421">
        <v>2015</v>
      </c>
      <c r="D3421">
        <v>7</v>
      </c>
      <c r="E3421" t="s">
        <v>7</v>
      </c>
      <c r="F3421" t="s">
        <v>7</v>
      </c>
      <c r="G3421" t="s">
        <v>7</v>
      </c>
      <c r="H3421">
        <v>43236.800000000003</v>
      </c>
      <c r="I3421">
        <v>18309.349999999999</v>
      </c>
      <c r="J3421">
        <v>0</v>
      </c>
    </row>
    <row r="3422" spans="1:10" x14ac:dyDescent="0.35">
      <c r="A3422">
        <v>319691</v>
      </c>
      <c r="B3422" t="s">
        <v>20</v>
      </c>
      <c r="C3422">
        <v>2015</v>
      </c>
      <c r="D3422">
        <v>7</v>
      </c>
      <c r="E3422" t="s">
        <v>7</v>
      </c>
      <c r="F3422" t="s">
        <v>7</v>
      </c>
      <c r="G3422" t="s">
        <v>7</v>
      </c>
      <c r="H3422">
        <v>68614.259999999995</v>
      </c>
      <c r="I3422">
        <v>21345.79</v>
      </c>
      <c r="J3422">
        <v>0</v>
      </c>
    </row>
    <row r="3423" spans="1:10" x14ac:dyDescent="0.35">
      <c r="A3423">
        <v>319695</v>
      </c>
      <c r="B3423" t="s">
        <v>20</v>
      </c>
      <c r="C3423">
        <v>2015</v>
      </c>
      <c r="D3423">
        <v>7</v>
      </c>
      <c r="E3423" t="s">
        <v>7</v>
      </c>
      <c r="F3423" t="s">
        <v>7</v>
      </c>
      <c r="G3423" t="s">
        <v>7</v>
      </c>
      <c r="H3423">
        <v>47707.040000000001</v>
      </c>
      <c r="I3423">
        <v>14826.61</v>
      </c>
      <c r="J3423">
        <v>0</v>
      </c>
    </row>
    <row r="3424" spans="1:10" x14ac:dyDescent="0.35">
      <c r="A3424">
        <v>319698</v>
      </c>
      <c r="B3424" t="s">
        <v>20</v>
      </c>
      <c r="C3424">
        <v>2015</v>
      </c>
      <c r="D3424">
        <v>7</v>
      </c>
      <c r="E3424" t="s">
        <v>7</v>
      </c>
      <c r="F3424" t="s">
        <v>7</v>
      </c>
      <c r="G3424" t="s">
        <v>7</v>
      </c>
      <c r="H3424">
        <v>65668.62</v>
      </c>
      <c r="I3424">
        <v>46604.18</v>
      </c>
      <c r="J3424">
        <v>0</v>
      </c>
    </row>
    <row r="3425" spans="1:10" x14ac:dyDescent="0.35">
      <c r="A3425">
        <v>319701</v>
      </c>
      <c r="B3425" t="s">
        <v>20</v>
      </c>
      <c r="C3425">
        <v>2015</v>
      </c>
      <c r="D3425">
        <v>7</v>
      </c>
      <c r="E3425" t="s">
        <v>7</v>
      </c>
      <c r="F3425" t="s">
        <v>7</v>
      </c>
      <c r="G3425" t="s">
        <v>7</v>
      </c>
      <c r="H3425">
        <v>73608.179999999993</v>
      </c>
      <c r="I3425">
        <v>21522.26</v>
      </c>
      <c r="J3425">
        <v>0</v>
      </c>
    </row>
    <row r="3426" spans="1:10" x14ac:dyDescent="0.35">
      <c r="A3426">
        <v>319705</v>
      </c>
      <c r="B3426" t="s">
        <v>20</v>
      </c>
      <c r="C3426">
        <v>2015</v>
      </c>
      <c r="D3426">
        <v>7</v>
      </c>
      <c r="E3426" t="s">
        <v>7</v>
      </c>
      <c r="F3426" t="s">
        <v>7</v>
      </c>
      <c r="G3426" t="s">
        <v>7</v>
      </c>
      <c r="H3426">
        <v>67568.61</v>
      </c>
      <c r="I3426">
        <v>49489.34</v>
      </c>
      <c r="J3426">
        <v>0</v>
      </c>
    </row>
    <row r="3427" spans="1:10" x14ac:dyDescent="0.35">
      <c r="A3427">
        <v>319706</v>
      </c>
      <c r="B3427" t="s">
        <v>20</v>
      </c>
      <c r="C3427">
        <v>2015</v>
      </c>
      <c r="D3427">
        <v>7</v>
      </c>
      <c r="E3427" t="s">
        <v>7</v>
      </c>
      <c r="F3427" t="s">
        <v>7</v>
      </c>
      <c r="G3427" t="s">
        <v>7</v>
      </c>
      <c r="H3427">
        <v>65154.92</v>
      </c>
      <c r="I3427">
        <v>19811.419999999998</v>
      </c>
      <c r="J3427">
        <v>0</v>
      </c>
    </row>
    <row r="3428" spans="1:10" x14ac:dyDescent="0.35">
      <c r="A3428">
        <v>319708</v>
      </c>
      <c r="B3428" t="s">
        <v>20</v>
      </c>
      <c r="C3428">
        <v>2015</v>
      </c>
      <c r="D3428">
        <v>7</v>
      </c>
      <c r="E3428" t="s">
        <v>7</v>
      </c>
      <c r="F3428" t="s">
        <v>7</v>
      </c>
      <c r="G3428" t="s">
        <v>7</v>
      </c>
      <c r="H3428">
        <v>73958.94</v>
      </c>
      <c r="I3428">
        <v>56179.66</v>
      </c>
      <c r="J3428">
        <v>0</v>
      </c>
    </row>
    <row r="3429" spans="1:10" x14ac:dyDescent="0.35">
      <c r="A3429">
        <v>319709</v>
      </c>
      <c r="B3429" t="s">
        <v>20</v>
      </c>
      <c r="C3429">
        <v>2015</v>
      </c>
      <c r="D3429">
        <v>7</v>
      </c>
      <c r="E3429" t="s">
        <v>7</v>
      </c>
      <c r="F3429" t="s">
        <v>7</v>
      </c>
      <c r="G3429" t="s">
        <v>7</v>
      </c>
      <c r="H3429">
        <v>97327.74</v>
      </c>
      <c r="I3429">
        <v>52430.26</v>
      </c>
      <c r="J3429">
        <v>0</v>
      </c>
    </row>
    <row r="3430" spans="1:10" x14ac:dyDescent="0.35">
      <c r="A3430">
        <v>319711</v>
      </c>
      <c r="B3430" t="s">
        <v>20</v>
      </c>
      <c r="C3430">
        <v>2015</v>
      </c>
      <c r="D3430">
        <v>7</v>
      </c>
      <c r="E3430" t="s">
        <v>7</v>
      </c>
      <c r="F3430" t="s">
        <v>7</v>
      </c>
      <c r="G3430" t="s">
        <v>7</v>
      </c>
      <c r="H3430">
        <v>64252.29</v>
      </c>
      <c r="I3430">
        <v>46368.25</v>
      </c>
      <c r="J3430">
        <v>0</v>
      </c>
    </row>
    <row r="3431" spans="1:10" x14ac:dyDescent="0.35">
      <c r="A3431">
        <v>319714</v>
      </c>
      <c r="B3431" t="s">
        <v>20</v>
      </c>
      <c r="C3431">
        <v>2015</v>
      </c>
      <c r="D3431">
        <v>7</v>
      </c>
      <c r="E3431" t="s">
        <v>7</v>
      </c>
      <c r="F3431" t="s">
        <v>7</v>
      </c>
      <c r="G3431" t="s">
        <v>7</v>
      </c>
      <c r="H3431">
        <v>45811.12</v>
      </c>
      <c r="I3431">
        <v>14912.43</v>
      </c>
      <c r="J3431">
        <v>0</v>
      </c>
    </row>
    <row r="3432" spans="1:10" x14ac:dyDescent="0.35">
      <c r="A3432">
        <v>319716</v>
      </c>
      <c r="B3432" t="s">
        <v>20</v>
      </c>
      <c r="C3432">
        <v>2015</v>
      </c>
      <c r="D3432">
        <v>7</v>
      </c>
      <c r="E3432" t="s">
        <v>7</v>
      </c>
      <c r="F3432" t="s">
        <v>7</v>
      </c>
      <c r="G3432" t="s">
        <v>7</v>
      </c>
      <c r="H3432">
        <v>67104.460000000006</v>
      </c>
      <c r="I3432">
        <v>53442.27</v>
      </c>
      <c r="J3432">
        <v>0</v>
      </c>
    </row>
    <row r="3433" spans="1:10" x14ac:dyDescent="0.35">
      <c r="A3433">
        <v>319719</v>
      </c>
      <c r="B3433" t="s">
        <v>20</v>
      </c>
      <c r="C3433">
        <v>2015</v>
      </c>
      <c r="D3433">
        <v>7</v>
      </c>
      <c r="E3433" t="s">
        <v>7</v>
      </c>
      <c r="F3433" t="s">
        <v>7</v>
      </c>
      <c r="G3433" t="s">
        <v>7</v>
      </c>
      <c r="H3433">
        <v>44720.78</v>
      </c>
      <c r="I3433">
        <v>13082.71</v>
      </c>
      <c r="J3433">
        <v>0</v>
      </c>
    </row>
    <row r="3434" spans="1:10" x14ac:dyDescent="0.35">
      <c r="A3434">
        <v>319724</v>
      </c>
      <c r="B3434" t="s">
        <v>20</v>
      </c>
      <c r="C3434">
        <v>2015</v>
      </c>
      <c r="D3434">
        <v>7</v>
      </c>
      <c r="E3434" t="s">
        <v>7</v>
      </c>
      <c r="F3434" t="s">
        <v>7</v>
      </c>
      <c r="G3434" t="s">
        <v>7</v>
      </c>
      <c r="H3434">
        <v>30504.16</v>
      </c>
      <c r="I3434">
        <v>9135.35</v>
      </c>
      <c r="J3434">
        <v>0</v>
      </c>
    </row>
    <row r="3435" spans="1:10" x14ac:dyDescent="0.35">
      <c r="A3435">
        <v>319725</v>
      </c>
      <c r="B3435" t="s">
        <v>20</v>
      </c>
      <c r="C3435">
        <v>2015</v>
      </c>
      <c r="D3435">
        <v>7</v>
      </c>
      <c r="E3435" t="s">
        <v>7</v>
      </c>
      <c r="F3435" t="s">
        <v>7</v>
      </c>
      <c r="G3435" t="s">
        <v>7</v>
      </c>
      <c r="H3435">
        <v>19186.740000000002</v>
      </c>
      <c r="I3435">
        <v>5952.47</v>
      </c>
      <c r="J3435">
        <v>0</v>
      </c>
    </row>
    <row r="3436" spans="1:10" x14ac:dyDescent="0.35">
      <c r="A3436">
        <v>319731</v>
      </c>
      <c r="B3436" t="s">
        <v>20</v>
      </c>
      <c r="C3436">
        <v>2015</v>
      </c>
      <c r="D3436">
        <v>7</v>
      </c>
      <c r="E3436" t="s">
        <v>7</v>
      </c>
      <c r="F3436" t="s">
        <v>7</v>
      </c>
      <c r="G3436" t="s">
        <v>7</v>
      </c>
      <c r="H3436">
        <v>42340.36</v>
      </c>
      <c r="I3436">
        <v>13404.18</v>
      </c>
      <c r="J3436">
        <v>0</v>
      </c>
    </row>
    <row r="3437" spans="1:10" x14ac:dyDescent="0.35">
      <c r="A3437">
        <v>319737</v>
      </c>
      <c r="B3437" t="s">
        <v>20</v>
      </c>
      <c r="C3437">
        <v>2015</v>
      </c>
      <c r="D3437">
        <v>7</v>
      </c>
      <c r="E3437" t="s">
        <v>7</v>
      </c>
      <c r="F3437" t="s">
        <v>7</v>
      </c>
      <c r="G3437" t="s">
        <v>7</v>
      </c>
      <c r="H3437">
        <v>23619.48</v>
      </c>
      <c r="I3437">
        <v>6522.48</v>
      </c>
      <c r="J3437">
        <v>0</v>
      </c>
    </row>
    <row r="3438" spans="1:10" x14ac:dyDescent="0.35">
      <c r="A3438">
        <v>319743</v>
      </c>
      <c r="B3438" t="s">
        <v>20</v>
      </c>
      <c r="C3438">
        <v>2015</v>
      </c>
      <c r="D3438">
        <v>7</v>
      </c>
      <c r="E3438" t="s">
        <v>7</v>
      </c>
      <c r="F3438" t="s">
        <v>7</v>
      </c>
      <c r="G3438" t="s">
        <v>7</v>
      </c>
      <c r="H3438">
        <v>10041.9</v>
      </c>
      <c r="I3438">
        <v>2230.64</v>
      </c>
      <c r="J3438">
        <v>0</v>
      </c>
    </row>
    <row r="3439" spans="1:10" x14ac:dyDescent="0.35">
      <c r="A3439">
        <v>319745</v>
      </c>
      <c r="B3439" t="s">
        <v>20</v>
      </c>
      <c r="C3439">
        <v>2015</v>
      </c>
      <c r="D3439">
        <v>7</v>
      </c>
      <c r="E3439" t="s">
        <v>7</v>
      </c>
      <c r="F3439" t="s">
        <v>7</v>
      </c>
      <c r="G3439" t="s">
        <v>7</v>
      </c>
      <c r="H3439">
        <v>78992.78</v>
      </c>
      <c r="I3439">
        <v>59329.47</v>
      </c>
      <c r="J3439">
        <v>0</v>
      </c>
    </row>
    <row r="3440" spans="1:10" x14ac:dyDescent="0.35">
      <c r="A3440">
        <v>319748</v>
      </c>
      <c r="B3440" t="s">
        <v>20</v>
      </c>
      <c r="C3440">
        <v>2015</v>
      </c>
      <c r="D3440">
        <v>7</v>
      </c>
      <c r="E3440" t="s">
        <v>7</v>
      </c>
      <c r="F3440" t="s">
        <v>7</v>
      </c>
      <c r="G3440" t="s">
        <v>7</v>
      </c>
      <c r="H3440">
        <v>88876.479999999996</v>
      </c>
      <c r="I3440">
        <v>33490.42</v>
      </c>
      <c r="J3440">
        <v>0</v>
      </c>
    </row>
    <row r="3441" spans="1:10" x14ac:dyDescent="0.35">
      <c r="A3441">
        <v>319749</v>
      </c>
      <c r="B3441" t="s">
        <v>20</v>
      </c>
      <c r="C3441">
        <v>2015</v>
      </c>
      <c r="D3441">
        <v>7</v>
      </c>
      <c r="E3441" t="s">
        <v>7</v>
      </c>
      <c r="F3441" t="s">
        <v>7</v>
      </c>
      <c r="G3441" t="s">
        <v>7</v>
      </c>
      <c r="H3441">
        <v>76992.679999999993</v>
      </c>
      <c r="I3441">
        <v>40539.07</v>
      </c>
      <c r="J3441">
        <v>0</v>
      </c>
    </row>
    <row r="3442" spans="1:10" x14ac:dyDescent="0.35">
      <c r="A3442">
        <v>319755</v>
      </c>
      <c r="B3442" t="s">
        <v>20</v>
      </c>
      <c r="C3442">
        <v>2015</v>
      </c>
      <c r="D3442">
        <v>7</v>
      </c>
      <c r="E3442" t="s">
        <v>7</v>
      </c>
      <c r="F3442" t="s">
        <v>7</v>
      </c>
      <c r="G3442" t="s">
        <v>7</v>
      </c>
      <c r="H3442">
        <v>76700.58</v>
      </c>
      <c r="I3442">
        <v>57727.54</v>
      </c>
      <c r="J3442">
        <v>0</v>
      </c>
    </row>
    <row r="3443" spans="1:10" x14ac:dyDescent="0.35">
      <c r="A3443">
        <v>319758</v>
      </c>
      <c r="B3443" t="s">
        <v>20</v>
      </c>
      <c r="C3443">
        <v>2015</v>
      </c>
      <c r="D3443">
        <v>7</v>
      </c>
      <c r="E3443" t="s">
        <v>7</v>
      </c>
      <c r="F3443" t="s">
        <v>7</v>
      </c>
      <c r="G3443" t="s">
        <v>7</v>
      </c>
      <c r="H3443">
        <v>89641.3</v>
      </c>
      <c r="I3443">
        <v>25804.5</v>
      </c>
      <c r="J3443">
        <v>0</v>
      </c>
    </row>
    <row r="3444" spans="1:10" x14ac:dyDescent="0.35">
      <c r="A3444">
        <v>319765</v>
      </c>
      <c r="B3444" t="s">
        <v>20</v>
      </c>
      <c r="C3444">
        <v>2015</v>
      </c>
      <c r="D3444">
        <v>7</v>
      </c>
      <c r="E3444" t="s">
        <v>7</v>
      </c>
      <c r="F3444" t="s">
        <v>7</v>
      </c>
      <c r="G3444" t="s">
        <v>7</v>
      </c>
      <c r="H3444">
        <v>31790.240000000002</v>
      </c>
      <c r="I3444">
        <v>13866.11</v>
      </c>
      <c r="J3444">
        <v>0</v>
      </c>
    </row>
    <row r="3445" spans="1:10" x14ac:dyDescent="0.35">
      <c r="A3445">
        <v>319767</v>
      </c>
      <c r="B3445" t="s">
        <v>20</v>
      </c>
      <c r="C3445">
        <v>2015</v>
      </c>
      <c r="D3445">
        <v>7</v>
      </c>
      <c r="E3445" t="s">
        <v>7</v>
      </c>
      <c r="F3445" t="s">
        <v>7</v>
      </c>
      <c r="G3445" t="s">
        <v>7</v>
      </c>
      <c r="H3445">
        <v>71834.600000000006</v>
      </c>
      <c r="I3445">
        <v>57189.04</v>
      </c>
      <c r="J3445">
        <v>0</v>
      </c>
    </row>
    <row r="3446" spans="1:10" x14ac:dyDescent="0.35">
      <c r="A3446">
        <v>319768</v>
      </c>
      <c r="B3446" t="s">
        <v>20</v>
      </c>
      <c r="C3446">
        <v>2015</v>
      </c>
      <c r="D3446">
        <v>7</v>
      </c>
      <c r="E3446" t="s">
        <v>7</v>
      </c>
      <c r="F3446" t="s">
        <v>7</v>
      </c>
      <c r="G3446" t="s">
        <v>7</v>
      </c>
      <c r="H3446">
        <v>102308.24</v>
      </c>
      <c r="I3446">
        <v>66159.95</v>
      </c>
      <c r="J3446">
        <v>0</v>
      </c>
    </row>
    <row r="3447" spans="1:10" x14ac:dyDescent="0.35">
      <c r="A3447">
        <v>319775</v>
      </c>
      <c r="B3447" t="s">
        <v>20</v>
      </c>
      <c r="C3447">
        <v>2015</v>
      </c>
      <c r="D3447">
        <v>7</v>
      </c>
      <c r="E3447" t="s">
        <v>7</v>
      </c>
      <c r="F3447" t="s">
        <v>7</v>
      </c>
      <c r="G3447" t="s">
        <v>7</v>
      </c>
      <c r="H3447">
        <v>73098.3</v>
      </c>
      <c r="I3447">
        <v>21366.080000000002</v>
      </c>
      <c r="J3447">
        <v>0</v>
      </c>
    </row>
    <row r="3448" spans="1:10" x14ac:dyDescent="0.35">
      <c r="A3448">
        <v>319776</v>
      </c>
      <c r="B3448" t="s">
        <v>20</v>
      </c>
      <c r="C3448">
        <v>2015</v>
      </c>
      <c r="D3448">
        <v>7</v>
      </c>
      <c r="E3448" t="s">
        <v>7</v>
      </c>
      <c r="F3448" t="s">
        <v>7</v>
      </c>
      <c r="G3448" t="s">
        <v>7</v>
      </c>
      <c r="H3448">
        <v>70669.72</v>
      </c>
      <c r="I3448">
        <v>53550.8</v>
      </c>
      <c r="J3448">
        <v>0</v>
      </c>
    </row>
    <row r="3449" spans="1:10" x14ac:dyDescent="0.35">
      <c r="A3449">
        <v>319777</v>
      </c>
      <c r="B3449" t="s">
        <v>20</v>
      </c>
      <c r="C3449">
        <v>2015</v>
      </c>
      <c r="D3449">
        <v>7</v>
      </c>
      <c r="E3449" t="s">
        <v>7</v>
      </c>
      <c r="F3449" t="s">
        <v>7</v>
      </c>
      <c r="G3449" t="s">
        <v>7</v>
      </c>
      <c r="H3449">
        <v>60135.040000000001</v>
      </c>
      <c r="I3449">
        <v>17916.91</v>
      </c>
      <c r="J3449">
        <v>0</v>
      </c>
    </row>
    <row r="3450" spans="1:10" x14ac:dyDescent="0.35">
      <c r="A3450">
        <v>319783</v>
      </c>
      <c r="B3450" t="s">
        <v>20</v>
      </c>
      <c r="C3450">
        <v>2015</v>
      </c>
      <c r="D3450">
        <v>7</v>
      </c>
      <c r="E3450" t="s">
        <v>7</v>
      </c>
      <c r="F3450" t="s">
        <v>7</v>
      </c>
      <c r="G3450" t="s">
        <v>7</v>
      </c>
      <c r="H3450">
        <v>77571.759999999995</v>
      </c>
      <c r="I3450">
        <v>59203.68</v>
      </c>
      <c r="J3450">
        <v>0</v>
      </c>
    </row>
    <row r="3451" spans="1:10" x14ac:dyDescent="0.35">
      <c r="A3451">
        <v>319784</v>
      </c>
      <c r="B3451" t="s">
        <v>20</v>
      </c>
      <c r="C3451">
        <v>2015</v>
      </c>
      <c r="D3451">
        <v>7</v>
      </c>
      <c r="E3451" t="s">
        <v>7</v>
      </c>
      <c r="F3451" t="s">
        <v>7</v>
      </c>
      <c r="G3451" t="s">
        <v>7</v>
      </c>
      <c r="H3451">
        <v>21508.080000000002</v>
      </c>
      <c r="I3451">
        <v>6892.39</v>
      </c>
      <c r="J3451">
        <v>0</v>
      </c>
    </row>
    <row r="3452" spans="1:10" x14ac:dyDescent="0.35">
      <c r="A3452">
        <v>319793</v>
      </c>
      <c r="B3452" t="s">
        <v>20</v>
      </c>
      <c r="C3452">
        <v>2015</v>
      </c>
      <c r="D3452">
        <v>7</v>
      </c>
      <c r="E3452" t="s">
        <v>7</v>
      </c>
      <c r="F3452" t="s">
        <v>7</v>
      </c>
      <c r="G3452" t="s">
        <v>7</v>
      </c>
      <c r="H3452">
        <v>19462.14</v>
      </c>
      <c r="I3452">
        <v>4716.72</v>
      </c>
      <c r="J3452">
        <v>0</v>
      </c>
    </row>
    <row r="3453" spans="1:10" x14ac:dyDescent="0.35">
      <c r="A3453">
        <v>319802</v>
      </c>
      <c r="B3453" t="s">
        <v>20</v>
      </c>
      <c r="C3453">
        <v>2015</v>
      </c>
      <c r="D3453">
        <v>7</v>
      </c>
      <c r="E3453" t="s">
        <v>7</v>
      </c>
      <c r="F3453" t="s">
        <v>7</v>
      </c>
      <c r="G3453" t="s">
        <v>7</v>
      </c>
      <c r="H3453">
        <v>17060.34</v>
      </c>
      <c r="I3453">
        <v>4010.36</v>
      </c>
      <c r="J3453">
        <v>0</v>
      </c>
    </row>
    <row r="3454" spans="1:10" x14ac:dyDescent="0.35">
      <c r="A3454">
        <v>319805</v>
      </c>
      <c r="B3454" t="s">
        <v>20</v>
      </c>
      <c r="C3454">
        <v>2015</v>
      </c>
      <c r="D3454">
        <v>7</v>
      </c>
      <c r="E3454" t="s">
        <v>7</v>
      </c>
      <c r="F3454" t="s">
        <v>7</v>
      </c>
      <c r="G3454" t="s">
        <v>7</v>
      </c>
      <c r="H3454">
        <v>49472.76</v>
      </c>
      <c r="I3454">
        <v>13050.93</v>
      </c>
      <c r="J3454">
        <v>0</v>
      </c>
    </row>
    <row r="3455" spans="1:10" x14ac:dyDescent="0.35">
      <c r="A3455">
        <v>319807</v>
      </c>
      <c r="B3455" t="s">
        <v>20</v>
      </c>
      <c r="C3455">
        <v>2015</v>
      </c>
      <c r="D3455">
        <v>7</v>
      </c>
      <c r="E3455" t="s">
        <v>7</v>
      </c>
      <c r="F3455" t="s">
        <v>7</v>
      </c>
      <c r="G3455" t="s">
        <v>7</v>
      </c>
      <c r="H3455">
        <v>78407.100000000006</v>
      </c>
      <c r="I3455">
        <v>52276.41</v>
      </c>
      <c r="J3455">
        <v>0</v>
      </c>
    </row>
    <row r="3456" spans="1:10" x14ac:dyDescent="0.35">
      <c r="A3456">
        <v>319812</v>
      </c>
      <c r="B3456" t="s">
        <v>20</v>
      </c>
      <c r="C3456">
        <v>2015</v>
      </c>
      <c r="D3456">
        <v>7</v>
      </c>
      <c r="E3456" t="s">
        <v>7</v>
      </c>
      <c r="F3456" t="s">
        <v>7</v>
      </c>
      <c r="G3456" t="s">
        <v>7</v>
      </c>
      <c r="H3456">
        <v>61784.74</v>
      </c>
      <c r="I3456">
        <v>18038.400000000001</v>
      </c>
      <c r="J3456">
        <v>0</v>
      </c>
    </row>
    <row r="3457" spans="1:10" x14ac:dyDescent="0.35">
      <c r="A3457">
        <v>319813</v>
      </c>
      <c r="B3457" t="s">
        <v>20</v>
      </c>
      <c r="C3457">
        <v>2015</v>
      </c>
      <c r="D3457">
        <v>7</v>
      </c>
      <c r="E3457" t="s">
        <v>7</v>
      </c>
      <c r="F3457" t="s">
        <v>7</v>
      </c>
      <c r="G3457" t="s">
        <v>7</v>
      </c>
      <c r="H3457">
        <v>62262.86</v>
      </c>
      <c r="I3457">
        <v>43884.47</v>
      </c>
      <c r="J3457">
        <v>0</v>
      </c>
    </row>
    <row r="3458" spans="1:10" x14ac:dyDescent="0.35">
      <c r="A3458">
        <v>319815</v>
      </c>
      <c r="B3458" t="s">
        <v>20</v>
      </c>
      <c r="C3458">
        <v>2015</v>
      </c>
      <c r="D3458">
        <v>7</v>
      </c>
      <c r="E3458" t="s">
        <v>7</v>
      </c>
      <c r="F3458" t="s">
        <v>7</v>
      </c>
      <c r="G3458" t="s">
        <v>7</v>
      </c>
      <c r="H3458">
        <v>61020.4</v>
      </c>
      <c r="I3458">
        <v>18229.95</v>
      </c>
      <c r="J3458">
        <v>0</v>
      </c>
    </row>
    <row r="3459" spans="1:10" x14ac:dyDescent="0.35">
      <c r="A3459">
        <v>319818</v>
      </c>
      <c r="B3459" t="s">
        <v>20</v>
      </c>
      <c r="C3459">
        <v>2015</v>
      </c>
      <c r="D3459">
        <v>7</v>
      </c>
      <c r="E3459" t="s">
        <v>7</v>
      </c>
      <c r="F3459" t="s">
        <v>7</v>
      </c>
      <c r="G3459" t="s">
        <v>7</v>
      </c>
      <c r="H3459">
        <v>70142.899999999994</v>
      </c>
      <c r="I3459">
        <v>54169.39</v>
      </c>
      <c r="J3459">
        <v>0</v>
      </c>
    </row>
    <row r="3460" spans="1:10" x14ac:dyDescent="0.35">
      <c r="A3460">
        <v>319825</v>
      </c>
      <c r="B3460" t="s">
        <v>20</v>
      </c>
      <c r="C3460">
        <v>2015</v>
      </c>
      <c r="D3460">
        <v>7</v>
      </c>
      <c r="E3460" t="s">
        <v>7</v>
      </c>
      <c r="F3460" t="s">
        <v>7</v>
      </c>
      <c r="G3460" t="s">
        <v>7</v>
      </c>
      <c r="H3460">
        <v>29036.18</v>
      </c>
      <c r="I3460">
        <v>9079.26</v>
      </c>
      <c r="J3460">
        <v>0</v>
      </c>
    </row>
    <row r="3461" spans="1:10" x14ac:dyDescent="0.35">
      <c r="A3461">
        <v>319827</v>
      </c>
      <c r="B3461" t="s">
        <v>20</v>
      </c>
      <c r="C3461">
        <v>2015</v>
      </c>
      <c r="D3461">
        <v>7</v>
      </c>
      <c r="E3461" t="s">
        <v>7</v>
      </c>
      <c r="F3461" t="s">
        <v>7</v>
      </c>
      <c r="G3461" t="s">
        <v>7</v>
      </c>
      <c r="H3461">
        <v>66987.8</v>
      </c>
      <c r="I3461">
        <v>47012.61</v>
      </c>
      <c r="J3461">
        <v>0</v>
      </c>
    </row>
    <row r="3462" spans="1:10" x14ac:dyDescent="0.35">
      <c r="A3462">
        <v>319833</v>
      </c>
      <c r="B3462" t="s">
        <v>20</v>
      </c>
      <c r="C3462">
        <v>2015</v>
      </c>
      <c r="D3462">
        <v>7</v>
      </c>
      <c r="E3462" t="s">
        <v>7</v>
      </c>
      <c r="F3462" t="s">
        <v>7</v>
      </c>
      <c r="G3462" t="s">
        <v>7</v>
      </c>
      <c r="H3462">
        <v>77157.919999999998</v>
      </c>
      <c r="I3462">
        <v>59084.26</v>
      </c>
      <c r="J3462">
        <v>0</v>
      </c>
    </row>
    <row r="3463" spans="1:10" x14ac:dyDescent="0.35">
      <c r="A3463">
        <v>319835</v>
      </c>
      <c r="B3463" t="s">
        <v>20</v>
      </c>
      <c r="C3463">
        <v>2015</v>
      </c>
      <c r="D3463">
        <v>7</v>
      </c>
      <c r="E3463" t="s">
        <v>7</v>
      </c>
      <c r="F3463" t="s">
        <v>7</v>
      </c>
      <c r="G3463" t="s">
        <v>7</v>
      </c>
      <c r="H3463">
        <v>79545.38</v>
      </c>
      <c r="I3463">
        <v>62073</v>
      </c>
      <c r="J3463">
        <v>0</v>
      </c>
    </row>
    <row r="3464" spans="1:10" x14ac:dyDescent="0.35">
      <c r="A3464">
        <v>319836</v>
      </c>
      <c r="B3464" t="s">
        <v>20</v>
      </c>
      <c r="C3464">
        <v>2015</v>
      </c>
      <c r="D3464">
        <v>7</v>
      </c>
      <c r="E3464" t="s">
        <v>7</v>
      </c>
      <c r="F3464" t="s">
        <v>7</v>
      </c>
      <c r="G3464" t="s">
        <v>7</v>
      </c>
      <c r="H3464">
        <v>19175.64</v>
      </c>
      <c r="I3464">
        <v>5689.54</v>
      </c>
      <c r="J3464">
        <v>0</v>
      </c>
    </row>
    <row r="3465" spans="1:10" x14ac:dyDescent="0.35">
      <c r="A3465">
        <v>319841</v>
      </c>
      <c r="B3465" t="s">
        <v>20</v>
      </c>
      <c r="C3465">
        <v>2015</v>
      </c>
      <c r="D3465">
        <v>7</v>
      </c>
      <c r="E3465" t="s">
        <v>7</v>
      </c>
      <c r="F3465" t="s">
        <v>7</v>
      </c>
      <c r="G3465" t="s">
        <v>7</v>
      </c>
      <c r="H3465">
        <v>72390.47</v>
      </c>
      <c r="I3465">
        <v>53689.73</v>
      </c>
      <c r="J3465">
        <v>0</v>
      </c>
    </row>
    <row r="3466" spans="1:10" x14ac:dyDescent="0.35">
      <c r="A3466">
        <v>319844</v>
      </c>
      <c r="B3466" t="s">
        <v>20</v>
      </c>
      <c r="C3466">
        <v>2015</v>
      </c>
      <c r="D3466">
        <v>7</v>
      </c>
      <c r="E3466" t="s">
        <v>7</v>
      </c>
      <c r="F3466" t="s">
        <v>7</v>
      </c>
      <c r="G3466" t="s">
        <v>7</v>
      </c>
      <c r="H3466">
        <v>58918.52</v>
      </c>
      <c r="I3466">
        <v>17399.689999999999</v>
      </c>
      <c r="J3466">
        <v>0</v>
      </c>
    </row>
    <row r="3467" spans="1:10" x14ac:dyDescent="0.35">
      <c r="A3467">
        <v>319847</v>
      </c>
      <c r="B3467" t="s">
        <v>20</v>
      </c>
      <c r="C3467">
        <v>2015</v>
      </c>
      <c r="D3467">
        <v>7</v>
      </c>
      <c r="E3467" t="s">
        <v>7</v>
      </c>
      <c r="F3467" t="s">
        <v>7</v>
      </c>
      <c r="G3467" t="s">
        <v>7</v>
      </c>
      <c r="H3467">
        <v>39145.78</v>
      </c>
      <c r="I3467">
        <v>28481.71</v>
      </c>
      <c r="J3467">
        <v>0</v>
      </c>
    </row>
    <row r="3468" spans="1:10" x14ac:dyDescent="0.35">
      <c r="A3468">
        <v>319849</v>
      </c>
      <c r="B3468" t="s">
        <v>20</v>
      </c>
      <c r="C3468">
        <v>2015</v>
      </c>
      <c r="D3468">
        <v>7</v>
      </c>
      <c r="E3468" t="s">
        <v>7</v>
      </c>
      <c r="F3468" t="s">
        <v>7</v>
      </c>
      <c r="G3468" t="s">
        <v>7</v>
      </c>
      <c r="H3468">
        <v>25227.42</v>
      </c>
      <c r="I3468">
        <v>6350.14</v>
      </c>
      <c r="J3468">
        <v>0</v>
      </c>
    </row>
    <row r="3469" spans="1:10" x14ac:dyDescent="0.35">
      <c r="A3469">
        <v>319855</v>
      </c>
      <c r="B3469" t="s">
        <v>20</v>
      </c>
      <c r="C3469">
        <v>2015</v>
      </c>
      <c r="D3469">
        <v>7</v>
      </c>
      <c r="E3469" t="s">
        <v>7</v>
      </c>
      <c r="F3469" t="s">
        <v>7</v>
      </c>
      <c r="G3469" t="s">
        <v>7</v>
      </c>
      <c r="H3469">
        <v>100096.48</v>
      </c>
      <c r="I3469">
        <v>53528.26</v>
      </c>
      <c r="J3469">
        <v>0</v>
      </c>
    </row>
    <row r="3470" spans="1:10" x14ac:dyDescent="0.35">
      <c r="A3470">
        <v>319858</v>
      </c>
      <c r="B3470" t="s">
        <v>20</v>
      </c>
      <c r="C3470">
        <v>2015</v>
      </c>
      <c r="D3470">
        <v>7</v>
      </c>
      <c r="E3470" t="s">
        <v>7</v>
      </c>
      <c r="F3470" t="s">
        <v>7</v>
      </c>
      <c r="G3470" t="s">
        <v>7</v>
      </c>
      <c r="H3470">
        <v>16595.599999999999</v>
      </c>
      <c r="I3470">
        <v>8763.1200000000008</v>
      </c>
      <c r="J3470">
        <v>0</v>
      </c>
    </row>
    <row r="3471" spans="1:10" x14ac:dyDescent="0.35">
      <c r="A3471">
        <v>319861</v>
      </c>
      <c r="B3471" t="s">
        <v>20</v>
      </c>
      <c r="C3471">
        <v>2015</v>
      </c>
      <c r="D3471">
        <v>7</v>
      </c>
      <c r="E3471" t="s">
        <v>7</v>
      </c>
      <c r="F3471" t="s">
        <v>7</v>
      </c>
      <c r="G3471" t="s">
        <v>7</v>
      </c>
      <c r="H3471">
        <v>31551.1</v>
      </c>
      <c r="I3471">
        <v>10051.299999999999</v>
      </c>
      <c r="J3471">
        <v>0</v>
      </c>
    </row>
    <row r="3472" spans="1:10" x14ac:dyDescent="0.35">
      <c r="A3472">
        <v>319865</v>
      </c>
      <c r="B3472" t="s">
        <v>20</v>
      </c>
      <c r="C3472">
        <v>2015</v>
      </c>
      <c r="D3472">
        <v>7</v>
      </c>
      <c r="E3472" t="s">
        <v>7</v>
      </c>
      <c r="F3472" t="s">
        <v>7</v>
      </c>
      <c r="G3472" t="s">
        <v>7</v>
      </c>
      <c r="H3472">
        <v>24771.48</v>
      </c>
      <c r="I3472">
        <v>7467.03</v>
      </c>
      <c r="J3472">
        <v>0</v>
      </c>
    </row>
    <row r="3473" spans="1:10" x14ac:dyDescent="0.35">
      <c r="A3473">
        <v>319872</v>
      </c>
      <c r="B3473" t="s">
        <v>20</v>
      </c>
      <c r="C3473">
        <v>2015</v>
      </c>
      <c r="D3473">
        <v>7</v>
      </c>
      <c r="E3473" t="s">
        <v>7</v>
      </c>
      <c r="F3473" t="s">
        <v>7</v>
      </c>
      <c r="G3473" t="s">
        <v>7</v>
      </c>
      <c r="H3473">
        <v>37978.660000000003</v>
      </c>
      <c r="I3473">
        <v>10124.67</v>
      </c>
      <c r="J3473">
        <v>0</v>
      </c>
    </row>
    <row r="3474" spans="1:10" x14ac:dyDescent="0.35">
      <c r="A3474">
        <v>319876</v>
      </c>
      <c r="B3474" t="s">
        <v>20</v>
      </c>
      <c r="C3474">
        <v>2015</v>
      </c>
      <c r="D3474">
        <v>7</v>
      </c>
      <c r="E3474" t="s">
        <v>7</v>
      </c>
      <c r="F3474" t="s">
        <v>7</v>
      </c>
      <c r="G3474" t="s">
        <v>7</v>
      </c>
      <c r="H3474">
        <v>79654.22</v>
      </c>
      <c r="I3474">
        <v>25789.99</v>
      </c>
      <c r="J3474">
        <v>0</v>
      </c>
    </row>
    <row r="3475" spans="1:10" x14ac:dyDescent="0.35">
      <c r="A3475">
        <v>319884</v>
      </c>
      <c r="B3475" t="s">
        <v>20</v>
      </c>
      <c r="C3475">
        <v>2015</v>
      </c>
      <c r="D3475">
        <v>7</v>
      </c>
      <c r="E3475" t="s">
        <v>7</v>
      </c>
      <c r="F3475" t="s">
        <v>7</v>
      </c>
      <c r="G3475" t="s">
        <v>7</v>
      </c>
      <c r="H3475">
        <v>38420.300000000003</v>
      </c>
      <c r="I3475">
        <v>11957.76</v>
      </c>
      <c r="J3475">
        <v>0</v>
      </c>
    </row>
    <row r="3476" spans="1:10" x14ac:dyDescent="0.35">
      <c r="A3476">
        <v>319886</v>
      </c>
      <c r="B3476" t="s">
        <v>20</v>
      </c>
      <c r="C3476">
        <v>2015</v>
      </c>
      <c r="D3476">
        <v>7</v>
      </c>
      <c r="E3476" t="s">
        <v>7</v>
      </c>
      <c r="F3476" t="s">
        <v>7</v>
      </c>
      <c r="G3476" t="s">
        <v>7</v>
      </c>
      <c r="H3476">
        <v>77670.16</v>
      </c>
      <c r="I3476">
        <v>59290.3</v>
      </c>
      <c r="J3476">
        <v>0</v>
      </c>
    </row>
    <row r="3477" spans="1:10" x14ac:dyDescent="0.35">
      <c r="A3477">
        <v>319887</v>
      </c>
      <c r="B3477" t="s">
        <v>20</v>
      </c>
      <c r="C3477">
        <v>2015</v>
      </c>
      <c r="D3477">
        <v>7</v>
      </c>
      <c r="E3477" t="s">
        <v>7</v>
      </c>
      <c r="F3477" t="s">
        <v>7</v>
      </c>
      <c r="G3477" t="s">
        <v>7</v>
      </c>
      <c r="H3477">
        <v>54425.42</v>
      </c>
      <c r="I3477">
        <v>15304.78</v>
      </c>
      <c r="J3477">
        <v>0</v>
      </c>
    </row>
    <row r="3478" spans="1:10" x14ac:dyDescent="0.35">
      <c r="A3478">
        <v>319896</v>
      </c>
      <c r="B3478" t="s">
        <v>20</v>
      </c>
      <c r="C3478">
        <v>2015</v>
      </c>
      <c r="D3478">
        <v>7</v>
      </c>
      <c r="E3478" t="s">
        <v>7</v>
      </c>
      <c r="F3478" t="s">
        <v>7</v>
      </c>
      <c r="G3478" t="s">
        <v>7</v>
      </c>
      <c r="H3478">
        <v>67414.740000000005</v>
      </c>
      <c r="I3478">
        <v>49075.14</v>
      </c>
      <c r="J3478">
        <v>0</v>
      </c>
    </row>
    <row r="3479" spans="1:10" x14ac:dyDescent="0.35">
      <c r="A3479">
        <v>319897</v>
      </c>
      <c r="B3479" t="s">
        <v>20</v>
      </c>
      <c r="C3479">
        <v>2015</v>
      </c>
      <c r="D3479">
        <v>7</v>
      </c>
      <c r="E3479" t="s">
        <v>7</v>
      </c>
      <c r="F3479" t="s">
        <v>7</v>
      </c>
      <c r="G3479" t="s">
        <v>7</v>
      </c>
      <c r="H3479">
        <v>39076.89</v>
      </c>
      <c r="I3479">
        <v>25544.93</v>
      </c>
      <c r="J3479">
        <v>0</v>
      </c>
    </row>
    <row r="3480" spans="1:10" x14ac:dyDescent="0.35">
      <c r="A3480">
        <v>319901</v>
      </c>
      <c r="B3480" t="s">
        <v>20</v>
      </c>
      <c r="C3480">
        <v>2015</v>
      </c>
      <c r="D3480">
        <v>7</v>
      </c>
      <c r="E3480" t="s">
        <v>7</v>
      </c>
      <c r="F3480" t="s">
        <v>7</v>
      </c>
      <c r="G3480" t="s">
        <v>7</v>
      </c>
      <c r="H3480">
        <v>54144.72</v>
      </c>
      <c r="I3480">
        <v>17028.68</v>
      </c>
      <c r="J3480">
        <v>0</v>
      </c>
    </row>
    <row r="3481" spans="1:10" x14ac:dyDescent="0.35">
      <c r="A3481">
        <v>319903</v>
      </c>
      <c r="B3481" t="s">
        <v>20</v>
      </c>
      <c r="C3481">
        <v>2015</v>
      </c>
      <c r="D3481">
        <v>7</v>
      </c>
      <c r="E3481" t="s">
        <v>7</v>
      </c>
      <c r="F3481" t="s">
        <v>7</v>
      </c>
      <c r="G3481" t="s">
        <v>7</v>
      </c>
      <c r="H3481">
        <v>62586.28</v>
      </c>
      <c r="I3481">
        <v>47250.23</v>
      </c>
      <c r="J3481">
        <v>0</v>
      </c>
    </row>
    <row r="3482" spans="1:10" x14ac:dyDescent="0.35">
      <c r="A3482">
        <v>319907</v>
      </c>
      <c r="B3482" t="s">
        <v>20</v>
      </c>
      <c r="C3482">
        <v>2015</v>
      </c>
      <c r="D3482">
        <v>7</v>
      </c>
      <c r="E3482" t="s">
        <v>7</v>
      </c>
      <c r="F3482" t="s">
        <v>7</v>
      </c>
      <c r="G3482" t="s">
        <v>7</v>
      </c>
      <c r="H3482">
        <v>26895.360000000001</v>
      </c>
      <c r="I3482">
        <v>7567.23</v>
      </c>
      <c r="J3482">
        <v>0</v>
      </c>
    </row>
    <row r="3483" spans="1:10" x14ac:dyDescent="0.35">
      <c r="A3483">
        <v>319912</v>
      </c>
      <c r="B3483" t="s">
        <v>20</v>
      </c>
      <c r="C3483">
        <v>2015</v>
      </c>
      <c r="D3483">
        <v>7</v>
      </c>
      <c r="E3483" t="s">
        <v>7</v>
      </c>
      <c r="F3483" t="s">
        <v>7</v>
      </c>
      <c r="G3483" t="s">
        <v>7</v>
      </c>
      <c r="H3483">
        <v>79732.72</v>
      </c>
      <c r="I3483">
        <v>60118.07</v>
      </c>
      <c r="J3483">
        <v>0</v>
      </c>
    </row>
    <row r="3484" spans="1:10" x14ac:dyDescent="0.35">
      <c r="A3484">
        <v>319914</v>
      </c>
      <c r="B3484" t="s">
        <v>20</v>
      </c>
      <c r="C3484">
        <v>2015</v>
      </c>
      <c r="D3484">
        <v>7</v>
      </c>
      <c r="E3484" t="s">
        <v>7</v>
      </c>
      <c r="F3484" t="s">
        <v>7</v>
      </c>
      <c r="G3484" t="s">
        <v>7</v>
      </c>
      <c r="H3484">
        <v>80161.56</v>
      </c>
      <c r="I3484">
        <v>23786.73</v>
      </c>
      <c r="J3484">
        <v>0</v>
      </c>
    </row>
    <row r="3485" spans="1:10" x14ac:dyDescent="0.35">
      <c r="A3485">
        <v>319919</v>
      </c>
      <c r="B3485" t="s">
        <v>20</v>
      </c>
      <c r="C3485">
        <v>2015</v>
      </c>
      <c r="D3485">
        <v>7</v>
      </c>
      <c r="E3485" t="s">
        <v>7</v>
      </c>
      <c r="F3485" t="s">
        <v>7</v>
      </c>
      <c r="G3485" t="s">
        <v>7</v>
      </c>
      <c r="H3485">
        <v>67999.5</v>
      </c>
      <c r="I3485">
        <v>49365.79</v>
      </c>
      <c r="J3485">
        <v>0</v>
      </c>
    </row>
    <row r="3486" spans="1:10" x14ac:dyDescent="0.35">
      <c r="A3486">
        <v>319923</v>
      </c>
      <c r="B3486" t="s">
        <v>20</v>
      </c>
      <c r="C3486">
        <v>2015</v>
      </c>
      <c r="D3486">
        <v>7</v>
      </c>
      <c r="E3486" t="s">
        <v>7</v>
      </c>
      <c r="F3486" t="s">
        <v>7</v>
      </c>
      <c r="G3486" t="s">
        <v>7</v>
      </c>
      <c r="H3486">
        <v>21103.74</v>
      </c>
      <c r="I3486">
        <v>6625.98</v>
      </c>
      <c r="J3486">
        <v>0</v>
      </c>
    </row>
    <row r="3487" spans="1:10" x14ac:dyDescent="0.35">
      <c r="A3487">
        <v>319929</v>
      </c>
      <c r="B3487" t="s">
        <v>20</v>
      </c>
      <c r="C3487">
        <v>2015</v>
      </c>
      <c r="D3487">
        <v>7</v>
      </c>
      <c r="E3487" t="s">
        <v>7</v>
      </c>
      <c r="F3487" t="s">
        <v>7</v>
      </c>
      <c r="G3487" t="s">
        <v>7</v>
      </c>
      <c r="H3487">
        <v>65819.12</v>
      </c>
      <c r="I3487">
        <v>46975.14</v>
      </c>
      <c r="J3487">
        <v>0</v>
      </c>
    </row>
    <row r="3488" spans="1:10" x14ac:dyDescent="0.35">
      <c r="A3488">
        <v>319932</v>
      </c>
      <c r="B3488" t="s">
        <v>20</v>
      </c>
      <c r="C3488">
        <v>2015</v>
      </c>
      <c r="D3488">
        <v>7</v>
      </c>
      <c r="E3488" t="s">
        <v>7</v>
      </c>
      <c r="F3488" t="s">
        <v>7</v>
      </c>
      <c r="G3488" t="s">
        <v>7</v>
      </c>
      <c r="H3488">
        <v>76244.039999999994</v>
      </c>
      <c r="I3488">
        <v>57697.65</v>
      </c>
      <c r="J3488">
        <v>0</v>
      </c>
    </row>
    <row r="3489" spans="1:10" x14ac:dyDescent="0.35">
      <c r="A3489">
        <v>319934</v>
      </c>
      <c r="B3489" t="s">
        <v>20</v>
      </c>
      <c r="C3489">
        <v>2015</v>
      </c>
      <c r="D3489">
        <v>7</v>
      </c>
      <c r="E3489" t="s">
        <v>7</v>
      </c>
      <c r="F3489" t="s">
        <v>7</v>
      </c>
      <c r="G3489" t="s">
        <v>7</v>
      </c>
      <c r="H3489">
        <v>43902.94</v>
      </c>
      <c r="I3489">
        <v>31562.799999999999</v>
      </c>
      <c r="J3489">
        <v>0</v>
      </c>
    </row>
    <row r="3490" spans="1:10" x14ac:dyDescent="0.35">
      <c r="A3490">
        <v>319942</v>
      </c>
      <c r="B3490" t="s">
        <v>20</v>
      </c>
      <c r="C3490">
        <v>2015</v>
      </c>
      <c r="D3490">
        <v>7</v>
      </c>
      <c r="E3490" t="s">
        <v>7</v>
      </c>
      <c r="F3490" t="s">
        <v>7</v>
      </c>
      <c r="G3490" t="s">
        <v>7</v>
      </c>
      <c r="H3490">
        <v>80653.06</v>
      </c>
      <c r="I3490">
        <v>62241.62</v>
      </c>
      <c r="J3490">
        <v>0</v>
      </c>
    </row>
    <row r="3491" spans="1:10" x14ac:dyDescent="0.35">
      <c r="A3491">
        <v>319943</v>
      </c>
      <c r="B3491" t="s">
        <v>20</v>
      </c>
      <c r="C3491">
        <v>2015</v>
      </c>
      <c r="D3491">
        <v>7</v>
      </c>
      <c r="E3491" t="s">
        <v>7</v>
      </c>
      <c r="F3491" t="s">
        <v>7</v>
      </c>
      <c r="G3491" t="s">
        <v>7</v>
      </c>
      <c r="H3491">
        <v>25016.2</v>
      </c>
      <c r="I3491">
        <v>6154.51</v>
      </c>
      <c r="J3491">
        <v>0</v>
      </c>
    </row>
    <row r="3492" spans="1:10" x14ac:dyDescent="0.35">
      <c r="A3492">
        <v>319947</v>
      </c>
      <c r="B3492" t="s">
        <v>20</v>
      </c>
      <c r="C3492">
        <v>2015</v>
      </c>
      <c r="D3492">
        <v>7</v>
      </c>
      <c r="E3492" t="s">
        <v>7</v>
      </c>
      <c r="F3492" t="s">
        <v>7</v>
      </c>
      <c r="G3492" t="s">
        <v>7</v>
      </c>
      <c r="H3492">
        <v>67467.94</v>
      </c>
      <c r="I3492">
        <v>53593.64</v>
      </c>
      <c r="J3492">
        <v>0</v>
      </c>
    </row>
    <row r="3493" spans="1:10" x14ac:dyDescent="0.35">
      <c r="A3493">
        <v>319949</v>
      </c>
      <c r="B3493" t="s">
        <v>20</v>
      </c>
      <c r="C3493">
        <v>2015</v>
      </c>
      <c r="D3493">
        <v>7</v>
      </c>
      <c r="E3493" t="s">
        <v>7</v>
      </c>
      <c r="F3493" t="s">
        <v>7</v>
      </c>
      <c r="G3493" t="s">
        <v>7</v>
      </c>
      <c r="H3493">
        <v>30776.84</v>
      </c>
      <c r="I3493">
        <v>8199.94</v>
      </c>
      <c r="J3493">
        <v>0</v>
      </c>
    </row>
    <row r="3494" spans="1:10" x14ac:dyDescent="0.35">
      <c r="A3494">
        <v>319955</v>
      </c>
      <c r="B3494" t="s">
        <v>20</v>
      </c>
      <c r="C3494">
        <v>2015</v>
      </c>
      <c r="D3494">
        <v>7</v>
      </c>
      <c r="E3494" t="s">
        <v>7</v>
      </c>
      <c r="F3494" t="s">
        <v>7</v>
      </c>
      <c r="G3494" t="s">
        <v>7</v>
      </c>
      <c r="H3494">
        <v>18001.64</v>
      </c>
      <c r="I3494">
        <v>5080.7700000000004</v>
      </c>
      <c r="J3494">
        <v>0</v>
      </c>
    </row>
    <row r="3495" spans="1:10" x14ac:dyDescent="0.35">
      <c r="A3495">
        <v>319959</v>
      </c>
      <c r="B3495" t="s">
        <v>20</v>
      </c>
      <c r="C3495">
        <v>2015</v>
      </c>
      <c r="D3495">
        <v>7</v>
      </c>
      <c r="E3495" t="s">
        <v>7</v>
      </c>
      <c r="F3495" t="s">
        <v>7</v>
      </c>
      <c r="G3495" t="s">
        <v>7</v>
      </c>
      <c r="H3495">
        <v>16036.82</v>
      </c>
      <c r="I3495">
        <v>4518.28</v>
      </c>
      <c r="J3495">
        <v>0</v>
      </c>
    </row>
    <row r="3496" spans="1:10" x14ac:dyDescent="0.35">
      <c r="A3496">
        <v>319963</v>
      </c>
      <c r="B3496" t="s">
        <v>20</v>
      </c>
      <c r="C3496">
        <v>2015</v>
      </c>
      <c r="D3496">
        <v>7</v>
      </c>
      <c r="E3496" t="s">
        <v>7</v>
      </c>
      <c r="F3496" t="s">
        <v>7</v>
      </c>
      <c r="G3496" t="s">
        <v>7</v>
      </c>
      <c r="H3496">
        <v>43912.52</v>
      </c>
      <c r="I3496">
        <v>14405.58</v>
      </c>
      <c r="J3496">
        <v>0</v>
      </c>
    </row>
    <row r="3497" spans="1:10" x14ac:dyDescent="0.35">
      <c r="A3497">
        <v>319969</v>
      </c>
      <c r="B3497" t="s">
        <v>20</v>
      </c>
      <c r="C3497">
        <v>2015</v>
      </c>
      <c r="D3497">
        <v>7</v>
      </c>
      <c r="E3497" t="s">
        <v>7</v>
      </c>
      <c r="F3497" t="s">
        <v>7</v>
      </c>
      <c r="G3497" t="s">
        <v>7</v>
      </c>
      <c r="H3497">
        <v>36169.839999999997</v>
      </c>
      <c r="I3497">
        <v>21147.18</v>
      </c>
      <c r="J3497">
        <v>0</v>
      </c>
    </row>
    <row r="3498" spans="1:10" x14ac:dyDescent="0.35">
      <c r="A3498">
        <v>319970</v>
      </c>
      <c r="B3498" t="s">
        <v>20</v>
      </c>
      <c r="C3498">
        <v>2015</v>
      </c>
      <c r="D3498">
        <v>7</v>
      </c>
      <c r="E3498" t="s">
        <v>7</v>
      </c>
      <c r="F3498" t="s">
        <v>7</v>
      </c>
      <c r="G3498" t="s">
        <v>7</v>
      </c>
      <c r="H3498">
        <v>50385.56</v>
      </c>
      <c r="I3498">
        <v>28900.2</v>
      </c>
      <c r="J3498">
        <v>0</v>
      </c>
    </row>
    <row r="3499" spans="1:10" x14ac:dyDescent="0.35">
      <c r="A3499">
        <v>319972</v>
      </c>
      <c r="B3499" t="s">
        <v>20</v>
      </c>
      <c r="C3499">
        <v>2015</v>
      </c>
      <c r="D3499">
        <v>7</v>
      </c>
      <c r="E3499" t="s">
        <v>7</v>
      </c>
      <c r="F3499" t="s">
        <v>7</v>
      </c>
      <c r="G3499" t="s">
        <v>7</v>
      </c>
      <c r="H3499">
        <v>27343.94</v>
      </c>
      <c r="I3499">
        <v>7869.22</v>
      </c>
      <c r="J3499">
        <v>0</v>
      </c>
    </row>
    <row r="3500" spans="1:10" x14ac:dyDescent="0.35">
      <c r="A3500">
        <v>319974</v>
      </c>
      <c r="B3500" t="s">
        <v>20</v>
      </c>
      <c r="C3500">
        <v>2015</v>
      </c>
      <c r="D3500">
        <v>7</v>
      </c>
      <c r="E3500" t="s">
        <v>7</v>
      </c>
      <c r="F3500" t="s">
        <v>7</v>
      </c>
      <c r="G3500" t="s">
        <v>7</v>
      </c>
      <c r="H3500">
        <v>22113.62</v>
      </c>
      <c r="I3500">
        <v>9785.7800000000007</v>
      </c>
      <c r="J3500">
        <v>0</v>
      </c>
    </row>
    <row r="3501" spans="1:10" x14ac:dyDescent="0.35">
      <c r="A3501">
        <v>319980</v>
      </c>
      <c r="B3501" t="s">
        <v>20</v>
      </c>
      <c r="C3501">
        <v>2015</v>
      </c>
      <c r="D3501">
        <v>7</v>
      </c>
      <c r="E3501" t="s">
        <v>7</v>
      </c>
      <c r="F3501" t="s">
        <v>7</v>
      </c>
      <c r="G3501" t="s">
        <v>7</v>
      </c>
      <c r="H3501">
        <v>77617.820000000007</v>
      </c>
      <c r="I3501">
        <v>59605.49</v>
      </c>
      <c r="J3501">
        <v>0</v>
      </c>
    </row>
    <row r="3502" spans="1:10" x14ac:dyDescent="0.35">
      <c r="A3502">
        <v>319983</v>
      </c>
      <c r="B3502" t="s">
        <v>20</v>
      </c>
      <c r="C3502">
        <v>2015</v>
      </c>
      <c r="D3502">
        <v>7</v>
      </c>
      <c r="E3502" t="s">
        <v>7</v>
      </c>
      <c r="F3502" t="s">
        <v>7</v>
      </c>
      <c r="G3502" t="s">
        <v>7</v>
      </c>
      <c r="H3502">
        <v>19272.2</v>
      </c>
      <c r="I3502">
        <v>5696.97</v>
      </c>
      <c r="J3502">
        <v>0</v>
      </c>
    </row>
    <row r="3503" spans="1:10" x14ac:dyDescent="0.35">
      <c r="A3503">
        <v>319989</v>
      </c>
      <c r="B3503" t="s">
        <v>20</v>
      </c>
      <c r="C3503">
        <v>2015</v>
      </c>
      <c r="D3503">
        <v>7</v>
      </c>
      <c r="E3503" t="s">
        <v>7</v>
      </c>
      <c r="F3503" t="s">
        <v>7</v>
      </c>
      <c r="G3503" t="s">
        <v>7</v>
      </c>
      <c r="H3503">
        <v>34855.74</v>
      </c>
      <c r="I3503">
        <v>8907.3700000000008</v>
      </c>
      <c r="J3503">
        <v>0</v>
      </c>
    </row>
    <row r="3504" spans="1:10" x14ac:dyDescent="0.35">
      <c r="A3504">
        <v>320005</v>
      </c>
      <c r="B3504" t="s">
        <v>20</v>
      </c>
      <c r="C3504">
        <v>2015</v>
      </c>
      <c r="D3504">
        <v>7</v>
      </c>
      <c r="E3504" t="s">
        <v>7</v>
      </c>
      <c r="F3504" t="s">
        <v>7</v>
      </c>
      <c r="G3504" t="s">
        <v>7</v>
      </c>
      <c r="H3504">
        <v>34536.120000000003</v>
      </c>
      <c r="I3504">
        <v>8083.94</v>
      </c>
      <c r="J3504">
        <v>0</v>
      </c>
    </row>
    <row r="3505" spans="1:10" x14ac:dyDescent="0.35">
      <c r="A3505">
        <v>320006</v>
      </c>
      <c r="B3505" t="s">
        <v>20</v>
      </c>
      <c r="C3505">
        <v>2015</v>
      </c>
      <c r="D3505">
        <v>7</v>
      </c>
      <c r="E3505" t="s">
        <v>7</v>
      </c>
      <c r="F3505" t="s">
        <v>7</v>
      </c>
      <c r="G3505" t="s">
        <v>7</v>
      </c>
      <c r="H3505">
        <v>67034.649999999994</v>
      </c>
      <c r="I3505">
        <v>48709.08</v>
      </c>
      <c r="J3505">
        <v>0</v>
      </c>
    </row>
    <row r="3506" spans="1:10" x14ac:dyDescent="0.35">
      <c r="A3506">
        <v>320014</v>
      </c>
      <c r="B3506" t="s">
        <v>20</v>
      </c>
      <c r="C3506">
        <v>2015</v>
      </c>
      <c r="D3506">
        <v>7</v>
      </c>
      <c r="E3506" t="s">
        <v>7</v>
      </c>
      <c r="F3506" t="s">
        <v>7</v>
      </c>
      <c r="G3506" t="s">
        <v>7</v>
      </c>
      <c r="H3506">
        <v>41226.1</v>
      </c>
      <c r="I3506">
        <v>13009.59</v>
      </c>
      <c r="J3506">
        <v>0</v>
      </c>
    </row>
    <row r="3507" spans="1:10" x14ac:dyDescent="0.35">
      <c r="A3507">
        <v>320017</v>
      </c>
      <c r="B3507" t="s">
        <v>20</v>
      </c>
      <c r="C3507">
        <v>2015</v>
      </c>
      <c r="D3507">
        <v>7</v>
      </c>
      <c r="E3507" t="s">
        <v>7</v>
      </c>
      <c r="F3507" t="s">
        <v>7</v>
      </c>
      <c r="G3507" t="s">
        <v>7</v>
      </c>
      <c r="H3507">
        <v>62447.68</v>
      </c>
      <c r="I3507">
        <v>44801.440000000002</v>
      </c>
      <c r="J3507">
        <v>0</v>
      </c>
    </row>
    <row r="3508" spans="1:10" x14ac:dyDescent="0.35">
      <c r="A3508">
        <v>320018</v>
      </c>
      <c r="B3508" t="s">
        <v>20</v>
      </c>
      <c r="C3508">
        <v>2015</v>
      </c>
      <c r="D3508">
        <v>7</v>
      </c>
      <c r="E3508" t="s">
        <v>7</v>
      </c>
      <c r="F3508" t="s">
        <v>7</v>
      </c>
      <c r="G3508" t="s">
        <v>7</v>
      </c>
      <c r="H3508">
        <v>90528.94</v>
      </c>
      <c r="I3508">
        <v>46340.56</v>
      </c>
      <c r="J3508">
        <v>0</v>
      </c>
    </row>
    <row r="3509" spans="1:10" x14ac:dyDescent="0.35">
      <c r="A3509">
        <v>320024</v>
      </c>
      <c r="B3509" t="s">
        <v>20</v>
      </c>
      <c r="C3509">
        <v>2015</v>
      </c>
      <c r="D3509">
        <v>7</v>
      </c>
      <c r="E3509" t="s">
        <v>7</v>
      </c>
      <c r="F3509" t="s">
        <v>7</v>
      </c>
      <c r="G3509" t="s">
        <v>7</v>
      </c>
      <c r="H3509">
        <v>17133.52</v>
      </c>
      <c r="I3509">
        <v>5076.74</v>
      </c>
      <c r="J3509">
        <v>0</v>
      </c>
    </row>
    <row r="3510" spans="1:10" x14ac:dyDescent="0.35">
      <c r="A3510">
        <v>320025</v>
      </c>
      <c r="B3510" t="s">
        <v>20</v>
      </c>
      <c r="C3510">
        <v>2015</v>
      </c>
      <c r="D3510">
        <v>7</v>
      </c>
      <c r="E3510" t="s">
        <v>7</v>
      </c>
      <c r="F3510" t="s">
        <v>7</v>
      </c>
      <c r="G3510" t="s">
        <v>7</v>
      </c>
      <c r="H3510">
        <v>96685.07</v>
      </c>
      <c r="I3510">
        <v>56296.76</v>
      </c>
      <c r="J3510">
        <v>0</v>
      </c>
    </row>
    <row r="3511" spans="1:10" x14ac:dyDescent="0.35">
      <c r="A3511">
        <v>320029</v>
      </c>
      <c r="B3511" t="s">
        <v>20</v>
      </c>
      <c r="C3511">
        <v>2015</v>
      </c>
      <c r="D3511">
        <v>7</v>
      </c>
      <c r="E3511" t="s">
        <v>7</v>
      </c>
      <c r="F3511" t="s">
        <v>7</v>
      </c>
      <c r="G3511" t="s">
        <v>7</v>
      </c>
      <c r="H3511">
        <v>43715.18</v>
      </c>
      <c r="I3511">
        <v>11793.86</v>
      </c>
      <c r="J3511">
        <v>0</v>
      </c>
    </row>
    <row r="3512" spans="1:10" x14ac:dyDescent="0.35">
      <c r="A3512">
        <v>320031</v>
      </c>
      <c r="B3512" t="s">
        <v>20</v>
      </c>
      <c r="C3512">
        <v>2015</v>
      </c>
      <c r="D3512">
        <v>7</v>
      </c>
      <c r="E3512" t="s">
        <v>7</v>
      </c>
      <c r="F3512" t="s">
        <v>7</v>
      </c>
      <c r="G3512" t="s">
        <v>7</v>
      </c>
      <c r="H3512">
        <v>41351.08</v>
      </c>
      <c r="I3512">
        <v>8253.7099999999991</v>
      </c>
      <c r="J3512">
        <v>0</v>
      </c>
    </row>
    <row r="3513" spans="1:10" x14ac:dyDescent="0.35">
      <c r="A3513">
        <v>320033</v>
      </c>
      <c r="B3513" t="s">
        <v>20</v>
      </c>
      <c r="C3513">
        <v>2015</v>
      </c>
      <c r="D3513">
        <v>7</v>
      </c>
      <c r="E3513" t="s">
        <v>7</v>
      </c>
      <c r="F3513" t="s">
        <v>7</v>
      </c>
      <c r="G3513" t="s">
        <v>7</v>
      </c>
      <c r="H3513">
        <v>21567.439999999999</v>
      </c>
      <c r="I3513">
        <v>4159.99</v>
      </c>
      <c r="J3513">
        <v>0</v>
      </c>
    </row>
    <row r="3514" spans="1:10" x14ac:dyDescent="0.35">
      <c r="A3514">
        <v>320036</v>
      </c>
      <c r="B3514" t="s">
        <v>20</v>
      </c>
      <c r="C3514">
        <v>2015</v>
      </c>
      <c r="D3514">
        <v>7</v>
      </c>
      <c r="E3514" t="s">
        <v>7</v>
      </c>
      <c r="F3514" t="s">
        <v>7</v>
      </c>
      <c r="G3514" t="s">
        <v>7</v>
      </c>
      <c r="H3514">
        <v>68986.880000000005</v>
      </c>
      <c r="I3514">
        <v>21964.1</v>
      </c>
      <c r="J3514">
        <v>0</v>
      </c>
    </row>
    <row r="3515" spans="1:10" x14ac:dyDescent="0.35">
      <c r="A3515">
        <v>320040</v>
      </c>
      <c r="B3515" t="s">
        <v>20</v>
      </c>
      <c r="C3515">
        <v>2015</v>
      </c>
      <c r="D3515">
        <v>7</v>
      </c>
      <c r="E3515" t="s">
        <v>7</v>
      </c>
      <c r="F3515" t="s">
        <v>7</v>
      </c>
      <c r="G3515" t="s">
        <v>7</v>
      </c>
      <c r="H3515">
        <v>69067.179999999993</v>
      </c>
      <c r="I3515">
        <v>50569.34</v>
      </c>
      <c r="J3515">
        <v>0</v>
      </c>
    </row>
    <row r="3516" spans="1:10" x14ac:dyDescent="0.35">
      <c r="A3516">
        <v>320046</v>
      </c>
      <c r="B3516" t="s">
        <v>20</v>
      </c>
      <c r="C3516">
        <v>2015</v>
      </c>
      <c r="D3516">
        <v>7</v>
      </c>
      <c r="E3516" t="s">
        <v>7</v>
      </c>
      <c r="F3516" t="s">
        <v>7</v>
      </c>
      <c r="G3516" t="s">
        <v>7</v>
      </c>
      <c r="H3516">
        <v>25113.7</v>
      </c>
      <c r="I3516">
        <v>7350.05</v>
      </c>
      <c r="J3516">
        <v>0</v>
      </c>
    </row>
    <row r="3517" spans="1:10" x14ac:dyDescent="0.35">
      <c r="A3517">
        <v>320048</v>
      </c>
      <c r="B3517" t="s">
        <v>20</v>
      </c>
      <c r="C3517">
        <v>2015</v>
      </c>
      <c r="D3517">
        <v>7</v>
      </c>
      <c r="E3517" t="s">
        <v>7</v>
      </c>
      <c r="F3517" t="s">
        <v>7</v>
      </c>
      <c r="G3517" t="s">
        <v>7</v>
      </c>
      <c r="H3517">
        <v>73448.92</v>
      </c>
      <c r="I3517">
        <v>55924.38</v>
      </c>
      <c r="J3517">
        <v>0</v>
      </c>
    </row>
    <row r="3518" spans="1:10" x14ac:dyDescent="0.35">
      <c r="A3518">
        <v>320049</v>
      </c>
      <c r="B3518" t="s">
        <v>20</v>
      </c>
      <c r="C3518">
        <v>2015</v>
      </c>
      <c r="D3518">
        <v>7</v>
      </c>
      <c r="E3518" t="s">
        <v>7</v>
      </c>
      <c r="F3518" t="s">
        <v>7</v>
      </c>
      <c r="G3518" t="s">
        <v>7</v>
      </c>
      <c r="H3518">
        <v>41297.06</v>
      </c>
      <c r="I3518">
        <v>12588.56</v>
      </c>
      <c r="J3518">
        <v>0</v>
      </c>
    </row>
    <row r="3519" spans="1:10" x14ac:dyDescent="0.35">
      <c r="A3519">
        <v>320055</v>
      </c>
      <c r="B3519" t="s">
        <v>20</v>
      </c>
      <c r="C3519">
        <v>2015</v>
      </c>
      <c r="D3519">
        <v>7</v>
      </c>
      <c r="E3519" t="s">
        <v>7</v>
      </c>
      <c r="F3519" t="s">
        <v>7</v>
      </c>
      <c r="G3519" t="s">
        <v>7</v>
      </c>
      <c r="H3519">
        <v>59295.16</v>
      </c>
      <c r="I3519">
        <v>41683.07</v>
      </c>
      <c r="J3519">
        <v>0</v>
      </c>
    </row>
    <row r="3520" spans="1:10" x14ac:dyDescent="0.35">
      <c r="A3520">
        <v>320056</v>
      </c>
      <c r="B3520" t="s">
        <v>20</v>
      </c>
      <c r="C3520">
        <v>2015</v>
      </c>
      <c r="D3520">
        <v>7</v>
      </c>
      <c r="E3520" t="s">
        <v>7</v>
      </c>
      <c r="F3520" t="s">
        <v>7</v>
      </c>
      <c r="G3520" t="s">
        <v>7</v>
      </c>
      <c r="H3520">
        <v>11366.46</v>
      </c>
      <c r="I3520">
        <v>3100.84</v>
      </c>
      <c r="J3520">
        <v>0</v>
      </c>
    </row>
    <row r="3521" spans="1:10" x14ac:dyDescent="0.35">
      <c r="A3521">
        <v>320058</v>
      </c>
      <c r="B3521" t="s">
        <v>20</v>
      </c>
      <c r="C3521">
        <v>2015</v>
      </c>
      <c r="D3521">
        <v>7</v>
      </c>
      <c r="E3521" t="s">
        <v>7</v>
      </c>
      <c r="F3521" t="s">
        <v>7</v>
      </c>
      <c r="G3521" t="s">
        <v>7</v>
      </c>
      <c r="H3521">
        <v>60404.98</v>
      </c>
      <c r="I3521">
        <v>31279</v>
      </c>
      <c r="J3521">
        <v>0</v>
      </c>
    </row>
    <row r="3522" spans="1:10" x14ac:dyDescent="0.35">
      <c r="A3522">
        <v>320059</v>
      </c>
      <c r="B3522" t="s">
        <v>20</v>
      </c>
      <c r="C3522">
        <v>2015</v>
      </c>
      <c r="D3522">
        <v>7</v>
      </c>
      <c r="E3522" t="s">
        <v>7</v>
      </c>
      <c r="F3522" t="s">
        <v>7</v>
      </c>
      <c r="G3522" t="s">
        <v>7</v>
      </c>
      <c r="H3522">
        <v>67349.98</v>
      </c>
      <c r="I3522">
        <v>48319.23</v>
      </c>
      <c r="J3522">
        <v>0</v>
      </c>
    </row>
    <row r="3523" spans="1:10" x14ac:dyDescent="0.35">
      <c r="A3523">
        <v>320065</v>
      </c>
      <c r="B3523" t="s">
        <v>20</v>
      </c>
      <c r="C3523">
        <v>2015</v>
      </c>
      <c r="D3523">
        <v>7</v>
      </c>
      <c r="E3523" t="s">
        <v>7</v>
      </c>
      <c r="F3523" t="s">
        <v>7</v>
      </c>
      <c r="G3523" t="s">
        <v>7</v>
      </c>
      <c r="H3523">
        <v>30220.16</v>
      </c>
      <c r="I3523">
        <v>8786.2900000000009</v>
      </c>
      <c r="J3523">
        <v>0</v>
      </c>
    </row>
    <row r="3524" spans="1:10" x14ac:dyDescent="0.35">
      <c r="A3524">
        <v>320070</v>
      </c>
      <c r="B3524" t="s">
        <v>20</v>
      </c>
      <c r="C3524">
        <v>2015</v>
      </c>
      <c r="D3524">
        <v>7</v>
      </c>
      <c r="E3524" t="s">
        <v>7</v>
      </c>
      <c r="F3524" t="s">
        <v>7</v>
      </c>
      <c r="G3524" t="s">
        <v>7</v>
      </c>
      <c r="H3524">
        <v>22851.62</v>
      </c>
      <c r="I3524">
        <v>7006.76</v>
      </c>
      <c r="J3524">
        <v>0</v>
      </c>
    </row>
    <row r="3525" spans="1:10" x14ac:dyDescent="0.35">
      <c r="A3525">
        <v>320075</v>
      </c>
      <c r="B3525" t="s">
        <v>20</v>
      </c>
      <c r="C3525">
        <v>2015</v>
      </c>
      <c r="D3525">
        <v>7</v>
      </c>
      <c r="E3525" t="s">
        <v>7</v>
      </c>
      <c r="F3525" t="s">
        <v>7</v>
      </c>
      <c r="G3525" t="s">
        <v>7</v>
      </c>
      <c r="H3525">
        <v>44661</v>
      </c>
      <c r="I3525">
        <v>13879.14</v>
      </c>
      <c r="J3525">
        <v>0</v>
      </c>
    </row>
    <row r="3526" spans="1:10" x14ac:dyDescent="0.35">
      <c r="A3526">
        <v>320076</v>
      </c>
      <c r="B3526" t="s">
        <v>20</v>
      </c>
      <c r="C3526">
        <v>2015</v>
      </c>
      <c r="D3526">
        <v>7</v>
      </c>
      <c r="E3526" t="s">
        <v>7</v>
      </c>
      <c r="F3526" t="s">
        <v>7</v>
      </c>
      <c r="G3526" t="s">
        <v>7</v>
      </c>
      <c r="H3526">
        <v>22380.240000000002</v>
      </c>
      <c r="I3526">
        <v>6909.53</v>
      </c>
      <c r="J3526">
        <v>0</v>
      </c>
    </row>
    <row r="3527" spans="1:10" x14ac:dyDescent="0.35">
      <c r="A3527">
        <v>320085</v>
      </c>
      <c r="B3527" t="s">
        <v>20</v>
      </c>
      <c r="C3527">
        <v>2015</v>
      </c>
      <c r="D3527">
        <v>7</v>
      </c>
      <c r="E3527" t="s">
        <v>7</v>
      </c>
      <c r="F3527" t="s">
        <v>7</v>
      </c>
      <c r="G3527" t="s">
        <v>7</v>
      </c>
      <c r="H3527">
        <v>78070.22</v>
      </c>
      <c r="I3527">
        <v>37233.050000000003</v>
      </c>
      <c r="J3527">
        <v>0</v>
      </c>
    </row>
    <row r="3528" spans="1:10" x14ac:dyDescent="0.35">
      <c r="A3528">
        <v>320089</v>
      </c>
      <c r="B3528" t="s">
        <v>20</v>
      </c>
      <c r="C3528">
        <v>2015</v>
      </c>
      <c r="D3528">
        <v>7</v>
      </c>
      <c r="E3528" t="s">
        <v>7</v>
      </c>
      <c r="F3528" t="s">
        <v>7</v>
      </c>
      <c r="G3528" t="s">
        <v>7</v>
      </c>
      <c r="H3528">
        <v>57428.72</v>
      </c>
      <c r="I3528">
        <v>42783.5</v>
      </c>
      <c r="J3528">
        <v>0</v>
      </c>
    </row>
    <row r="3529" spans="1:10" x14ac:dyDescent="0.35">
      <c r="A3529">
        <v>320091</v>
      </c>
      <c r="B3529" t="s">
        <v>20</v>
      </c>
      <c r="C3529">
        <v>2015</v>
      </c>
      <c r="D3529">
        <v>7</v>
      </c>
      <c r="E3529" t="s">
        <v>7</v>
      </c>
      <c r="F3529" t="s">
        <v>7</v>
      </c>
      <c r="G3529" t="s">
        <v>7</v>
      </c>
      <c r="H3529">
        <v>63506.12</v>
      </c>
      <c r="I3529">
        <v>46702.61</v>
      </c>
      <c r="J3529">
        <v>0</v>
      </c>
    </row>
    <row r="3530" spans="1:10" x14ac:dyDescent="0.35">
      <c r="A3530">
        <v>320092</v>
      </c>
      <c r="B3530" t="s">
        <v>20</v>
      </c>
      <c r="C3530">
        <v>2015</v>
      </c>
      <c r="D3530">
        <v>7</v>
      </c>
      <c r="E3530" t="s">
        <v>7</v>
      </c>
      <c r="F3530" t="s">
        <v>7</v>
      </c>
      <c r="G3530" t="s">
        <v>7</v>
      </c>
      <c r="H3530">
        <v>43351.4</v>
      </c>
      <c r="I3530">
        <v>29744.86</v>
      </c>
      <c r="J3530">
        <v>0</v>
      </c>
    </row>
    <row r="3531" spans="1:10" x14ac:dyDescent="0.35">
      <c r="A3531">
        <v>320098</v>
      </c>
      <c r="B3531" t="s">
        <v>20</v>
      </c>
      <c r="C3531">
        <v>2015</v>
      </c>
      <c r="D3531">
        <v>7</v>
      </c>
      <c r="E3531" t="s">
        <v>7</v>
      </c>
      <c r="F3531" t="s">
        <v>7</v>
      </c>
      <c r="G3531" t="s">
        <v>7</v>
      </c>
      <c r="H3531">
        <v>18710.62</v>
      </c>
      <c r="I3531">
        <v>7058.64</v>
      </c>
      <c r="J3531">
        <v>0</v>
      </c>
    </row>
    <row r="3532" spans="1:10" x14ac:dyDescent="0.35">
      <c r="A3532">
        <v>320099</v>
      </c>
      <c r="B3532" t="s">
        <v>20</v>
      </c>
      <c r="C3532">
        <v>2015</v>
      </c>
      <c r="D3532">
        <v>7</v>
      </c>
      <c r="E3532" t="s">
        <v>7</v>
      </c>
      <c r="F3532" t="s">
        <v>7</v>
      </c>
      <c r="G3532" t="s">
        <v>7</v>
      </c>
      <c r="H3532">
        <v>60132.72</v>
      </c>
      <c r="I3532">
        <v>18545.82</v>
      </c>
      <c r="J3532">
        <v>0</v>
      </c>
    </row>
    <row r="3533" spans="1:10" x14ac:dyDescent="0.35">
      <c r="A3533">
        <v>320100</v>
      </c>
      <c r="B3533" t="s">
        <v>20</v>
      </c>
      <c r="C3533">
        <v>2015</v>
      </c>
      <c r="D3533">
        <v>7</v>
      </c>
      <c r="E3533" t="s">
        <v>7</v>
      </c>
      <c r="F3533" t="s">
        <v>7</v>
      </c>
      <c r="G3533" t="s">
        <v>7</v>
      </c>
      <c r="H3533">
        <v>168676.13</v>
      </c>
      <c r="I3533">
        <v>150271.96</v>
      </c>
      <c r="J3533">
        <v>0</v>
      </c>
    </row>
    <row r="3534" spans="1:10" x14ac:dyDescent="0.35">
      <c r="A3534">
        <v>320104</v>
      </c>
      <c r="B3534" t="s">
        <v>20</v>
      </c>
      <c r="C3534">
        <v>2015</v>
      </c>
      <c r="D3534">
        <v>7</v>
      </c>
      <c r="E3534" t="s">
        <v>7</v>
      </c>
      <c r="F3534" t="s">
        <v>7</v>
      </c>
      <c r="G3534" t="s">
        <v>7</v>
      </c>
      <c r="H3534">
        <v>22402.74</v>
      </c>
      <c r="I3534">
        <v>8924.5300000000007</v>
      </c>
      <c r="J3534">
        <v>0</v>
      </c>
    </row>
    <row r="3535" spans="1:10" x14ac:dyDescent="0.35">
      <c r="A3535">
        <v>320106</v>
      </c>
      <c r="B3535" t="s">
        <v>20</v>
      </c>
      <c r="C3535">
        <v>2015</v>
      </c>
      <c r="D3535">
        <v>7</v>
      </c>
      <c r="E3535" t="s">
        <v>7</v>
      </c>
      <c r="F3535" t="s">
        <v>7</v>
      </c>
      <c r="G3535" t="s">
        <v>7</v>
      </c>
      <c r="H3535">
        <v>18938.22</v>
      </c>
      <c r="I3535">
        <v>9696.56</v>
      </c>
      <c r="J3535">
        <v>0</v>
      </c>
    </row>
    <row r="3536" spans="1:10" x14ac:dyDescent="0.35">
      <c r="A3536">
        <v>320107</v>
      </c>
      <c r="B3536" t="s">
        <v>20</v>
      </c>
      <c r="C3536">
        <v>2015</v>
      </c>
      <c r="D3536">
        <v>7</v>
      </c>
      <c r="E3536" t="s">
        <v>7</v>
      </c>
      <c r="F3536" t="s">
        <v>7</v>
      </c>
      <c r="G3536" t="s">
        <v>7</v>
      </c>
      <c r="H3536">
        <v>38257.14</v>
      </c>
      <c r="I3536">
        <v>28733.18</v>
      </c>
      <c r="J3536">
        <v>0</v>
      </c>
    </row>
    <row r="3537" spans="1:10" x14ac:dyDescent="0.35">
      <c r="A3537">
        <v>320108</v>
      </c>
      <c r="B3537" t="s">
        <v>20</v>
      </c>
      <c r="C3537">
        <v>2015</v>
      </c>
      <c r="D3537">
        <v>7</v>
      </c>
      <c r="E3537" t="s">
        <v>7</v>
      </c>
      <c r="F3537" t="s">
        <v>7</v>
      </c>
      <c r="G3537" t="s">
        <v>7</v>
      </c>
      <c r="H3537">
        <v>42290.1</v>
      </c>
      <c r="I3537">
        <v>13153.22</v>
      </c>
      <c r="J3537">
        <v>0</v>
      </c>
    </row>
    <row r="3538" spans="1:10" x14ac:dyDescent="0.35">
      <c r="A3538">
        <v>320109</v>
      </c>
      <c r="B3538" t="s">
        <v>20</v>
      </c>
      <c r="C3538">
        <v>2015</v>
      </c>
      <c r="D3538">
        <v>7</v>
      </c>
      <c r="E3538" t="s">
        <v>7</v>
      </c>
      <c r="F3538" t="s">
        <v>7</v>
      </c>
      <c r="G3538" t="s">
        <v>7</v>
      </c>
      <c r="H3538">
        <v>18681.419999999998</v>
      </c>
      <c r="I3538">
        <v>5787.8</v>
      </c>
      <c r="J3538">
        <v>0</v>
      </c>
    </row>
    <row r="3539" spans="1:10" x14ac:dyDescent="0.35">
      <c r="A3539">
        <v>320116</v>
      </c>
      <c r="B3539" t="s">
        <v>20</v>
      </c>
      <c r="C3539">
        <v>2015</v>
      </c>
      <c r="D3539">
        <v>7</v>
      </c>
      <c r="E3539" t="s">
        <v>7</v>
      </c>
      <c r="F3539" t="s">
        <v>7</v>
      </c>
      <c r="G3539" t="s">
        <v>7</v>
      </c>
      <c r="H3539">
        <v>192323</v>
      </c>
      <c r="I3539">
        <v>99576.69</v>
      </c>
      <c r="J3539">
        <v>0</v>
      </c>
    </row>
    <row r="3540" spans="1:10" x14ac:dyDescent="0.35">
      <c r="A3540">
        <v>320118</v>
      </c>
      <c r="B3540" t="s">
        <v>20</v>
      </c>
      <c r="C3540">
        <v>2015</v>
      </c>
      <c r="D3540">
        <v>7</v>
      </c>
      <c r="E3540" t="s">
        <v>7</v>
      </c>
      <c r="F3540" t="s">
        <v>7</v>
      </c>
      <c r="G3540" t="s">
        <v>7</v>
      </c>
      <c r="H3540">
        <v>37996.58</v>
      </c>
      <c r="I3540">
        <v>12585.13</v>
      </c>
      <c r="J3540">
        <v>0</v>
      </c>
    </row>
    <row r="3541" spans="1:10" x14ac:dyDescent="0.35">
      <c r="A3541">
        <v>320120</v>
      </c>
      <c r="B3541" t="s">
        <v>20</v>
      </c>
      <c r="C3541">
        <v>2015</v>
      </c>
      <c r="D3541">
        <v>7</v>
      </c>
      <c r="E3541" t="s">
        <v>7</v>
      </c>
      <c r="F3541" t="s">
        <v>7</v>
      </c>
      <c r="G3541" t="s">
        <v>7</v>
      </c>
      <c r="H3541">
        <v>11599.98</v>
      </c>
      <c r="I3541">
        <v>2207.5300000000002</v>
      </c>
      <c r="J3541">
        <v>0</v>
      </c>
    </row>
    <row r="3542" spans="1:10" x14ac:dyDescent="0.35">
      <c r="A3542">
        <v>320121</v>
      </c>
      <c r="B3542" t="s">
        <v>20</v>
      </c>
      <c r="C3542">
        <v>2015</v>
      </c>
      <c r="D3542">
        <v>7</v>
      </c>
      <c r="E3542" t="s">
        <v>7</v>
      </c>
      <c r="F3542" t="s">
        <v>7</v>
      </c>
      <c r="G3542" t="s">
        <v>7</v>
      </c>
      <c r="H3542">
        <v>64758.66</v>
      </c>
      <c r="I3542">
        <v>46965.58</v>
      </c>
      <c r="J3542">
        <v>0</v>
      </c>
    </row>
    <row r="3543" spans="1:10" x14ac:dyDescent="0.35">
      <c r="A3543">
        <v>320126</v>
      </c>
      <c r="B3543" t="s">
        <v>20</v>
      </c>
      <c r="C3543">
        <v>2015</v>
      </c>
      <c r="D3543">
        <v>7</v>
      </c>
      <c r="E3543" t="s">
        <v>7</v>
      </c>
      <c r="F3543" t="s">
        <v>7</v>
      </c>
      <c r="G3543" t="s">
        <v>7</v>
      </c>
      <c r="H3543">
        <v>40554.28</v>
      </c>
      <c r="I3543">
        <v>12119.73</v>
      </c>
      <c r="J3543">
        <v>0</v>
      </c>
    </row>
    <row r="3544" spans="1:10" x14ac:dyDescent="0.35">
      <c r="A3544">
        <v>320130</v>
      </c>
      <c r="B3544" t="s">
        <v>20</v>
      </c>
      <c r="C3544">
        <v>2015</v>
      </c>
      <c r="D3544">
        <v>7</v>
      </c>
      <c r="E3544" t="s">
        <v>7</v>
      </c>
      <c r="F3544" t="s">
        <v>7</v>
      </c>
      <c r="G3544" t="s">
        <v>7</v>
      </c>
      <c r="H3544">
        <v>64903.28</v>
      </c>
      <c r="I3544">
        <v>46242.05</v>
      </c>
      <c r="J3544">
        <v>0</v>
      </c>
    </row>
    <row r="3545" spans="1:10" x14ac:dyDescent="0.35">
      <c r="A3545">
        <v>320133</v>
      </c>
      <c r="B3545" t="s">
        <v>20</v>
      </c>
      <c r="C3545">
        <v>2015</v>
      </c>
      <c r="D3545">
        <v>7</v>
      </c>
      <c r="E3545" t="s">
        <v>7</v>
      </c>
      <c r="F3545" t="s">
        <v>7</v>
      </c>
      <c r="G3545" t="s">
        <v>7</v>
      </c>
      <c r="H3545">
        <v>48960.38</v>
      </c>
      <c r="I3545">
        <v>26084.85</v>
      </c>
      <c r="J3545">
        <v>0</v>
      </c>
    </row>
    <row r="3546" spans="1:10" x14ac:dyDescent="0.35">
      <c r="A3546">
        <v>320137</v>
      </c>
      <c r="B3546" t="s">
        <v>20</v>
      </c>
      <c r="C3546">
        <v>2015</v>
      </c>
      <c r="D3546">
        <v>7</v>
      </c>
      <c r="E3546" t="s">
        <v>7</v>
      </c>
      <c r="F3546" t="s">
        <v>7</v>
      </c>
      <c r="G3546" t="s">
        <v>7</v>
      </c>
      <c r="H3546">
        <v>16347.72</v>
      </c>
      <c r="I3546">
        <v>4695.8599999999997</v>
      </c>
      <c r="J3546">
        <v>0</v>
      </c>
    </row>
    <row r="3547" spans="1:10" x14ac:dyDescent="0.35">
      <c r="A3547">
        <v>320138</v>
      </c>
      <c r="B3547" t="s">
        <v>20</v>
      </c>
      <c r="C3547">
        <v>2015</v>
      </c>
      <c r="D3547">
        <v>7</v>
      </c>
      <c r="E3547" t="s">
        <v>7</v>
      </c>
      <c r="F3547" t="s">
        <v>7</v>
      </c>
      <c r="G3547" t="s">
        <v>7</v>
      </c>
      <c r="H3547">
        <v>29745.72</v>
      </c>
      <c r="I3547">
        <v>7592.39</v>
      </c>
      <c r="J3547">
        <v>0</v>
      </c>
    </row>
    <row r="3548" spans="1:10" x14ac:dyDescent="0.35">
      <c r="A3548">
        <v>320148</v>
      </c>
      <c r="B3548" t="s">
        <v>20</v>
      </c>
      <c r="C3548">
        <v>2015</v>
      </c>
      <c r="D3548">
        <v>7</v>
      </c>
      <c r="E3548" t="s">
        <v>7</v>
      </c>
      <c r="F3548" t="s">
        <v>7</v>
      </c>
      <c r="G3548" t="s">
        <v>7</v>
      </c>
      <c r="H3548">
        <v>52386.48</v>
      </c>
      <c r="I3548">
        <v>16001.62</v>
      </c>
      <c r="J3548">
        <v>0</v>
      </c>
    </row>
    <row r="3549" spans="1:10" x14ac:dyDescent="0.35">
      <c r="A3549">
        <v>320150</v>
      </c>
      <c r="B3549" t="s">
        <v>20</v>
      </c>
      <c r="C3549">
        <v>2015</v>
      </c>
      <c r="D3549">
        <v>7</v>
      </c>
      <c r="E3549" t="s">
        <v>7</v>
      </c>
      <c r="F3549" t="s">
        <v>7</v>
      </c>
      <c r="G3549" t="s">
        <v>7</v>
      </c>
      <c r="H3549">
        <v>39586.26</v>
      </c>
      <c r="I3549">
        <v>11090.55</v>
      </c>
      <c r="J3549">
        <v>0</v>
      </c>
    </row>
    <row r="3550" spans="1:10" x14ac:dyDescent="0.35">
      <c r="A3550">
        <v>320152</v>
      </c>
      <c r="B3550" t="s">
        <v>20</v>
      </c>
      <c r="C3550">
        <v>2015</v>
      </c>
      <c r="D3550">
        <v>7</v>
      </c>
      <c r="E3550" t="s">
        <v>7</v>
      </c>
      <c r="F3550" t="s">
        <v>7</v>
      </c>
      <c r="G3550" t="s">
        <v>7</v>
      </c>
      <c r="H3550">
        <v>154440.29</v>
      </c>
      <c r="I3550">
        <v>131331</v>
      </c>
      <c r="J3550">
        <v>0</v>
      </c>
    </row>
    <row r="3551" spans="1:10" x14ac:dyDescent="0.35">
      <c r="A3551">
        <v>320156</v>
      </c>
      <c r="B3551" t="s">
        <v>20</v>
      </c>
      <c r="C3551">
        <v>2015</v>
      </c>
      <c r="D3551">
        <v>7</v>
      </c>
      <c r="E3551" t="s">
        <v>7</v>
      </c>
      <c r="F3551" t="s">
        <v>7</v>
      </c>
      <c r="G3551" t="s">
        <v>7</v>
      </c>
      <c r="H3551">
        <v>19612.16</v>
      </c>
      <c r="I3551">
        <v>10422.64</v>
      </c>
      <c r="J3551">
        <v>0</v>
      </c>
    </row>
    <row r="3552" spans="1:10" x14ac:dyDescent="0.35">
      <c r="A3552">
        <v>320159</v>
      </c>
      <c r="B3552" t="s">
        <v>20</v>
      </c>
      <c r="C3552">
        <v>2015</v>
      </c>
      <c r="D3552">
        <v>7</v>
      </c>
      <c r="E3552" t="s">
        <v>7</v>
      </c>
      <c r="F3552" t="s">
        <v>7</v>
      </c>
      <c r="G3552" t="s">
        <v>7</v>
      </c>
      <c r="H3552">
        <v>43201.64</v>
      </c>
      <c r="I3552">
        <v>10942.63</v>
      </c>
      <c r="J3552">
        <v>0</v>
      </c>
    </row>
    <row r="3553" spans="1:10" x14ac:dyDescent="0.35">
      <c r="A3553">
        <v>320165</v>
      </c>
      <c r="B3553" t="s">
        <v>20</v>
      </c>
      <c r="C3553">
        <v>2015</v>
      </c>
      <c r="D3553">
        <v>7</v>
      </c>
      <c r="E3553" t="s">
        <v>7</v>
      </c>
      <c r="F3553" t="s">
        <v>7</v>
      </c>
      <c r="G3553" t="s">
        <v>7</v>
      </c>
      <c r="H3553">
        <v>81021.279999999999</v>
      </c>
      <c r="I3553">
        <v>24382.01</v>
      </c>
      <c r="J3553">
        <v>0</v>
      </c>
    </row>
    <row r="3554" spans="1:10" x14ac:dyDescent="0.35">
      <c r="A3554">
        <v>320166</v>
      </c>
      <c r="B3554" t="s">
        <v>20</v>
      </c>
      <c r="C3554">
        <v>2015</v>
      </c>
      <c r="D3554">
        <v>7</v>
      </c>
      <c r="E3554" t="s">
        <v>7</v>
      </c>
      <c r="F3554" t="s">
        <v>7</v>
      </c>
      <c r="G3554" t="s">
        <v>7</v>
      </c>
      <c r="H3554">
        <v>66163.7</v>
      </c>
      <c r="I3554">
        <v>48865.55</v>
      </c>
      <c r="J3554">
        <v>0</v>
      </c>
    </row>
    <row r="3555" spans="1:10" x14ac:dyDescent="0.35">
      <c r="A3555">
        <v>320167</v>
      </c>
      <c r="B3555" t="s">
        <v>20</v>
      </c>
      <c r="C3555">
        <v>2015</v>
      </c>
      <c r="D3555">
        <v>7</v>
      </c>
      <c r="E3555" t="s">
        <v>7</v>
      </c>
      <c r="F3555" t="s">
        <v>7</v>
      </c>
      <c r="G3555" t="s">
        <v>7</v>
      </c>
      <c r="H3555">
        <v>23004.13</v>
      </c>
      <c r="I3555">
        <v>9296.7099999999991</v>
      </c>
      <c r="J3555">
        <v>0</v>
      </c>
    </row>
    <row r="3556" spans="1:10" x14ac:dyDescent="0.35">
      <c r="A3556">
        <v>320168</v>
      </c>
      <c r="B3556" t="s">
        <v>20</v>
      </c>
      <c r="C3556">
        <v>2015</v>
      </c>
      <c r="D3556">
        <v>7</v>
      </c>
      <c r="E3556" t="s">
        <v>7</v>
      </c>
      <c r="F3556" t="s">
        <v>7</v>
      </c>
      <c r="G3556" t="s">
        <v>7</v>
      </c>
      <c r="H3556">
        <v>18406.38</v>
      </c>
      <c r="I3556">
        <v>4518.12</v>
      </c>
      <c r="J3556">
        <v>0</v>
      </c>
    </row>
    <row r="3557" spans="1:10" x14ac:dyDescent="0.35">
      <c r="A3557">
        <v>320171</v>
      </c>
      <c r="B3557" t="s">
        <v>20</v>
      </c>
      <c r="C3557">
        <v>2015</v>
      </c>
      <c r="D3557">
        <v>7</v>
      </c>
      <c r="E3557" t="s">
        <v>7</v>
      </c>
      <c r="F3557" t="s">
        <v>7</v>
      </c>
      <c r="G3557" t="s">
        <v>7</v>
      </c>
      <c r="H3557">
        <v>28194.080000000002</v>
      </c>
      <c r="I3557">
        <v>5131.08</v>
      </c>
      <c r="J3557">
        <v>0</v>
      </c>
    </row>
    <row r="3558" spans="1:10" x14ac:dyDescent="0.35">
      <c r="A3558">
        <v>320177</v>
      </c>
      <c r="B3558" t="s">
        <v>20</v>
      </c>
      <c r="C3558">
        <v>2015</v>
      </c>
      <c r="D3558">
        <v>7</v>
      </c>
      <c r="E3558" t="s">
        <v>7</v>
      </c>
      <c r="F3558" t="s">
        <v>7</v>
      </c>
      <c r="G3558" t="s">
        <v>7</v>
      </c>
      <c r="H3558">
        <v>14784.36</v>
      </c>
      <c r="I3558">
        <v>4391.43</v>
      </c>
      <c r="J3558">
        <v>0</v>
      </c>
    </row>
    <row r="3559" spans="1:10" x14ac:dyDescent="0.35">
      <c r="A3559">
        <v>320178</v>
      </c>
      <c r="B3559" t="s">
        <v>20</v>
      </c>
      <c r="C3559">
        <v>2015</v>
      </c>
      <c r="D3559">
        <v>7</v>
      </c>
      <c r="E3559" t="s">
        <v>7</v>
      </c>
      <c r="F3559" t="s">
        <v>7</v>
      </c>
      <c r="G3559" t="s">
        <v>7</v>
      </c>
      <c r="H3559">
        <v>68627.14</v>
      </c>
      <c r="I3559">
        <v>49533.94</v>
      </c>
      <c r="J3559">
        <v>0</v>
      </c>
    </row>
    <row r="3560" spans="1:10" x14ac:dyDescent="0.35">
      <c r="A3560">
        <v>320179</v>
      </c>
      <c r="B3560" t="s">
        <v>20</v>
      </c>
      <c r="C3560">
        <v>2015</v>
      </c>
      <c r="D3560">
        <v>7</v>
      </c>
      <c r="E3560" t="s">
        <v>7</v>
      </c>
      <c r="F3560" t="s">
        <v>7</v>
      </c>
      <c r="G3560" t="s">
        <v>7</v>
      </c>
      <c r="H3560">
        <v>31110.3</v>
      </c>
      <c r="I3560">
        <v>9063.24</v>
      </c>
      <c r="J3560">
        <v>0</v>
      </c>
    </row>
    <row r="3561" spans="1:10" x14ac:dyDescent="0.35">
      <c r="A3561">
        <v>320184</v>
      </c>
      <c r="B3561" t="s">
        <v>20</v>
      </c>
      <c r="C3561">
        <v>2015</v>
      </c>
      <c r="D3561">
        <v>7</v>
      </c>
      <c r="E3561" t="s">
        <v>7</v>
      </c>
      <c r="F3561" t="s">
        <v>7</v>
      </c>
      <c r="G3561" t="s">
        <v>7</v>
      </c>
      <c r="H3561">
        <v>32472.94</v>
      </c>
      <c r="I3561">
        <v>10406.31</v>
      </c>
      <c r="J3561">
        <v>0</v>
      </c>
    </row>
    <row r="3562" spans="1:10" x14ac:dyDescent="0.35">
      <c r="A3562">
        <v>320186</v>
      </c>
      <c r="B3562" t="s">
        <v>20</v>
      </c>
      <c r="C3562">
        <v>2015</v>
      </c>
      <c r="D3562">
        <v>7</v>
      </c>
      <c r="E3562" t="s">
        <v>7</v>
      </c>
      <c r="F3562" t="s">
        <v>7</v>
      </c>
      <c r="G3562" t="s">
        <v>7</v>
      </c>
      <c r="H3562">
        <v>18239.04</v>
      </c>
      <c r="I3562">
        <v>4972.6400000000003</v>
      </c>
      <c r="J3562">
        <v>0</v>
      </c>
    </row>
    <row r="3563" spans="1:10" x14ac:dyDescent="0.35">
      <c r="A3563">
        <v>320187</v>
      </c>
      <c r="B3563" t="s">
        <v>20</v>
      </c>
      <c r="C3563">
        <v>2015</v>
      </c>
      <c r="D3563">
        <v>7</v>
      </c>
      <c r="E3563" t="s">
        <v>7</v>
      </c>
      <c r="F3563" t="s">
        <v>7</v>
      </c>
      <c r="G3563" t="s">
        <v>7</v>
      </c>
      <c r="H3563">
        <v>26752.94</v>
      </c>
      <c r="I3563">
        <v>8900.09</v>
      </c>
      <c r="J3563">
        <v>0</v>
      </c>
    </row>
    <row r="3564" spans="1:10" x14ac:dyDescent="0.35">
      <c r="A3564">
        <v>320189</v>
      </c>
      <c r="B3564" t="s">
        <v>20</v>
      </c>
      <c r="C3564">
        <v>2015</v>
      </c>
      <c r="D3564">
        <v>7</v>
      </c>
      <c r="E3564" t="s">
        <v>7</v>
      </c>
      <c r="F3564" t="s">
        <v>7</v>
      </c>
      <c r="G3564" t="s">
        <v>7</v>
      </c>
      <c r="H3564">
        <v>84387.18</v>
      </c>
      <c r="I3564">
        <v>59069.33</v>
      </c>
      <c r="J3564">
        <v>0</v>
      </c>
    </row>
    <row r="3565" spans="1:10" x14ac:dyDescent="0.35">
      <c r="A3565">
        <v>320200</v>
      </c>
      <c r="B3565" t="s">
        <v>20</v>
      </c>
      <c r="C3565">
        <v>2015</v>
      </c>
      <c r="D3565">
        <v>7</v>
      </c>
      <c r="E3565" t="s">
        <v>7</v>
      </c>
      <c r="F3565" t="s">
        <v>7</v>
      </c>
      <c r="G3565" t="s">
        <v>7</v>
      </c>
      <c r="H3565">
        <v>17571.16</v>
      </c>
      <c r="I3565">
        <v>4378.3599999999997</v>
      </c>
      <c r="J3565">
        <v>0</v>
      </c>
    </row>
    <row r="3566" spans="1:10" x14ac:dyDescent="0.35">
      <c r="A3566">
        <v>320201</v>
      </c>
      <c r="B3566" t="s">
        <v>20</v>
      </c>
      <c r="C3566">
        <v>2015</v>
      </c>
      <c r="D3566">
        <v>7</v>
      </c>
      <c r="E3566" t="s">
        <v>7</v>
      </c>
      <c r="F3566" t="s">
        <v>7</v>
      </c>
      <c r="G3566" t="s">
        <v>7</v>
      </c>
      <c r="H3566">
        <v>66804.98</v>
      </c>
      <c r="I3566">
        <v>48314.12</v>
      </c>
      <c r="J3566">
        <v>0</v>
      </c>
    </row>
    <row r="3567" spans="1:10" x14ac:dyDescent="0.35">
      <c r="A3567">
        <v>320203</v>
      </c>
      <c r="B3567" t="s">
        <v>20</v>
      </c>
      <c r="C3567">
        <v>2015</v>
      </c>
      <c r="D3567">
        <v>7</v>
      </c>
      <c r="E3567" t="s">
        <v>7</v>
      </c>
      <c r="F3567" t="s">
        <v>7</v>
      </c>
      <c r="G3567" t="s">
        <v>7</v>
      </c>
      <c r="H3567">
        <v>74350.28</v>
      </c>
      <c r="I3567">
        <v>21003.46</v>
      </c>
      <c r="J3567">
        <v>0</v>
      </c>
    </row>
    <row r="3568" spans="1:10" x14ac:dyDescent="0.35">
      <c r="A3568">
        <v>320206</v>
      </c>
      <c r="B3568" t="s">
        <v>20</v>
      </c>
      <c r="C3568">
        <v>2015</v>
      </c>
      <c r="D3568">
        <v>7</v>
      </c>
      <c r="E3568" t="s">
        <v>7</v>
      </c>
      <c r="F3568" t="s">
        <v>7</v>
      </c>
      <c r="G3568" t="s">
        <v>7</v>
      </c>
      <c r="H3568">
        <v>37047.120000000003</v>
      </c>
      <c r="I3568">
        <v>12525.89</v>
      </c>
      <c r="J3568">
        <v>0</v>
      </c>
    </row>
    <row r="3569" spans="1:10" x14ac:dyDescent="0.35">
      <c r="A3569">
        <v>320209</v>
      </c>
      <c r="B3569" t="s">
        <v>20</v>
      </c>
      <c r="C3569">
        <v>2015</v>
      </c>
      <c r="D3569">
        <v>7</v>
      </c>
      <c r="E3569" t="s">
        <v>7</v>
      </c>
      <c r="F3569" t="s">
        <v>7</v>
      </c>
      <c r="G3569" t="s">
        <v>7</v>
      </c>
      <c r="H3569">
        <v>64747.8</v>
      </c>
      <c r="I3569">
        <v>45199.29</v>
      </c>
      <c r="J3569">
        <v>0</v>
      </c>
    </row>
    <row r="3570" spans="1:10" x14ac:dyDescent="0.35">
      <c r="A3570">
        <v>320211</v>
      </c>
      <c r="B3570" t="s">
        <v>20</v>
      </c>
      <c r="C3570">
        <v>2015</v>
      </c>
      <c r="D3570">
        <v>7</v>
      </c>
      <c r="E3570" t="s">
        <v>7</v>
      </c>
      <c r="F3570" t="s">
        <v>7</v>
      </c>
      <c r="G3570" t="s">
        <v>7</v>
      </c>
      <c r="H3570">
        <v>23597.200000000001</v>
      </c>
      <c r="I3570">
        <v>5035.75</v>
      </c>
      <c r="J3570">
        <v>0</v>
      </c>
    </row>
    <row r="3571" spans="1:10" x14ac:dyDescent="0.35">
      <c r="A3571">
        <v>320215</v>
      </c>
      <c r="B3571" t="s">
        <v>20</v>
      </c>
      <c r="C3571">
        <v>2015</v>
      </c>
      <c r="D3571">
        <v>7</v>
      </c>
      <c r="E3571" t="s">
        <v>7</v>
      </c>
      <c r="F3571" t="s">
        <v>7</v>
      </c>
      <c r="G3571" t="s">
        <v>7</v>
      </c>
      <c r="H3571">
        <v>75901.960000000006</v>
      </c>
      <c r="I3571">
        <v>57788.36</v>
      </c>
      <c r="J3571">
        <v>0</v>
      </c>
    </row>
    <row r="3572" spans="1:10" x14ac:dyDescent="0.35">
      <c r="A3572">
        <v>320224</v>
      </c>
      <c r="B3572" t="s">
        <v>20</v>
      </c>
      <c r="C3572">
        <v>2015</v>
      </c>
      <c r="D3572">
        <v>7</v>
      </c>
      <c r="E3572" t="s">
        <v>7</v>
      </c>
      <c r="F3572" t="s">
        <v>7</v>
      </c>
      <c r="G3572" t="s">
        <v>7</v>
      </c>
      <c r="H3572">
        <v>76192.539999999994</v>
      </c>
      <c r="I3572">
        <v>59308.85</v>
      </c>
      <c r="J3572">
        <v>0</v>
      </c>
    </row>
    <row r="3573" spans="1:10" x14ac:dyDescent="0.35">
      <c r="A3573">
        <v>320227</v>
      </c>
      <c r="B3573" t="s">
        <v>20</v>
      </c>
      <c r="C3573">
        <v>2015</v>
      </c>
      <c r="D3573">
        <v>7</v>
      </c>
      <c r="E3573" t="s">
        <v>7</v>
      </c>
      <c r="F3573" t="s">
        <v>7</v>
      </c>
      <c r="G3573" t="s">
        <v>7</v>
      </c>
      <c r="H3573">
        <v>84803.5</v>
      </c>
      <c r="I3573">
        <v>60631.82</v>
      </c>
      <c r="J3573">
        <v>0</v>
      </c>
    </row>
    <row r="3574" spans="1:10" x14ac:dyDescent="0.35">
      <c r="A3574">
        <v>320252</v>
      </c>
      <c r="B3574" t="s">
        <v>20</v>
      </c>
      <c r="C3574">
        <v>2015</v>
      </c>
      <c r="D3574">
        <v>7</v>
      </c>
      <c r="E3574" t="s">
        <v>7</v>
      </c>
      <c r="F3574" t="s">
        <v>7</v>
      </c>
      <c r="G3574" t="s">
        <v>7</v>
      </c>
      <c r="H3574">
        <v>45995.34</v>
      </c>
      <c r="I3574">
        <v>34373.480000000003</v>
      </c>
      <c r="J3574">
        <v>0</v>
      </c>
    </row>
    <row r="3575" spans="1:10" x14ac:dyDescent="0.35">
      <c r="A3575">
        <v>320269</v>
      </c>
      <c r="B3575" t="s">
        <v>20</v>
      </c>
      <c r="C3575">
        <v>2015</v>
      </c>
      <c r="D3575">
        <v>7</v>
      </c>
      <c r="E3575" t="s">
        <v>7</v>
      </c>
      <c r="F3575" t="s">
        <v>7</v>
      </c>
      <c r="G3575" t="s">
        <v>7</v>
      </c>
      <c r="H3575">
        <v>88139.76</v>
      </c>
      <c r="I3575">
        <v>52970.400000000001</v>
      </c>
      <c r="J3575">
        <v>0</v>
      </c>
    </row>
    <row r="3576" spans="1:10" x14ac:dyDescent="0.35">
      <c r="A3576">
        <v>320273</v>
      </c>
      <c r="B3576" t="s">
        <v>20</v>
      </c>
      <c r="C3576">
        <v>2015</v>
      </c>
      <c r="D3576">
        <v>7</v>
      </c>
      <c r="E3576" t="s">
        <v>7</v>
      </c>
      <c r="F3576" t="s">
        <v>7</v>
      </c>
      <c r="G3576" t="s">
        <v>7</v>
      </c>
      <c r="H3576">
        <v>41984.57</v>
      </c>
      <c r="I3576">
        <v>20249.97</v>
      </c>
      <c r="J3576">
        <v>0</v>
      </c>
    </row>
    <row r="3577" spans="1:10" x14ac:dyDescent="0.35">
      <c r="A3577">
        <v>320278</v>
      </c>
      <c r="B3577" t="s">
        <v>20</v>
      </c>
      <c r="C3577">
        <v>2015</v>
      </c>
      <c r="D3577">
        <v>7</v>
      </c>
      <c r="E3577" t="s">
        <v>7</v>
      </c>
      <c r="F3577" t="s">
        <v>7</v>
      </c>
      <c r="G3577" t="s">
        <v>7</v>
      </c>
      <c r="H3577">
        <v>146581.82999999999</v>
      </c>
      <c r="I3577">
        <v>113301.16</v>
      </c>
      <c r="J3577">
        <v>0</v>
      </c>
    </row>
    <row r="3578" spans="1:10" x14ac:dyDescent="0.35">
      <c r="A3578">
        <v>320286</v>
      </c>
      <c r="B3578" t="s">
        <v>20</v>
      </c>
      <c r="C3578">
        <v>2015</v>
      </c>
      <c r="D3578">
        <v>7</v>
      </c>
      <c r="E3578" t="s">
        <v>7</v>
      </c>
      <c r="F3578" t="s">
        <v>7</v>
      </c>
      <c r="G3578" t="s">
        <v>7</v>
      </c>
      <c r="H3578">
        <v>43060.14</v>
      </c>
      <c r="I3578">
        <v>25873.49</v>
      </c>
      <c r="J3578">
        <v>0</v>
      </c>
    </row>
    <row r="3579" spans="1:10" x14ac:dyDescent="0.35">
      <c r="A3579">
        <v>320289</v>
      </c>
      <c r="B3579" t="s">
        <v>20</v>
      </c>
      <c r="C3579">
        <v>2015</v>
      </c>
      <c r="D3579">
        <v>7</v>
      </c>
      <c r="E3579" t="s">
        <v>7</v>
      </c>
      <c r="F3579" t="s">
        <v>7</v>
      </c>
      <c r="G3579" t="s">
        <v>7</v>
      </c>
      <c r="H3579">
        <v>33564.94</v>
      </c>
      <c r="I3579">
        <v>20797.59</v>
      </c>
      <c r="J3579">
        <v>0</v>
      </c>
    </row>
    <row r="3580" spans="1:10" x14ac:dyDescent="0.35">
      <c r="A3580">
        <v>320292</v>
      </c>
      <c r="B3580" t="s">
        <v>20</v>
      </c>
      <c r="C3580">
        <v>2015</v>
      </c>
      <c r="D3580">
        <v>7</v>
      </c>
      <c r="E3580" t="s">
        <v>7</v>
      </c>
      <c r="F3580" t="s">
        <v>7</v>
      </c>
      <c r="G3580" t="s">
        <v>7</v>
      </c>
      <c r="H3580">
        <v>155329.25</v>
      </c>
      <c r="I3580">
        <v>83041.7</v>
      </c>
      <c r="J3580">
        <v>0</v>
      </c>
    </row>
    <row r="3581" spans="1:10" x14ac:dyDescent="0.35">
      <c r="A3581">
        <v>320304</v>
      </c>
      <c r="B3581" t="s">
        <v>20</v>
      </c>
      <c r="C3581">
        <v>2015</v>
      </c>
      <c r="D3581">
        <v>7</v>
      </c>
      <c r="E3581" t="s">
        <v>7</v>
      </c>
      <c r="F3581" t="s">
        <v>7</v>
      </c>
      <c r="G3581" t="s">
        <v>7</v>
      </c>
      <c r="H3581">
        <v>71471.179999999993</v>
      </c>
      <c r="I3581">
        <v>57099.7</v>
      </c>
      <c r="J3581">
        <v>0</v>
      </c>
    </row>
    <row r="3582" spans="1:10" x14ac:dyDescent="0.35">
      <c r="A3582">
        <v>320305</v>
      </c>
      <c r="B3582" t="s">
        <v>20</v>
      </c>
      <c r="C3582">
        <v>2015</v>
      </c>
      <c r="D3582">
        <v>7</v>
      </c>
      <c r="E3582" t="s">
        <v>7</v>
      </c>
      <c r="F3582" t="s">
        <v>7</v>
      </c>
      <c r="G3582" t="s">
        <v>7</v>
      </c>
      <c r="H3582">
        <v>21751.360000000001</v>
      </c>
      <c r="I3582">
        <v>6481.04</v>
      </c>
      <c r="J3582">
        <v>0</v>
      </c>
    </row>
    <row r="3583" spans="1:10" x14ac:dyDescent="0.35">
      <c r="A3583">
        <v>320313</v>
      </c>
      <c r="B3583" t="s">
        <v>20</v>
      </c>
      <c r="C3583">
        <v>2015</v>
      </c>
      <c r="D3583">
        <v>7</v>
      </c>
      <c r="E3583" t="s">
        <v>7</v>
      </c>
      <c r="F3583" t="s">
        <v>7</v>
      </c>
      <c r="G3583" t="s">
        <v>7</v>
      </c>
      <c r="H3583">
        <v>72671.679999999993</v>
      </c>
      <c r="I3583">
        <v>53602.720000000001</v>
      </c>
      <c r="J3583">
        <v>0</v>
      </c>
    </row>
    <row r="3584" spans="1:10" x14ac:dyDescent="0.35">
      <c r="A3584">
        <v>320314</v>
      </c>
      <c r="B3584" t="s">
        <v>20</v>
      </c>
      <c r="C3584">
        <v>2015</v>
      </c>
      <c r="D3584">
        <v>7</v>
      </c>
      <c r="E3584" t="s">
        <v>7</v>
      </c>
      <c r="F3584" t="s">
        <v>7</v>
      </c>
      <c r="G3584" t="s">
        <v>7</v>
      </c>
      <c r="H3584">
        <v>39631.58</v>
      </c>
      <c r="I3584">
        <v>11857.76</v>
      </c>
      <c r="J3584">
        <v>0</v>
      </c>
    </row>
    <row r="3585" spans="1:10" x14ac:dyDescent="0.35">
      <c r="A3585">
        <v>320317</v>
      </c>
      <c r="B3585" t="s">
        <v>20</v>
      </c>
      <c r="C3585">
        <v>2015</v>
      </c>
      <c r="D3585">
        <v>7</v>
      </c>
      <c r="E3585" t="s">
        <v>7</v>
      </c>
      <c r="F3585" t="s">
        <v>7</v>
      </c>
      <c r="G3585" t="s">
        <v>7</v>
      </c>
      <c r="H3585">
        <v>53224.12</v>
      </c>
      <c r="I3585">
        <v>16066.04</v>
      </c>
      <c r="J3585">
        <v>0</v>
      </c>
    </row>
    <row r="3586" spans="1:10" x14ac:dyDescent="0.35">
      <c r="A3586">
        <v>320321</v>
      </c>
      <c r="B3586" t="s">
        <v>20</v>
      </c>
      <c r="C3586">
        <v>2015</v>
      </c>
      <c r="D3586">
        <v>7</v>
      </c>
      <c r="E3586" t="s">
        <v>7</v>
      </c>
      <c r="F3586" t="s">
        <v>7</v>
      </c>
      <c r="G3586" t="s">
        <v>7</v>
      </c>
      <c r="H3586">
        <v>9431.18</v>
      </c>
      <c r="I3586">
        <v>2508.16</v>
      </c>
      <c r="J3586">
        <v>0</v>
      </c>
    </row>
    <row r="3587" spans="1:10" x14ac:dyDescent="0.35">
      <c r="A3587">
        <v>320326</v>
      </c>
      <c r="B3587" t="s">
        <v>20</v>
      </c>
      <c r="C3587">
        <v>2015</v>
      </c>
      <c r="D3587">
        <v>7</v>
      </c>
      <c r="E3587" t="s">
        <v>7</v>
      </c>
      <c r="F3587" t="s">
        <v>7</v>
      </c>
      <c r="G3587" t="s">
        <v>7</v>
      </c>
      <c r="H3587">
        <v>117050.9</v>
      </c>
      <c r="I3587">
        <v>35404.720000000001</v>
      </c>
      <c r="J3587">
        <v>0</v>
      </c>
    </row>
    <row r="3588" spans="1:10" x14ac:dyDescent="0.35">
      <c r="A3588">
        <v>320328</v>
      </c>
      <c r="B3588" t="s">
        <v>20</v>
      </c>
      <c r="C3588">
        <v>2015</v>
      </c>
      <c r="D3588">
        <v>7</v>
      </c>
      <c r="E3588" t="s">
        <v>7</v>
      </c>
      <c r="F3588" t="s">
        <v>7</v>
      </c>
      <c r="G3588" t="s">
        <v>7</v>
      </c>
      <c r="H3588">
        <v>65017.22</v>
      </c>
      <c r="I3588">
        <v>46819.44</v>
      </c>
      <c r="J3588">
        <v>0</v>
      </c>
    </row>
    <row r="3589" spans="1:10" x14ac:dyDescent="0.35">
      <c r="A3589">
        <v>320329</v>
      </c>
      <c r="B3589" t="s">
        <v>20</v>
      </c>
      <c r="C3589">
        <v>2015</v>
      </c>
      <c r="D3589">
        <v>7</v>
      </c>
      <c r="E3589" t="s">
        <v>7</v>
      </c>
      <c r="F3589" t="s">
        <v>7</v>
      </c>
      <c r="G3589" t="s">
        <v>7</v>
      </c>
      <c r="H3589">
        <v>27018.94</v>
      </c>
      <c r="I3589">
        <v>8555.5300000000007</v>
      </c>
      <c r="J3589">
        <v>0</v>
      </c>
    </row>
    <row r="3590" spans="1:10" x14ac:dyDescent="0.35">
      <c r="A3590">
        <v>320330</v>
      </c>
      <c r="B3590" t="s">
        <v>20</v>
      </c>
      <c r="C3590">
        <v>2015</v>
      </c>
      <c r="D3590">
        <v>7</v>
      </c>
      <c r="E3590" t="s">
        <v>7</v>
      </c>
      <c r="F3590" t="s">
        <v>7</v>
      </c>
      <c r="G3590" t="s">
        <v>7</v>
      </c>
      <c r="H3590">
        <v>65580.320000000007</v>
      </c>
      <c r="I3590">
        <v>46402.22</v>
      </c>
      <c r="J3590">
        <v>0</v>
      </c>
    </row>
    <row r="3591" spans="1:10" x14ac:dyDescent="0.35">
      <c r="A3591">
        <v>320332</v>
      </c>
      <c r="B3591" t="s">
        <v>20</v>
      </c>
      <c r="C3591">
        <v>2015</v>
      </c>
      <c r="D3591">
        <v>7</v>
      </c>
      <c r="E3591" t="s">
        <v>7</v>
      </c>
      <c r="F3591" t="s">
        <v>7</v>
      </c>
      <c r="G3591" t="s">
        <v>7</v>
      </c>
      <c r="H3591">
        <v>58990.96</v>
      </c>
      <c r="I3591">
        <v>18841.13</v>
      </c>
      <c r="J3591">
        <v>0</v>
      </c>
    </row>
    <row r="3592" spans="1:10" x14ac:dyDescent="0.35">
      <c r="A3592">
        <v>320334</v>
      </c>
      <c r="B3592" t="s">
        <v>20</v>
      </c>
      <c r="C3592">
        <v>2015</v>
      </c>
      <c r="D3592">
        <v>7</v>
      </c>
      <c r="E3592" t="s">
        <v>7</v>
      </c>
      <c r="F3592" t="s">
        <v>7</v>
      </c>
      <c r="G3592" t="s">
        <v>7</v>
      </c>
      <c r="H3592">
        <v>27867.279999999999</v>
      </c>
      <c r="I3592">
        <v>8453.15</v>
      </c>
      <c r="J3592">
        <v>0</v>
      </c>
    </row>
    <row r="3593" spans="1:10" x14ac:dyDescent="0.35">
      <c r="A3593">
        <v>320337</v>
      </c>
      <c r="B3593" t="s">
        <v>20</v>
      </c>
      <c r="C3593">
        <v>2015</v>
      </c>
      <c r="D3593">
        <v>7</v>
      </c>
      <c r="E3593" t="s">
        <v>7</v>
      </c>
      <c r="F3593" t="s">
        <v>7</v>
      </c>
      <c r="G3593" t="s">
        <v>7</v>
      </c>
      <c r="H3593">
        <v>68985.320000000007</v>
      </c>
      <c r="I3593">
        <v>49733.03</v>
      </c>
      <c r="J3593">
        <v>0</v>
      </c>
    </row>
    <row r="3594" spans="1:10" x14ac:dyDescent="0.35">
      <c r="A3594">
        <v>320339</v>
      </c>
      <c r="B3594" t="s">
        <v>20</v>
      </c>
      <c r="C3594">
        <v>2015</v>
      </c>
      <c r="D3594">
        <v>7</v>
      </c>
      <c r="E3594" t="s">
        <v>7</v>
      </c>
      <c r="F3594" t="s">
        <v>7</v>
      </c>
      <c r="G3594" t="s">
        <v>7</v>
      </c>
      <c r="H3594">
        <v>47916.26</v>
      </c>
      <c r="I3594">
        <v>15094.13</v>
      </c>
      <c r="J3594">
        <v>0</v>
      </c>
    </row>
    <row r="3595" spans="1:10" x14ac:dyDescent="0.35">
      <c r="A3595">
        <v>320343</v>
      </c>
      <c r="B3595" t="s">
        <v>20</v>
      </c>
      <c r="C3595">
        <v>2015</v>
      </c>
      <c r="D3595">
        <v>7</v>
      </c>
      <c r="E3595" t="s">
        <v>7</v>
      </c>
      <c r="F3595" t="s">
        <v>7</v>
      </c>
      <c r="G3595" t="s">
        <v>7</v>
      </c>
      <c r="H3595">
        <v>131031.98</v>
      </c>
      <c r="I3595">
        <v>61584.94</v>
      </c>
      <c r="J3595">
        <v>0</v>
      </c>
    </row>
    <row r="3596" spans="1:10" x14ac:dyDescent="0.35">
      <c r="A3596">
        <v>320345</v>
      </c>
      <c r="B3596" t="s">
        <v>20</v>
      </c>
      <c r="C3596">
        <v>2015</v>
      </c>
      <c r="D3596">
        <v>7</v>
      </c>
      <c r="E3596" t="s">
        <v>7</v>
      </c>
      <c r="F3596" t="s">
        <v>7</v>
      </c>
      <c r="G3596" t="s">
        <v>7</v>
      </c>
      <c r="H3596">
        <v>67169.66</v>
      </c>
      <c r="I3596">
        <v>49092.25</v>
      </c>
      <c r="J3596">
        <v>0</v>
      </c>
    </row>
    <row r="3597" spans="1:10" x14ac:dyDescent="0.35">
      <c r="A3597">
        <v>320350</v>
      </c>
      <c r="B3597" t="s">
        <v>20</v>
      </c>
      <c r="C3597">
        <v>2015</v>
      </c>
      <c r="D3597">
        <v>7</v>
      </c>
      <c r="E3597" t="s">
        <v>7</v>
      </c>
      <c r="F3597" t="s">
        <v>7</v>
      </c>
      <c r="G3597" t="s">
        <v>7</v>
      </c>
      <c r="H3597">
        <v>57770.36</v>
      </c>
      <c r="I3597">
        <v>18609.43</v>
      </c>
      <c r="J3597">
        <v>0</v>
      </c>
    </row>
    <row r="3598" spans="1:10" x14ac:dyDescent="0.35">
      <c r="A3598">
        <v>320353</v>
      </c>
      <c r="B3598" t="s">
        <v>20</v>
      </c>
      <c r="C3598">
        <v>2015</v>
      </c>
      <c r="D3598">
        <v>7</v>
      </c>
      <c r="E3598" t="s">
        <v>7</v>
      </c>
      <c r="F3598" t="s">
        <v>7</v>
      </c>
      <c r="G3598" t="s">
        <v>7</v>
      </c>
      <c r="H3598">
        <v>42675.64</v>
      </c>
      <c r="I3598">
        <v>20920.3</v>
      </c>
      <c r="J3598">
        <v>0</v>
      </c>
    </row>
    <row r="3599" spans="1:10" x14ac:dyDescent="0.35">
      <c r="A3599">
        <v>320363</v>
      </c>
      <c r="B3599" t="s">
        <v>20</v>
      </c>
      <c r="C3599">
        <v>2015</v>
      </c>
      <c r="D3599">
        <v>7</v>
      </c>
      <c r="E3599" t="s">
        <v>7</v>
      </c>
      <c r="F3599" t="s">
        <v>7</v>
      </c>
      <c r="G3599" t="s">
        <v>7</v>
      </c>
      <c r="H3599">
        <v>46349.42</v>
      </c>
      <c r="I3599">
        <v>15661.23</v>
      </c>
      <c r="J3599">
        <v>0</v>
      </c>
    </row>
    <row r="3600" spans="1:10" x14ac:dyDescent="0.35">
      <c r="A3600">
        <v>320364</v>
      </c>
      <c r="B3600" t="s">
        <v>20</v>
      </c>
      <c r="C3600">
        <v>2015</v>
      </c>
      <c r="D3600">
        <v>7</v>
      </c>
      <c r="E3600" t="s">
        <v>7</v>
      </c>
      <c r="F3600" t="s">
        <v>7</v>
      </c>
      <c r="G3600" t="s">
        <v>7</v>
      </c>
      <c r="H3600">
        <v>43084.04</v>
      </c>
      <c r="I3600">
        <v>13114.45</v>
      </c>
      <c r="J3600">
        <v>0</v>
      </c>
    </row>
    <row r="3601" spans="1:10" x14ac:dyDescent="0.35">
      <c r="A3601">
        <v>320367</v>
      </c>
      <c r="B3601" t="s">
        <v>20</v>
      </c>
      <c r="C3601">
        <v>2015</v>
      </c>
      <c r="D3601">
        <v>7</v>
      </c>
      <c r="E3601" t="s">
        <v>7</v>
      </c>
      <c r="F3601" t="s">
        <v>7</v>
      </c>
      <c r="G3601" t="s">
        <v>7</v>
      </c>
      <c r="H3601">
        <v>13560.26</v>
      </c>
      <c r="I3601">
        <v>4036.26</v>
      </c>
      <c r="J3601">
        <v>0</v>
      </c>
    </row>
    <row r="3602" spans="1:10" x14ac:dyDescent="0.35">
      <c r="A3602">
        <v>320374</v>
      </c>
      <c r="B3602" t="s">
        <v>20</v>
      </c>
      <c r="C3602">
        <v>2015</v>
      </c>
      <c r="D3602">
        <v>7</v>
      </c>
      <c r="E3602" t="s">
        <v>7</v>
      </c>
      <c r="F3602" t="s">
        <v>7</v>
      </c>
      <c r="G3602" t="s">
        <v>7</v>
      </c>
      <c r="H3602">
        <v>40540.800000000003</v>
      </c>
      <c r="I3602">
        <v>12436.08</v>
      </c>
      <c r="J3602">
        <v>0</v>
      </c>
    </row>
    <row r="3603" spans="1:10" x14ac:dyDescent="0.35">
      <c r="A3603">
        <v>320376</v>
      </c>
      <c r="B3603" t="s">
        <v>20</v>
      </c>
      <c r="C3603">
        <v>2015</v>
      </c>
      <c r="D3603">
        <v>7</v>
      </c>
      <c r="E3603" t="s">
        <v>7</v>
      </c>
      <c r="F3603" t="s">
        <v>7</v>
      </c>
      <c r="G3603" t="s">
        <v>7</v>
      </c>
      <c r="H3603">
        <v>35290.42</v>
      </c>
      <c r="I3603">
        <v>9200.7099999999991</v>
      </c>
      <c r="J3603">
        <v>0</v>
      </c>
    </row>
    <row r="3604" spans="1:10" x14ac:dyDescent="0.35">
      <c r="A3604">
        <v>320380</v>
      </c>
      <c r="B3604" t="s">
        <v>20</v>
      </c>
      <c r="C3604">
        <v>2015</v>
      </c>
      <c r="D3604">
        <v>7</v>
      </c>
      <c r="E3604" t="s">
        <v>7</v>
      </c>
      <c r="F3604" t="s">
        <v>7</v>
      </c>
      <c r="G3604" t="s">
        <v>7</v>
      </c>
      <c r="H3604">
        <v>33650.400000000001</v>
      </c>
      <c r="I3604">
        <v>10747.05</v>
      </c>
      <c r="J3604">
        <v>0</v>
      </c>
    </row>
    <row r="3605" spans="1:10" x14ac:dyDescent="0.35">
      <c r="A3605">
        <v>320381</v>
      </c>
      <c r="B3605" t="s">
        <v>20</v>
      </c>
      <c r="C3605">
        <v>2015</v>
      </c>
      <c r="D3605">
        <v>7</v>
      </c>
      <c r="E3605" t="s">
        <v>7</v>
      </c>
      <c r="F3605" t="s">
        <v>7</v>
      </c>
      <c r="G3605" t="s">
        <v>7</v>
      </c>
      <c r="H3605">
        <v>108329.37</v>
      </c>
      <c r="I3605">
        <v>86573.94</v>
      </c>
      <c r="J3605">
        <v>0</v>
      </c>
    </row>
    <row r="3606" spans="1:10" x14ac:dyDescent="0.35">
      <c r="A3606">
        <v>320393</v>
      </c>
      <c r="B3606" t="s">
        <v>20</v>
      </c>
      <c r="C3606">
        <v>2015</v>
      </c>
      <c r="D3606">
        <v>7</v>
      </c>
      <c r="E3606" t="s">
        <v>7</v>
      </c>
      <c r="F3606" t="s">
        <v>7</v>
      </c>
      <c r="G3606" t="s">
        <v>7</v>
      </c>
      <c r="H3606">
        <v>63768.24</v>
      </c>
      <c r="I3606">
        <v>30934.78</v>
      </c>
      <c r="J3606">
        <v>0</v>
      </c>
    </row>
    <row r="3607" spans="1:10" x14ac:dyDescent="0.35">
      <c r="A3607">
        <v>320395</v>
      </c>
      <c r="B3607" t="s">
        <v>20</v>
      </c>
      <c r="C3607">
        <v>2015</v>
      </c>
      <c r="D3607">
        <v>7</v>
      </c>
      <c r="E3607" t="s">
        <v>7</v>
      </c>
      <c r="F3607" t="s">
        <v>7</v>
      </c>
      <c r="G3607" t="s">
        <v>7</v>
      </c>
      <c r="H3607">
        <v>38757.24</v>
      </c>
      <c r="I3607">
        <v>13142.27</v>
      </c>
      <c r="J3607">
        <v>0</v>
      </c>
    </row>
    <row r="3608" spans="1:10" x14ac:dyDescent="0.35">
      <c r="A3608">
        <v>320397</v>
      </c>
      <c r="B3608" t="s">
        <v>20</v>
      </c>
      <c r="C3608">
        <v>2015</v>
      </c>
      <c r="D3608">
        <v>7</v>
      </c>
      <c r="E3608" t="s">
        <v>7</v>
      </c>
      <c r="F3608" t="s">
        <v>7</v>
      </c>
      <c r="G3608" t="s">
        <v>7</v>
      </c>
      <c r="H3608">
        <v>69188.44</v>
      </c>
      <c r="I3608">
        <v>51575.23</v>
      </c>
      <c r="J3608">
        <v>0</v>
      </c>
    </row>
    <row r="3609" spans="1:10" x14ac:dyDescent="0.35">
      <c r="A3609">
        <v>320399</v>
      </c>
      <c r="B3609" t="s">
        <v>20</v>
      </c>
      <c r="C3609">
        <v>2015</v>
      </c>
      <c r="D3609">
        <v>7</v>
      </c>
      <c r="E3609" t="s">
        <v>7</v>
      </c>
      <c r="F3609" t="s">
        <v>7</v>
      </c>
      <c r="G3609" t="s">
        <v>7</v>
      </c>
      <c r="H3609">
        <v>34038.019999999997</v>
      </c>
      <c r="I3609">
        <v>10569.25</v>
      </c>
      <c r="J3609">
        <v>0</v>
      </c>
    </row>
    <row r="3610" spans="1:10" x14ac:dyDescent="0.35">
      <c r="A3610">
        <v>320402</v>
      </c>
      <c r="B3610" t="s">
        <v>20</v>
      </c>
      <c r="C3610">
        <v>2015</v>
      </c>
      <c r="D3610">
        <v>7</v>
      </c>
      <c r="E3610" t="s">
        <v>7</v>
      </c>
      <c r="F3610" t="s">
        <v>7</v>
      </c>
      <c r="G3610" t="s">
        <v>7</v>
      </c>
      <c r="H3610">
        <v>78876.78</v>
      </c>
      <c r="I3610">
        <v>57768</v>
      </c>
      <c r="J3610">
        <v>0</v>
      </c>
    </row>
    <row r="3611" spans="1:10" x14ac:dyDescent="0.35">
      <c r="A3611">
        <v>320412</v>
      </c>
      <c r="B3611" t="s">
        <v>20</v>
      </c>
      <c r="C3611">
        <v>2015</v>
      </c>
      <c r="D3611">
        <v>7</v>
      </c>
      <c r="E3611" t="s">
        <v>7</v>
      </c>
      <c r="F3611" t="s">
        <v>7</v>
      </c>
      <c r="G3611" t="s">
        <v>7</v>
      </c>
      <c r="H3611">
        <v>38380.92</v>
      </c>
      <c r="I3611">
        <v>11848.81</v>
      </c>
      <c r="J3611">
        <v>0</v>
      </c>
    </row>
    <row r="3612" spans="1:10" x14ac:dyDescent="0.35">
      <c r="A3612">
        <v>320413</v>
      </c>
      <c r="B3612" t="s">
        <v>20</v>
      </c>
      <c r="C3612">
        <v>2015</v>
      </c>
      <c r="D3612">
        <v>7</v>
      </c>
      <c r="E3612" t="s">
        <v>7</v>
      </c>
      <c r="F3612" t="s">
        <v>7</v>
      </c>
      <c r="G3612" t="s">
        <v>7</v>
      </c>
      <c r="H3612">
        <v>60696.76</v>
      </c>
      <c r="I3612">
        <v>42338.69</v>
      </c>
      <c r="J3612">
        <v>0</v>
      </c>
    </row>
    <row r="3613" spans="1:10" x14ac:dyDescent="0.35">
      <c r="A3613">
        <v>320416</v>
      </c>
      <c r="B3613" t="s">
        <v>20</v>
      </c>
      <c r="C3613">
        <v>2015</v>
      </c>
      <c r="D3613">
        <v>7</v>
      </c>
      <c r="E3613" t="s">
        <v>7</v>
      </c>
      <c r="F3613" t="s">
        <v>7</v>
      </c>
      <c r="G3613" t="s">
        <v>7</v>
      </c>
      <c r="H3613">
        <v>52280.34</v>
      </c>
      <c r="I3613">
        <v>17939.77</v>
      </c>
      <c r="J3613">
        <v>0</v>
      </c>
    </row>
    <row r="3614" spans="1:10" x14ac:dyDescent="0.35">
      <c r="A3614">
        <v>320418</v>
      </c>
      <c r="B3614" t="s">
        <v>20</v>
      </c>
      <c r="C3614">
        <v>2015</v>
      </c>
      <c r="D3614">
        <v>7</v>
      </c>
      <c r="E3614" t="s">
        <v>7</v>
      </c>
      <c r="F3614" t="s">
        <v>7</v>
      </c>
      <c r="G3614" t="s">
        <v>7</v>
      </c>
      <c r="H3614">
        <v>27271.9</v>
      </c>
      <c r="I3614">
        <v>7563.18</v>
      </c>
      <c r="J3614">
        <v>0</v>
      </c>
    </row>
    <row r="3615" spans="1:10" x14ac:dyDescent="0.35">
      <c r="A3615">
        <v>320426</v>
      </c>
      <c r="B3615" t="s">
        <v>20</v>
      </c>
      <c r="C3615">
        <v>2015</v>
      </c>
      <c r="D3615">
        <v>7</v>
      </c>
      <c r="E3615" t="s">
        <v>7</v>
      </c>
      <c r="F3615" t="s">
        <v>7</v>
      </c>
      <c r="G3615" t="s">
        <v>7</v>
      </c>
      <c r="H3615">
        <v>25654.9</v>
      </c>
      <c r="I3615">
        <v>5470.14</v>
      </c>
      <c r="J3615">
        <v>0</v>
      </c>
    </row>
    <row r="3616" spans="1:10" x14ac:dyDescent="0.35">
      <c r="A3616">
        <v>320431</v>
      </c>
      <c r="B3616" t="s">
        <v>20</v>
      </c>
      <c r="C3616">
        <v>2015</v>
      </c>
      <c r="D3616">
        <v>7</v>
      </c>
      <c r="E3616" t="s">
        <v>7</v>
      </c>
      <c r="F3616" t="s">
        <v>7</v>
      </c>
      <c r="G3616" t="s">
        <v>7</v>
      </c>
      <c r="H3616">
        <v>69218.28</v>
      </c>
      <c r="I3616">
        <v>50465.120000000003</v>
      </c>
      <c r="J3616">
        <v>0</v>
      </c>
    </row>
    <row r="3617" spans="1:10" x14ac:dyDescent="0.35">
      <c r="A3617">
        <v>320438</v>
      </c>
      <c r="B3617" t="s">
        <v>20</v>
      </c>
      <c r="C3617">
        <v>2015</v>
      </c>
      <c r="D3617">
        <v>7</v>
      </c>
      <c r="E3617" t="s">
        <v>7</v>
      </c>
      <c r="F3617" t="s">
        <v>7</v>
      </c>
      <c r="G3617" t="s">
        <v>7</v>
      </c>
      <c r="H3617">
        <v>71707.8</v>
      </c>
      <c r="I3617">
        <v>57131.59</v>
      </c>
      <c r="J3617">
        <v>0</v>
      </c>
    </row>
    <row r="3618" spans="1:10" x14ac:dyDescent="0.35">
      <c r="A3618">
        <v>320439</v>
      </c>
      <c r="B3618" t="s">
        <v>20</v>
      </c>
      <c r="C3618">
        <v>2015</v>
      </c>
      <c r="D3618">
        <v>7</v>
      </c>
      <c r="E3618" t="s">
        <v>7</v>
      </c>
      <c r="F3618" t="s">
        <v>7</v>
      </c>
      <c r="G3618" t="s">
        <v>7</v>
      </c>
      <c r="H3618">
        <v>71970.399999999994</v>
      </c>
      <c r="I3618">
        <v>50606.34</v>
      </c>
      <c r="J3618">
        <v>0</v>
      </c>
    </row>
    <row r="3619" spans="1:10" x14ac:dyDescent="0.35">
      <c r="A3619">
        <v>320444</v>
      </c>
      <c r="B3619" t="s">
        <v>20</v>
      </c>
      <c r="C3619">
        <v>2015</v>
      </c>
      <c r="D3619">
        <v>7</v>
      </c>
      <c r="E3619" t="s">
        <v>7</v>
      </c>
      <c r="F3619" t="s">
        <v>7</v>
      </c>
      <c r="G3619" t="s">
        <v>7</v>
      </c>
      <c r="H3619">
        <v>80078.16</v>
      </c>
      <c r="I3619">
        <v>62759.31</v>
      </c>
      <c r="J3619">
        <v>0</v>
      </c>
    </row>
    <row r="3620" spans="1:10" x14ac:dyDescent="0.35">
      <c r="A3620">
        <v>320450</v>
      </c>
      <c r="B3620" t="s">
        <v>20</v>
      </c>
      <c r="C3620">
        <v>2015</v>
      </c>
      <c r="D3620">
        <v>7</v>
      </c>
      <c r="E3620" t="s">
        <v>7</v>
      </c>
      <c r="F3620" t="s">
        <v>7</v>
      </c>
      <c r="G3620" t="s">
        <v>7</v>
      </c>
      <c r="H3620">
        <v>77348.58</v>
      </c>
      <c r="I3620">
        <v>59094.36</v>
      </c>
      <c r="J3620">
        <v>0</v>
      </c>
    </row>
    <row r="3621" spans="1:10" x14ac:dyDescent="0.35">
      <c r="A3621">
        <v>320452</v>
      </c>
      <c r="B3621" t="s">
        <v>20</v>
      </c>
      <c r="C3621">
        <v>2015</v>
      </c>
      <c r="D3621">
        <v>7</v>
      </c>
      <c r="E3621" t="s">
        <v>7</v>
      </c>
      <c r="F3621" t="s">
        <v>7</v>
      </c>
      <c r="G3621" t="s">
        <v>7</v>
      </c>
      <c r="H3621">
        <v>36013.26</v>
      </c>
      <c r="I3621">
        <v>11020.32</v>
      </c>
      <c r="J3621">
        <v>0</v>
      </c>
    </row>
    <row r="3622" spans="1:10" x14ac:dyDescent="0.35">
      <c r="A3622">
        <v>320457</v>
      </c>
      <c r="B3622" t="s">
        <v>20</v>
      </c>
      <c r="C3622">
        <v>2015</v>
      </c>
      <c r="D3622">
        <v>7</v>
      </c>
      <c r="E3622" t="s">
        <v>7</v>
      </c>
      <c r="F3622" t="s">
        <v>7</v>
      </c>
      <c r="G3622" t="s">
        <v>7</v>
      </c>
      <c r="H3622">
        <v>12780.34</v>
      </c>
      <c r="I3622">
        <v>3731.91</v>
      </c>
      <c r="J3622">
        <v>0</v>
      </c>
    </row>
    <row r="3623" spans="1:10" x14ac:dyDescent="0.35">
      <c r="A3623">
        <v>320458</v>
      </c>
      <c r="B3623" t="s">
        <v>20</v>
      </c>
      <c r="C3623">
        <v>2015</v>
      </c>
      <c r="D3623">
        <v>7</v>
      </c>
      <c r="E3623" t="s">
        <v>7</v>
      </c>
      <c r="F3623" t="s">
        <v>7</v>
      </c>
      <c r="G3623" t="s">
        <v>7</v>
      </c>
      <c r="H3623">
        <v>136956.73000000001</v>
      </c>
      <c r="I3623">
        <v>124031.73</v>
      </c>
      <c r="J3623">
        <v>0</v>
      </c>
    </row>
    <row r="3624" spans="1:10" x14ac:dyDescent="0.35">
      <c r="A3624">
        <v>320461</v>
      </c>
      <c r="B3624" t="s">
        <v>20</v>
      </c>
      <c r="C3624">
        <v>2015</v>
      </c>
      <c r="D3624">
        <v>7</v>
      </c>
      <c r="E3624" t="s">
        <v>7</v>
      </c>
      <c r="F3624" t="s">
        <v>7</v>
      </c>
      <c r="G3624" t="s">
        <v>7</v>
      </c>
      <c r="H3624">
        <v>36962.14</v>
      </c>
      <c r="I3624">
        <v>10698.94</v>
      </c>
      <c r="J3624">
        <v>0</v>
      </c>
    </row>
    <row r="3625" spans="1:10" x14ac:dyDescent="0.35">
      <c r="A3625">
        <v>320462</v>
      </c>
      <c r="B3625" t="s">
        <v>20</v>
      </c>
      <c r="C3625">
        <v>2015</v>
      </c>
      <c r="D3625">
        <v>7</v>
      </c>
      <c r="E3625" t="s">
        <v>7</v>
      </c>
      <c r="F3625" t="s">
        <v>7</v>
      </c>
      <c r="G3625" t="s">
        <v>7</v>
      </c>
      <c r="H3625">
        <v>66964.240000000005</v>
      </c>
      <c r="I3625">
        <v>49023.63</v>
      </c>
      <c r="J3625">
        <v>0</v>
      </c>
    </row>
    <row r="3626" spans="1:10" x14ac:dyDescent="0.35">
      <c r="A3626">
        <v>320466</v>
      </c>
      <c r="B3626" t="s">
        <v>20</v>
      </c>
      <c r="C3626">
        <v>2015</v>
      </c>
      <c r="D3626">
        <v>7</v>
      </c>
      <c r="E3626" t="s">
        <v>7</v>
      </c>
      <c r="F3626" t="s">
        <v>7</v>
      </c>
      <c r="G3626" t="s">
        <v>7</v>
      </c>
      <c r="H3626">
        <v>45827.89</v>
      </c>
      <c r="I3626">
        <v>11330.53</v>
      </c>
      <c r="J3626">
        <v>0</v>
      </c>
    </row>
    <row r="3627" spans="1:10" x14ac:dyDescent="0.35">
      <c r="A3627">
        <v>320469</v>
      </c>
      <c r="B3627" t="s">
        <v>20</v>
      </c>
      <c r="C3627">
        <v>2015</v>
      </c>
      <c r="D3627">
        <v>7</v>
      </c>
      <c r="E3627" t="s">
        <v>7</v>
      </c>
      <c r="F3627" t="s">
        <v>7</v>
      </c>
      <c r="G3627" t="s">
        <v>7</v>
      </c>
      <c r="H3627">
        <v>45003.76</v>
      </c>
      <c r="I3627">
        <v>14687.56</v>
      </c>
      <c r="J3627">
        <v>0</v>
      </c>
    </row>
    <row r="3628" spans="1:10" x14ac:dyDescent="0.35">
      <c r="A3628">
        <v>320471</v>
      </c>
      <c r="B3628" t="s">
        <v>20</v>
      </c>
      <c r="C3628">
        <v>2015</v>
      </c>
      <c r="D3628">
        <v>7</v>
      </c>
      <c r="E3628" t="s">
        <v>7</v>
      </c>
      <c r="F3628" t="s">
        <v>7</v>
      </c>
      <c r="G3628" t="s">
        <v>7</v>
      </c>
      <c r="H3628">
        <v>64947.34</v>
      </c>
      <c r="I3628">
        <v>46225.24</v>
      </c>
      <c r="J3628">
        <v>0</v>
      </c>
    </row>
    <row r="3629" spans="1:10" x14ac:dyDescent="0.35">
      <c r="A3629">
        <v>320473</v>
      </c>
      <c r="B3629" t="s">
        <v>20</v>
      </c>
      <c r="C3629">
        <v>2015</v>
      </c>
      <c r="D3629">
        <v>7</v>
      </c>
      <c r="E3629" t="s">
        <v>7</v>
      </c>
      <c r="F3629" t="s">
        <v>7</v>
      </c>
      <c r="G3629" t="s">
        <v>7</v>
      </c>
      <c r="H3629">
        <v>90301.94</v>
      </c>
      <c r="I3629">
        <v>44324.94</v>
      </c>
      <c r="J3629">
        <v>0</v>
      </c>
    </row>
    <row r="3630" spans="1:10" x14ac:dyDescent="0.35">
      <c r="A3630">
        <v>320476</v>
      </c>
      <c r="B3630" t="s">
        <v>20</v>
      </c>
      <c r="C3630">
        <v>2015</v>
      </c>
      <c r="D3630">
        <v>7</v>
      </c>
      <c r="E3630" t="s">
        <v>7</v>
      </c>
      <c r="F3630" t="s">
        <v>7</v>
      </c>
      <c r="G3630" t="s">
        <v>7</v>
      </c>
      <c r="H3630">
        <v>23655.78</v>
      </c>
      <c r="I3630">
        <v>6098.96</v>
      </c>
      <c r="J3630">
        <v>0</v>
      </c>
    </row>
    <row r="3631" spans="1:10" x14ac:dyDescent="0.35">
      <c r="A3631">
        <v>320483</v>
      </c>
      <c r="B3631" t="s">
        <v>20</v>
      </c>
      <c r="C3631">
        <v>2015</v>
      </c>
      <c r="D3631">
        <v>7</v>
      </c>
      <c r="E3631" t="s">
        <v>7</v>
      </c>
      <c r="F3631" t="s">
        <v>7</v>
      </c>
      <c r="G3631" t="s">
        <v>7</v>
      </c>
      <c r="H3631">
        <v>78886.759999999995</v>
      </c>
      <c r="I3631">
        <v>61608.1</v>
      </c>
      <c r="J3631">
        <v>0</v>
      </c>
    </row>
    <row r="3632" spans="1:10" x14ac:dyDescent="0.35">
      <c r="A3632">
        <v>320490</v>
      </c>
      <c r="B3632" t="s">
        <v>20</v>
      </c>
      <c r="C3632">
        <v>2015</v>
      </c>
      <c r="D3632">
        <v>7</v>
      </c>
      <c r="E3632" t="s">
        <v>7</v>
      </c>
      <c r="F3632" t="s">
        <v>7</v>
      </c>
      <c r="G3632" t="s">
        <v>7</v>
      </c>
      <c r="H3632">
        <v>37126.839999999997</v>
      </c>
      <c r="I3632">
        <v>11931.97</v>
      </c>
      <c r="J3632">
        <v>0</v>
      </c>
    </row>
    <row r="3633" spans="1:10" x14ac:dyDescent="0.35">
      <c r="A3633">
        <v>320494</v>
      </c>
      <c r="B3633" t="s">
        <v>20</v>
      </c>
      <c r="C3633">
        <v>2015</v>
      </c>
      <c r="D3633">
        <v>7</v>
      </c>
      <c r="E3633" t="s">
        <v>7</v>
      </c>
      <c r="F3633" t="s">
        <v>7</v>
      </c>
      <c r="G3633" t="s">
        <v>7</v>
      </c>
      <c r="H3633">
        <v>72799.86</v>
      </c>
      <c r="I3633">
        <v>55352.82</v>
      </c>
      <c r="J3633">
        <v>0</v>
      </c>
    </row>
    <row r="3634" spans="1:10" x14ac:dyDescent="0.35">
      <c r="A3634">
        <v>320496</v>
      </c>
      <c r="B3634" t="s">
        <v>20</v>
      </c>
      <c r="C3634">
        <v>2015</v>
      </c>
      <c r="D3634">
        <v>7</v>
      </c>
      <c r="E3634" t="s">
        <v>7</v>
      </c>
      <c r="F3634" t="s">
        <v>7</v>
      </c>
      <c r="G3634" t="s">
        <v>7</v>
      </c>
      <c r="H3634">
        <v>7684.74</v>
      </c>
      <c r="I3634">
        <v>2116.4699999999998</v>
      </c>
      <c r="J3634">
        <v>0</v>
      </c>
    </row>
    <row r="3635" spans="1:10" x14ac:dyDescent="0.35">
      <c r="A3635">
        <v>320497</v>
      </c>
      <c r="B3635" t="s">
        <v>20</v>
      </c>
      <c r="C3635">
        <v>2015</v>
      </c>
      <c r="D3635">
        <v>7</v>
      </c>
      <c r="E3635" t="s">
        <v>7</v>
      </c>
      <c r="F3635" t="s">
        <v>7</v>
      </c>
      <c r="G3635" t="s">
        <v>7</v>
      </c>
      <c r="H3635">
        <v>75831.44</v>
      </c>
      <c r="I3635">
        <v>56341.08</v>
      </c>
      <c r="J3635">
        <v>0</v>
      </c>
    </row>
    <row r="3636" spans="1:10" x14ac:dyDescent="0.35">
      <c r="A3636">
        <v>320500</v>
      </c>
      <c r="B3636" t="s">
        <v>20</v>
      </c>
      <c r="C3636">
        <v>2015</v>
      </c>
      <c r="D3636">
        <v>7</v>
      </c>
      <c r="E3636" t="s">
        <v>7</v>
      </c>
      <c r="F3636" t="s">
        <v>7</v>
      </c>
      <c r="G3636" t="s">
        <v>7</v>
      </c>
      <c r="H3636">
        <v>30380.69</v>
      </c>
      <c r="I3636">
        <v>12869.26</v>
      </c>
      <c r="J3636">
        <v>0</v>
      </c>
    </row>
    <row r="3637" spans="1:10" x14ac:dyDescent="0.35">
      <c r="A3637">
        <v>320502</v>
      </c>
      <c r="B3637" t="s">
        <v>20</v>
      </c>
      <c r="C3637">
        <v>2015</v>
      </c>
      <c r="D3637">
        <v>7</v>
      </c>
      <c r="E3637" t="s">
        <v>7</v>
      </c>
      <c r="F3637" t="s">
        <v>7</v>
      </c>
      <c r="G3637" t="s">
        <v>7</v>
      </c>
      <c r="H3637">
        <v>16069.38</v>
      </c>
      <c r="I3637">
        <v>4442.1099999999997</v>
      </c>
      <c r="J3637">
        <v>0</v>
      </c>
    </row>
    <row r="3638" spans="1:10" x14ac:dyDescent="0.35">
      <c r="A3638">
        <v>320504</v>
      </c>
      <c r="B3638" t="s">
        <v>20</v>
      </c>
      <c r="C3638">
        <v>2015</v>
      </c>
      <c r="D3638">
        <v>7</v>
      </c>
      <c r="E3638" t="s">
        <v>7</v>
      </c>
      <c r="F3638" t="s">
        <v>7</v>
      </c>
      <c r="G3638" t="s">
        <v>7</v>
      </c>
      <c r="H3638">
        <v>67274.22</v>
      </c>
      <c r="I3638">
        <v>35257.199999999997</v>
      </c>
      <c r="J3638">
        <v>0</v>
      </c>
    </row>
    <row r="3639" spans="1:10" x14ac:dyDescent="0.35">
      <c r="A3639">
        <v>320506</v>
      </c>
      <c r="B3639" t="s">
        <v>20</v>
      </c>
      <c r="C3639">
        <v>2015</v>
      </c>
      <c r="D3639">
        <v>7</v>
      </c>
      <c r="E3639" t="s">
        <v>7</v>
      </c>
      <c r="F3639" t="s">
        <v>7</v>
      </c>
      <c r="G3639" t="s">
        <v>7</v>
      </c>
      <c r="H3639">
        <v>62689.9</v>
      </c>
      <c r="I3639">
        <v>45628.41</v>
      </c>
      <c r="J3639">
        <v>0</v>
      </c>
    </row>
    <row r="3640" spans="1:10" x14ac:dyDescent="0.35">
      <c r="A3640">
        <v>320512</v>
      </c>
      <c r="B3640" t="s">
        <v>20</v>
      </c>
      <c r="C3640">
        <v>2015</v>
      </c>
      <c r="D3640">
        <v>7</v>
      </c>
      <c r="E3640" t="s">
        <v>7</v>
      </c>
      <c r="F3640" t="s">
        <v>7</v>
      </c>
      <c r="G3640" t="s">
        <v>7</v>
      </c>
      <c r="H3640">
        <v>25849.16</v>
      </c>
      <c r="I3640">
        <v>7854.46</v>
      </c>
      <c r="J3640">
        <v>0</v>
      </c>
    </row>
    <row r="3641" spans="1:10" x14ac:dyDescent="0.35">
      <c r="A3641">
        <v>320516</v>
      </c>
      <c r="B3641" t="s">
        <v>20</v>
      </c>
      <c r="C3641">
        <v>2015</v>
      </c>
      <c r="D3641">
        <v>7</v>
      </c>
      <c r="E3641" t="s">
        <v>7</v>
      </c>
      <c r="F3641" t="s">
        <v>7</v>
      </c>
      <c r="G3641" t="s">
        <v>7</v>
      </c>
      <c r="H3641">
        <v>64120.18</v>
      </c>
      <c r="I3641">
        <v>45798.73</v>
      </c>
      <c r="J3641">
        <v>0</v>
      </c>
    </row>
    <row r="3642" spans="1:10" x14ac:dyDescent="0.35">
      <c r="A3642">
        <v>320519</v>
      </c>
      <c r="B3642" t="s">
        <v>20</v>
      </c>
      <c r="C3642">
        <v>2015</v>
      </c>
      <c r="D3642">
        <v>7</v>
      </c>
      <c r="E3642" t="s">
        <v>7</v>
      </c>
      <c r="F3642" t="s">
        <v>7</v>
      </c>
      <c r="G3642" t="s">
        <v>7</v>
      </c>
      <c r="H3642">
        <v>79114.44</v>
      </c>
      <c r="I3642">
        <v>29583.66</v>
      </c>
      <c r="J3642">
        <v>0</v>
      </c>
    </row>
    <row r="3643" spans="1:10" x14ac:dyDescent="0.35">
      <c r="A3643">
        <v>320520</v>
      </c>
      <c r="B3643" t="s">
        <v>20</v>
      </c>
      <c r="C3643">
        <v>2015</v>
      </c>
      <c r="D3643">
        <v>7</v>
      </c>
      <c r="E3643" t="s">
        <v>7</v>
      </c>
      <c r="F3643" t="s">
        <v>7</v>
      </c>
      <c r="G3643" t="s">
        <v>7</v>
      </c>
      <c r="H3643">
        <v>52257.16</v>
      </c>
      <c r="I3643">
        <v>15942.62</v>
      </c>
      <c r="J3643">
        <v>0</v>
      </c>
    </row>
    <row r="3644" spans="1:10" x14ac:dyDescent="0.35">
      <c r="A3644">
        <v>320524</v>
      </c>
      <c r="B3644" t="s">
        <v>20</v>
      </c>
      <c r="C3644">
        <v>2015</v>
      </c>
      <c r="D3644">
        <v>7</v>
      </c>
      <c r="E3644" t="s">
        <v>7</v>
      </c>
      <c r="F3644" t="s">
        <v>7</v>
      </c>
      <c r="G3644" t="s">
        <v>7</v>
      </c>
      <c r="H3644">
        <v>25028.74</v>
      </c>
      <c r="I3644">
        <v>6716.26</v>
      </c>
      <c r="J3644">
        <v>0</v>
      </c>
    </row>
    <row r="3645" spans="1:10" x14ac:dyDescent="0.35">
      <c r="A3645">
        <v>320525</v>
      </c>
      <c r="B3645" t="s">
        <v>20</v>
      </c>
      <c r="C3645">
        <v>2015</v>
      </c>
      <c r="D3645">
        <v>7</v>
      </c>
      <c r="E3645" t="s">
        <v>7</v>
      </c>
      <c r="F3645" t="s">
        <v>7</v>
      </c>
      <c r="G3645" t="s">
        <v>7</v>
      </c>
      <c r="H3645">
        <v>75119.38</v>
      </c>
      <c r="I3645">
        <v>57635.46</v>
      </c>
      <c r="J3645">
        <v>0</v>
      </c>
    </row>
    <row r="3646" spans="1:10" x14ac:dyDescent="0.35">
      <c r="A3646">
        <v>320527</v>
      </c>
      <c r="B3646" t="s">
        <v>20</v>
      </c>
      <c r="C3646">
        <v>2015</v>
      </c>
      <c r="D3646">
        <v>7</v>
      </c>
      <c r="E3646" t="s">
        <v>7</v>
      </c>
      <c r="F3646" t="s">
        <v>7</v>
      </c>
      <c r="G3646" t="s">
        <v>7</v>
      </c>
      <c r="H3646">
        <v>79127.66</v>
      </c>
      <c r="I3646">
        <v>40301.42</v>
      </c>
      <c r="J3646">
        <v>0</v>
      </c>
    </row>
    <row r="3647" spans="1:10" x14ac:dyDescent="0.35">
      <c r="A3647">
        <v>320531</v>
      </c>
      <c r="B3647" t="s">
        <v>20</v>
      </c>
      <c r="C3647">
        <v>2015</v>
      </c>
      <c r="D3647">
        <v>7</v>
      </c>
      <c r="E3647" t="s">
        <v>7</v>
      </c>
      <c r="F3647" t="s">
        <v>7</v>
      </c>
      <c r="G3647" t="s">
        <v>7</v>
      </c>
      <c r="H3647">
        <v>62194.34</v>
      </c>
      <c r="I3647">
        <v>44540.84</v>
      </c>
      <c r="J3647">
        <v>0</v>
      </c>
    </row>
    <row r="3648" spans="1:10" x14ac:dyDescent="0.35">
      <c r="A3648">
        <v>320532</v>
      </c>
      <c r="B3648" t="s">
        <v>20</v>
      </c>
      <c r="C3648">
        <v>2015</v>
      </c>
      <c r="D3648">
        <v>7</v>
      </c>
      <c r="E3648" t="s">
        <v>7</v>
      </c>
      <c r="F3648" t="s">
        <v>7</v>
      </c>
      <c r="G3648" t="s">
        <v>7</v>
      </c>
      <c r="H3648">
        <v>42847.26</v>
      </c>
      <c r="I3648">
        <v>8581.99</v>
      </c>
      <c r="J3648">
        <v>0</v>
      </c>
    </row>
    <row r="3649" spans="1:10" x14ac:dyDescent="0.35">
      <c r="A3649">
        <v>320533</v>
      </c>
      <c r="B3649" t="s">
        <v>20</v>
      </c>
      <c r="C3649">
        <v>2015</v>
      </c>
      <c r="D3649">
        <v>7</v>
      </c>
      <c r="E3649" t="s">
        <v>7</v>
      </c>
      <c r="F3649" t="s">
        <v>7</v>
      </c>
      <c r="G3649" t="s">
        <v>7</v>
      </c>
      <c r="H3649">
        <v>80553.320000000007</v>
      </c>
      <c r="I3649">
        <v>61234.44</v>
      </c>
      <c r="J3649">
        <v>0</v>
      </c>
    </row>
    <row r="3650" spans="1:10" x14ac:dyDescent="0.35">
      <c r="A3650">
        <v>320537</v>
      </c>
      <c r="B3650" t="s">
        <v>20</v>
      </c>
      <c r="C3650">
        <v>2015</v>
      </c>
      <c r="D3650">
        <v>7</v>
      </c>
      <c r="E3650" t="s">
        <v>7</v>
      </c>
      <c r="F3650" t="s">
        <v>7</v>
      </c>
      <c r="G3650" t="s">
        <v>7</v>
      </c>
      <c r="H3650">
        <v>10249.700000000001</v>
      </c>
      <c r="I3650">
        <v>2363.5</v>
      </c>
      <c r="J3650">
        <v>0</v>
      </c>
    </row>
    <row r="3651" spans="1:10" x14ac:dyDescent="0.35">
      <c r="A3651">
        <v>320538</v>
      </c>
      <c r="B3651" t="s">
        <v>20</v>
      </c>
      <c r="C3651">
        <v>2015</v>
      </c>
      <c r="D3651">
        <v>7</v>
      </c>
      <c r="E3651" t="s">
        <v>7</v>
      </c>
      <c r="F3651" t="s">
        <v>7</v>
      </c>
      <c r="G3651" t="s">
        <v>7</v>
      </c>
      <c r="H3651">
        <v>72738.52</v>
      </c>
      <c r="I3651">
        <v>55785.91</v>
      </c>
      <c r="J3651">
        <v>0</v>
      </c>
    </row>
    <row r="3652" spans="1:10" x14ac:dyDescent="0.35">
      <c r="A3652">
        <v>320546</v>
      </c>
      <c r="B3652" t="s">
        <v>20</v>
      </c>
      <c r="C3652">
        <v>2015</v>
      </c>
      <c r="D3652">
        <v>7</v>
      </c>
      <c r="E3652" t="s">
        <v>7</v>
      </c>
      <c r="F3652" t="s">
        <v>7</v>
      </c>
      <c r="G3652" t="s">
        <v>7</v>
      </c>
      <c r="H3652">
        <v>22065.56</v>
      </c>
      <c r="I3652">
        <v>6078.28</v>
      </c>
      <c r="J3652">
        <v>0</v>
      </c>
    </row>
    <row r="3653" spans="1:10" x14ac:dyDescent="0.35">
      <c r="A3653">
        <v>320547</v>
      </c>
      <c r="B3653" t="s">
        <v>20</v>
      </c>
      <c r="C3653">
        <v>2015</v>
      </c>
      <c r="D3653">
        <v>7</v>
      </c>
      <c r="E3653" t="s">
        <v>7</v>
      </c>
      <c r="F3653" t="s">
        <v>7</v>
      </c>
      <c r="G3653" t="s">
        <v>7</v>
      </c>
      <c r="H3653">
        <v>31249.040000000001</v>
      </c>
      <c r="I3653">
        <v>7934.67</v>
      </c>
      <c r="J3653">
        <v>0</v>
      </c>
    </row>
    <row r="3654" spans="1:10" x14ac:dyDescent="0.35">
      <c r="A3654">
        <v>320554</v>
      </c>
      <c r="B3654" t="s">
        <v>20</v>
      </c>
      <c r="C3654">
        <v>2015</v>
      </c>
      <c r="D3654">
        <v>7</v>
      </c>
      <c r="E3654" t="s">
        <v>7</v>
      </c>
      <c r="F3654" t="s">
        <v>7</v>
      </c>
      <c r="G3654" t="s">
        <v>7</v>
      </c>
      <c r="H3654">
        <v>34352.94</v>
      </c>
      <c r="I3654">
        <v>10356.36</v>
      </c>
      <c r="J3654">
        <v>0</v>
      </c>
    </row>
    <row r="3655" spans="1:10" x14ac:dyDescent="0.35">
      <c r="A3655">
        <v>320560</v>
      </c>
      <c r="B3655" t="s">
        <v>20</v>
      </c>
      <c r="C3655">
        <v>2015</v>
      </c>
      <c r="D3655">
        <v>7</v>
      </c>
      <c r="E3655" t="s">
        <v>7</v>
      </c>
      <c r="F3655" t="s">
        <v>7</v>
      </c>
      <c r="G3655" t="s">
        <v>7</v>
      </c>
      <c r="H3655">
        <v>83462.240000000005</v>
      </c>
      <c r="I3655">
        <v>58755.53</v>
      </c>
      <c r="J3655">
        <v>0</v>
      </c>
    </row>
    <row r="3656" spans="1:10" x14ac:dyDescent="0.35">
      <c r="A3656">
        <v>320561</v>
      </c>
      <c r="B3656" t="s">
        <v>20</v>
      </c>
      <c r="C3656">
        <v>2015</v>
      </c>
      <c r="D3656">
        <v>7</v>
      </c>
      <c r="E3656" t="s">
        <v>7</v>
      </c>
      <c r="F3656" t="s">
        <v>7</v>
      </c>
      <c r="G3656" t="s">
        <v>7</v>
      </c>
      <c r="H3656">
        <v>31601.74</v>
      </c>
      <c r="I3656">
        <v>8816.32</v>
      </c>
      <c r="J3656">
        <v>0</v>
      </c>
    </row>
    <row r="3657" spans="1:10" x14ac:dyDescent="0.35">
      <c r="A3657">
        <v>320562</v>
      </c>
      <c r="B3657" t="s">
        <v>20</v>
      </c>
      <c r="C3657">
        <v>2015</v>
      </c>
      <c r="D3657">
        <v>7</v>
      </c>
      <c r="E3657" t="s">
        <v>7</v>
      </c>
      <c r="F3657" t="s">
        <v>7</v>
      </c>
      <c r="G3657" t="s">
        <v>7</v>
      </c>
      <c r="H3657">
        <v>64783.48</v>
      </c>
      <c r="I3657">
        <v>50533.11</v>
      </c>
      <c r="J3657">
        <v>0</v>
      </c>
    </row>
    <row r="3658" spans="1:10" x14ac:dyDescent="0.35">
      <c r="A3658">
        <v>320566</v>
      </c>
      <c r="B3658" t="s">
        <v>20</v>
      </c>
      <c r="C3658">
        <v>2015</v>
      </c>
      <c r="D3658">
        <v>7</v>
      </c>
      <c r="E3658" t="s">
        <v>7</v>
      </c>
      <c r="F3658" t="s">
        <v>7</v>
      </c>
      <c r="G3658" t="s">
        <v>7</v>
      </c>
      <c r="H3658">
        <v>14651.98</v>
      </c>
      <c r="I3658">
        <v>4379.95</v>
      </c>
      <c r="J3658">
        <v>0</v>
      </c>
    </row>
    <row r="3659" spans="1:10" x14ac:dyDescent="0.35">
      <c r="A3659">
        <v>320567</v>
      </c>
      <c r="B3659" t="s">
        <v>20</v>
      </c>
      <c r="C3659">
        <v>2015</v>
      </c>
      <c r="D3659">
        <v>7</v>
      </c>
      <c r="E3659" t="s">
        <v>7</v>
      </c>
      <c r="F3659" t="s">
        <v>7</v>
      </c>
      <c r="G3659" t="s">
        <v>7</v>
      </c>
      <c r="H3659">
        <v>129293.51</v>
      </c>
      <c r="I3659">
        <v>123107.23</v>
      </c>
      <c r="J3659">
        <v>0</v>
      </c>
    </row>
    <row r="3660" spans="1:10" x14ac:dyDescent="0.35">
      <c r="A3660">
        <v>320572</v>
      </c>
      <c r="B3660" t="s">
        <v>20</v>
      </c>
      <c r="C3660">
        <v>2015</v>
      </c>
      <c r="D3660">
        <v>7</v>
      </c>
      <c r="E3660" t="s">
        <v>7</v>
      </c>
      <c r="F3660" t="s">
        <v>7</v>
      </c>
      <c r="G3660" t="s">
        <v>7</v>
      </c>
      <c r="H3660">
        <v>27094.080000000002</v>
      </c>
      <c r="I3660">
        <v>8257.27</v>
      </c>
      <c r="J3660">
        <v>0</v>
      </c>
    </row>
    <row r="3661" spans="1:10" x14ac:dyDescent="0.35">
      <c r="A3661">
        <v>320573</v>
      </c>
      <c r="B3661" t="s">
        <v>20</v>
      </c>
      <c r="C3661">
        <v>2015</v>
      </c>
      <c r="D3661">
        <v>7</v>
      </c>
      <c r="E3661" t="s">
        <v>7</v>
      </c>
      <c r="F3661" t="s">
        <v>7</v>
      </c>
      <c r="G3661" t="s">
        <v>7</v>
      </c>
      <c r="H3661">
        <v>23554.38</v>
      </c>
      <c r="I3661">
        <v>6472.83</v>
      </c>
      <c r="J3661">
        <v>0</v>
      </c>
    </row>
    <row r="3662" spans="1:10" x14ac:dyDescent="0.35">
      <c r="A3662">
        <v>320580</v>
      </c>
      <c r="B3662" t="s">
        <v>20</v>
      </c>
      <c r="C3662">
        <v>2015</v>
      </c>
      <c r="D3662">
        <v>7</v>
      </c>
      <c r="E3662" t="s">
        <v>7</v>
      </c>
      <c r="F3662" t="s">
        <v>7</v>
      </c>
      <c r="G3662" t="s">
        <v>7</v>
      </c>
      <c r="H3662">
        <v>56042.2</v>
      </c>
      <c r="I3662">
        <v>13854.8</v>
      </c>
      <c r="J3662">
        <v>0</v>
      </c>
    </row>
    <row r="3663" spans="1:10" x14ac:dyDescent="0.35">
      <c r="A3663">
        <v>320582</v>
      </c>
      <c r="B3663" t="s">
        <v>20</v>
      </c>
      <c r="C3663">
        <v>2015</v>
      </c>
      <c r="D3663">
        <v>7</v>
      </c>
      <c r="E3663" t="s">
        <v>7</v>
      </c>
      <c r="F3663" t="s">
        <v>7</v>
      </c>
      <c r="G3663" t="s">
        <v>7</v>
      </c>
      <c r="H3663">
        <v>71215.3</v>
      </c>
      <c r="I3663">
        <v>54397.96</v>
      </c>
      <c r="J3663">
        <v>0</v>
      </c>
    </row>
    <row r="3664" spans="1:10" x14ac:dyDescent="0.35">
      <c r="A3664">
        <v>320584</v>
      </c>
      <c r="B3664" t="s">
        <v>20</v>
      </c>
      <c r="C3664">
        <v>2015</v>
      </c>
      <c r="D3664">
        <v>7</v>
      </c>
      <c r="E3664" t="s">
        <v>7</v>
      </c>
      <c r="F3664" t="s">
        <v>7</v>
      </c>
      <c r="G3664" t="s">
        <v>7</v>
      </c>
      <c r="H3664">
        <v>49362.28</v>
      </c>
      <c r="I3664">
        <v>23212.65</v>
      </c>
      <c r="J3664">
        <v>0</v>
      </c>
    </row>
    <row r="3665" spans="1:10" x14ac:dyDescent="0.35">
      <c r="A3665">
        <v>320590</v>
      </c>
      <c r="B3665" t="s">
        <v>20</v>
      </c>
      <c r="C3665">
        <v>2015</v>
      </c>
      <c r="D3665">
        <v>7</v>
      </c>
      <c r="E3665" t="s">
        <v>7</v>
      </c>
      <c r="F3665" t="s">
        <v>7</v>
      </c>
      <c r="G3665" t="s">
        <v>7</v>
      </c>
      <c r="H3665">
        <v>86078.88</v>
      </c>
      <c r="I3665">
        <v>32752.27</v>
      </c>
      <c r="J3665">
        <v>0</v>
      </c>
    </row>
    <row r="3666" spans="1:10" x14ac:dyDescent="0.35">
      <c r="A3666">
        <v>320591</v>
      </c>
      <c r="B3666" t="s">
        <v>20</v>
      </c>
      <c r="C3666">
        <v>2015</v>
      </c>
      <c r="D3666">
        <v>7</v>
      </c>
      <c r="E3666" t="s">
        <v>7</v>
      </c>
      <c r="F3666" t="s">
        <v>7</v>
      </c>
      <c r="G3666" t="s">
        <v>7</v>
      </c>
      <c r="H3666">
        <v>65255.96</v>
      </c>
      <c r="I3666">
        <v>48351.88</v>
      </c>
      <c r="J3666">
        <v>0</v>
      </c>
    </row>
    <row r="3667" spans="1:10" x14ac:dyDescent="0.35">
      <c r="A3667">
        <v>320593</v>
      </c>
      <c r="B3667" t="s">
        <v>20</v>
      </c>
      <c r="C3667">
        <v>2015</v>
      </c>
      <c r="D3667">
        <v>7</v>
      </c>
      <c r="E3667" t="s">
        <v>7</v>
      </c>
      <c r="F3667" t="s">
        <v>7</v>
      </c>
      <c r="G3667" t="s">
        <v>7</v>
      </c>
      <c r="H3667">
        <v>66630.179999999993</v>
      </c>
      <c r="I3667">
        <v>48942.94</v>
      </c>
      <c r="J3667">
        <v>0</v>
      </c>
    </row>
    <row r="3668" spans="1:10" x14ac:dyDescent="0.35">
      <c r="A3668">
        <v>320597</v>
      </c>
      <c r="B3668" t="s">
        <v>20</v>
      </c>
      <c r="C3668">
        <v>2015</v>
      </c>
      <c r="D3668">
        <v>7</v>
      </c>
      <c r="E3668" t="s">
        <v>7</v>
      </c>
      <c r="F3668" t="s">
        <v>7</v>
      </c>
      <c r="G3668" t="s">
        <v>7</v>
      </c>
      <c r="H3668">
        <v>66660.070000000007</v>
      </c>
      <c r="I3668">
        <v>46952.9</v>
      </c>
      <c r="J3668">
        <v>0</v>
      </c>
    </row>
    <row r="3669" spans="1:10" x14ac:dyDescent="0.35">
      <c r="A3669">
        <v>320598</v>
      </c>
      <c r="B3669" t="s">
        <v>20</v>
      </c>
      <c r="C3669">
        <v>2015</v>
      </c>
      <c r="D3669">
        <v>7</v>
      </c>
      <c r="E3669" t="s">
        <v>7</v>
      </c>
      <c r="F3669" t="s">
        <v>7</v>
      </c>
      <c r="G3669" t="s">
        <v>7</v>
      </c>
      <c r="H3669">
        <v>22515.7</v>
      </c>
      <c r="I3669">
        <v>6487.71</v>
      </c>
      <c r="J3669">
        <v>0</v>
      </c>
    </row>
    <row r="3670" spans="1:10" x14ac:dyDescent="0.35">
      <c r="A3670">
        <v>320602</v>
      </c>
      <c r="B3670" t="s">
        <v>20</v>
      </c>
      <c r="C3670">
        <v>2015</v>
      </c>
      <c r="D3670">
        <v>7</v>
      </c>
      <c r="E3670" t="s">
        <v>7</v>
      </c>
      <c r="F3670" t="s">
        <v>7</v>
      </c>
      <c r="G3670" t="s">
        <v>7</v>
      </c>
      <c r="H3670">
        <v>79518.98</v>
      </c>
      <c r="I3670">
        <v>53943.94</v>
      </c>
      <c r="J3670">
        <v>0</v>
      </c>
    </row>
    <row r="3671" spans="1:10" x14ac:dyDescent="0.35">
      <c r="A3671">
        <v>320610</v>
      </c>
      <c r="B3671" t="s">
        <v>20</v>
      </c>
      <c r="C3671">
        <v>2015</v>
      </c>
      <c r="D3671">
        <v>7</v>
      </c>
      <c r="E3671" t="s">
        <v>7</v>
      </c>
      <c r="F3671" t="s">
        <v>7</v>
      </c>
      <c r="G3671" t="s">
        <v>7</v>
      </c>
      <c r="H3671">
        <v>20167.3</v>
      </c>
      <c r="I3671">
        <v>4857.8</v>
      </c>
      <c r="J3671">
        <v>0</v>
      </c>
    </row>
    <row r="3672" spans="1:10" x14ac:dyDescent="0.35">
      <c r="A3672">
        <v>320615</v>
      </c>
      <c r="B3672" t="s">
        <v>20</v>
      </c>
      <c r="C3672">
        <v>2015</v>
      </c>
      <c r="D3672">
        <v>7</v>
      </c>
      <c r="E3672" t="s">
        <v>7</v>
      </c>
      <c r="F3672" t="s">
        <v>7</v>
      </c>
      <c r="G3672" t="s">
        <v>7</v>
      </c>
      <c r="H3672">
        <v>72082.039999999994</v>
      </c>
      <c r="I3672">
        <v>34659.980000000003</v>
      </c>
      <c r="J3672">
        <v>0</v>
      </c>
    </row>
    <row r="3673" spans="1:10" x14ac:dyDescent="0.35">
      <c r="A3673">
        <v>320616</v>
      </c>
      <c r="B3673" t="s">
        <v>20</v>
      </c>
      <c r="C3673">
        <v>2015</v>
      </c>
      <c r="D3673">
        <v>7</v>
      </c>
      <c r="E3673" t="s">
        <v>7</v>
      </c>
      <c r="F3673" t="s">
        <v>7</v>
      </c>
      <c r="G3673" t="s">
        <v>7</v>
      </c>
      <c r="H3673">
        <v>88205.94</v>
      </c>
      <c r="I3673">
        <v>62397.57</v>
      </c>
      <c r="J3673">
        <v>0</v>
      </c>
    </row>
    <row r="3674" spans="1:10" x14ac:dyDescent="0.35">
      <c r="A3674">
        <v>320617</v>
      </c>
      <c r="B3674" t="s">
        <v>20</v>
      </c>
      <c r="C3674">
        <v>2015</v>
      </c>
      <c r="D3674">
        <v>7</v>
      </c>
      <c r="E3674" t="s">
        <v>7</v>
      </c>
      <c r="F3674" t="s">
        <v>7</v>
      </c>
      <c r="G3674" t="s">
        <v>7</v>
      </c>
      <c r="H3674">
        <v>41157.22</v>
      </c>
      <c r="I3674">
        <v>11998.17</v>
      </c>
      <c r="J3674">
        <v>0</v>
      </c>
    </row>
    <row r="3675" spans="1:10" x14ac:dyDescent="0.35">
      <c r="A3675">
        <v>320618</v>
      </c>
      <c r="B3675" t="s">
        <v>20</v>
      </c>
      <c r="C3675">
        <v>2015</v>
      </c>
      <c r="D3675">
        <v>7</v>
      </c>
      <c r="E3675" t="s">
        <v>7</v>
      </c>
      <c r="F3675" t="s">
        <v>7</v>
      </c>
      <c r="G3675" t="s">
        <v>7</v>
      </c>
      <c r="H3675">
        <v>71391.22</v>
      </c>
      <c r="I3675">
        <v>57080.5</v>
      </c>
      <c r="J3675">
        <v>0</v>
      </c>
    </row>
    <row r="3676" spans="1:10" x14ac:dyDescent="0.35">
      <c r="A3676">
        <v>320622</v>
      </c>
      <c r="B3676" t="s">
        <v>20</v>
      </c>
      <c r="C3676">
        <v>2015</v>
      </c>
      <c r="D3676">
        <v>7</v>
      </c>
      <c r="E3676" t="s">
        <v>7</v>
      </c>
      <c r="F3676" t="s">
        <v>7</v>
      </c>
      <c r="G3676" t="s">
        <v>7</v>
      </c>
      <c r="H3676">
        <v>66384.800000000003</v>
      </c>
      <c r="I3676">
        <v>48623</v>
      </c>
      <c r="J3676">
        <v>0</v>
      </c>
    </row>
    <row r="3677" spans="1:10" x14ac:dyDescent="0.35">
      <c r="A3677">
        <v>320623</v>
      </c>
      <c r="B3677" t="s">
        <v>20</v>
      </c>
      <c r="C3677">
        <v>2015</v>
      </c>
      <c r="D3677">
        <v>7</v>
      </c>
      <c r="E3677" t="s">
        <v>7</v>
      </c>
      <c r="F3677" t="s">
        <v>7</v>
      </c>
      <c r="G3677" t="s">
        <v>7</v>
      </c>
      <c r="H3677">
        <v>32774.559999999998</v>
      </c>
      <c r="I3677">
        <v>9905.99</v>
      </c>
      <c r="J3677">
        <v>0</v>
      </c>
    </row>
    <row r="3678" spans="1:10" x14ac:dyDescent="0.35">
      <c r="A3678">
        <v>320625</v>
      </c>
      <c r="B3678" t="s">
        <v>20</v>
      </c>
      <c r="C3678">
        <v>2015</v>
      </c>
      <c r="D3678">
        <v>7</v>
      </c>
      <c r="E3678" t="s">
        <v>7</v>
      </c>
      <c r="F3678" t="s">
        <v>7</v>
      </c>
      <c r="G3678" t="s">
        <v>7</v>
      </c>
      <c r="H3678">
        <v>30706.74</v>
      </c>
      <c r="I3678">
        <v>10369.56</v>
      </c>
      <c r="J3678">
        <v>0</v>
      </c>
    </row>
    <row r="3679" spans="1:10" x14ac:dyDescent="0.35">
      <c r="A3679">
        <v>320626</v>
      </c>
      <c r="B3679" t="s">
        <v>20</v>
      </c>
      <c r="C3679">
        <v>2015</v>
      </c>
      <c r="D3679">
        <v>7</v>
      </c>
      <c r="E3679" t="s">
        <v>7</v>
      </c>
      <c r="F3679" t="s">
        <v>7</v>
      </c>
      <c r="G3679" t="s">
        <v>7</v>
      </c>
      <c r="H3679">
        <v>21531.56</v>
      </c>
      <c r="I3679">
        <v>5649.81</v>
      </c>
      <c r="J3679">
        <v>0</v>
      </c>
    </row>
    <row r="3680" spans="1:10" x14ac:dyDescent="0.35">
      <c r="A3680">
        <v>320630</v>
      </c>
      <c r="B3680" t="s">
        <v>20</v>
      </c>
      <c r="C3680">
        <v>2015</v>
      </c>
      <c r="D3680">
        <v>7</v>
      </c>
      <c r="E3680" t="s">
        <v>7</v>
      </c>
      <c r="F3680" t="s">
        <v>7</v>
      </c>
      <c r="G3680" t="s">
        <v>7</v>
      </c>
      <c r="H3680">
        <v>77737.8</v>
      </c>
      <c r="I3680">
        <v>59138.66</v>
      </c>
      <c r="J3680">
        <v>0</v>
      </c>
    </row>
    <row r="3681" spans="1:10" x14ac:dyDescent="0.35">
      <c r="A3681">
        <v>320636</v>
      </c>
      <c r="B3681" t="s">
        <v>20</v>
      </c>
      <c r="C3681">
        <v>2015</v>
      </c>
      <c r="D3681">
        <v>7</v>
      </c>
      <c r="E3681" t="s">
        <v>7</v>
      </c>
      <c r="F3681" t="s">
        <v>7</v>
      </c>
      <c r="G3681" t="s">
        <v>7</v>
      </c>
      <c r="H3681">
        <v>45001.78</v>
      </c>
      <c r="I3681">
        <v>14216.28</v>
      </c>
      <c r="J3681">
        <v>0</v>
      </c>
    </row>
    <row r="3682" spans="1:10" x14ac:dyDescent="0.35">
      <c r="A3682">
        <v>320643</v>
      </c>
      <c r="B3682" t="s">
        <v>20</v>
      </c>
      <c r="C3682">
        <v>2015</v>
      </c>
      <c r="D3682">
        <v>7</v>
      </c>
      <c r="E3682" t="s">
        <v>7</v>
      </c>
      <c r="F3682" t="s">
        <v>7</v>
      </c>
      <c r="G3682" t="s">
        <v>7</v>
      </c>
      <c r="H3682">
        <v>76618.600000000006</v>
      </c>
      <c r="I3682">
        <v>27185.05</v>
      </c>
      <c r="J3682">
        <v>0</v>
      </c>
    </row>
    <row r="3683" spans="1:10" x14ac:dyDescent="0.35">
      <c r="A3683">
        <v>320649</v>
      </c>
      <c r="B3683" t="s">
        <v>20</v>
      </c>
      <c r="C3683">
        <v>2015</v>
      </c>
      <c r="D3683">
        <v>7</v>
      </c>
      <c r="E3683" t="s">
        <v>7</v>
      </c>
      <c r="F3683" t="s">
        <v>7</v>
      </c>
      <c r="G3683" t="s">
        <v>7</v>
      </c>
      <c r="H3683">
        <v>84788.6</v>
      </c>
      <c r="I3683">
        <v>59355.88</v>
      </c>
      <c r="J3683">
        <v>0</v>
      </c>
    </row>
    <row r="3684" spans="1:10" x14ac:dyDescent="0.35">
      <c r="A3684">
        <v>320653</v>
      </c>
      <c r="B3684" t="s">
        <v>20</v>
      </c>
      <c r="C3684">
        <v>2015</v>
      </c>
      <c r="D3684">
        <v>7</v>
      </c>
      <c r="E3684" t="s">
        <v>7</v>
      </c>
      <c r="F3684" t="s">
        <v>7</v>
      </c>
      <c r="G3684" t="s">
        <v>7</v>
      </c>
      <c r="H3684">
        <v>54501.64</v>
      </c>
      <c r="I3684">
        <v>21892.43</v>
      </c>
      <c r="J3684">
        <v>0</v>
      </c>
    </row>
    <row r="3685" spans="1:10" x14ac:dyDescent="0.35">
      <c r="A3685">
        <v>320655</v>
      </c>
      <c r="B3685" t="s">
        <v>20</v>
      </c>
      <c r="C3685">
        <v>2015</v>
      </c>
      <c r="D3685">
        <v>7</v>
      </c>
      <c r="E3685" t="s">
        <v>7</v>
      </c>
      <c r="F3685" t="s">
        <v>7</v>
      </c>
      <c r="G3685" t="s">
        <v>7</v>
      </c>
      <c r="H3685">
        <v>34904.959999999999</v>
      </c>
      <c r="I3685">
        <v>8360.1</v>
      </c>
      <c r="J3685">
        <v>0</v>
      </c>
    </row>
    <row r="3686" spans="1:10" x14ac:dyDescent="0.35">
      <c r="A3686">
        <v>320658</v>
      </c>
      <c r="B3686" t="s">
        <v>20</v>
      </c>
      <c r="C3686">
        <v>2015</v>
      </c>
      <c r="D3686">
        <v>7</v>
      </c>
      <c r="E3686" t="s">
        <v>7</v>
      </c>
      <c r="F3686" t="s">
        <v>7</v>
      </c>
      <c r="G3686" t="s">
        <v>7</v>
      </c>
      <c r="H3686">
        <v>62307.98</v>
      </c>
      <c r="I3686">
        <v>45291.51</v>
      </c>
      <c r="J3686">
        <v>0</v>
      </c>
    </row>
    <row r="3687" spans="1:10" x14ac:dyDescent="0.35">
      <c r="A3687">
        <v>320660</v>
      </c>
      <c r="B3687" t="s">
        <v>20</v>
      </c>
      <c r="C3687">
        <v>2015</v>
      </c>
      <c r="D3687">
        <v>7</v>
      </c>
      <c r="E3687" t="s">
        <v>7</v>
      </c>
      <c r="F3687" t="s">
        <v>7</v>
      </c>
      <c r="G3687" t="s">
        <v>7</v>
      </c>
      <c r="H3687">
        <v>46222.12</v>
      </c>
      <c r="I3687">
        <v>13202.17</v>
      </c>
      <c r="J3687">
        <v>0</v>
      </c>
    </row>
    <row r="3688" spans="1:10" x14ac:dyDescent="0.35">
      <c r="A3688">
        <v>320661</v>
      </c>
      <c r="B3688" t="s">
        <v>20</v>
      </c>
      <c r="C3688">
        <v>2015</v>
      </c>
      <c r="D3688">
        <v>7</v>
      </c>
      <c r="E3688" t="s">
        <v>7</v>
      </c>
      <c r="F3688" t="s">
        <v>7</v>
      </c>
      <c r="G3688" t="s">
        <v>7</v>
      </c>
      <c r="H3688">
        <v>18393.34</v>
      </c>
      <c r="I3688">
        <v>5509.11</v>
      </c>
      <c r="J3688">
        <v>0</v>
      </c>
    </row>
    <row r="3689" spans="1:10" x14ac:dyDescent="0.35">
      <c r="A3689">
        <v>320662</v>
      </c>
      <c r="B3689" t="s">
        <v>20</v>
      </c>
      <c r="C3689">
        <v>2015</v>
      </c>
      <c r="D3689">
        <v>7</v>
      </c>
      <c r="E3689" t="s">
        <v>7</v>
      </c>
      <c r="F3689" t="s">
        <v>7</v>
      </c>
      <c r="G3689" t="s">
        <v>7</v>
      </c>
      <c r="H3689">
        <v>82505.259999999995</v>
      </c>
      <c r="I3689">
        <v>52334.96</v>
      </c>
      <c r="J3689">
        <v>0</v>
      </c>
    </row>
    <row r="3690" spans="1:10" x14ac:dyDescent="0.35">
      <c r="A3690">
        <v>320668</v>
      </c>
      <c r="B3690" t="s">
        <v>20</v>
      </c>
      <c r="C3690">
        <v>2015</v>
      </c>
      <c r="D3690">
        <v>7</v>
      </c>
      <c r="E3690" t="s">
        <v>7</v>
      </c>
      <c r="F3690" t="s">
        <v>7</v>
      </c>
      <c r="G3690" t="s">
        <v>7</v>
      </c>
      <c r="H3690">
        <v>71923.48</v>
      </c>
      <c r="I3690">
        <v>54585.49</v>
      </c>
      <c r="J3690">
        <v>0</v>
      </c>
    </row>
    <row r="3691" spans="1:10" x14ac:dyDescent="0.35">
      <c r="A3691">
        <v>320669</v>
      </c>
      <c r="B3691" t="s">
        <v>20</v>
      </c>
      <c r="C3691">
        <v>2015</v>
      </c>
      <c r="D3691">
        <v>7</v>
      </c>
      <c r="E3691" t="s">
        <v>7</v>
      </c>
      <c r="F3691" t="s">
        <v>7</v>
      </c>
      <c r="G3691" t="s">
        <v>7</v>
      </c>
      <c r="H3691">
        <v>31207.8</v>
      </c>
      <c r="I3691">
        <v>14618.18</v>
      </c>
      <c r="J3691">
        <v>0</v>
      </c>
    </row>
    <row r="3692" spans="1:10" x14ac:dyDescent="0.35">
      <c r="A3692">
        <v>320679</v>
      </c>
      <c r="B3692" t="s">
        <v>20</v>
      </c>
      <c r="C3692">
        <v>2015</v>
      </c>
      <c r="D3692">
        <v>7</v>
      </c>
      <c r="E3692" t="s">
        <v>7</v>
      </c>
      <c r="F3692" t="s">
        <v>7</v>
      </c>
      <c r="G3692" t="s">
        <v>7</v>
      </c>
      <c r="H3692">
        <v>62561.04</v>
      </c>
      <c r="I3692">
        <v>18449.12</v>
      </c>
      <c r="J3692">
        <v>0</v>
      </c>
    </row>
    <row r="3693" spans="1:10" x14ac:dyDescent="0.35">
      <c r="A3693">
        <v>320685</v>
      </c>
      <c r="B3693" t="s">
        <v>20</v>
      </c>
      <c r="C3693">
        <v>2015</v>
      </c>
      <c r="D3693">
        <v>7</v>
      </c>
      <c r="E3693" t="s">
        <v>7</v>
      </c>
      <c r="F3693" t="s">
        <v>7</v>
      </c>
      <c r="G3693" t="s">
        <v>7</v>
      </c>
      <c r="H3693">
        <v>62987.040000000001</v>
      </c>
      <c r="I3693">
        <v>42759.17</v>
      </c>
      <c r="J3693">
        <v>0</v>
      </c>
    </row>
    <row r="3694" spans="1:10" x14ac:dyDescent="0.35">
      <c r="A3694">
        <v>320687</v>
      </c>
      <c r="B3694" t="s">
        <v>20</v>
      </c>
      <c r="C3694">
        <v>2015</v>
      </c>
      <c r="D3694">
        <v>7</v>
      </c>
      <c r="E3694" t="s">
        <v>7</v>
      </c>
      <c r="F3694" t="s">
        <v>7</v>
      </c>
      <c r="G3694" t="s">
        <v>7</v>
      </c>
      <c r="H3694">
        <v>45635.18</v>
      </c>
      <c r="I3694">
        <v>12980.75</v>
      </c>
      <c r="J3694">
        <v>0</v>
      </c>
    </row>
    <row r="3695" spans="1:10" x14ac:dyDescent="0.35">
      <c r="A3695">
        <v>320689</v>
      </c>
      <c r="B3695" t="s">
        <v>20</v>
      </c>
      <c r="C3695">
        <v>2015</v>
      </c>
      <c r="D3695">
        <v>7</v>
      </c>
      <c r="E3695" t="s">
        <v>7</v>
      </c>
      <c r="F3695" t="s">
        <v>7</v>
      </c>
      <c r="G3695" t="s">
        <v>7</v>
      </c>
      <c r="H3695">
        <v>34021.4</v>
      </c>
      <c r="I3695">
        <v>18994.009999999998</v>
      </c>
      <c r="J3695">
        <v>0</v>
      </c>
    </row>
    <row r="3696" spans="1:10" x14ac:dyDescent="0.35">
      <c r="A3696">
        <v>320690</v>
      </c>
      <c r="B3696" t="s">
        <v>20</v>
      </c>
      <c r="C3696">
        <v>2015</v>
      </c>
      <c r="D3696">
        <v>7</v>
      </c>
      <c r="E3696" t="s">
        <v>7</v>
      </c>
      <c r="F3696" t="s">
        <v>7</v>
      </c>
      <c r="G3696" t="s">
        <v>7</v>
      </c>
      <c r="H3696">
        <v>10864.72</v>
      </c>
      <c r="I3696">
        <v>3555.71</v>
      </c>
      <c r="J3696">
        <v>0</v>
      </c>
    </row>
    <row r="3697" spans="1:10" x14ac:dyDescent="0.35">
      <c r="A3697">
        <v>320693</v>
      </c>
      <c r="B3697" t="s">
        <v>20</v>
      </c>
      <c r="C3697">
        <v>2015</v>
      </c>
      <c r="D3697">
        <v>7</v>
      </c>
      <c r="E3697" t="s">
        <v>7</v>
      </c>
      <c r="F3697" t="s">
        <v>7</v>
      </c>
      <c r="G3697" t="s">
        <v>7</v>
      </c>
      <c r="H3697">
        <v>16227.5</v>
      </c>
      <c r="I3697">
        <v>3088.26</v>
      </c>
      <c r="J3697">
        <v>0</v>
      </c>
    </row>
    <row r="3698" spans="1:10" x14ac:dyDescent="0.35">
      <c r="A3698">
        <v>320696</v>
      </c>
      <c r="B3698" t="s">
        <v>20</v>
      </c>
      <c r="C3698">
        <v>2015</v>
      </c>
      <c r="D3698">
        <v>7</v>
      </c>
      <c r="E3698" t="s">
        <v>7</v>
      </c>
      <c r="F3698" t="s">
        <v>7</v>
      </c>
      <c r="G3698" t="s">
        <v>7</v>
      </c>
      <c r="H3698">
        <v>26874.799999999999</v>
      </c>
      <c r="I3698">
        <v>7631.43</v>
      </c>
      <c r="J3698">
        <v>0</v>
      </c>
    </row>
    <row r="3699" spans="1:10" x14ac:dyDescent="0.35">
      <c r="A3699">
        <v>320699</v>
      </c>
      <c r="B3699" t="s">
        <v>20</v>
      </c>
      <c r="C3699">
        <v>2015</v>
      </c>
      <c r="D3699">
        <v>7</v>
      </c>
      <c r="E3699" t="s">
        <v>7</v>
      </c>
      <c r="F3699" t="s">
        <v>7</v>
      </c>
      <c r="G3699" t="s">
        <v>7</v>
      </c>
      <c r="H3699">
        <v>45986.1</v>
      </c>
      <c r="I3699">
        <v>13781.15</v>
      </c>
      <c r="J3699">
        <v>0</v>
      </c>
    </row>
    <row r="3700" spans="1:10" x14ac:dyDescent="0.35">
      <c r="A3700">
        <v>320700</v>
      </c>
      <c r="B3700" t="s">
        <v>20</v>
      </c>
      <c r="C3700">
        <v>2015</v>
      </c>
      <c r="D3700">
        <v>7</v>
      </c>
      <c r="E3700" t="s">
        <v>7</v>
      </c>
      <c r="F3700" t="s">
        <v>7</v>
      </c>
      <c r="G3700" t="s">
        <v>7</v>
      </c>
      <c r="H3700">
        <v>64454.02</v>
      </c>
      <c r="I3700">
        <v>45813.25</v>
      </c>
      <c r="J3700">
        <v>0</v>
      </c>
    </row>
    <row r="3701" spans="1:10" x14ac:dyDescent="0.35">
      <c r="A3701">
        <v>320702</v>
      </c>
      <c r="B3701" t="s">
        <v>20</v>
      </c>
      <c r="C3701">
        <v>2015</v>
      </c>
      <c r="D3701">
        <v>7</v>
      </c>
      <c r="E3701" t="s">
        <v>7</v>
      </c>
      <c r="F3701" t="s">
        <v>7</v>
      </c>
      <c r="G3701" t="s">
        <v>7</v>
      </c>
      <c r="H3701">
        <v>30301.98</v>
      </c>
      <c r="I3701">
        <v>9258.8700000000008</v>
      </c>
      <c r="J3701">
        <v>0</v>
      </c>
    </row>
    <row r="3702" spans="1:10" x14ac:dyDescent="0.35">
      <c r="A3702">
        <v>320706</v>
      </c>
      <c r="B3702" t="s">
        <v>20</v>
      </c>
      <c r="C3702">
        <v>2015</v>
      </c>
      <c r="D3702">
        <v>7</v>
      </c>
      <c r="E3702" t="s">
        <v>7</v>
      </c>
      <c r="F3702" t="s">
        <v>7</v>
      </c>
      <c r="G3702" t="s">
        <v>7</v>
      </c>
      <c r="H3702">
        <v>16375.88</v>
      </c>
      <c r="I3702">
        <v>3616.46</v>
      </c>
      <c r="J3702">
        <v>0</v>
      </c>
    </row>
    <row r="3703" spans="1:10" x14ac:dyDescent="0.35">
      <c r="A3703">
        <v>320707</v>
      </c>
      <c r="B3703" t="s">
        <v>20</v>
      </c>
      <c r="C3703">
        <v>2015</v>
      </c>
      <c r="D3703">
        <v>7</v>
      </c>
      <c r="E3703" t="s">
        <v>7</v>
      </c>
      <c r="F3703" t="s">
        <v>7</v>
      </c>
      <c r="G3703" t="s">
        <v>7</v>
      </c>
      <c r="H3703">
        <v>61337.5</v>
      </c>
      <c r="I3703">
        <v>42396.7</v>
      </c>
      <c r="J3703">
        <v>0</v>
      </c>
    </row>
    <row r="3704" spans="1:10" x14ac:dyDescent="0.35">
      <c r="A3704">
        <v>320709</v>
      </c>
      <c r="B3704" t="s">
        <v>20</v>
      </c>
      <c r="C3704">
        <v>2015</v>
      </c>
      <c r="D3704">
        <v>7</v>
      </c>
      <c r="E3704" t="s">
        <v>7</v>
      </c>
      <c r="F3704" t="s">
        <v>7</v>
      </c>
      <c r="G3704" t="s">
        <v>7</v>
      </c>
      <c r="H3704">
        <v>18265.05</v>
      </c>
      <c r="I3704">
        <v>10373.15</v>
      </c>
      <c r="J3704">
        <v>0</v>
      </c>
    </row>
    <row r="3705" spans="1:10" x14ac:dyDescent="0.35">
      <c r="A3705">
        <v>320712</v>
      </c>
      <c r="B3705" t="s">
        <v>20</v>
      </c>
      <c r="C3705">
        <v>2015</v>
      </c>
      <c r="D3705">
        <v>7</v>
      </c>
      <c r="E3705" t="s">
        <v>7</v>
      </c>
      <c r="F3705" t="s">
        <v>7</v>
      </c>
      <c r="G3705" t="s">
        <v>7</v>
      </c>
      <c r="H3705">
        <v>46349.7</v>
      </c>
      <c r="I3705">
        <v>17436.22</v>
      </c>
      <c r="J3705">
        <v>0</v>
      </c>
    </row>
    <row r="3706" spans="1:10" x14ac:dyDescent="0.35">
      <c r="A3706">
        <v>320714</v>
      </c>
      <c r="B3706" t="s">
        <v>20</v>
      </c>
      <c r="C3706">
        <v>2015</v>
      </c>
      <c r="D3706">
        <v>7</v>
      </c>
      <c r="E3706" t="s">
        <v>7</v>
      </c>
      <c r="F3706" t="s">
        <v>7</v>
      </c>
      <c r="G3706" t="s">
        <v>7</v>
      </c>
      <c r="H3706">
        <v>41627</v>
      </c>
      <c r="I3706">
        <v>10221.549999999999</v>
      </c>
      <c r="J3706">
        <v>0</v>
      </c>
    </row>
    <row r="3707" spans="1:10" x14ac:dyDescent="0.35">
      <c r="A3707">
        <v>320715</v>
      </c>
      <c r="B3707" t="s">
        <v>20</v>
      </c>
      <c r="C3707">
        <v>2015</v>
      </c>
      <c r="D3707">
        <v>7</v>
      </c>
      <c r="E3707" t="s">
        <v>7</v>
      </c>
      <c r="F3707" t="s">
        <v>7</v>
      </c>
      <c r="G3707" t="s">
        <v>7</v>
      </c>
      <c r="H3707">
        <v>40779.599999999999</v>
      </c>
      <c r="I3707">
        <v>18681.95</v>
      </c>
      <c r="J3707">
        <v>0</v>
      </c>
    </row>
    <row r="3708" spans="1:10" x14ac:dyDescent="0.35">
      <c r="A3708">
        <v>320721</v>
      </c>
      <c r="B3708" t="s">
        <v>20</v>
      </c>
      <c r="C3708">
        <v>2015</v>
      </c>
      <c r="D3708">
        <v>7</v>
      </c>
      <c r="E3708" t="s">
        <v>7</v>
      </c>
      <c r="F3708" t="s">
        <v>7</v>
      </c>
      <c r="G3708" t="s">
        <v>7</v>
      </c>
      <c r="H3708">
        <v>63784.82</v>
      </c>
      <c r="I3708">
        <v>45032.56</v>
      </c>
      <c r="J3708">
        <v>0</v>
      </c>
    </row>
    <row r="3709" spans="1:10" x14ac:dyDescent="0.35">
      <c r="A3709">
        <v>320723</v>
      </c>
      <c r="B3709" t="s">
        <v>20</v>
      </c>
      <c r="C3709">
        <v>2015</v>
      </c>
      <c r="D3709">
        <v>7</v>
      </c>
      <c r="E3709" t="s">
        <v>7</v>
      </c>
      <c r="F3709" t="s">
        <v>7</v>
      </c>
      <c r="G3709" t="s">
        <v>7</v>
      </c>
      <c r="H3709">
        <v>26660.16</v>
      </c>
      <c r="I3709">
        <v>7543.16</v>
      </c>
      <c r="J3709">
        <v>0</v>
      </c>
    </row>
    <row r="3710" spans="1:10" x14ac:dyDescent="0.35">
      <c r="A3710">
        <v>320730</v>
      </c>
      <c r="B3710" t="s">
        <v>20</v>
      </c>
      <c r="C3710">
        <v>2015</v>
      </c>
      <c r="D3710">
        <v>7</v>
      </c>
      <c r="E3710" t="s">
        <v>7</v>
      </c>
      <c r="F3710" t="s">
        <v>7</v>
      </c>
      <c r="G3710" t="s">
        <v>7</v>
      </c>
      <c r="H3710">
        <v>27434.1</v>
      </c>
      <c r="I3710">
        <v>6267.53</v>
      </c>
      <c r="J3710">
        <v>0</v>
      </c>
    </row>
    <row r="3711" spans="1:10" x14ac:dyDescent="0.35">
      <c r="A3711">
        <v>320732</v>
      </c>
      <c r="B3711" t="s">
        <v>20</v>
      </c>
      <c r="C3711">
        <v>2015</v>
      </c>
      <c r="D3711">
        <v>7</v>
      </c>
      <c r="E3711" t="s">
        <v>7</v>
      </c>
      <c r="F3711" t="s">
        <v>7</v>
      </c>
      <c r="G3711" t="s">
        <v>7</v>
      </c>
      <c r="H3711">
        <v>80892.66</v>
      </c>
      <c r="I3711">
        <v>43785.87</v>
      </c>
      <c r="J3711">
        <v>0</v>
      </c>
    </row>
    <row r="3712" spans="1:10" x14ac:dyDescent="0.35">
      <c r="A3712">
        <v>320739</v>
      </c>
      <c r="B3712" t="s">
        <v>20</v>
      </c>
      <c r="C3712">
        <v>2015</v>
      </c>
      <c r="D3712">
        <v>7</v>
      </c>
      <c r="E3712" t="s">
        <v>7</v>
      </c>
      <c r="F3712" t="s">
        <v>7</v>
      </c>
      <c r="G3712" t="s">
        <v>7</v>
      </c>
      <c r="H3712">
        <v>16461.080000000002</v>
      </c>
      <c r="I3712">
        <v>4197.2299999999996</v>
      </c>
      <c r="J3712">
        <v>0</v>
      </c>
    </row>
    <row r="3713" spans="1:10" x14ac:dyDescent="0.35">
      <c r="A3713">
        <v>320747</v>
      </c>
      <c r="B3713" t="s">
        <v>20</v>
      </c>
      <c r="C3713">
        <v>2015</v>
      </c>
      <c r="D3713">
        <v>7</v>
      </c>
      <c r="E3713" t="s">
        <v>7</v>
      </c>
      <c r="F3713" t="s">
        <v>7</v>
      </c>
      <c r="G3713" t="s">
        <v>7</v>
      </c>
      <c r="H3713">
        <v>43468.62</v>
      </c>
      <c r="I3713">
        <v>10336.959999999999</v>
      </c>
      <c r="J3713">
        <v>0</v>
      </c>
    </row>
    <row r="3714" spans="1:10" x14ac:dyDescent="0.35">
      <c r="A3714">
        <v>320753</v>
      </c>
      <c r="B3714" t="s">
        <v>20</v>
      </c>
      <c r="C3714">
        <v>2015</v>
      </c>
      <c r="D3714">
        <v>7</v>
      </c>
      <c r="E3714" t="s">
        <v>7</v>
      </c>
      <c r="F3714" t="s">
        <v>7</v>
      </c>
      <c r="G3714" t="s">
        <v>7</v>
      </c>
      <c r="H3714">
        <v>59455.519999999997</v>
      </c>
      <c r="I3714">
        <v>41942.46</v>
      </c>
      <c r="J3714">
        <v>0</v>
      </c>
    </row>
    <row r="3715" spans="1:10" x14ac:dyDescent="0.35">
      <c r="A3715">
        <v>320756</v>
      </c>
      <c r="B3715" t="s">
        <v>20</v>
      </c>
      <c r="C3715">
        <v>2015</v>
      </c>
      <c r="D3715">
        <v>7</v>
      </c>
      <c r="E3715" t="s">
        <v>7</v>
      </c>
      <c r="F3715" t="s">
        <v>7</v>
      </c>
      <c r="G3715" t="s">
        <v>7</v>
      </c>
      <c r="H3715">
        <v>25354.16</v>
      </c>
      <c r="I3715">
        <v>13601.01</v>
      </c>
      <c r="J3715">
        <v>0</v>
      </c>
    </row>
    <row r="3716" spans="1:10" x14ac:dyDescent="0.35">
      <c r="A3716">
        <v>320759</v>
      </c>
      <c r="B3716" t="s">
        <v>20</v>
      </c>
      <c r="C3716">
        <v>2015</v>
      </c>
      <c r="D3716">
        <v>7</v>
      </c>
      <c r="E3716" t="s">
        <v>7</v>
      </c>
      <c r="F3716" t="s">
        <v>7</v>
      </c>
      <c r="G3716" t="s">
        <v>7</v>
      </c>
      <c r="H3716">
        <v>29087.52</v>
      </c>
      <c r="I3716">
        <v>8706.7999999999993</v>
      </c>
      <c r="J3716">
        <v>0</v>
      </c>
    </row>
    <row r="3717" spans="1:10" x14ac:dyDescent="0.35">
      <c r="A3717">
        <v>320762</v>
      </c>
      <c r="B3717" t="s">
        <v>20</v>
      </c>
      <c r="C3717">
        <v>2015</v>
      </c>
      <c r="D3717">
        <v>7</v>
      </c>
      <c r="E3717" t="s">
        <v>7</v>
      </c>
      <c r="F3717" t="s">
        <v>7</v>
      </c>
      <c r="G3717" t="s">
        <v>7</v>
      </c>
      <c r="H3717">
        <v>17032.86</v>
      </c>
      <c r="I3717">
        <v>5388.09</v>
      </c>
      <c r="J3717">
        <v>0</v>
      </c>
    </row>
    <row r="3718" spans="1:10" x14ac:dyDescent="0.35">
      <c r="A3718">
        <v>320763</v>
      </c>
      <c r="B3718" t="s">
        <v>20</v>
      </c>
      <c r="C3718">
        <v>2015</v>
      </c>
      <c r="D3718">
        <v>7</v>
      </c>
      <c r="E3718" t="s">
        <v>7</v>
      </c>
      <c r="F3718" t="s">
        <v>7</v>
      </c>
      <c r="G3718" t="s">
        <v>7</v>
      </c>
      <c r="H3718">
        <v>62533.54</v>
      </c>
      <c r="I3718">
        <v>42596.36</v>
      </c>
      <c r="J3718">
        <v>0</v>
      </c>
    </row>
    <row r="3719" spans="1:10" x14ac:dyDescent="0.35">
      <c r="A3719">
        <v>320765</v>
      </c>
      <c r="B3719" t="s">
        <v>20</v>
      </c>
      <c r="C3719">
        <v>2015</v>
      </c>
      <c r="D3719">
        <v>7</v>
      </c>
      <c r="E3719" t="s">
        <v>7</v>
      </c>
      <c r="F3719" t="s">
        <v>7</v>
      </c>
      <c r="G3719" t="s">
        <v>7</v>
      </c>
      <c r="H3719">
        <v>57910.080000000002</v>
      </c>
      <c r="I3719">
        <v>34796.35</v>
      </c>
      <c r="J3719">
        <v>0</v>
      </c>
    </row>
    <row r="3720" spans="1:10" x14ac:dyDescent="0.35">
      <c r="A3720">
        <v>320770</v>
      </c>
      <c r="B3720" t="s">
        <v>20</v>
      </c>
      <c r="C3720">
        <v>2015</v>
      </c>
      <c r="D3720">
        <v>7</v>
      </c>
      <c r="E3720" t="s">
        <v>7</v>
      </c>
      <c r="F3720" t="s">
        <v>7</v>
      </c>
      <c r="G3720" t="s">
        <v>7</v>
      </c>
      <c r="H3720">
        <v>8993.8799999999992</v>
      </c>
      <c r="I3720">
        <v>2545.84</v>
      </c>
      <c r="J3720">
        <v>0</v>
      </c>
    </row>
    <row r="3721" spans="1:10" x14ac:dyDescent="0.35">
      <c r="A3721">
        <v>320771</v>
      </c>
      <c r="B3721" t="s">
        <v>20</v>
      </c>
      <c r="C3721">
        <v>2015</v>
      </c>
      <c r="D3721">
        <v>7</v>
      </c>
      <c r="E3721" t="s">
        <v>7</v>
      </c>
      <c r="F3721" t="s">
        <v>7</v>
      </c>
      <c r="G3721" t="s">
        <v>7</v>
      </c>
      <c r="H3721">
        <v>61335.91</v>
      </c>
      <c r="I3721">
        <v>48161.21</v>
      </c>
      <c r="J3721">
        <v>0</v>
      </c>
    </row>
    <row r="3722" spans="1:10" x14ac:dyDescent="0.35">
      <c r="A3722">
        <v>320774</v>
      </c>
      <c r="B3722" t="s">
        <v>20</v>
      </c>
      <c r="C3722">
        <v>2015</v>
      </c>
      <c r="D3722">
        <v>7</v>
      </c>
      <c r="E3722" t="s">
        <v>7</v>
      </c>
      <c r="F3722" t="s">
        <v>7</v>
      </c>
      <c r="G3722" t="s">
        <v>7</v>
      </c>
      <c r="H3722">
        <v>61881.74</v>
      </c>
      <c r="I3722">
        <v>47580.67</v>
      </c>
      <c r="J3722">
        <v>0</v>
      </c>
    </row>
    <row r="3723" spans="1:10" x14ac:dyDescent="0.35">
      <c r="A3723">
        <v>320777</v>
      </c>
      <c r="B3723" t="s">
        <v>20</v>
      </c>
      <c r="C3723">
        <v>2015</v>
      </c>
      <c r="D3723">
        <v>7</v>
      </c>
      <c r="E3723" t="s">
        <v>7</v>
      </c>
      <c r="F3723" t="s">
        <v>7</v>
      </c>
      <c r="G3723" t="s">
        <v>7</v>
      </c>
      <c r="H3723">
        <v>23905.16</v>
      </c>
      <c r="I3723">
        <v>3599.82</v>
      </c>
      <c r="J3723">
        <v>0</v>
      </c>
    </row>
    <row r="3724" spans="1:10" x14ac:dyDescent="0.35">
      <c r="A3724">
        <v>320787</v>
      </c>
      <c r="B3724" t="s">
        <v>20</v>
      </c>
      <c r="C3724">
        <v>2015</v>
      </c>
      <c r="D3724">
        <v>7</v>
      </c>
      <c r="E3724" t="s">
        <v>7</v>
      </c>
      <c r="F3724" t="s">
        <v>7</v>
      </c>
      <c r="G3724" t="s">
        <v>7</v>
      </c>
      <c r="H3724">
        <v>97912.58</v>
      </c>
      <c r="I3724">
        <v>31598.11</v>
      </c>
      <c r="J3724">
        <v>0</v>
      </c>
    </row>
    <row r="3725" spans="1:10" x14ac:dyDescent="0.35">
      <c r="A3725">
        <v>320788</v>
      </c>
      <c r="B3725" t="s">
        <v>20</v>
      </c>
      <c r="C3725">
        <v>2015</v>
      </c>
      <c r="D3725">
        <v>7</v>
      </c>
      <c r="E3725" t="s">
        <v>7</v>
      </c>
      <c r="F3725" t="s">
        <v>7</v>
      </c>
      <c r="G3725" t="s">
        <v>7</v>
      </c>
      <c r="H3725">
        <v>19057.46</v>
      </c>
      <c r="I3725">
        <v>4885.47</v>
      </c>
      <c r="J3725">
        <v>0</v>
      </c>
    </row>
    <row r="3726" spans="1:10" x14ac:dyDescent="0.35">
      <c r="A3726">
        <v>320792</v>
      </c>
      <c r="B3726" t="s">
        <v>20</v>
      </c>
      <c r="C3726">
        <v>2015</v>
      </c>
      <c r="D3726">
        <v>7</v>
      </c>
      <c r="E3726" t="s">
        <v>7</v>
      </c>
      <c r="F3726" t="s">
        <v>7</v>
      </c>
      <c r="G3726" t="s">
        <v>7</v>
      </c>
      <c r="H3726">
        <v>41773.300000000003</v>
      </c>
      <c r="I3726">
        <v>11659.52</v>
      </c>
      <c r="J3726">
        <v>0</v>
      </c>
    </row>
    <row r="3727" spans="1:10" x14ac:dyDescent="0.35">
      <c r="A3727">
        <v>320793</v>
      </c>
      <c r="B3727" t="s">
        <v>20</v>
      </c>
      <c r="C3727">
        <v>2015</v>
      </c>
      <c r="D3727">
        <v>7</v>
      </c>
      <c r="E3727" t="s">
        <v>7</v>
      </c>
      <c r="F3727" t="s">
        <v>7</v>
      </c>
      <c r="G3727" t="s">
        <v>7</v>
      </c>
      <c r="H3727">
        <v>42669.88</v>
      </c>
      <c r="I3727">
        <v>13527.46</v>
      </c>
      <c r="J3727">
        <v>0</v>
      </c>
    </row>
    <row r="3728" spans="1:10" x14ac:dyDescent="0.35">
      <c r="A3728">
        <v>320806</v>
      </c>
      <c r="B3728" t="s">
        <v>20</v>
      </c>
      <c r="C3728">
        <v>2015</v>
      </c>
      <c r="D3728">
        <v>7</v>
      </c>
      <c r="E3728" t="s">
        <v>7</v>
      </c>
      <c r="F3728" t="s">
        <v>7</v>
      </c>
      <c r="G3728" t="s">
        <v>7</v>
      </c>
      <c r="H3728">
        <v>9533.92</v>
      </c>
      <c r="I3728">
        <v>2552.14</v>
      </c>
      <c r="J3728">
        <v>0</v>
      </c>
    </row>
    <row r="3729" spans="1:10" x14ac:dyDescent="0.35">
      <c r="A3729">
        <v>320809</v>
      </c>
      <c r="B3729" t="s">
        <v>20</v>
      </c>
      <c r="C3729">
        <v>2015</v>
      </c>
      <c r="D3729">
        <v>7</v>
      </c>
      <c r="E3729" t="s">
        <v>7</v>
      </c>
      <c r="F3729" t="s">
        <v>7</v>
      </c>
      <c r="G3729" t="s">
        <v>7</v>
      </c>
      <c r="H3729">
        <v>18562.86</v>
      </c>
      <c r="I3729">
        <v>5041.5600000000004</v>
      </c>
      <c r="J3729">
        <v>0</v>
      </c>
    </row>
    <row r="3730" spans="1:10" x14ac:dyDescent="0.35">
      <c r="A3730">
        <v>320811</v>
      </c>
      <c r="B3730" t="s">
        <v>20</v>
      </c>
      <c r="C3730">
        <v>2015</v>
      </c>
      <c r="D3730">
        <v>7</v>
      </c>
      <c r="E3730" t="s">
        <v>7</v>
      </c>
      <c r="F3730" t="s">
        <v>7</v>
      </c>
      <c r="G3730" t="s">
        <v>7</v>
      </c>
      <c r="H3730">
        <v>67181</v>
      </c>
      <c r="I3730">
        <v>49069.15</v>
      </c>
      <c r="J3730">
        <v>0</v>
      </c>
    </row>
    <row r="3731" spans="1:10" x14ac:dyDescent="0.35">
      <c r="A3731">
        <v>320812</v>
      </c>
      <c r="B3731" t="s">
        <v>20</v>
      </c>
      <c r="C3731">
        <v>2015</v>
      </c>
      <c r="D3731">
        <v>7</v>
      </c>
      <c r="E3731" t="s">
        <v>7</v>
      </c>
      <c r="F3731" t="s">
        <v>7</v>
      </c>
      <c r="G3731" t="s">
        <v>7</v>
      </c>
      <c r="H3731">
        <v>25173.08</v>
      </c>
      <c r="I3731">
        <v>7277.73</v>
      </c>
      <c r="J3731">
        <v>0</v>
      </c>
    </row>
    <row r="3732" spans="1:10" x14ac:dyDescent="0.35">
      <c r="A3732">
        <v>320818</v>
      </c>
      <c r="B3732" t="s">
        <v>20</v>
      </c>
      <c r="C3732">
        <v>2015</v>
      </c>
      <c r="D3732">
        <v>7</v>
      </c>
      <c r="E3732" t="s">
        <v>7</v>
      </c>
      <c r="F3732" t="s">
        <v>7</v>
      </c>
      <c r="G3732" t="s">
        <v>7</v>
      </c>
      <c r="H3732">
        <v>15334.92</v>
      </c>
      <c r="I3732">
        <v>4632.3599999999997</v>
      </c>
      <c r="J3732">
        <v>0</v>
      </c>
    </row>
    <row r="3733" spans="1:10" x14ac:dyDescent="0.35">
      <c r="A3733">
        <v>320819</v>
      </c>
      <c r="B3733" t="s">
        <v>20</v>
      </c>
      <c r="C3733">
        <v>2015</v>
      </c>
      <c r="D3733">
        <v>7</v>
      </c>
      <c r="E3733" t="s">
        <v>7</v>
      </c>
      <c r="F3733" t="s">
        <v>7</v>
      </c>
      <c r="G3733" t="s">
        <v>7</v>
      </c>
      <c r="H3733">
        <v>25104.86</v>
      </c>
      <c r="I3733">
        <v>13298.17</v>
      </c>
      <c r="J3733">
        <v>0</v>
      </c>
    </row>
    <row r="3734" spans="1:10" x14ac:dyDescent="0.35">
      <c r="A3734">
        <v>320823</v>
      </c>
      <c r="B3734" t="s">
        <v>20</v>
      </c>
      <c r="C3734">
        <v>2015</v>
      </c>
      <c r="D3734">
        <v>7</v>
      </c>
      <c r="E3734" t="s">
        <v>7</v>
      </c>
      <c r="F3734" t="s">
        <v>7</v>
      </c>
      <c r="G3734" t="s">
        <v>7</v>
      </c>
      <c r="H3734">
        <v>32002.78</v>
      </c>
      <c r="I3734">
        <v>10191.86</v>
      </c>
      <c r="J3734">
        <v>0</v>
      </c>
    </row>
    <row r="3735" spans="1:10" x14ac:dyDescent="0.35">
      <c r="A3735">
        <v>320839</v>
      </c>
      <c r="B3735" t="s">
        <v>20</v>
      </c>
      <c r="C3735">
        <v>2015</v>
      </c>
      <c r="D3735">
        <v>7</v>
      </c>
      <c r="E3735" t="s">
        <v>7</v>
      </c>
      <c r="F3735" t="s">
        <v>7</v>
      </c>
      <c r="G3735" t="s">
        <v>7</v>
      </c>
      <c r="H3735">
        <v>48821.26</v>
      </c>
      <c r="I3735">
        <v>12782.25</v>
      </c>
      <c r="J3735">
        <v>0</v>
      </c>
    </row>
    <row r="3736" spans="1:10" x14ac:dyDescent="0.35">
      <c r="A3736">
        <v>320840</v>
      </c>
      <c r="B3736" t="s">
        <v>20</v>
      </c>
      <c r="C3736">
        <v>2015</v>
      </c>
      <c r="D3736">
        <v>7</v>
      </c>
      <c r="E3736" t="s">
        <v>7</v>
      </c>
      <c r="F3736" t="s">
        <v>7</v>
      </c>
      <c r="G3736" t="s">
        <v>7</v>
      </c>
      <c r="H3736">
        <v>58519.38</v>
      </c>
      <c r="I3736">
        <v>44710.14</v>
      </c>
      <c r="J3736">
        <v>0</v>
      </c>
    </row>
    <row r="3737" spans="1:10" x14ac:dyDescent="0.35">
      <c r="A3737">
        <v>320842</v>
      </c>
      <c r="B3737" t="s">
        <v>20</v>
      </c>
      <c r="C3737">
        <v>2015</v>
      </c>
      <c r="D3737">
        <v>7</v>
      </c>
      <c r="E3737" t="s">
        <v>7</v>
      </c>
      <c r="F3737" t="s">
        <v>7</v>
      </c>
      <c r="G3737" t="s">
        <v>7</v>
      </c>
      <c r="H3737">
        <v>42234.879999999997</v>
      </c>
      <c r="I3737">
        <v>11344.15</v>
      </c>
      <c r="J3737">
        <v>0</v>
      </c>
    </row>
    <row r="3738" spans="1:10" x14ac:dyDescent="0.35">
      <c r="A3738">
        <v>320845</v>
      </c>
      <c r="B3738" t="s">
        <v>20</v>
      </c>
      <c r="C3738">
        <v>2015</v>
      </c>
      <c r="D3738">
        <v>7</v>
      </c>
      <c r="E3738" t="s">
        <v>7</v>
      </c>
      <c r="F3738" t="s">
        <v>7</v>
      </c>
      <c r="G3738" t="s">
        <v>7</v>
      </c>
      <c r="H3738">
        <v>19636.8</v>
      </c>
      <c r="I3738">
        <v>3466.6</v>
      </c>
      <c r="J3738">
        <v>0</v>
      </c>
    </row>
    <row r="3739" spans="1:10" x14ac:dyDescent="0.35">
      <c r="A3739">
        <v>320848</v>
      </c>
      <c r="B3739" t="s">
        <v>20</v>
      </c>
      <c r="C3739">
        <v>2015</v>
      </c>
      <c r="D3739">
        <v>7</v>
      </c>
      <c r="E3739" t="s">
        <v>7</v>
      </c>
      <c r="F3739" t="s">
        <v>7</v>
      </c>
      <c r="G3739" t="s">
        <v>7</v>
      </c>
      <c r="H3739">
        <v>32405.200000000001</v>
      </c>
      <c r="I3739">
        <v>10459.280000000001</v>
      </c>
      <c r="J3739">
        <v>0</v>
      </c>
    </row>
    <row r="3740" spans="1:10" x14ac:dyDescent="0.35">
      <c r="A3740">
        <v>320853</v>
      </c>
      <c r="B3740" t="s">
        <v>20</v>
      </c>
      <c r="C3740">
        <v>2015</v>
      </c>
      <c r="D3740">
        <v>7</v>
      </c>
      <c r="E3740" t="s">
        <v>7</v>
      </c>
      <c r="F3740" t="s">
        <v>7</v>
      </c>
      <c r="G3740" t="s">
        <v>7</v>
      </c>
      <c r="H3740">
        <v>37786.42</v>
      </c>
      <c r="I3740">
        <v>11223.2</v>
      </c>
      <c r="J3740">
        <v>0</v>
      </c>
    </row>
    <row r="3741" spans="1:10" x14ac:dyDescent="0.35">
      <c r="A3741">
        <v>320854</v>
      </c>
      <c r="B3741" t="s">
        <v>20</v>
      </c>
      <c r="C3741">
        <v>2015</v>
      </c>
      <c r="D3741">
        <v>7</v>
      </c>
      <c r="E3741" t="s">
        <v>7</v>
      </c>
      <c r="F3741" t="s">
        <v>7</v>
      </c>
      <c r="G3741" t="s">
        <v>7</v>
      </c>
      <c r="H3741">
        <v>20834.919999999998</v>
      </c>
      <c r="I3741">
        <v>9524.65</v>
      </c>
      <c r="J3741">
        <v>0</v>
      </c>
    </row>
    <row r="3742" spans="1:10" x14ac:dyDescent="0.35">
      <c r="A3742">
        <v>320856</v>
      </c>
      <c r="B3742" t="s">
        <v>20</v>
      </c>
      <c r="C3742">
        <v>2015</v>
      </c>
      <c r="D3742">
        <v>7</v>
      </c>
      <c r="E3742" t="s">
        <v>7</v>
      </c>
      <c r="F3742" t="s">
        <v>7</v>
      </c>
      <c r="G3742" t="s">
        <v>7</v>
      </c>
      <c r="H3742">
        <v>18847</v>
      </c>
      <c r="I3742">
        <v>5681</v>
      </c>
      <c r="J3742">
        <v>0</v>
      </c>
    </row>
    <row r="3743" spans="1:10" x14ac:dyDescent="0.35">
      <c r="A3743">
        <v>320871</v>
      </c>
      <c r="B3743" t="s">
        <v>20</v>
      </c>
      <c r="C3743">
        <v>2015</v>
      </c>
      <c r="D3743">
        <v>7</v>
      </c>
      <c r="E3743" t="s">
        <v>7</v>
      </c>
      <c r="F3743" t="s">
        <v>7</v>
      </c>
      <c r="G3743" t="s">
        <v>7</v>
      </c>
      <c r="H3743">
        <v>74951.100000000006</v>
      </c>
      <c r="I3743">
        <v>57587.14</v>
      </c>
      <c r="J3743">
        <v>0</v>
      </c>
    </row>
    <row r="3744" spans="1:10" x14ac:dyDescent="0.35">
      <c r="A3744">
        <v>320872</v>
      </c>
      <c r="B3744" t="s">
        <v>20</v>
      </c>
      <c r="C3744">
        <v>2015</v>
      </c>
      <c r="D3744">
        <v>7</v>
      </c>
      <c r="E3744" t="s">
        <v>7</v>
      </c>
      <c r="F3744" t="s">
        <v>7</v>
      </c>
      <c r="G3744" t="s">
        <v>7</v>
      </c>
      <c r="H3744">
        <v>19196.54</v>
      </c>
      <c r="I3744">
        <v>5832.46</v>
      </c>
      <c r="J3744">
        <v>0</v>
      </c>
    </row>
    <row r="3745" spans="1:10" x14ac:dyDescent="0.35">
      <c r="A3745">
        <v>320876</v>
      </c>
      <c r="B3745" t="s">
        <v>20</v>
      </c>
      <c r="C3745">
        <v>2015</v>
      </c>
      <c r="D3745">
        <v>7</v>
      </c>
      <c r="E3745" t="s">
        <v>7</v>
      </c>
      <c r="F3745" t="s">
        <v>7</v>
      </c>
      <c r="G3745" t="s">
        <v>7</v>
      </c>
      <c r="H3745">
        <v>69227.28</v>
      </c>
      <c r="I3745">
        <v>54028.45</v>
      </c>
      <c r="J3745">
        <v>0</v>
      </c>
    </row>
    <row r="3746" spans="1:10" x14ac:dyDescent="0.35">
      <c r="A3746">
        <v>320877</v>
      </c>
      <c r="B3746" t="s">
        <v>20</v>
      </c>
      <c r="C3746">
        <v>2015</v>
      </c>
      <c r="D3746">
        <v>7</v>
      </c>
      <c r="E3746" t="s">
        <v>7</v>
      </c>
      <c r="F3746" t="s">
        <v>7</v>
      </c>
      <c r="G3746" t="s">
        <v>7</v>
      </c>
      <c r="H3746">
        <v>41418.519999999997</v>
      </c>
      <c r="I3746">
        <v>29150.51</v>
      </c>
      <c r="J3746">
        <v>0</v>
      </c>
    </row>
    <row r="3747" spans="1:10" x14ac:dyDescent="0.35">
      <c r="A3747">
        <v>320878</v>
      </c>
      <c r="B3747" t="s">
        <v>20</v>
      </c>
      <c r="C3747">
        <v>2015</v>
      </c>
      <c r="D3747">
        <v>7</v>
      </c>
      <c r="E3747" t="s">
        <v>7</v>
      </c>
      <c r="F3747" t="s">
        <v>7</v>
      </c>
      <c r="G3747" t="s">
        <v>7</v>
      </c>
      <c r="H3747">
        <v>42904.26</v>
      </c>
      <c r="I3747">
        <v>18175.189999999999</v>
      </c>
      <c r="J3747">
        <v>0</v>
      </c>
    </row>
    <row r="3748" spans="1:10" x14ac:dyDescent="0.35">
      <c r="A3748">
        <v>320879</v>
      </c>
      <c r="B3748" t="s">
        <v>20</v>
      </c>
      <c r="C3748">
        <v>2015</v>
      </c>
      <c r="D3748">
        <v>7</v>
      </c>
      <c r="E3748" t="s">
        <v>7</v>
      </c>
      <c r="F3748" t="s">
        <v>7</v>
      </c>
      <c r="G3748" t="s">
        <v>7</v>
      </c>
      <c r="H3748">
        <v>53799.56</v>
      </c>
      <c r="I3748">
        <v>16414.939999999999</v>
      </c>
      <c r="J3748">
        <v>0</v>
      </c>
    </row>
    <row r="3749" spans="1:10" x14ac:dyDescent="0.35">
      <c r="A3749">
        <v>320881</v>
      </c>
      <c r="B3749" t="s">
        <v>20</v>
      </c>
      <c r="C3749">
        <v>2015</v>
      </c>
      <c r="D3749">
        <v>7</v>
      </c>
      <c r="E3749" t="s">
        <v>7</v>
      </c>
      <c r="F3749" t="s">
        <v>7</v>
      </c>
      <c r="G3749" t="s">
        <v>7</v>
      </c>
      <c r="H3749">
        <v>16506.62</v>
      </c>
      <c r="I3749">
        <v>4177.57</v>
      </c>
      <c r="J3749">
        <v>0</v>
      </c>
    </row>
    <row r="3750" spans="1:10" x14ac:dyDescent="0.35">
      <c r="A3750">
        <v>320883</v>
      </c>
      <c r="B3750" t="s">
        <v>20</v>
      </c>
      <c r="C3750">
        <v>2015</v>
      </c>
      <c r="D3750">
        <v>7</v>
      </c>
      <c r="E3750" t="s">
        <v>7</v>
      </c>
      <c r="F3750" t="s">
        <v>7</v>
      </c>
      <c r="G3750" t="s">
        <v>7</v>
      </c>
      <c r="H3750">
        <v>123448.31</v>
      </c>
      <c r="I3750">
        <v>117064.83</v>
      </c>
      <c r="J3750">
        <v>0</v>
      </c>
    </row>
    <row r="3751" spans="1:10" x14ac:dyDescent="0.35">
      <c r="A3751">
        <v>320885</v>
      </c>
      <c r="B3751" t="s">
        <v>20</v>
      </c>
      <c r="C3751">
        <v>2015</v>
      </c>
      <c r="D3751">
        <v>7</v>
      </c>
      <c r="E3751" t="s">
        <v>7</v>
      </c>
      <c r="F3751" t="s">
        <v>7</v>
      </c>
      <c r="G3751" t="s">
        <v>7</v>
      </c>
      <c r="H3751">
        <v>20867.16</v>
      </c>
      <c r="I3751">
        <v>6397.43</v>
      </c>
      <c r="J3751">
        <v>0</v>
      </c>
    </row>
    <row r="3752" spans="1:10" x14ac:dyDescent="0.35">
      <c r="A3752">
        <v>320889</v>
      </c>
      <c r="B3752" t="s">
        <v>20</v>
      </c>
      <c r="C3752">
        <v>2015</v>
      </c>
      <c r="D3752">
        <v>7</v>
      </c>
      <c r="E3752" t="s">
        <v>7</v>
      </c>
      <c r="F3752" t="s">
        <v>7</v>
      </c>
      <c r="G3752" t="s">
        <v>7</v>
      </c>
      <c r="H3752">
        <v>74081.259999999995</v>
      </c>
      <c r="I3752">
        <v>57369.63</v>
      </c>
      <c r="J3752">
        <v>0</v>
      </c>
    </row>
    <row r="3753" spans="1:10" x14ac:dyDescent="0.35">
      <c r="A3753">
        <v>320891</v>
      </c>
      <c r="B3753" t="s">
        <v>20</v>
      </c>
      <c r="C3753">
        <v>2015</v>
      </c>
      <c r="D3753">
        <v>7</v>
      </c>
      <c r="E3753" t="s">
        <v>7</v>
      </c>
      <c r="F3753" t="s">
        <v>7</v>
      </c>
      <c r="G3753" t="s">
        <v>7</v>
      </c>
      <c r="H3753">
        <v>20358.240000000002</v>
      </c>
      <c r="I3753">
        <v>6195.84</v>
      </c>
      <c r="J3753">
        <v>0</v>
      </c>
    </row>
    <row r="3754" spans="1:10" x14ac:dyDescent="0.35">
      <c r="A3754">
        <v>320896</v>
      </c>
      <c r="B3754" t="s">
        <v>20</v>
      </c>
      <c r="C3754">
        <v>2015</v>
      </c>
      <c r="D3754">
        <v>7</v>
      </c>
      <c r="E3754" t="s">
        <v>7</v>
      </c>
      <c r="F3754" t="s">
        <v>7</v>
      </c>
      <c r="G3754" t="s">
        <v>7</v>
      </c>
      <c r="H3754">
        <v>18251.3</v>
      </c>
      <c r="I3754">
        <v>5541.02</v>
      </c>
      <c r="J3754">
        <v>0</v>
      </c>
    </row>
    <row r="3755" spans="1:10" x14ac:dyDescent="0.35">
      <c r="A3755">
        <v>320897</v>
      </c>
      <c r="B3755" t="s">
        <v>20</v>
      </c>
      <c r="C3755">
        <v>2015</v>
      </c>
      <c r="D3755">
        <v>7</v>
      </c>
      <c r="E3755" t="s">
        <v>7</v>
      </c>
      <c r="F3755" t="s">
        <v>7</v>
      </c>
      <c r="G3755" t="s">
        <v>7</v>
      </c>
      <c r="H3755">
        <v>17691.849999999999</v>
      </c>
      <c r="I3755">
        <v>9657.7800000000007</v>
      </c>
      <c r="J3755">
        <v>0</v>
      </c>
    </row>
    <row r="3756" spans="1:10" x14ac:dyDescent="0.35">
      <c r="A3756">
        <v>320898</v>
      </c>
      <c r="B3756" t="s">
        <v>20</v>
      </c>
      <c r="C3756">
        <v>2015</v>
      </c>
      <c r="D3756">
        <v>7</v>
      </c>
      <c r="E3756" t="s">
        <v>7</v>
      </c>
      <c r="F3756" t="s">
        <v>7</v>
      </c>
      <c r="G3756" t="s">
        <v>7</v>
      </c>
      <c r="H3756">
        <v>94131</v>
      </c>
      <c r="I3756">
        <v>43101.91</v>
      </c>
      <c r="J3756">
        <v>0</v>
      </c>
    </row>
    <row r="3757" spans="1:10" x14ac:dyDescent="0.35">
      <c r="A3757">
        <v>320899</v>
      </c>
      <c r="B3757" t="s">
        <v>20</v>
      </c>
      <c r="C3757">
        <v>2015</v>
      </c>
      <c r="D3757">
        <v>7</v>
      </c>
      <c r="E3757" t="s">
        <v>7</v>
      </c>
      <c r="F3757" t="s">
        <v>7</v>
      </c>
      <c r="G3757" t="s">
        <v>7</v>
      </c>
      <c r="H3757">
        <v>71812.56</v>
      </c>
      <c r="I3757">
        <v>55136.78</v>
      </c>
      <c r="J3757">
        <v>0</v>
      </c>
    </row>
    <row r="3758" spans="1:10" x14ac:dyDescent="0.35">
      <c r="A3758">
        <v>320904</v>
      </c>
      <c r="B3758" t="s">
        <v>20</v>
      </c>
      <c r="C3758">
        <v>2015</v>
      </c>
      <c r="D3758">
        <v>7</v>
      </c>
      <c r="E3758" t="s">
        <v>7</v>
      </c>
      <c r="F3758" t="s">
        <v>7</v>
      </c>
      <c r="G3758" t="s">
        <v>7</v>
      </c>
      <c r="H3758">
        <v>119943.02</v>
      </c>
      <c r="I3758">
        <v>40520.1</v>
      </c>
      <c r="J3758">
        <v>0</v>
      </c>
    </row>
    <row r="3759" spans="1:10" x14ac:dyDescent="0.35">
      <c r="A3759">
        <v>320909</v>
      </c>
      <c r="B3759" t="s">
        <v>20</v>
      </c>
      <c r="C3759">
        <v>2015</v>
      </c>
      <c r="D3759">
        <v>7</v>
      </c>
      <c r="E3759" t="s">
        <v>7</v>
      </c>
      <c r="F3759" t="s">
        <v>7</v>
      </c>
      <c r="G3759" t="s">
        <v>7</v>
      </c>
      <c r="H3759">
        <v>25136.76</v>
      </c>
      <c r="I3759">
        <v>6491.46</v>
      </c>
      <c r="J3759">
        <v>0</v>
      </c>
    </row>
    <row r="3760" spans="1:10" x14ac:dyDescent="0.35">
      <c r="A3760">
        <v>320910</v>
      </c>
      <c r="B3760" t="s">
        <v>20</v>
      </c>
      <c r="C3760">
        <v>2015</v>
      </c>
      <c r="D3760">
        <v>7</v>
      </c>
      <c r="E3760" t="s">
        <v>7</v>
      </c>
      <c r="F3760" t="s">
        <v>7</v>
      </c>
      <c r="G3760" t="s">
        <v>7</v>
      </c>
      <c r="H3760">
        <v>73163.38</v>
      </c>
      <c r="I3760">
        <v>55629.11</v>
      </c>
      <c r="J3760">
        <v>0</v>
      </c>
    </row>
    <row r="3761" spans="1:10" x14ac:dyDescent="0.35">
      <c r="A3761">
        <v>320913</v>
      </c>
      <c r="B3761" t="s">
        <v>20</v>
      </c>
      <c r="C3761">
        <v>2015</v>
      </c>
      <c r="D3761">
        <v>7</v>
      </c>
      <c r="E3761" t="s">
        <v>7</v>
      </c>
      <c r="F3761" t="s">
        <v>7</v>
      </c>
      <c r="G3761" t="s">
        <v>7</v>
      </c>
      <c r="H3761">
        <v>73493.66</v>
      </c>
      <c r="I3761">
        <v>54986.17</v>
      </c>
      <c r="J3761">
        <v>0</v>
      </c>
    </row>
    <row r="3762" spans="1:10" x14ac:dyDescent="0.35">
      <c r="A3762">
        <v>320916</v>
      </c>
      <c r="B3762" t="s">
        <v>20</v>
      </c>
      <c r="C3762">
        <v>2015</v>
      </c>
      <c r="D3762">
        <v>7</v>
      </c>
      <c r="E3762" t="s">
        <v>7</v>
      </c>
      <c r="F3762" t="s">
        <v>7</v>
      </c>
      <c r="G3762" t="s">
        <v>7</v>
      </c>
      <c r="H3762">
        <v>63378.28</v>
      </c>
      <c r="I3762">
        <v>44638.46</v>
      </c>
      <c r="J3762">
        <v>0</v>
      </c>
    </row>
    <row r="3763" spans="1:10" x14ac:dyDescent="0.35">
      <c r="A3763">
        <v>320920</v>
      </c>
      <c r="B3763" t="s">
        <v>20</v>
      </c>
      <c r="C3763">
        <v>2015</v>
      </c>
      <c r="D3763">
        <v>7</v>
      </c>
      <c r="E3763" t="s">
        <v>7</v>
      </c>
      <c r="F3763" t="s">
        <v>7</v>
      </c>
      <c r="G3763" t="s">
        <v>7</v>
      </c>
      <c r="H3763">
        <v>21973.42</v>
      </c>
      <c r="I3763">
        <v>6183.31</v>
      </c>
      <c r="J3763">
        <v>0</v>
      </c>
    </row>
    <row r="3764" spans="1:10" x14ac:dyDescent="0.35">
      <c r="A3764">
        <v>320923</v>
      </c>
      <c r="B3764" t="s">
        <v>20</v>
      </c>
      <c r="C3764">
        <v>2015</v>
      </c>
      <c r="D3764">
        <v>7</v>
      </c>
      <c r="E3764" t="s">
        <v>7</v>
      </c>
      <c r="F3764" t="s">
        <v>7</v>
      </c>
      <c r="G3764" t="s">
        <v>7</v>
      </c>
      <c r="H3764">
        <v>13038.86</v>
      </c>
      <c r="I3764">
        <v>2653.82</v>
      </c>
      <c r="J3764">
        <v>0</v>
      </c>
    </row>
    <row r="3765" spans="1:10" x14ac:dyDescent="0.35">
      <c r="A3765">
        <v>320924</v>
      </c>
      <c r="B3765" t="s">
        <v>20</v>
      </c>
      <c r="C3765">
        <v>2015</v>
      </c>
      <c r="D3765">
        <v>7</v>
      </c>
      <c r="E3765" t="s">
        <v>7</v>
      </c>
      <c r="F3765" t="s">
        <v>7</v>
      </c>
      <c r="G3765" t="s">
        <v>7</v>
      </c>
      <c r="H3765">
        <v>85402.559999999998</v>
      </c>
      <c r="I3765">
        <v>60760.480000000003</v>
      </c>
      <c r="J3765">
        <v>0</v>
      </c>
    </row>
    <row r="3766" spans="1:10" x14ac:dyDescent="0.35">
      <c r="A3766">
        <v>320925</v>
      </c>
      <c r="B3766" t="s">
        <v>20</v>
      </c>
      <c r="C3766">
        <v>2015</v>
      </c>
      <c r="D3766">
        <v>7</v>
      </c>
      <c r="E3766" t="s">
        <v>7</v>
      </c>
      <c r="F3766" t="s">
        <v>7</v>
      </c>
      <c r="G3766" t="s">
        <v>7</v>
      </c>
      <c r="H3766">
        <v>73471.98</v>
      </c>
      <c r="I3766">
        <v>57000.03</v>
      </c>
      <c r="J3766">
        <v>0</v>
      </c>
    </row>
    <row r="3767" spans="1:10" x14ac:dyDescent="0.35">
      <c r="A3767">
        <v>320928</v>
      </c>
      <c r="B3767" t="s">
        <v>20</v>
      </c>
      <c r="C3767">
        <v>2015</v>
      </c>
      <c r="D3767">
        <v>7</v>
      </c>
      <c r="E3767" t="s">
        <v>7</v>
      </c>
      <c r="F3767" t="s">
        <v>7</v>
      </c>
      <c r="G3767" t="s">
        <v>7</v>
      </c>
      <c r="H3767">
        <v>10909.64</v>
      </c>
      <c r="I3767">
        <v>2439.86</v>
      </c>
      <c r="J3767">
        <v>0</v>
      </c>
    </row>
    <row r="3768" spans="1:10" x14ac:dyDescent="0.35">
      <c r="A3768">
        <v>320933</v>
      </c>
      <c r="B3768" t="s">
        <v>20</v>
      </c>
      <c r="C3768">
        <v>2015</v>
      </c>
      <c r="D3768">
        <v>7</v>
      </c>
      <c r="E3768" t="s">
        <v>7</v>
      </c>
      <c r="F3768" t="s">
        <v>7</v>
      </c>
      <c r="G3768" t="s">
        <v>7</v>
      </c>
      <c r="H3768">
        <v>69205.100000000006</v>
      </c>
      <c r="I3768">
        <v>47559.02</v>
      </c>
      <c r="J3768">
        <v>0</v>
      </c>
    </row>
    <row r="3769" spans="1:10" x14ac:dyDescent="0.35">
      <c r="A3769">
        <v>320934</v>
      </c>
      <c r="B3769" t="s">
        <v>20</v>
      </c>
      <c r="C3769">
        <v>2015</v>
      </c>
      <c r="D3769">
        <v>7</v>
      </c>
      <c r="E3769" t="s">
        <v>7</v>
      </c>
      <c r="F3769" t="s">
        <v>7</v>
      </c>
      <c r="G3769" t="s">
        <v>7</v>
      </c>
      <c r="H3769">
        <v>104804.84</v>
      </c>
      <c r="I3769">
        <v>86916.2</v>
      </c>
      <c r="J3769">
        <v>0</v>
      </c>
    </row>
    <row r="3770" spans="1:10" x14ac:dyDescent="0.35">
      <c r="A3770">
        <v>320935</v>
      </c>
      <c r="B3770" t="s">
        <v>20</v>
      </c>
      <c r="C3770">
        <v>2015</v>
      </c>
      <c r="D3770">
        <v>7</v>
      </c>
      <c r="E3770" t="s">
        <v>7</v>
      </c>
      <c r="F3770" t="s">
        <v>7</v>
      </c>
      <c r="G3770" t="s">
        <v>7</v>
      </c>
      <c r="H3770">
        <v>49554.7</v>
      </c>
      <c r="I3770">
        <v>14918.69</v>
      </c>
      <c r="J3770">
        <v>0</v>
      </c>
    </row>
    <row r="3771" spans="1:10" x14ac:dyDescent="0.35">
      <c r="A3771">
        <v>320940</v>
      </c>
      <c r="B3771" t="s">
        <v>20</v>
      </c>
      <c r="C3771">
        <v>2015</v>
      </c>
      <c r="D3771">
        <v>7</v>
      </c>
      <c r="E3771" t="s">
        <v>7</v>
      </c>
      <c r="F3771" t="s">
        <v>7</v>
      </c>
      <c r="G3771" t="s">
        <v>7</v>
      </c>
      <c r="H3771">
        <v>74178.2</v>
      </c>
      <c r="I3771">
        <v>51120.41</v>
      </c>
      <c r="J3771">
        <v>0</v>
      </c>
    </row>
    <row r="3772" spans="1:10" x14ac:dyDescent="0.35">
      <c r="A3772">
        <v>320943</v>
      </c>
      <c r="B3772" t="s">
        <v>20</v>
      </c>
      <c r="C3772">
        <v>2015</v>
      </c>
      <c r="D3772">
        <v>7</v>
      </c>
      <c r="E3772" t="s">
        <v>7</v>
      </c>
      <c r="F3772" t="s">
        <v>7</v>
      </c>
      <c r="G3772" t="s">
        <v>7</v>
      </c>
      <c r="H3772">
        <v>40633.919999999998</v>
      </c>
      <c r="I3772">
        <v>10050.68</v>
      </c>
      <c r="J3772">
        <v>0</v>
      </c>
    </row>
    <row r="3773" spans="1:10" x14ac:dyDescent="0.35">
      <c r="A3773">
        <v>320951</v>
      </c>
      <c r="B3773" t="s">
        <v>20</v>
      </c>
      <c r="C3773">
        <v>2015</v>
      </c>
      <c r="D3773">
        <v>7</v>
      </c>
      <c r="E3773" t="s">
        <v>7</v>
      </c>
      <c r="F3773" t="s">
        <v>7</v>
      </c>
      <c r="G3773" t="s">
        <v>7</v>
      </c>
      <c r="H3773">
        <v>33956.660000000003</v>
      </c>
      <c r="I3773">
        <v>15159.55</v>
      </c>
      <c r="J3773">
        <v>0</v>
      </c>
    </row>
    <row r="3774" spans="1:10" x14ac:dyDescent="0.35">
      <c r="A3774">
        <v>320957</v>
      </c>
      <c r="B3774" t="s">
        <v>20</v>
      </c>
      <c r="C3774">
        <v>2015</v>
      </c>
      <c r="D3774">
        <v>7</v>
      </c>
      <c r="E3774" t="s">
        <v>7</v>
      </c>
      <c r="F3774" t="s">
        <v>7</v>
      </c>
      <c r="G3774" t="s">
        <v>7</v>
      </c>
      <c r="H3774">
        <v>14414.52</v>
      </c>
      <c r="I3774">
        <v>3169.53</v>
      </c>
      <c r="J3774">
        <v>0</v>
      </c>
    </row>
    <row r="3775" spans="1:10" x14ac:dyDescent="0.35">
      <c r="A3775">
        <v>320964</v>
      </c>
      <c r="B3775" t="s">
        <v>20</v>
      </c>
      <c r="C3775">
        <v>2015</v>
      </c>
      <c r="D3775">
        <v>7</v>
      </c>
      <c r="E3775" t="s">
        <v>7</v>
      </c>
      <c r="F3775" t="s">
        <v>7</v>
      </c>
      <c r="G3775" t="s">
        <v>7</v>
      </c>
      <c r="H3775">
        <v>41428.94</v>
      </c>
      <c r="I3775">
        <v>24943.1</v>
      </c>
      <c r="J3775">
        <v>0</v>
      </c>
    </row>
    <row r="3776" spans="1:10" x14ac:dyDescent="0.35">
      <c r="A3776">
        <v>320966</v>
      </c>
      <c r="B3776" t="s">
        <v>20</v>
      </c>
      <c r="C3776">
        <v>2015</v>
      </c>
      <c r="D3776">
        <v>7</v>
      </c>
      <c r="E3776" t="s">
        <v>7</v>
      </c>
      <c r="F3776" t="s">
        <v>7</v>
      </c>
      <c r="G3776" t="s">
        <v>7</v>
      </c>
      <c r="H3776">
        <v>65952.740000000005</v>
      </c>
      <c r="I3776">
        <v>48263.74</v>
      </c>
      <c r="J3776">
        <v>0</v>
      </c>
    </row>
    <row r="3777" spans="1:10" x14ac:dyDescent="0.35">
      <c r="A3777">
        <v>320968</v>
      </c>
      <c r="B3777" t="s">
        <v>20</v>
      </c>
      <c r="C3777">
        <v>2015</v>
      </c>
      <c r="D3777">
        <v>7</v>
      </c>
      <c r="E3777" t="s">
        <v>7</v>
      </c>
      <c r="F3777" t="s">
        <v>7</v>
      </c>
      <c r="G3777" t="s">
        <v>7</v>
      </c>
      <c r="H3777">
        <v>67764.44</v>
      </c>
      <c r="I3777">
        <v>53700.25</v>
      </c>
      <c r="J3777">
        <v>0</v>
      </c>
    </row>
    <row r="3778" spans="1:10" x14ac:dyDescent="0.35">
      <c r="A3778">
        <v>320970</v>
      </c>
      <c r="B3778" t="s">
        <v>20</v>
      </c>
      <c r="C3778">
        <v>2015</v>
      </c>
      <c r="D3778">
        <v>7</v>
      </c>
      <c r="E3778" t="s">
        <v>7</v>
      </c>
      <c r="F3778" t="s">
        <v>7</v>
      </c>
      <c r="G3778" t="s">
        <v>7</v>
      </c>
      <c r="H3778">
        <v>16943.48</v>
      </c>
      <c r="I3778">
        <v>3278.26</v>
      </c>
      <c r="J3778">
        <v>0</v>
      </c>
    </row>
    <row r="3779" spans="1:10" x14ac:dyDescent="0.35">
      <c r="A3779">
        <v>320972</v>
      </c>
      <c r="B3779" t="s">
        <v>20</v>
      </c>
      <c r="C3779">
        <v>2015</v>
      </c>
      <c r="D3779">
        <v>7</v>
      </c>
      <c r="E3779" t="s">
        <v>7</v>
      </c>
      <c r="F3779" t="s">
        <v>7</v>
      </c>
      <c r="G3779" t="s">
        <v>7</v>
      </c>
      <c r="H3779">
        <v>171623.72</v>
      </c>
      <c r="I3779">
        <v>153917.13</v>
      </c>
      <c r="J3779">
        <v>0</v>
      </c>
    </row>
    <row r="3780" spans="1:10" x14ac:dyDescent="0.35">
      <c r="A3780">
        <v>320973</v>
      </c>
      <c r="B3780" t="s">
        <v>20</v>
      </c>
      <c r="C3780">
        <v>2015</v>
      </c>
      <c r="D3780">
        <v>7</v>
      </c>
      <c r="E3780" t="s">
        <v>7</v>
      </c>
      <c r="F3780" t="s">
        <v>7</v>
      </c>
      <c r="G3780" t="s">
        <v>7</v>
      </c>
      <c r="H3780">
        <v>73912.62</v>
      </c>
      <c r="I3780">
        <v>21082.17</v>
      </c>
      <c r="J3780">
        <v>0</v>
      </c>
    </row>
    <row r="3781" spans="1:10" x14ac:dyDescent="0.35">
      <c r="A3781">
        <v>320974</v>
      </c>
      <c r="B3781" t="s">
        <v>20</v>
      </c>
      <c r="C3781">
        <v>2015</v>
      </c>
      <c r="D3781">
        <v>7</v>
      </c>
      <c r="E3781" t="s">
        <v>7</v>
      </c>
      <c r="F3781" t="s">
        <v>7</v>
      </c>
      <c r="G3781" t="s">
        <v>7</v>
      </c>
      <c r="H3781">
        <v>93945.84</v>
      </c>
      <c r="I3781">
        <v>59031.12</v>
      </c>
      <c r="J3781">
        <v>0</v>
      </c>
    </row>
    <row r="3782" spans="1:10" x14ac:dyDescent="0.35">
      <c r="A3782">
        <v>320978</v>
      </c>
      <c r="B3782" t="s">
        <v>20</v>
      </c>
      <c r="C3782">
        <v>2015</v>
      </c>
      <c r="D3782">
        <v>7</v>
      </c>
      <c r="E3782" t="s">
        <v>7</v>
      </c>
      <c r="F3782" t="s">
        <v>7</v>
      </c>
      <c r="G3782" t="s">
        <v>7</v>
      </c>
      <c r="H3782">
        <v>56149.96</v>
      </c>
      <c r="I3782">
        <v>24711.01</v>
      </c>
      <c r="J3782">
        <v>0</v>
      </c>
    </row>
    <row r="3783" spans="1:10" x14ac:dyDescent="0.35">
      <c r="A3783">
        <v>320984</v>
      </c>
      <c r="B3783" t="s">
        <v>20</v>
      </c>
      <c r="C3783">
        <v>2015</v>
      </c>
      <c r="D3783">
        <v>7</v>
      </c>
      <c r="E3783" t="s">
        <v>7</v>
      </c>
      <c r="F3783" t="s">
        <v>7</v>
      </c>
      <c r="G3783" t="s">
        <v>7</v>
      </c>
      <c r="H3783">
        <v>32957.74</v>
      </c>
      <c r="I3783">
        <v>9178.0300000000007</v>
      </c>
      <c r="J3783">
        <v>0</v>
      </c>
    </row>
    <row r="3784" spans="1:10" x14ac:dyDescent="0.35">
      <c r="A3784">
        <v>320985</v>
      </c>
      <c r="B3784" t="s">
        <v>20</v>
      </c>
      <c r="C3784">
        <v>2015</v>
      </c>
      <c r="D3784">
        <v>7</v>
      </c>
      <c r="E3784" t="s">
        <v>7</v>
      </c>
      <c r="F3784" t="s">
        <v>7</v>
      </c>
      <c r="G3784" t="s">
        <v>7</v>
      </c>
      <c r="H3784">
        <v>53415.19</v>
      </c>
      <c r="I3784">
        <v>32815.29</v>
      </c>
      <c r="J3784">
        <v>0</v>
      </c>
    </row>
    <row r="3785" spans="1:10" x14ac:dyDescent="0.35">
      <c r="A3785">
        <v>320993</v>
      </c>
      <c r="B3785" t="s">
        <v>20</v>
      </c>
      <c r="C3785">
        <v>2015</v>
      </c>
      <c r="D3785">
        <v>7</v>
      </c>
      <c r="E3785" t="s">
        <v>7</v>
      </c>
      <c r="F3785" t="s">
        <v>7</v>
      </c>
      <c r="G3785" t="s">
        <v>7</v>
      </c>
      <c r="H3785">
        <v>29382.86</v>
      </c>
      <c r="I3785">
        <v>8723.3799999999992</v>
      </c>
      <c r="J3785">
        <v>0</v>
      </c>
    </row>
    <row r="3786" spans="1:10" x14ac:dyDescent="0.35">
      <c r="A3786">
        <v>320996</v>
      </c>
      <c r="B3786" t="s">
        <v>20</v>
      </c>
      <c r="C3786">
        <v>2015</v>
      </c>
      <c r="D3786">
        <v>7</v>
      </c>
      <c r="E3786" t="s">
        <v>7</v>
      </c>
      <c r="F3786" t="s">
        <v>7</v>
      </c>
      <c r="G3786" t="s">
        <v>7</v>
      </c>
      <c r="H3786">
        <v>11363.7</v>
      </c>
      <c r="I3786">
        <v>2975.57</v>
      </c>
      <c r="J3786">
        <v>0</v>
      </c>
    </row>
    <row r="3787" spans="1:10" x14ac:dyDescent="0.35">
      <c r="A3787">
        <v>320999</v>
      </c>
      <c r="B3787" t="s">
        <v>20</v>
      </c>
      <c r="C3787">
        <v>2015</v>
      </c>
      <c r="D3787">
        <v>7</v>
      </c>
      <c r="E3787" t="s">
        <v>7</v>
      </c>
      <c r="F3787" t="s">
        <v>7</v>
      </c>
      <c r="G3787" t="s">
        <v>7</v>
      </c>
      <c r="H3787">
        <v>77102.48</v>
      </c>
      <c r="I3787">
        <v>59040.41</v>
      </c>
      <c r="J3787">
        <v>0</v>
      </c>
    </row>
    <row r="3788" spans="1:10" x14ac:dyDescent="0.35">
      <c r="A3788">
        <v>321001</v>
      </c>
      <c r="B3788" t="s">
        <v>20</v>
      </c>
      <c r="C3788">
        <v>2015</v>
      </c>
      <c r="D3788">
        <v>7</v>
      </c>
      <c r="E3788" t="s">
        <v>7</v>
      </c>
      <c r="F3788" t="s">
        <v>7</v>
      </c>
      <c r="G3788" t="s">
        <v>7</v>
      </c>
      <c r="H3788">
        <v>85050.9</v>
      </c>
      <c r="I3788">
        <v>25410.65</v>
      </c>
      <c r="J3788">
        <v>0</v>
      </c>
    </row>
    <row r="3789" spans="1:10" x14ac:dyDescent="0.35">
      <c r="A3789">
        <v>321002</v>
      </c>
      <c r="B3789" t="s">
        <v>20</v>
      </c>
      <c r="C3789">
        <v>2015</v>
      </c>
      <c r="D3789">
        <v>7</v>
      </c>
      <c r="E3789" t="s">
        <v>7</v>
      </c>
      <c r="F3789" t="s">
        <v>7</v>
      </c>
      <c r="G3789" t="s">
        <v>7</v>
      </c>
      <c r="H3789">
        <v>63581.24</v>
      </c>
      <c r="I3789">
        <v>46461.1</v>
      </c>
      <c r="J3789">
        <v>0</v>
      </c>
    </row>
    <row r="3790" spans="1:10" x14ac:dyDescent="0.35">
      <c r="A3790">
        <v>321004</v>
      </c>
      <c r="B3790" t="s">
        <v>20</v>
      </c>
      <c r="C3790">
        <v>2015</v>
      </c>
      <c r="D3790">
        <v>7</v>
      </c>
      <c r="E3790" t="s">
        <v>7</v>
      </c>
      <c r="F3790" t="s">
        <v>7</v>
      </c>
      <c r="G3790" t="s">
        <v>7</v>
      </c>
      <c r="H3790">
        <v>24627.32</v>
      </c>
      <c r="I3790">
        <v>6320.52</v>
      </c>
      <c r="J3790">
        <v>0</v>
      </c>
    </row>
    <row r="3791" spans="1:10" x14ac:dyDescent="0.35">
      <c r="A3791">
        <v>321008</v>
      </c>
      <c r="B3791" t="s">
        <v>20</v>
      </c>
      <c r="C3791">
        <v>2015</v>
      </c>
      <c r="D3791">
        <v>7</v>
      </c>
      <c r="E3791" t="s">
        <v>7</v>
      </c>
      <c r="F3791" t="s">
        <v>7</v>
      </c>
      <c r="G3791" t="s">
        <v>7</v>
      </c>
      <c r="H3791">
        <v>64740.639999999999</v>
      </c>
      <c r="I3791">
        <v>46615.59</v>
      </c>
      <c r="J3791">
        <v>0</v>
      </c>
    </row>
    <row r="3792" spans="1:10" x14ac:dyDescent="0.35">
      <c r="A3792">
        <v>321016</v>
      </c>
      <c r="B3792" t="s">
        <v>20</v>
      </c>
      <c r="C3792">
        <v>2015</v>
      </c>
      <c r="D3792">
        <v>7</v>
      </c>
      <c r="E3792" t="s">
        <v>7</v>
      </c>
      <c r="F3792" t="s">
        <v>7</v>
      </c>
      <c r="G3792" t="s">
        <v>7</v>
      </c>
      <c r="H3792">
        <v>72940.14</v>
      </c>
      <c r="I3792">
        <v>55575.07</v>
      </c>
      <c r="J3792">
        <v>0</v>
      </c>
    </row>
    <row r="3793" spans="1:10" x14ac:dyDescent="0.35">
      <c r="A3793">
        <v>321018</v>
      </c>
      <c r="B3793" t="s">
        <v>20</v>
      </c>
      <c r="C3793">
        <v>2015</v>
      </c>
      <c r="D3793">
        <v>7</v>
      </c>
      <c r="E3793" t="s">
        <v>7</v>
      </c>
      <c r="F3793" t="s">
        <v>7</v>
      </c>
      <c r="G3793" t="s">
        <v>7</v>
      </c>
      <c r="H3793">
        <v>24990.44</v>
      </c>
      <c r="I3793">
        <v>7718.78</v>
      </c>
      <c r="J3793">
        <v>0</v>
      </c>
    </row>
    <row r="3794" spans="1:10" x14ac:dyDescent="0.35">
      <c r="A3794">
        <v>321021</v>
      </c>
      <c r="B3794" t="s">
        <v>20</v>
      </c>
      <c r="C3794">
        <v>2015</v>
      </c>
      <c r="D3794">
        <v>7</v>
      </c>
      <c r="E3794" t="s">
        <v>7</v>
      </c>
      <c r="F3794" t="s">
        <v>7</v>
      </c>
      <c r="G3794" t="s">
        <v>7</v>
      </c>
      <c r="H3794">
        <v>58878.6</v>
      </c>
      <c r="I3794">
        <v>44799.61</v>
      </c>
      <c r="J3794">
        <v>0</v>
      </c>
    </row>
    <row r="3795" spans="1:10" x14ac:dyDescent="0.35">
      <c r="A3795">
        <v>321023</v>
      </c>
      <c r="B3795" t="s">
        <v>20</v>
      </c>
      <c r="C3795">
        <v>2015</v>
      </c>
      <c r="D3795">
        <v>7</v>
      </c>
      <c r="E3795" t="s">
        <v>7</v>
      </c>
      <c r="F3795" t="s">
        <v>7</v>
      </c>
      <c r="G3795" t="s">
        <v>7</v>
      </c>
      <c r="H3795">
        <v>40852.99</v>
      </c>
      <c r="I3795">
        <v>26876.1</v>
      </c>
      <c r="J3795">
        <v>0</v>
      </c>
    </row>
    <row r="3796" spans="1:10" x14ac:dyDescent="0.35">
      <c r="A3796">
        <v>321025</v>
      </c>
      <c r="B3796" t="s">
        <v>20</v>
      </c>
      <c r="C3796">
        <v>2015</v>
      </c>
      <c r="D3796">
        <v>7</v>
      </c>
      <c r="E3796" t="s">
        <v>7</v>
      </c>
      <c r="F3796" t="s">
        <v>7</v>
      </c>
      <c r="G3796" t="s">
        <v>7</v>
      </c>
      <c r="H3796">
        <v>20262.099999999999</v>
      </c>
      <c r="I3796">
        <v>6095.51</v>
      </c>
      <c r="J3796">
        <v>0</v>
      </c>
    </row>
    <row r="3797" spans="1:10" x14ac:dyDescent="0.35">
      <c r="A3797">
        <v>321027</v>
      </c>
      <c r="B3797" t="s">
        <v>20</v>
      </c>
      <c r="C3797">
        <v>2015</v>
      </c>
      <c r="D3797">
        <v>7</v>
      </c>
      <c r="E3797" t="s">
        <v>7</v>
      </c>
      <c r="F3797" t="s">
        <v>7</v>
      </c>
      <c r="G3797" t="s">
        <v>7</v>
      </c>
      <c r="H3797">
        <v>31045.599999999999</v>
      </c>
      <c r="I3797">
        <v>8710.4699999999993</v>
      </c>
      <c r="J3797">
        <v>0</v>
      </c>
    </row>
    <row r="3798" spans="1:10" x14ac:dyDescent="0.35">
      <c r="A3798">
        <v>321031</v>
      </c>
      <c r="B3798" t="s">
        <v>20</v>
      </c>
      <c r="C3798">
        <v>2015</v>
      </c>
      <c r="D3798">
        <v>7</v>
      </c>
      <c r="E3798" t="s">
        <v>7</v>
      </c>
      <c r="F3798" t="s">
        <v>7</v>
      </c>
      <c r="G3798" t="s">
        <v>7</v>
      </c>
      <c r="H3798">
        <v>50506.43</v>
      </c>
      <c r="I3798">
        <v>37464.980000000003</v>
      </c>
      <c r="J3798">
        <v>0</v>
      </c>
    </row>
    <row r="3799" spans="1:10" x14ac:dyDescent="0.35">
      <c r="A3799">
        <v>321032</v>
      </c>
      <c r="B3799" t="s">
        <v>20</v>
      </c>
      <c r="C3799">
        <v>2015</v>
      </c>
      <c r="D3799">
        <v>7</v>
      </c>
      <c r="E3799" t="s">
        <v>7</v>
      </c>
      <c r="F3799" t="s">
        <v>7</v>
      </c>
      <c r="G3799" t="s">
        <v>7</v>
      </c>
      <c r="H3799">
        <v>61741.24</v>
      </c>
      <c r="I3799">
        <v>45222.64</v>
      </c>
      <c r="J3799">
        <v>0</v>
      </c>
    </row>
    <row r="3800" spans="1:10" x14ac:dyDescent="0.35">
      <c r="A3800">
        <v>321035</v>
      </c>
      <c r="B3800" t="s">
        <v>20</v>
      </c>
      <c r="C3800">
        <v>2015</v>
      </c>
      <c r="D3800">
        <v>7</v>
      </c>
      <c r="E3800" t="s">
        <v>7</v>
      </c>
      <c r="F3800" t="s">
        <v>7</v>
      </c>
      <c r="G3800" t="s">
        <v>7</v>
      </c>
      <c r="H3800">
        <v>18487.36</v>
      </c>
      <c r="I3800">
        <v>6238.19</v>
      </c>
      <c r="J3800">
        <v>0</v>
      </c>
    </row>
    <row r="3801" spans="1:10" x14ac:dyDescent="0.35">
      <c r="A3801">
        <v>321036</v>
      </c>
      <c r="B3801" t="s">
        <v>20</v>
      </c>
      <c r="C3801">
        <v>2015</v>
      </c>
      <c r="D3801">
        <v>7</v>
      </c>
      <c r="E3801" t="s">
        <v>7</v>
      </c>
      <c r="F3801" t="s">
        <v>7</v>
      </c>
      <c r="G3801" t="s">
        <v>7</v>
      </c>
      <c r="H3801">
        <v>31868.66</v>
      </c>
      <c r="I3801">
        <v>9805.91</v>
      </c>
      <c r="J3801">
        <v>0</v>
      </c>
    </row>
    <row r="3802" spans="1:10" x14ac:dyDescent="0.35">
      <c r="A3802">
        <v>321037</v>
      </c>
      <c r="B3802" t="s">
        <v>20</v>
      </c>
      <c r="C3802">
        <v>2015</v>
      </c>
      <c r="D3802">
        <v>7</v>
      </c>
      <c r="E3802" t="s">
        <v>7</v>
      </c>
      <c r="F3802" t="s">
        <v>7</v>
      </c>
      <c r="G3802" t="s">
        <v>7</v>
      </c>
      <c r="H3802">
        <v>68043.8</v>
      </c>
      <c r="I3802">
        <v>51885.33</v>
      </c>
      <c r="J3802">
        <v>0</v>
      </c>
    </row>
    <row r="3803" spans="1:10" x14ac:dyDescent="0.35">
      <c r="A3803">
        <v>321040</v>
      </c>
      <c r="B3803" t="s">
        <v>20</v>
      </c>
      <c r="C3803">
        <v>2015</v>
      </c>
      <c r="D3803">
        <v>7</v>
      </c>
      <c r="E3803" t="s">
        <v>7</v>
      </c>
      <c r="F3803" t="s">
        <v>7</v>
      </c>
      <c r="G3803" t="s">
        <v>7</v>
      </c>
      <c r="H3803">
        <v>108508.32</v>
      </c>
      <c r="I3803">
        <v>65329.34</v>
      </c>
      <c r="J3803">
        <v>0</v>
      </c>
    </row>
    <row r="3804" spans="1:10" x14ac:dyDescent="0.35">
      <c r="A3804">
        <v>321042</v>
      </c>
      <c r="B3804" t="s">
        <v>20</v>
      </c>
      <c r="C3804">
        <v>2015</v>
      </c>
      <c r="D3804">
        <v>7</v>
      </c>
      <c r="E3804" t="s">
        <v>7</v>
      </c>
      <c r="F3804" t="s">
        <v>7</v>
      </c>
      <c r="G3804" t="s">
        <v>7</v>
      </c>
      <c r="H3804">
        <v>46862.9</v>
      </c>
      <c r="I3804">
        <v>20046.91</v>
      </c>
      <c r="J3804">
        <v>0</v>
      </c>
    </row>
    <row r="3805" spans="1:10" x14ac:dyDescent="0.35">
      <c r="A3805">
        <v>321053</v>
      </c>
      <c r="B3805" t="s">
        <v>20</v>
      </c>
      <c r="C3805">
        <v>2015</v>
      </c>
      <c r="D3805">
        <v>7</v>
      </c>
      <c r="E3805" t="s">
        <v>7</v>
      </c>
      <c r="F3805" t="s">
        <v>7</v>
      </c>
      <c r="G3805" t="s">
        <v>7</v>
      </c>
      <c r="H3805">
        <v>130405.91</v>
      </c>
      <c r="I3805">
        <v>101691.21</v>
      </c>
      <c r="J3805">
        <v>0</v>
      </c>
    </row>
    <row r="3806" spans="1:10" x14ac:dyDescent="0.35">
      <c r="A3806">
        <v>321061</v>
      </c>
      <c r="B3806" t="s">
        <v>20</v>
      </c>
      <c r="C3806">
        <v>2015</v>
      </c>
      <c r="D3806">
        <v>7</v>
      </c>
      <c r="E3806" t="s">
        <v>7</v>
      </c>
      <c r="F3806" t="s">
        <v>7</v>
      </c>
      <c r="G3806" t="s">
        <v>7</v>
      </c>
      <c r="H3806">
        <v>17352.12</v>
      </c>
      <c r="I3806">
        <v>4953.51</v>
      </c>
      <c r="J3806">
        <v>0</v>
      </c>
    </row>
    <row r="3807" spans="1:10" x14ac:dyDescent="0.35">
      <c r="A3807">
        <v>321063</v>
      </c>
      <c r="B3807" t="s">
        <v>20</v>
      </c>
      <c r="C3807">
        <v>2015</v>
      </c>
      <c r="D3807">
        <v>7</v>
      </c>
      <c r="E3807" t="s">
        <v>7</v>
      </c>
      <c r="F3807" t="s">
        <v>7</v>
      </c>
      <c r="G3807" t="s">
        <v>7</v>
      </c>
      <c r="H3807">
        <v>41531.760000000002</v>
      </c>
      <c r="I3807">
        <v>10932.12</v>
      </c>
      <c r="J3807">
        <v>0</v>
      </c>
    </row>
    <row r="3808" spans="1:10" x14ac:dyDescent="0.35">
      <c r="A3808">
        <v>321066</v>
      </c>
      <c r="B3808" t="s">
        <v>20</v>
      </c>
      <c r="C3808">
        <v>2015</v>
      </c>
      <c r="D3808">
        <v>7</v>
      </c>
      <c r="E3808" t="s">
        <v>7</v>
      </c>
      <c r="F3808" t="s">
        <v>7</v>
      </c>
      <c r="G3808" t="s">
        <v>7</v>
      </c>
      <c r="H3808">
        <v>67314.92</v>
      </c>
      <c r="I3808">
        <v>49101.91</v>
      </c>
      <c r="J3808">
        <v>0</v>
      </c>
    </row>
    <row r="3809" spans="1:10" x14ac:dyDescent="0.35">
      <c r="A3809">
        <v>321068</v>
      </c>
      <c r="B3809" t="s">
        <v>20</v>
      </c>
      <c r="C3809">
        <v>2015</v>
      </c>
      <c r="D3809">
        <v>7</v>
      </c>
      <c r="E3809" t="s">
        <v>7</v>
      </c>
      <c r="F3809" t="s">
        <v>7</v>
      </c>
      <c r="G3809" t="s">
        <v>7</v>
      </c>
      <c r="H3809">
        <v>67117.14</v>
      </c>
      <c r="I3809">
        <v>49052.69</v>
      </c>
      <c r="J3809">
        <v>0</v>
      </c>
    </row>
    <row r="3810" spans="1:10" x14ac:dyDescent="0.35">
      <c r="A3810">
        <v>321075</v>
      </c>
      <c r="B3810" t="s">
        <v>20</v>
      </c>
      <c r="C3810">
        <v>2015</v>
      </c>
      <c r="D3810">
        <v>7</v>
      </c>
      <c r="E3810" t="s">
        <v>7</v>
      </c>
      <c r="F3810" t="s">
        <v>7</v>
      </c>
      <c r="G3810" t="s">
        <v>7</v>
      </c>
      <c r="H3810">
        <v>47563.78</v>
      </c>
      <c r="I3810">
        <v>14854.09</v>
      </c>
      <c r="J3810">
        <v>0</v>
      </c>
    </row>
    <row r="3811" spans="1:10" x14ac:dyDescent="0.35">
      <c r="A3811">
        <v>321077</v>
      </c>
      <c r="B3811" t="s">
        <v>20</v>
      </c>
      <c r="C3811">
        <v>2015</v>
      </c>
      <c r="D3811">
        <v>7</v>
      </c>
      <c r="E3811" t="s">
        <v>7</v>
      </c>
      <c r="F3811" t="s">
        <v>7</v>
      </c>
      <c r="G3811" t="s">
        <v>7</v>
      </c>
      <c r="H3811">
        <v>76191.679999999993</v>
      </c>
      <c r="I3811">
        <v>57781.66</v>
      </c>
      <c r="J3811">
        <v>0</v>
      </c>
    </row>
    <row r="3812" spans="1:10" x14ac:dyDescent="0.35">
      <c r="A3812">
        <v>321085</v>
      </c>
      <c r="B3812" t="s">
        <v>20</v>
      </c>
      <c r="C3812">
        <v>2015</v>
      </c>
      <c r="D3812">
        <v>7</v>
      </c>
      <c r="E3812" t="s">
        <v>7</v>
      </c>
      <c r="F3812" t="s">
        <v>7</v>
      </c>
      <c r="G3812" t="s">
        <v>7</v>
      </c>
      <c r="H3812">
        <v>72512.479999999996</v>
      </c>
      <c r="I3812">
        <v>55429.96</v>
      </c>
      <c r="J3812">
        <v>0</v>
      </c>
    </row>
    <row r="3813" spans="1:10" x14ac:dyDescent="0.35">
      <c r="A3813">
        <v>321095</v>
      </c>
      <c r="B3813" t="s">
        <v>20</v>
      </c>
      <c r="C3813">
        <v>2015</v>
      </c>
      <c r="D3813">
        <v>7</v>
      </c>
      <c r="E3813" t="s">
        <v>7</v>
      </c>
      <c r="F3813" t="s">
        <v>7</v>
      </c>
      <c r="G3813" t="s">
        <v>7</v>
      </c>
      <c r="H3813">
        <v>11742.9</v>
      </c>
      <c r="I3813">
        <v>3009.01</v>
      </c>
      <c r="J3813">
        <v>0</v>
      </c>
    </row>
    <row r="3814" spans="1:10" x14ac:dyDescent="0.35">
      <c r="A3814">
        <v>321099</v>
      </c>
      <c r="B3814" t="s">
        <v>20</v>
      </c>
      <c r="C3814">
        <v>2015</v>
      </c>
      <c r="D3814">
        <v>7</v>
      </c>
      <c r="E3814" t="s">
        <v>7</v>
      </c>
      <c r="F3814" t="s">
        <v>7</v>
      </c>
      <c r="G3814" t="s">
        <v>7</v>
      </c>
      <c r="H3814">
        <v>72906.48</v>
      </c>
      <c r="I3814">
        <v>51288.32</v>
      </c>
      <c r="J3814">
        <v>0</v>
      </c>
    </row>
    <row r="3815" spans="1:10" x14ac:dyDescent="0.35">
      <c r="A3815">
        <v>321103</v>
      </c>
      <c r="B3815" t="s">
        <v>20</v>
      </c>
      <c r="C3815">
        <v>2015</v>
      </c>
      <c r="D3815">
        <v>7</v>
      </c>
      <c r="E3815" t="s">
        <v>7</v>
      </c>
      <c r="F3815" t="s">
        <v>7</v>
      </c>
      <c r="G3815" t="s">
        <v>7</v>
      </c>
      <c r="H3815">
        <v>59528.02</v>
      </c>
      <c r="I3815">
        <v>41971.35</v>
      </c>
      <c r="J3815">
        <v>0</v>
      </c>
    </row>
    <row r="3816" spans="1:10" x14ac:dyDescent="0.35">
      <c r="A3816">
        <v>321108</v>
      </c>
      <c r="B3816" t="s">
        <v>20</v>
      </c>
      <c r="C3816">
        <v>2015</v>
      </c>
      <c r="D3816">
        <v>7</v>
      </c>
      <c r="E3816" t="s">
        <v>7</v>
      </c>
      <c r="F3816" t="s">
        <v>7</v>
      </c>
      <c r="G3816" t="s">
        <v>7</v>
      </c>
      <c r="H3816">
        <v>21474.639999999999</v>
      </c>
      <c r="I3816">
        <v>5072.1400000000003</v>
      </c>
      <c r="J3816">
        <v>0</v>
      </c>
    </row>
    <row r="3817" spans="1:10" x14ac:dyDescent="0.35">
      <c r="A3817">
        <v>321115</v>
      </c>
      <c r="B3817" t="s">
        <v>20</v>
      </c>
      <c r="C3817">
        <v>2015</v>
      </c>
      <c r="D3817">
        <v>7</v>
      </c>
      <c r="E3817" t="s">
        <v>7</v>
      </c>
      <c r="F3817" t="s">
        <v>7</v>
      </c>
      <c r="G3817" t="s">
        <v>7</v>
      </c>
      <c r="H3817">
        <v>23335.279999999999</v>
      </c>
      <c r="I3817">
        <v>6401.9</v>
      </c>
      <c r="J3817">
        <v>0</v>
      </c>
    </row>
    <row r="3818" spans="1:10" x14ac:dyDescent="0.35">
      <c r="A3818">
        <v>321125</v>
      </c>
      <c r="B3818" t="s">
        <v>20</v>
      </c>
      <c r="C3818">
        <v>2015</v>
      </c>
      <c r="D3818">
        <v>7</v>
      </c>
      <c r="E3818" t="s">
        <v>7</v>
      </c>
      <c r="F3818" t="s">
        <v>7</v>
      </c>
      <c r="G3818" t="s">
        <v>7</v>
      </c>
      <c r="H3818">
        <v>44902.720000000001</v>
      </c>
      <c r="I3818">
        <v>22716.1</v>
      </c>
      <c r="J3818">
        <v>0</v>
      </c>
    </row>
    <row r="3819" spans="1:10" x14ac:dyDescent="0.35">
      <c r="A3819">
        <v>321129</v>
      </c>
      <c r="B3819" t="s">
        <v>20</v>
      </c>
      <c r="C3819">
        <v>2015</v>
      </c>
      <c r="D3819">
        <v>7</v>
      </c>
      <c r="E3819" t="s">
        <v>7</v>
      </c>
      <c r="F3819" t="s">
        <v>7</v>
      </c>
      <c r="G3819" t="s">
        <v>7</v>
      </c>
      <c r="H3819">
        <v>93736.46</v>
      </c>
      <c r="I3819">
        <v>64966.62</v>
      </c>
      <c r="J3819">
        <v>0</v>
      </c>
    </row>
    <row r="3820" spans="1:10" x14ac:dyDescent="0.35">
      <c r="A3820">
        <v>321131</v>
      </c>
      <c r="B3820" t="s">
        <v>20</v>
      </c>
      <c r="C3820">
        <v>2015</v>
      </c>
      <c r="D3820">
        <v>7</v>
      </c>
      <c r="E3820" t="s">
        <v>7</v>
      </c>
      <c r="F3820" t="s">
        <v>7</v>
      </c>
      <c r="G3820" t="s">
        <v>7</v>
      </c>
      <c r="H3820">
        <v>22586.68</v>
      </c>
      <c r="I3820">
        <v>7194.29</v>
      </c>
      <c r="J3820">
        <v>0</v>
      </c>
    </row>
    <row r="3821" spans="1:10" x14ac:dyDescent="0.35">
      <c r="A3821">
        <v>321133</v>
      </c>
      <c r="B3821" t="s">
        <v>20</v>
      </c>
      <c r="C3821">
        <v>2015</v>
      </c>
      <c r="D3821">
        <v>7</v>
      </c>
      <c r="E3821" t="s">
        <v>7</v>
      </c>
      <c r="F3821" t="s">
        <v>7</v>
      </c>
      <c r="G3821" t="s">
        <v>7</v>
      </c>
      <c r="H3821">
        <v>57115.35</v>
      </c>
      <c r="I3821">
        <v>31905.279999999999</v>
      </c>
      <c r="J3821">
        <v>0</v>
      </c>
    </row>
    <row r="3822" spans="1:10" x14ac:dyDescent="0.35">
      <c r="A3822">
        <v>321134</v>
      </c>
      <c r="B3822" t="s">
        <v>20</v>
      </c>
      <c r="C3822">
        <v>2015</v>
      </c>
      <c r="D3822">
        <v>7</v>
      </c>
      <c r="E3822" t="s">
        <v>7</v>
      </c>
      <c r="F3822" t="s">
        <v>7</v>
      </c>
      <c r="G3822" t="s">
        <v>7</v>
      </c>
      <c r="H3822">
        <v>71922.539999999994</v>
      </c>
      <c r="I3822">
        <v>48617.56</v>
      </c>
      <c r="J3822">
        <v>0</v>
      </c>
    </row>
    <row r="3823" spans="1:10" x14ac:dyDescent="0.35">
      <c r="A3823">
        <v>321139</v>
      </c>
      <c r="B3823" t="s">
        <v>20</v>
      </c>
      <c r="C3823">
        <v>2015</v>
      </c>
      <c r="D3823">
        <v>7</v>
      </c>
      <c r="E3823" t="s">
        <v>7</v>
      </c>
      <c r="F3823" t="s">
        <v>7</v>
      </c>
      <c r="G3823" t="s">
        <v>7</v>
      </c>
      <c r="H3823">
        <v>29829.3</v>
      </c>
      <c r="I3823">
        <v>6977.57</v>
      </c>
      <c r="J3823">
        <v>0</v>
      </c>
    </row>
    <row r="3824" spans="1:10" x14ac:dyDescent="0.35">
      <c r="A3824">
        <v>321143</v>
      </c>
      <c r="B3824" t="s">
        <v>20</v>
      </c>
      <c r="C3824">
        <v>2015</v>
      </c>
      <c r="D3824">
        <v>7</v>
      </c>
      <c r="E3824" t="s">
        <v>7</v>
      </c>
      <c r="F3824" t="s">
        <v>7</v>
      </c>
      <c r="G3824" t="s">
        <v>7</v>
      </c>
      <c r="H3824">
        <v>65698.94</v>
      </c>
      <c r="I3824">
        <v>46565.95</v>
      </c>
      <c r="J3824">
        <v>0</v>
      </c>
    </row>
    <row r="3825" spans="1:10" x14ac:dyDescent="0.35">
      <c r="A3825">
        <v>321145</v>
      </c>
      <c r="B3825" t="s">
        <v>20</v>
      </c>
      <c r="C3825">
        <v>2015</v>
      </c>
      <c r="D3825">
        <v>7</v>
      </c>
      <c r="E3825" t="s">
        <v>7</v>
      </c>
      <c r="F3825" t="s">
        <v>7</v>
      </c>
      <c r="G3825" t="s">
        <v>7</v>
      </c>
      <c r="H3825">
        <v>74007.039999999994</v>
      </c>
      <c r="I3825">
        <v>57982.67</v>
      </c>
      <c r="J3825">
        <v>0</v>
      </c>
    </row>
    <row r="3826" spans="1:10" x14ac:dyDescent="0.35">
      <c r="A3826">
        <v>321146</v>
      </c>
      <c r="B3826" t="s">
        <v>20</v>
      </c>
      <c r="C3826">
        <v>2015</v>
      </c>
      <c r="D3826">
        <v>7</v>
      </c>
      <c r="E3826" t="s">
        <v>7</v>
      </c>
      <c r="F3826" t="s">
        <v>7</v>
      </c>
      <c r="G3826" t="s">
        <v>7</v>
      </c>
      <c r="H3826">
        <v>55655.86</v>
      </c>
      <c r="I3826">
        <v>16233.11</v>
      </c>
      <c r="J3826">
        <v>0</v>
      </c>
    </row>
    <row r="3827" spans="1:10" x14ac:dyDescent="0.35">
      <c r="A3827">
        <v>321157</v>
      </c>
      <c r="B3827" t="s">
        <v>20</v>
      </c>
      <c r="C3827">
        <v>2015</v>
      </c>
      <c r="D3827">
        <v>7</v>
      </c>
      <c r="E3827" t="s">
        <v>7</v>
      </c>
      <c r="F3827" t="s">
        <v>7</v>
      </c>
      <c r="G3827" t="s">
        <v>7</v>
      </c>
      <c r="H3827">
        <v>28589</v>
      </c>
      <c r="I3827">
        <v>7377.21</v>
      </c>
      <c r="J3827">
        <v>0</v>
      </c>
    </row>
    <row r="3828" spans="1:10" x14ac:dyDescent="0.35">
      <c r="A3828">
        <v>321160</v>
      </c>
      <c r="B3828" t="s">
        <v>20</v>
      </c>
      <c r="C3828">
        <v>2015</v>
      </c>
      <c r="D3828">
        <v>7</v>
      </c>
      <c r="E3828" t="s">
        <v>7</v>
      </c>
      <c r="F3828" t="s">
        <v>7</v>
      </c>
      <c r="G3828" t="s">
        <v>7</v>
      </c>
      <c r="H3828">
        <v>67185.899999999994</v>
      </c>
      <c r="I3828">
        <v>48761.27</v>
      </c>
      <c r="J3828">
        <v>0</v>
      </c>
    </row>
    <row r="3829" spans="1:10" x14ac:dyDescent="0.35">
      <c r="A3829">
        <v>321163</v>
      </c>
      <c r="B3829" t="s">
        <v>20</v>
      </c>
      <c r="C3829">
        <v>2015</v>
      </c>
      <c r="D3829">
        <v>7</v>
      </c>
      <c r="E3829" t="s">
        <v>7</v>
      </c>
      <c r="F3829" t="s">
        <v>7</v>
      </c>
      <c r="G3829" t="s">
        <v>7</v>
      </c>
      <c r="H3829">
        <v>73482.06</v>
      </c>
      <c r="I3829">
        <v>54630.36</v>
      </c>
      <c r="J3829">
        <v>0</v>
      </c>
    </row>
    <row r="3830" spans="1:10" x14ac:dyDescent="0.35">
      <c r="A3830">
        <v>321167</v>
      </c>
      <c r="B3830" t="s">
        <v>20</v>
      </c>
      <c r="C3830">
        <v>2015</v>
      </c>
      <c r="D3830">
        <v>7</v>
      </c>
      <c r="E3830" t="s">
        <v>7</v>
      </c>
      <c r="F3830" t="s">
        <v>7</v>
      </c>
      <c r="G3830" t="s">
        <v>7</v>
      </c>
      <c r="H3830">
        <v>112606.64</v>
      </c>
      <c r="I3830">
        <v>85234.54</v>
      </c>
      <c r="J3830">
        <v>0</v>
      </c>
    </row>
    <row r="3831" spans="1:10" x14ac:dyDescent="0.35">
      <c r="A3831">
        <v>321172</v>
      </c>
      <c r="B3831" t="s">
        <v>20</v>
      </c>
      <c r="C3831">
        <v>2015</v>
      </c>
      <c r="D3831">
        <v>7</v>
      </c>
      <c r="E3831" t="s">
        <v>7</v>
      </c>
      <c r="F3831" t="s">
        <v>7</v>
      </c>
      <c r="G3831" t="s">
        <v>7</v>
      </c>
      <c r="H3831">
        <v>29902.48</v>
      </c>
      <c r="I3831">
        <v>7316.37</v>
      </c>
      <c r="J3831">
        <v>0</v>
      </c>
    </row>
    <row r="3832" spans="1:10" x14ac:dyDescent="0.35">
      <c r="A3832">
        <v>321175</v>
      </c>
      <c r="B3832" t="s">
        <v>20</v>
      </c>
      <c r="C3832">
        <v>2015</v>
      </c>
      <c r="D3832">
        <v>7</v>
      </c>
      <c r="E3832" t="s">
        <v>7</v>
      </c>
      <c r="F3832" t="s">
        <v>7</v>
      </c>
      <c r="G3832" t="s">
        <v>7</v>
      </c>
      <c r="H3832">
        <v>46271.51</v>
      </c>
      <c r="I3832">
        <v>20242.61</v>
      </c>
      <c r="J3832">
        <v>0</v>
      </c>
    </row>
    <row r="3833" spans="1:10" x14ac:dyDescent="0.35">
      <c r="A3833">
        <v>321179</v>
      </c>
      <c r="B3833" t="s">
        <v>20</v>
      </c>
      <c r="C3833">
        <v>2015</v>
      </c>
      <c r="D3833">
        <v>7</v>
      </c>
      <c r="E3833" t="s">
        <v>7</v>
      </c>
      <c r="F3833" t="s">
        <v>7</v>
      </c>
      <c r="G3833" t="s">
        <v>7</v>
      </c>
      <c r="H3833">
        <v>174208.85</v>
      </c>
      <c r="I3833">
        <v>71289.59</v>
      </c>
      <c r="J3833">
        <v>0</v>
      </c>
    </row>
    <row r="3834" spans="1:10" x14ac:dyDescent="0.35">
      <c r="A3834">
        <v>321181</v>
      </c>
      <c r="B3834" t="s">
        <v>20</v>
      </c>
      <c r="C3834">
        <v>2015</v>
      </c>
      <c r="D3834">
        <v>7</v>
      </c>
      <c r="E3834" t="s">
        <v>7</v>
      </c>
      <c r="F3834" t="s">
        <v>7</v>
      </c>
      <c r="G3834" t="s">
        <v>7</v>
      </c>
      <c r="H3834">
        <v>66583.34</v>
      </c>
      <c r="I3834">
        <v>48831.95</v>
      </c>
      <c r="J3834">
        <v>0</v>
      </c>
    </row>
    <row r="3835" spans="1:10" x14ac:dyDescent="0.35">
      <c r="A3835">
        <v>321185</v>
      </c>
      <c r="B3835" t="s">
        <v>20</v>
      </c>
      <c r="C3835">
        <v>2015</v>
      </c>
      <c r="D3835">
        <v>7</v>
      </c>
      <c r="E3835" t="s">
        <v>7</v>
      </c>
      <c r="F3835" t="s">
        <v>7</v>
      </c>
      <c r="G3835" t="s">
        <v>7</v>
      </c>
      <c r="H3835">
        <v>31025.46</v>
      </c>
      <c r="I3835">
        <v>9269.5499999999993</v>
      </c>
      <c r="J3835">
        <v>0</v>
      </c>
    </row>
    <row r="3836" spans="1:10" x14ac:dyDescent="0.35">
      <c r="A3836">
        <v>321191</v>
      </c>
      <c r="B3836" t="s">
        <v>20</v>
      </c>
      <c r="C3836">
        <v>2015</v>
      </c>
      <c r="D3836">
        <v>7</v>
      </c>
      <c r="E3836" t="s">
        <v>7</v>
      </c>
      <c r="F3836" t="s">
        <v>7</v>
      </c>
      <c r="G3836" t="s">
        <v>7</v>
      </c>
      <c r="H3836">
        <v>24699.82</v>
      </c>
      <c r="I3836">
        <v>5020.03</v>
      </c>
      <c r="J3836">
        <v>0</v>
      </c>
    </row>
    <row r="3837" spans="1:10" x14ac:dyDescent="0.35">
      <c r="A3837">
        <v>321197</v>
      </c>
      <c r="B3837" t="s">
        <v>20</v>
      </c>
      <c r="C3837">
        <v>2015</v>
      </c>
      <c r="D3837">
        <v>7</v>
      </c>
      <c r="E3837" t="s">
        <v>7</v>
      </c>
      <c r="F3837" t="s">
        <v>7</v>
      </c>
      <c r="G3837" t="s">
        <v>7</v>
      </c>
      <c r="H3837">
        <v>20384.52</v>
      </c>
      <c r="I3837">
        <v>5085.6899999999996</v>
      </c>
      <c r="J3837">
        <v>0</v>
      </c>
    </row>
    <row r="3838" spans="1:10" x14ac:dyDescent="0.35">
      <c r="A3838">
        <v>321198</v>
      </c>
      <c r="B3838" t="s">
        <v>20</v>
      </c>
      <c r="C3838">
        <v>2015</v>
      </c>
      <c r="D3838">
        <v>7</v>
      </c>
      <c r="E3838" t="s">
        <v>7</v>
      </c>
      <c r="F3838" t="s">
        <v>7</v>
      </c>
      <c r="G3838" t="s">
        <v>7</v>
      </c>
      <c r="H3838">
        <v>80798.539999999994</v>
      </c>
      <c r="I3838">
        <v>58820.22</v>
      </c>
      <c r="J3838">
        <v>0</v>
      </c>
    </row>
    <row r="3839" spans="1:10" x14ac:dyDescent="0.35">
      <c r="A3839">
        <v>321202</v>
      </c>
      <c r="B3839" t="s">
        <v>20</v>
      </c>
      <c r="C3839">
        <v>2015</v>
      </c>
      <c r="D3839">
        <v>7</v>
      </c>
      <c r="E3839" t="s">
        <v>7</v>
      </c>
      <c r="F3839" t="s">
        <v>7</v>
      </c>
      <c r="G3839" t="s">
        <v>7</v>
      </c>
      <c r="H3839">
        <v>48653.52</v>
      </c>
      <c r="I3839">
        <v>15030.23</v>
      </c>
      <c r="J3839">
        <v>0</v>
      </c>
    </row>
    <row r="3840" spans="1:10" x14ac:dyDescent="0.35">
      <c r="A3840">
        <v>321204</v>
      </c>
      <c r="B3840" t="s">
        <v>20</v>
      </c>
      <c r="C3840">
        <v>2015</v>
      </c>
      <c r="D3840">
        <v>7</v>
      </c>
      <c r="E3840" t="s">
        <v>7</v>
      </c>
      <c r="F3840" t="s">
        <v>7</v>
      </c>
      <c r="G3840" t="s">
        <v>7</v>
      </c>
      <c r="H3840">
        <v>60622.44</v>
      </c>
      <c r="I3840">
        <v>42210.39</v>
      </c>
      <c r="J3840">
        <v>0</v>
      </c>
    </row>
    <row r="3841" spans="1:10" x14ac:dyDescent="0.35">
      <c r="A3841">
        <v>321208</v>
      </c>
      <c r="B3841" t="s">
        <v>20</v>
      </c>
      <c r="C3841">
        <v>2015</v>
      </c>
      <c r="D3841">
        <v>7</v>
      </c>
      <c r="E3841" t="s">
        <v>7</v>
      </c>
      <c r="F3841" t="s">
        <v>7</v>
      </c>
      <c r="G3841" t="s">
        <v>7</v>
      </c>
      <c r="H3841">
        <v>43548.480000000003</v>
      </c>
      <c r="I3841">
        <v>12922.92</v>
      </c>
      <c r="J3841">
        <v>0</v>
      </c>
    </row>
    <row r="3842" spans="1:10" x14ac:dyDescent="0.35">
      <c r="A3842">
        <v>321211</v>
      </c>
      <c r="B3842" t="s">
        <v>20</v>
      </c>
      <c r="C3842">
        <v>2015</v>
      </c>
      <c r="D3842">
        <v>7</v>
      </c>
      <c r="E3842" t="s">
        <v>7</v>
      </c>
      <c r="F3842" t="s">
        <v>7</v>
      </c>
      <c r="G3842" t="s">
        <v>7</v>
      </c>
      <c r="H3842">
        <v>23070.62</v>
      </c>
      <c r="I3842">
        <v>10108.24</v>
      </c>
      <c r="J3842">
        <v>0</v>
      </c>
    </row>
    <row r="3843" spans="1:10" x14ac:dyDescent="0.35">
      <c r="A3843">
        <v>321214</v>
      </c>
      <c r="B3843" t="s">
        <v>20</v>
      </c>
      <c r="C3843">
        <v>2015</v>
      </c>
      <c r="D3843">
        <v>7</v>
      </c>
      <c r="E3843" t="s">
        <v>7</v>
      </c>
      <c r="F3843" t="s">
        <v>7</v>
      </c>
      <c r="G3843" t="s">
        <v>7</v>
      </c>
      <c r="H3843">
        <v>76179.28</v>
      </c>
      <c r="I3843">
        <v>58400.41</v>
      </c>
      <c r="J3843">
        <v>0</v>
      </c>
    </row>
    <row r="3844" spans="1:10" x14ac:dyDescent="0.35">
      <c r="A3844">
        <v>321215</v>
      </c>
      <c r="B3844" t="s">
        <v>20</v>
      </c>
      <c r="C3844">
        <v>2015</v>
      </c>
      <c r="D3844">
        <v>7</v>
      </c>
      <c r="E3844" t="s">
        <v>7</v>
      </c>
      <c r="F3844" t="s">
        <v>7</v>
      </c>
      <c r="G3844" t="s">
        <v>7</v>
      </c>
      <c r="H3844">
        <v>29062.7</v>
      </c>
      <c r="I3844">
        <v>8179.42</v>
      </c>
      <c r="J3844">
        <v>0</v>
      </c>
    </row>
    <row r="3845" spans="1:10" x14ac:dyDescent="0.35">
      <c r="A3845">
        <v>321219</v>
      </c>
      <c r="B3845" t="s">
        <v>20</v>
      </c>
      <c r="C3845">
        <v>2015</v>
      </c>
      <c r="D3845">
        <v>7</v>
      </c>
      <c r="E3845" t="s">
        <v>7</v>
      </c>
      <c r="F3845" t="s">
        <v>7</v>
      </c>
      <c r="G3845" t="s">
        <v>7</v>
      </c>
      <c r="H3845">
        <v>58826.58</v>
      </c>
      <c r="I3845">
        <v>41572.31</v>
      </c>
      <c r="J3845">
        <v>0</v>
      </c>
    </row>
    <row r="3846" spans="1:10" x14ac:dyDescent="0.35">
      <c r="A3846">
        <v>321225</v>
      </c>
      <c r="B3846" t="s">
        <v>20</v>
      </c>
      <c r="C3846">
        <v>2015</v>
      </c>
      <c r="D3846">
        <v>7</v>
      </c>
      <c r="E3846" t="s">
        <v>7</v>
      </c>
      <c r="F3846" t="s">
        <v>7</v>
      </c>
      <c r="G3846" t="s">
        <v>7</v>
      </c>
      <c r="H3846">
        <v>41735.74</v>
      </c>
      <c r="I3846">
        <v>33235.03</v>
      </c>
      <c r="J3846">
        <v>0</v>
      </c>
    </row>
    <row r="3847" spans="1:10" x14ac:dyDescent="0.35">
      <c r="A3847">
        <v>321226</v>
      </c>
      <c r="B3847" t="s">
        <v>20</v>
      </c>
      <c r="C3847">
        <v>2015</v>
      </c>
      <c r="D3847">
        <v>7</v>
      </c>
      <c r="E3847" t="s">
        <v>7</v>
      </c>
      <c r="F3847" t="s">
        <v>7</v>
      </c>
      <c r="G3847" t="s">
        <v>7</v>
      </c>
      <c r="H3847">
        <v>196741.78</v>
      </c>
      <c r="I3847">
        <v>172784.4</v>
      </c>
      <c r="J3847">
        <v>0</v>
      </c>
    </row>
    <row r="3848" spans="1:10" x14ac:dyDescent="0.35">
      <c r="A3848">
        <v>321237</v>
      </c>
      <c r="B3848" t="s">
        <v>20</v>
      </c>
      <c r="C3848">
        <v>2015</v>
      </c>
      <c r="D3848">
        <v>7</v>
      </c>
      <c r="E3848" t="s">
        <v>7</v>
      </c>
      <c r="F3848" t="s">
        <v>7</v>
      </c>
      <c r="G3848" t="s">
        <v>7</v>
      </c>
      <c r="H3848">
        <v>109073.09</v>
      </c>
      <c r="I3848">
        <v>90565.02</v>
      </c>
      <c r="J3848">
        <v>0</v>
      </c>
    </row>
    <row r="3849" spans="1:10" x14ac:dyDescent="0.35">
      <c r="A3849">
        <v>321241</v>
      </c>
      <c r="B3849" t="s">
        <v>20</v>
      </c>
      <c r="C3849">
        <v>2015</v>
      </c>
      <c r="D3849">
        <v>7</v>
      </c>
      <c r="E3849" t="s">
        <v>7</v>
      </c>
      <c r="F3849" t="s">
        <v>7</v>
      </c>
      <c r="G3849" t="s">
        <v>7</v>
      </c>
      <c r="H3849">
        <v>43724.12</v>
      </c>
      <c r="I3849">
        <v>11621.57</v>
      </c>
      <c r="J3849">
        <v>0</v>
      </c>
    </row>
    <row r="3850" spans="1:10" x14ac:dyDescent="0.35">
      <c r="A3850">
        <v>321245</v>
      </c>
      <c r="B3850" t="s">
        <v>20</v>
      </c>
      <c r="C3850">
        <v>2015</v>
      </c>
      <c r="D3850">
        <v>7</v>
      </c>
      <c r="E3850" t="s">
        <v>7</v>
      </c>
      <c r="F3850" t="s">
        <v>7</v>
      </c>
      <c r="G3850" t="s">
        <v>7</v>
      </c>
      <c r="H3850">
        <v>142515.1</v>
      </c>
      <c r="I3850">
        <v>87602.38</v>
      </c>
      <c r="J3850">
        <v>0</v>
      </c>
    </row>
    <row r="3851" spans="1:10" x14ac:dyDescent="0.35">
      <c r="A3851">
        <v>321247</v>
      </c>
      <c r="B3851" t="s">
        <v>20</v>
      </c>
      <c r="C3851">
        <v>2015</v>
      </c>
      <c r="D3851">
        <v>7</v>
      </c>
      <c r="E3851" t="s">
        <v>7</v>
      </c>
      <c r="F3851" t="s">
        <v>7</v>
      </c>
      <c r="G3851" t="s">
        <v>7</v>
      </c>
      <c r="H3851">
        <v>62744.82</v>
      </c>
      <c r="I3851">
        <v>44546.79</v>
      </c>
      <c r="J3851">
        <v>0</v>
      </c>
    </row>
    <row r="3852" spans="1:10" x14ac:dyDescent="0.35">
      <c r="A3852">
        <v>321248</v>
      </c>
      <c r="B3852" t="s">
        <v>20</v>
      </c>
      <c r="C3852">
        <v>2015</v>
      </c>
      <c r="D3852">
        <v>7</v>
      </c>
      <c r="E3852" t="s">
        <v>7</v>
      </c>
      <c r="F3852" t="s">
        <v>7</v>
      </c>
      <c r="G3852" t="s">
        <v>7</v>
      </c>
      <c r="H3852">
        <v>74976.240000000005</v>
      </c>
      <c r="I3852">
        <v>58269.39</v>
      </c>
      <c r="J3852">
        <v>0</v>
      </c>
    </row>
    <row r="3853" spans="1:10" x14ac:dyDescent="0.35">
      <c r="A3853">
        <v>321254</v>
      </c>
      <c r="B3853" t="s">
        <v>20</v>
      </c>
      <c r="C3853">
        <v>2015</v>
      </c>
      <c r="D3853">
        <v>7</v>
      </c>
      <c r="E3853" t="s">
        <v>7</v>
      </c>
      <c r="F3853" t="s">
        <v>7</v>
      </c>
      <c r="G3853" t="s">
        <v>7</v>
      </c>
      <c r="H3853">
        <v>205259.77</v>
      </c>
      <c r="I3853">
        <v>107432.29</v>
      </c>
      <c r="J3853">
        <v>0</v>
      </c>
    </row>
    <row r="3854" spans="1:10" x14ac:dyDescent="0.35">
      <c r="A3854">
        <v>321259</v>
      </c>
      <c r="B3854" t="s">
        <v>20</v>
      </c>
      <c r="C3854">
        <v>2015</v>
      </c>
      <c r="D3854">
        <v>7</v>
      </c>
      <c r="E3854" t="s">
        <v>7</v>
      </c>
      <c r="F3854" t="s">
        <v>7</v>
      </c>
      <c r="G3854" t="s">
        <v>7</v>
      </c>
      <c r="H3854">
        <v>13866.68</v>
      </c>
      <c r="I3854">
        <v>3584.53</v>
      </c>
      <c r="J3854">
        <v>0</v>
      </c>
    </row>
    <row r="3855" spans="1:10" x14ac:dyDescent="0.35">
      <c r="A3855">
        <v>321260</v>
      </c>
      <c r="B3855" t="s">
        <v>20</v>
      </c>
      <c r="C3855">
        <v>2015</v>
      </c>
      <c r="D3855">
        <v>7</v>
      </c>
      <c r="E3855" t="s">
        <v>7</v>
      </c>
      <c r="F3855" t="s">
        <v>7</v>
      </c>
      <c r="G3855" t="s">
        <v>7</v>
      </c>
      <c r="H3855">
        <v>59604.959999999999</v>
      </c>
      <c r="I3855">
        <v>45510.27</v>
      </c>
      <c r="J3855">
        <v>0</v>
      </c>
    </row>
    <row r="3856" spans="1:10" x14ac:dyDescent="0.35">
      <c r="A3856">
        <v>321264</v>
      </c>
      <c r="B3856" t="s">
        <v>20</v>
      </c>
      <c r="C3856">
        <v>2015</v>
      </c>
      <c r="D3856">
        <v>7</v>
      </c>
      <c r="E3856" t="s">
        <v>7</v>
      </c>
      <c r="F3856" t="s">
        <v>7</v>
      </c>
      <c r="G3856" t="s">
        <v>7</v>
      </c>
      <c r="H3856">
        <v>79660.42</v>
      </c>
      <c r="I3856">
        <v>57683.4</v>
      </c>
      <c r="J3856">
        <v>0</v>
      </c>
    </row>
    <row r="3857" spans="1:10" x14ac:dyDescent="0.35">
      <c r="A3857">
        <v>321265</v>
      </c>
      <c r="B3857" t="s">
        <v>20</v>
      </c>
      <c r="C3857">
        <v>2015</v>
      </c>
      <c r="D3857">
        <v>7</v>
      </c>
      <c r="E3857" t="s">
        <v>7</v>
      </c>
      <c r="F3857" t="s">
        <v>7</v>
      </c>
      <c r="G3857" t="s">
        <v>7</v>
      </c>
      <c r="H3857">
        <v>9388.4</v>
      </c>
      <c r="I3857">
        <v>2344.48</v>
      </c>
      <c r="J3857">
        <v>0</v>
      </c>
    </row>
    <row r="3858" spans="1:10" x14ac:dyDescent="0.35">
      <c r="A3858">
        <v>321270</v>
      </c>
      <c r="B3858" t="s">
        <v>20</v>
      </c>
      <c r="C3858">
        <v>2015</v>
      </c>
      <c r="D3858">
        <v>7</v>
      </c>
      <c r="E3858" t="s">
        <v>7</v>
      </c>
      <c r="F3858" t="s">
        <v>7</v>
      </c>
      <c r="G3858" t="s">
        <v>7</v>
      </c>
      <c r="H3858">
        <v>73418.7</v>
      </c>
      <c r="I3858">
        <v>55578.37</v>
      </c>
      <c r="J3858">
        <v>0</v>
      </c>
    </row>
    <row r="3859" spans="1:10" x14ac:dyDescent="0.35">
      <c r="A3859">
        <v>321272</v>
      </c>
      <c r="B3859" t="s">
        <v>20</v>
      </c>
      <c r="C3859">
        <v>2015</v>
      </c>
      <c r="D3859">
        <v>7</v>
      </c>
      <c r="E3859" t="s">
        <v>7</v>
      </c>
      <c r="F3859" t="s">
        <v>7</v>
      </c>
      <c r="G3859" t="s">
        <v>7</v>
      </c>
      <c r="H3859">
        <v>70325.16</v>
      </c>
      <c r="I3859">
        <v>56794.879999999997</v>
      </c>
      <c r="J3859">
        <v>0</v>
      </c>
    </row>
    <row r="3860" spans="1:10" x14ac:dyDescent="0.35">
      <c r="A3860">
        <v>321277</v>
      </c>
      <c r="B3860" t="s">
        <v>20</v>
      </c>
      <c r="C3860">
        <v>2015</v>
      </c>
      <c r="D3860">
        <v>7</v>
      </c>
      <c r="E3860" t="s">
        <v>7</v>
      </c>
      <c r="F3860" t="s">
        <v>7</v>
      </c>
      <c r="G3860" t="s">
        <v>7</v>
      </c>
      <c r="H3860">
        <v>108739.86</v>
      </c>
      <c r="I3860">
        <v>69023.460000000006</v>
      </c>
      <c r="J3860">
        <v>0</v>
      </c>
    </row>
    <row r="3861" spans="1:10" x14ac:dyDescent="0.35">
      <c r="A3861">
        <v>321279</v>
      </c>
      <c r="B3861" t="s">
        <v>20</v>
      </c>
      <c r="C3861">
        <v>2015</v>
      </c>
      <c r="D3861">
        <v>7</v>
      </c>
      <c r="E3861" t="s">
        <v>7</v>
      </c>
      <c r="F3861" t="s">
        <v>7</v>
      </c>
      <c r="G3861" t="s">
        <v>7</v>
      </c>
      <c r="H3861">
        <v>71311.320000000007</v>
      </c>
      <c r="I3861">
        <v>54878.05</v>
      </c>
      <c r="J3861">
        <v>0</v>
      </c>
    </row>
    <row r="3862" spans="1:10" x14ac:dyDescent="0.35">
      <c r="A3862">
        <v>321282</v>
      </c>
      <c r="B3862" t="s">
        <v>20</v>
      </c>
      <c r="C3862">
        <v>2015</v>
      </c>
      <c r="D3862">
        <v>7</v>
      </c>
      <c r="E3862" t="s">
        <v>7</v>
      </c>
      <c r="F3862" t="s">
        <v>7</v>
      </c>
      <c r="G3862" t="s">
        <v>7</v>
      </c>
      <c r="H3862">
        <v>58368.68</v>
      </c>
      <c r="I3862">
        <v>44708.14</v>
      </c>
      <c r="J3862">
        <v>0</v>
      </c>
    </row>
    <row r="3863" spans="1:10" x14ac:dyDescent="0.35">
      <c r="A3863">
        <v>321283</v>
      </c>
      <c r="B3863" t="s">
        <v>20</v>
      </c>
      <c r="C3863">
        <v>2015</v>
      </c>
      <c r="D3863">
        <v>7</v>
      </c>
      <c r="E3863" t="s">
        <v>7</v>
      </c>
      <c r="F3863" t="s">
        <v>7</v>
      </c>
      <c r="G3863" t="s">
        <v>7</v>
      </c>
      <c r="H3863">
        <v>66612.740000000005</v>
      </c>
      <c r="I3863">
        <v>24945.59</v>
      </c>
      <c r="J3863">
        <v>0</v>
      </c>
    </row>
    <row r="3864" spans="1:10" x14ac:dyDescent="0.35">
      <c r="A3864">
        <v>321284</v>
      </c>
      <c r="B3864" t="s">
        <v>20</v>
      </c>
      <c r="C3864">
        <v>2015</v>
      </c>
      <c r="D3864">
        <v>7</v>
      </c>
      <c r="E3864" t="s">
        <v>7</v>
      </c>
      <c r="F3864" t="s">
        <v>7</v>
      </c>
      <c r="G3864" t="s">
        <v>7</v>
      </c>
      <c r="H3864">
        <v>66569.960000000006</v>
      </c>
      <c r="I3864">
        <v>48925.919999999998</v>
      </c>
      <c r="J3864">
        <v>0</v>
      </c>
    </row>
    <row r="3865" spans="1:10" x14ac:dyDescent="0.35">
      <c r="A3865">
        <v>321285</v>
      </c>
      <c r="B3865" t="s">
        <v>20</v>
      </c>
      <c r="C3865">
        <v>2015</v>
      </c>
      <c r="D3865">
        <v>7</v>
      </c>
      <c r="E3865" t="s">
        <v>7</v>
      </c>
      <c r="F3865" t="s">
        <v>7</v>
      </c>
      <c r="G3865" t="s">
        <v>7</v>
      </c>
      <c r="H3865">
        <v>75365.820000000007</v>
      </c>
      <c r="I3865">
        <v>57721.48</v>
      </c>
      <c r="J3865">
        <v>0</v>
      </c>
    </row>
    <row r="3866" spans="1:10" x14ac:dyDescent="0.35">
      <c r="A3866">
        <v>321287</v>
      </c>
      <c r="B3866" t="s">
        <v>20</v>
      </c>
      <c r="C3866">
        <v>2015</v>
      </c>
      <c r="D3866">
        <v>7</v>
      </c>
      <c r="E3866" t="s">
        <v>7</v>
      </c>
      <c r="F3866" t="s">
        <v>7</v>
      </c>
      <c r="G3866" t="s">
        <v>7</v>
      </c>
      <c r="H3866">
        <v>72709.56</v>
      </c>
      <c r="I3866">
        <v>55163.92</v>
      </c>
      <c r="J3866">
        <v>0</v>
      </c>
    </row>
    <row r="3867" spans="1:10" x14ac:dyDescent="0.35">
      <c r="A3867">
        <v>321290</v>
      </c>
      <c r="B3867" t="s">
        <v>20</v>
      </c>
      <c r="C3867">
        <v>2015</v>
      </c>
      <c r="D3867">
        <v>7</v>
      </c>
      <c r="E3867" t="s">
        <v>7</v>
      </c>
      <c r="F3867" t="s">
        <v>7</v>
      </c>
      <c r="G3867" t="s">
        <v>7</v>
      </c>
      <c r="H3867">
        <v>66961.279999999999</v>
      </c>
      <c r="I3867">
        <v>49029.14</v>
      </c>
      <c r="J3867">
        <v>0</v>
      </c>
    </row>
    <row r="3868" spans="1:10" x14ac:dyDescent="0.35">
      <c r="A3868">
        <v>321293</v>
      </c>
      <c r="B3868" t="s">
        <v>20</v>
      </c>
      <c r="C3868">
        <v>2015</v>
      </c>
      <c r="D3868">
        <v>7</v>
      </c>
      <c r="E3868" t="s">
        <v>7</v>
      </c>
      <c r="F3868" t="s">
        <v>7</v>
      </c>
      <c r="G3868" t="s">
        <v>7</v>
      </c>
      <c r="H3868">
        <v>60627.3</v>
      </c>
      <c r="I3868">
        <v>41713.800000000003</v>
      </c>
      <c r="J3868">
        <v>0</v>
      </c>
    </row>
    <row r="3869" spans="1:10" x14ac:dyDescent="0.35">
      <c r="A3869">
        <v>321295</v>
      </c>
      <c r="B3869" t="s">
        <v>20</v>
      </c>
      <c r="C3869">
        <v>2015</v>
      </c>
      <c r="D3869">
        <v>7</v>
      </c>
      <c r="E3869" t="s">
        <v>7</v>
      </c>
      <c r="F3869" t="s">
        <v>7</v>
      </c>
      <c r="G3869" t="s">
        <v>7</v>
      </c>
      <c r="H3869">
        <v>51247.62</v>
      </c>
      <c r="I3869">
        <v>19238.310000000001</v>
      </c>
      <c r="J3869">
        <v>0</v>
      </c>
    </row>
    <row r="3870" spans="1:10" x14ac:dyDescent="0.35">
      <c r="A3870">
        <v>321296</v>
      </c>
      <c r="B3870" t="s">
        <v>20</v>
      </c>
      <c r="C3870">
        <v>2015</v>
      </c>
      <c r="D3870">
        <v>7</v>
      </c>
      <c r="E3870" t="s">
        <v>7</v>
      </c>
      <c r="F3870" t="s">
        <v>7</v>
      </c>
      <c r="G3870" t="s">
        <v>7</v>
      </c>
      <c r="H3870">
        <v>70530.16</v>
      </c>
      <c r="I3870">
        <v>46750.23</v>
      </c>
      <c r="J3870">
        <v>0</v>
      </c>
    </row>
    <row r="3871" spans="1:10" x14ac:dyDescent="0.35">
      <c r="A3871">
        <v>321298</v>
      </c>
      <c r="B3871" t="s">
        <v>20</v>
      </c>
      <c r="C3871">
        <v>2015</v>
      </c>
      <c r="D3871">
        <v>7</v>
      </c>
      <c r="E3871" t="s">
        <v>7</v>
      </c>
      <c r="F3871" t="s">
        <v>7</v>
      </c>
      <c r="G3871" t="s">
        <v>7</v>
      </c>
      <c r="H3871">
        <v>65184.08</v>
      </c>
      <c r="I3871">
        <v>46763.48</v>
      </c>
      <c r="J3871">
        <v>0</v>
      </c>
    </row>
    <row r="3872" spans="1:10" x14ac:dyDescent="0.35">
      <c r="A3872">
        <v>321300</v>
      </c>
      <c r="B3872" t="s">
        <v>20</v>
      </c>
      <c r="C3872">
        <v>2015</v>
      </c>
      <c r="D3872">
        <v>7</v>
      </c>
      <c r="E3872" t="s">
        <v>7</v>
      </c>
      <c r="F3872" t="s">
        <v>7</v>
      </c>
      <c r="G3872" t="s">
        <v>7</v>
      </c>
      <c r="H3872">
        <v>72386</v>
      </c>
      <c r="I3872">
        <v>55313.59</v>
      </c>
      <c r="J3872">
        <v>0</v>
      </c>
    </row>
    <row r="3873" spans="1:10" x14ac:dyDescent="0.35">
      <c r="A3873">
        <v>321303</v>
      </c>
      <c r="B3873" t="s">
        <v>20</v>
      </c>
      <c r="C3873">
        <v>2015</v>
      </c>
      <c r="D3873">
        <v>7</v>
      </c>
      <c r="E3873" t="s">
        <v>7</v>
      </c>
      <c r="F3873" t="s">
        <v>7</v>
      </c>
      <c r="G3873" t="s">
        <v>7</v>
      </c>
      <c r="H3873">
        <v>24636.48</v>
      </c>
      <c r="I3873">
        <v>5101.47</v>
      </c>
      <c r="J3873">
        <v>0</v>
      </c>
    </row>
    <row r="3874" spans="1:10" x14ac:dyDescent="0.35">
      <c r="A3874">
        <v>321306</v>
      </c>
      <c r="B3874" t="s">
        <v>20</v>
      </c>
      <c r="C3874">
        <v>2015</v>
      </c>
      <c r="D3874">
        <v>7</v>
      </c>
      <c r="E3874" t="s">
        <v>7</v>
      </c>
      <c r="F3874" t="s">
        <v>7</v>
      </c>
      <c r="G3874" t="s">
        <v>7</v>
      </c>
      <c r="H3874">
        <v>60731.24</v>
      </c>
      <c r="I3874">
        <v>42257.47</v>
      </c>
      <c r="J3874">
        <v>0</v>
      </c>
    </row>
    <row r="3875" spans="1:10" x14ac:dyDescent="0.35">
      <c r="A3875">
        <v>321314</v>
      </c>
      <c r="B3875" t="s">
        <v>20</v>
      </c>
      <c r="C3875">
        <v>2015</v>
      </c>
      <c r="D3875">
        <v>7</v>
      </c>
      <c r="E3875" t="s">
        <v>7</v>
      </c>
      <c r="F3875" t="s">
        <v>7</v>
      </c>
      <c r="G3875" t="s">
        <v>7</v>
      </c>
      <c r="H3875">
        <v>47723.78</v>
      </c>
      <c r="I3875">
        <v>14132.9</v>
      </c>
      <c r="J3875">
        <v>0</v>
      </c>
    </row>
    <row r="3876" spans="1:10" x14ac:dyDescent="0.35">
      <c r="A3876">
        <v>321323</v>
      </c>
      <c r="B3876" t="s">
        <v>20</v>
      </c>
      <c r="C3876">
        <v>2015</v>
      </c>
      <c r="D3876">
        <v>7</v>
      </c>
      <c r="E3876" t="s">
        <v>7</v>
      </c>
      <c r="F3876" t="s">
        <v>7</v>
      </c>
      <c r="G3876" t="s">
        <v>7</v>
      </c>
      <c r="H3876">
        <v>70911.600000000006</v>
      </c>
      <c r="I3876">
        <v>50133.54</v>
      </c>
      <c r="J3876">
        <v>0</v>
      </c>
    </row>
    <row r="3877" spans="1:10" x14ac:dyDescent="0.35">
      <c r="A3877">
        <v>321325</v>
      </c>
      <c r="B3877" t="s">
        <v>20</v>
      </c>
      <c r="C3877">
        <v>2015</v>
      </c>
      <c r="D3877">
        <v>7</v>
      </c>
      <c r="E3877" t="s">
        <v>7</v>
      </c>
      <c r="F3877" t="s">
        <v>7</v>
      </c>
      <c r="G3877" t="s">
        <v>7</v>
      </c>
      <c r="H3877">
        <v>43865.64</v>
      </c>
      <c r="I3877">
        <v>8873.86</v>
      </c>
      <c r="J3877">
        <v>0</v>
      </c>
    </row>
    <row r="3878" spans="1:10" x14ac:dyDescent="0.35">
      <c r="A3878">
        <v>321327</v>
      </c>
      <c r="B3878" t="s">
        <v>20</v>
      </c>
      <c r="C3878">
        <v>2015</v>
      </c>
      <c r="D3878">
        <v>7</v>
      </c>
      <c r="E3878" t="s">
        <v>7</v>
      </c>
      <c r="F3878" t="s">
        <v>7</v>
      </c>
      <c r="G3878" t="s">
        <v>7</v>
      </c>
      <c r="H3878">
        <v>68103.78</v>
      </c>
      <c r="I3878">
        <v>49417.83</v>
      </c>
      <c r="J3878">
        <v>0</v>
      </c>
    </row>
    <row r="3879" spans="1:10" x14ac:dyDescent="0.35">
      <c r="A3879">
        <v>321328</v>
      </c>
      <c r="B3879" t="s">
        <v>20</v>
      </c>
      <c r="C3879">
        <v>2015</v>
      </c>
      <c r="D3879">
        <v>7</v>
      </c>
      <c r="E3879" t="s">
        <v>7</v>
      </c>
      <c r="F3879" t="s">
        <v>7</v>
      </c>
      <c r="G3879" t="s">
        <v>7</v>
      </c>
      <c r="H3879">
        <v>78672.14</v>
      </c>
      <c r="I3879">
        <v>58227.54</v>
      </c>
      <c r="J3879">
        <v>0</v>
      </c>
    </row>
    <row r="3880" spans="1:10" x14ac:dyDescent="0.35">
      <c r="A3880">
        <v>321332</v>
      </c>
      <c r="B3880" t="s">
        <v>20</v>
      </c>
      <c r="C3880">
        <v>2015</v>
      </c>
      <c r="D3880">
        <v>7</v>
      </c>
      <c r="E3880" t="s">
        <v>7</v>
      </c>
      <c r="F3880" t="s">
        <v>7</v>
      </c>
      <c r="G3880" t="s">
        <v>7</v>
      </c>
      <c r="H3880">
        <v>132181.71</v>
      </c>
      <c r="I3880">
        <v>121785.12</v>
      </c>
      <c r="J3880">
        <v>0</v>
      </c>
    </row>
    <row r="3881" spans="1:10" x14ac:dyDescent="0.35">
      <c r="A3881">
        <v>321334</v>
      </c>
      <c r="B3881" t="s">
        <v>20</v>
      </c>
      <c r="C3881">
        <v>2015</v>
      </c>
      <c r="D3881">
        <v>7</v>
      </c>
      <c r="E3881" t="s">
        <v>7</v>
      </c>
      <c r="F3881" t="s">
        <v>7</v>
      </c>
      <c r="G3881" t="s">
        <v>7</v>
      </c>
      <c r="H3881">
        <v>63775.040000000001</v>
      </c>
      <c r="I3881">
        <v>48028.62</v>
      </c>
      <c r="J3881">
        <v>0</v>
      </c>
    </row>
    <row r="3882" spans="1:10" x14ac:dyDescent="0.35">
      <c r="A3882">
        <v>321335</v>
      </c>
      <c r="B3882" t="s">
        <v>20</v>
      </c>
      <c r="C3882">
        <v>2015</v>
      </c>
      <c r="D3882">
        <v>7</v>
      </c>
      <c r="E3882" t="s">
        <v>7</v>
      </c>
      <c r="F3882" t="s">
        <v>7</v>
      </c>
      <c r="G3882" t="s">
        <v>7</v>
      </c>
      <c r="H3882">
        <v>31983.96</v>
      </c>
      <c r="I3882">
        <v>9592.07</v>
      </c>
      <c r="J3882">
        <v>0</v>
      </c>
    </row>
    <row r="3883" spans="1:10" x14ac:dyDescent="0.35">
      <c r="A3883">
        <v>321341</v>
      </c>
      <c r="B3883" t="s">
        <v>20</v>
      </c>
      <c r="C3883">
        <v>2015</v>
      </c>
      <c r="D3883">
        <v>7</v>
      </c>
      <c r="E3883" t="s">
        <v>7</v>
      </c>
      <c r="F3883" t="s">
        <v>7</v>
      </c>
      <c r="G3883" t="s">
        <v>7</v>
      </c>
      <c r="H3883">
        <v>67985.460000000006</v>
      </c>
      <c r="I3883">
        <v>49254.11</v>
      </c>
      <c r="J3883">
        <v>0</v>
      </c>
    </row>
    <row r="3884" spans="1:10" x14ac:dyDescent="0.35">
      <c r="A3884">
        <v>321343</v>
      </c>
      <c r="B3884" t="s">
        <v>20</v>
      </c>
      <c r="C3884">
        <v>2015</v>
      </c>
      <c r="D3884">
        <v>7</v>
      </c>
      <c r="E3884" t="s">
        <v>7</v>
      </c>
      <c r="F3884" t="s">
        <v>7</v>
      </c>
      <c r="G3884" t="s">
        <v>7</v>
      </c>
      <c r="H3884">
        <v>71442.259999999995</v>
      </c>
      <c r="I3884">
        <v>28686.240000000002</v>
      </c>
      <c r="J3884">
        <v>0</v>
      </c>
    </row>
    <row r="3885" spans="1:10" x14ac:dyDescent="0.35">
      <c r="A3885">
        <v>321345</v>
      </c>
      <c r="B3885" t="s">
        <v>20</v>
      </c>
      <c r="C3885">
        <v>2015</v>
      </c>
      <c r="D3885">
        <v>7</v>
      </c>
      <c r="E3885" t="s">
        <v>7</v>
      </c>
      <c r="F3885" t="s">
        <v>7</v>
      </c>
      <c r="G3885" t="s">
        <v>7</v>
      </c>
      <c r="H3885">
        <v>75998.64</v>
      </c>
      <c r="I3885">
        <v>54366.26</v>
      </c>
      <c r="J3885">
        <v>0</v>
      </c>
    </row>
    <row r="3886" spans="1:10" x14ac:dyDescent="0.35">
      <c r="A3886">
        <v>321346</v>
      </c>
      <c r="B3886" t="s">
        <v>20</v>
      </c>
      <c r="C3886">
        <v>2015</v>
      </c>
      <c r="D3886">
        <v>7</v>
      </c>
      <c r="E3886" t="s">
        <v>7</v>
      </c>
      <c r="F3886" t="s">
        <v>7</v>
      </c>
      <c r="G3886" t="s">
        <v>7</v>
      </c>
      <c r="H3886">
        <v>65973.259999999995</v>
      </c>
      <c r="I3886">
        <v>48206.5</v>
      </c>
      <c r="J3886">
        <v>0</v>
      </c>
    </row>
    <row r="3887" spans="1:10" x14ac:dyDescent="0.35">
      <c r="A3887">
        <v>321351</v>
      </c>
      <c r="B3887" t="s">
        <v>20</v>
      </c>
      <c r="C3887">
        <v>2015</v>
      </c>
      <c r="D3887">
        <v>7</v>
      </c>
      <c r="E3887" t="s">
        <v>7</v>
      </c>
      <c r="F3887" t="s">
        <v>7</v>
      </c>
      <c r="G3887" t="s">
        <v>7</v>
      </c>
      <c r="H3887">
        <v>78047.199999999997</v>
      </c>
      <c r="I3887">
        <v>24313.4</v>
      </c>
      <c r="J3887">
        <v>0</v>
      </c>
    </row>
    <row r="3888" spans="1:10" x14ac:dyDescent="0.35">
      <c r="A3888">
        <v>321354</v>
      </c>
      <c r="B3888" t="s">
        <v>20</v>
      </c>
      <c r="C3888">
        <v>2015</v>
      </c>
      <c r="D3888">
        <v>7</v>
      </c>
      <c r="E3888" t="s">
        <v>7</v>
      </c>
      <c r="F3888" t="s">
        <v>7</v>
      </c>
      <c r="G3888" t="s">
        <v>7</v>
      </c>
      <c r="H3888">
        <v>4760.82</v>
      </c>
      <c r="I3888">
        <v>1623.83</v>
      </c>
      <c r="J3888">
        <v>0</v>
      </c>
    </row>
    <row r="3889" spans="1:10" x14ac:dyDescent="0.35">
      <c r="A3889">
        <v>321358</v>
      </c>
      <c r="B3889" t="s">
        <v>20</v>
      </c>
      <c r="C3889">
        <v>2015</v>
      </c>
      <c r="D3889">
        <v>7</v>
      </c>
      <c r="E3889" t="s">
        <v>7</v>
      </c>
      <c r="F3889" t="s">
        <v>7</v>
      </c>
      <c r="G3889" t="s">
        <v>7</v>
      </c>
      <c r="H3889">
        <v>17157.439999999999</v>
      </c>
      <c r="I3889">
        <v>4869.58</v>
      </c>
      <c r="J3889">
        <v>0</v>
      </c>
    </row>
    <row r="3890" spans="1:10" x14ac:dyDescent="0.35">
      <c r="A3890">
        <v>321359</v>
      </c>
      <c r="B3890" t="s">
        <v>20</v>
      </c>
      <c r="C3890">
        <v>2015</v>
      </c>
      <c r="D3890">
        <v>7</v>
      </c>
      <c r="E3890" t="s">
        <v>7</v>
      </c>
      <c r="F3890" t="s">
        <v>7</v>
      </c>
      <c r="G3890" t="s">
        <v>7</v>
      </c>
      <c r="H3890">
        <v>65474.34</v>
      </c>
      <c r="I3890">
        <v>48647.9</v>
      </c>
      <c r="J3890">
        <v>0</v>
      </c>
    </row>
    <row r="3891" spans="1:10" x14ac:dyDescent="0.35">
      <c r="A3891">
        <v>321365</v>
      </c>
      <c r="B3891" t="s">
        <v>20</v>
      </c>
      <c r="C3891">
        <v>2015</v>
      </c>
      <c r="D3891">
        <v>7</v>
      </c>
      <c r="E3891" t="s">
        <v>7</v>
      </c>
      <c r="F3891" t="s">
        <v>7</v>
      </c>
      <c r="G3891" t="s">
        <v>7</v>
      </c>
      <c r="H3891">
        <v>25192.560000000001</v>
      </c>
      <c r="I3891">
        <v>6132.49</v>
      </c>
      <c r="J3891">
        <v>0</v>
      </c>
    </row>
    <row r="3892" spans="1:10" x14ac:dyDescent="0.35">
      <c r="A3892">
        <v>321366</v>
      </c>
      <c r="B3892" t="s">
        <v>20</v>
      </c>
      <c r="C3892">
        <v>2015</v>
      </c>
      <c r="D3892">
        <v>7</v>
      </c>
      <c r="E3892" t="s">
        <v>7</v>
      </c>
      <c r="F3892" t="s">
        <v>7</v>
      </c>
      <c r="G3892" t="s">
        <v>7</v>
      </c>
      <c r="H3892">
        <v>73535.81</v>
      </c>
      <c r="I3892">
        <v>53434.44</v>
      </c>
      <c r="J3892">
        <v>0</v>
      </c>
    </row>
    <row r="3893" spans="1:10" x14ac:dyDescent="0.35">
      <c r="A3893">
        <v>321373</v>
      </c>
      <c r="B3893" t="s">
        <v>20</v>
      </c>
      <c r="C3893">
        <v>2015</v>
      </c>
      <c r="D3893">
        <v>7</v>
      </c>
      <c r="E3893" t="s">
        <v>7</v>
      </c>
      <c r="F3893" t="s">
        <v>7</v>
      </c>
      <c r="G3893" t="s">
        <v>7</v>
      </c>
      <c r="H3893">
        <v>74078.38</v>
      </c>
      <c r="I3893">
        <v>55738.03</v>
      </c>
      <c r="J3893">
        <v>0</v>
      </c>
    </row>
    <row r="3894" spans="1:10" x14ac:dyDescent="0.35">
      <c r="A3894">
        <v>321376</v>
      </c>
      <c r="B3894" t="s">
        <v>20</v>
      </c>
      <c r="C3894">
        <v>2015</v>
      </c>
      <c r="D3894">
        <v>7</v>
      </c>
      <c r="E3894" t="s">
        <v>7</v>
      </c>
      <c r="F3894" t="s">
        <v>7</v>
      </c>
      <c r="G3894" t="s">
        <v>7</v>
      </c>
      <c r="H3894">
        <v>100627.34</v>
      </c>
      <c r="I3894">
        <v>43587.62</v>
      </c>
      <c r="J3894">
        <v>0</v>
      </c>
    </row>
    <row r="3895" spans="1:10" x14ac:dyDescent="0.35">
      <c r="A3895">
        <v>321383</v>
      </c>
      <c r="B3895" t="s">
        <v>20</v>
      </c>
      <c r="C3895">
        <v>2015</v>
      </c>
      <c r="D3895">
        <v>7</v>
      </c>
      <c r="E3895" t="s">
        <v>7</v>
      </c>
      <c r="F3895" t="s">
        <v>7</v>
      </c>
      <c r="G3895" t="s">
        <v>7</v>
      </c>
      <c r="H3895">
        <v>68875.58</v>
      </c>
      <c r="I3895">
        <v>49392.91</v>
      </c>
      <c r="J3895">
        <v>0</v>
      </c>
    </row>
    <row r="3896" spans="1:10" x14ac:dyDescent="0.35">
      <c r="A3896">
        <v>321387</v>
      </c>
      <c r="B3896" t="s">
        <v>20</v>
      </c>
      <c r="C3896">
        <v>2015</v>
      </c>
      <c r="D3896">
        <v>7</v>
      </c>
      <c r="E3896" t="s">
        <v>7</v>
      </c>
      <c r="F3896" t="s">
        <v>7</v>
      </c>
      <c r="G3896" t="s">
        <v>7</v>
      </c>
      <c r="H3896">
        <v>11873.14</v>
      </c>
      <c r="I3896">
        <v>2655.29</v>
      </c>
      <c r="J3896">
        <v>0</v>
      </c>
    </row>
    <row r="3897" spans="1:10" x14ac:dyDescent="0.35">
      <c r="A3897">
        <v>321392</v>
      </c>
      <c r="B3897" t="s">
        <v>20</v>
      </c>
      <c r="C3897">
        <v>2015</v>
      </c>
      <c r="D3897">
        <v>7</v>
      </c>
      <c r="E3897" t="s">
        <v>7</v>
      </c>
      <c r="F3897" t="s">
        <v>7</v>
      </c>
      <c r="G3897" t="s">
        <v>7</v>
      </c>
      <c r="H3897">
        <v>57403.9</v>
      </c>
      <c r="I3897">
        <v>24685.3</v>
      </c>
      <c r="J3897">
        <v>0</v>
      </c>
    </row>
    <row r="3898" spans="1:10" x14ac:dyDescent="0.35">
      <c r="A3898">
        <v>321394</v>
      </c>
      <c r="B3898" t="s">
        <v>20</v>
      </c>
      <c r="C3898">
        <v>2015</v>
      </c>
      <c r="D3898">
        <v>7</v>
      </c>
      <c r="E3898" t="s">
        <v>7</v>
      </c>
      <c r="F3898" t="s">
        <v>7</v>
      </c>
      <c r="G3898" t="s">
        <v>7</v>
      </c>
      <c r="H3898">
        <v>15113.64</v>
      </c>
      <c r="I3898">
        <v>3481.76</v>
      </c>
      <c r="J3898">
        <v>0</v>
      </c>
    </row>
    <row r="3899" spans="1:10" x14ac:dyDescent="0.35">
      <c r="A3899">
        <v>321396</v>
      </c>
      <c r="B3899" t="s">
        <v>20</v>
      </c>
      <c r="C3899">
        <v>2015</v>
      </c>
      <c r="D3899">
        <v>7</v>
      </c>
      <c r="E3899" t="s">
        <v>7</v>
      </c>
      <c r="F3899" t="s">
        <v>7</v>
      </c>
      <c r="G3899" t="s">
        <v>7</v>
      </c>
      <c r="H3899">
        <v>80007.460000000006</v>
      </c>
      <c r="I3899">
        <v>62481.09</v>
      </c>
      <c r="J3899">
        <v>0</v>
      </c>
    </row>
    <row r="3900" spans="1:10" x14ac:dyDescent="0.35">
      <c r="A3900">
        <v>321403</v>
      </c>
      <c r="B3900" t="s">
        <v>20</v>
      </c>
      <c r="C3900">
        <v>2015</v>
      </c>
      <c r="D3900">
        <v>7</v>
      </c>
      <c r="E3900" t="s">
        <v>7</v>
      </c>
      <c r="F3900" t="s">
        <v>7</v>
      </c>
      <c r="G3900" t="s">
        <v>7</v>
      </c>
      <c r="H3900">
        <v>58914.46</v>
      </c>
      <c r="I3900">
        <v>23364.400000000001</v>
      </c>
      <c r="J3900">
        <v>0</v>
      </c>
    </row>
    <row r="3901" spans="1:10" x14ac:dyDescent="0.35">
      <c r="A3901">
        <v>321405</v>
      </c>
      <c r="B3901" t="s">
        <v>20</v>
      </c>
      <c r="C3901">
        <v>2015</v>
      </c>
      <c r="D3901">
        <v>7</v>
      </c>
      <c r="E3901" t="s">
        <v>7</v>
      </c>
      <c r="F3901" t="s">
        <v>7</v>
      </c>
      <c r="G3901" t="s">
        <v>7</v>
      </c>
      <c r="H3901">
        <v>66837.98</v>
      </c>
      <c r="I3901">
        <v>47291.08</v>
      </c>
      <c r="J3901">
        <v>0</v>
      </c>
    </row>
    <row r="3902" spans="1:10" x14ac:dyDescent="0.35">
      <c r="A3902">
        <v>321410</v>
      </c>
      <c r="B3902" t="s">
        <v>20</v>
      </c>
      <c r="C3902">
        <v>2015</v>
      </c>
      <c r="D3902">
        <v>7</v>
      </c>
      <c r="E3902" t="s">
        <v>7</v>
      </c>
      <c r="F3902" t="s">
        <v>7</v>
      </c>
      <c r="G3902" t="s">
        <v>7</v>
      </c>
      <c r="H3902">
        <v>29245.279999999999</v>
      </c>
      <c r="I3902">
        <v>8909.08</v>
      </c>
      <c r="J3902">
        <v>0</v>
      </c>
    </row>
    <row r="3903" spans="1:10" x14ac:dyDescent="0.35">
      <c r="A3903">
        <v>321411</v>
      </c>
      <c r="B3903" t="s">
        <v>20</v>
      </c>
      <c r="C3903">
        <v>2015</v>
      </c>
      <c r="D3903">
        <v>7</v>
      </c>
      <c r="E3903" t="s">
        <v>7</v>
      </c>
      <c r="F3903" t="s">
        <v>7</v>
      </c>
      <c r="G3903" t="s">
        <v>7</v>
      </c>
      <c r="H3903">
        <v>48812.62</v>
      </c>
      <c r="I3903">
        <v>12958.35</v>
      </c>
      <c r="J3903">
        <v>0</v>
      </c>
    </row>
    <row r="3904" spans="1:10" x14ac:dyDescent="0.35">
      <c r="A3904">
        <v>321412</v>
      </c>
      <c r="B3904" t="s">
        <v>20</v>
      </c>
      <c r="C3904">
        <v>2015</v>
      </c>
      <c r="D3904">
        <v>7</v>
      </c>
      <c r="E3904" t="s">
        <v>7</v>
      </c>
      <c r="F3904" t="s">
        <v>7</v>
      </c>
      <c r="G3904" t="s">
        <v>7</v>
      </c>
      <c r="H3904">
        <v>81622.44</v>
      </c>
      <c r="I3904">
        <v>62978.69</v>
      </c>
      <c r="J3904">
        <v>0</v>
      </c>
    </row>
    <row r="3905" spans="1:10" x14ac:dyDescent="0.35">
      <c r="A3905">
        <v>321413</v>
      </c>
      <c r="B3905" t="s">
        <v>20</v>
      </c>
      <c r="C3905">
        <v>2015</v>
      </c>
      <c r="D3905">
        <v>7</v>
      </c>
      <c r="E3905" t="s">
        <v>7</v>
      </c>
      <c r="F3905" t="s">
        <v>7</v>
      </c>
      <c r="G3905" t="s">
        <v>7</v>
      </c>
      <c r="H3905">
        <v>39992.18</v>
      </c>
      <c r="I3905">
        <v>24216.67</v>
      </c>
      <c r="J3905">
        <v>0</v>
      </c>
    </row>
    <row r="3906" spans="1:10" x14ac:dyDescent="0.35">
      <c r="A3906">
        <v>321420</v>
      </c>
      <c r="B3906" t="s">
        <v>20</v>
      </c>
      <c r="C3906">
        <v>2015</v>
      </c>
      <c r="D3906">
        <v>7</v>
      </c>
      <c r="E3906" t="s">
        <v>7</v>
      </c>
      <c r="F3906" t="s">
        <v>7</v>
      </c>
      <c r="G3906" t="s">
        <v>7</v>
      </c>
      <c r="H3906">
        <v>23530.46</v>
      </c>
      <c r="I3906">
        <v>6927.16</v>
      </c>
      <c r="J3906">
        <v>0</v>
      </c>
    </row>
    <row r="3907" spans="1:10" x14ac:dyDescent="0.35">
      <c r="A3907">
        <v>321422</v>
      </c>
      <c r="B3907" t="s">
        <v>20</v>
      </c>
      <c r="C3907">
        <v>2015</v>
      </c>
      <c r="D3907">
        <v>7</v>
      </c>
      <c r="E3907" t="s">
        <v>7</v>
      </c>
      <c r="F3907" t="s">
        <v>7</v>
      </c>
      <c r="G3907" t="s">
        <v>7</v>
      </c>
      <c r="H3907">
        <v>65844.5</v>
      </c>
      <c r="I3907">
        <v>46542.559999999998</v>
      </c>
      <c r="J3907">
        <v>0</v>
      </c>
    </row>
    <row r="3908" spans="1:10" x14ac:dyDescent="0.35">
      <c r="A3908">
        <v>321426</v>
      </c>
      <c r="B3908" t="s">
        <v>20</v>
      </c>
      <c r="C3908">
        <v>2015</v>
      </c>
      <c r="D3908">
        <v>7</v>
      </c>
      <c r="E3908" t="s">
        <v>7</v>
      </c>
      <c r="F3908" t="s">
        <v>7</v>
      </c>
      <c r="G3908" t="s">
        <v>7</v>
      </c>
      <c r="H3908">
        <v>78043.240000000005</v>
      </c>
      <c r="I3908">
        <v>59087.12</v>
      </c>
      <c r="J3908">
        <v>0</v>
      </c>
    </row>
    <row r="3909" spans="1:10" x14ac:dyDescent="0.35">
      <c r="A3909">
        <v>321427</v>
      </c>
      <c r="B3909" t="s">
        <v>20</v>
      </c>
      <c r="C3909">
        <v>2015</v>
      </c>
      <c r="D3909">
        <v>7</v>
      </c>
      <c r="E3909" t="s">
        <v>7</v>
      </c>
      <c r="F3909" t="s">
        <v>7</v>
      </c>
      <c r="G3909" t="s">
        <v>7</v>
      </c>
      <c r="H3909">
        <v>61372.94</v>
      </c>
      <c r="I3909">
        <v>47199.79</v>
      </c>
      <c r="J3909">
        <v>0</v>
      </c>
    </row>
    <row r="3910" spans="1:10" x14ac:dyDescent="0.35">
      <c r="A3910">
        <v>321428</v>
      </c>
      <c r="B3910" t="s">
        <v>20</v>
      </c>
      <c r="C3910">
        <v>2015</v>
      </c>
      <c r="D3910">
        <v>7</v>
      </c>
      <c r="E3910" t="s">
        <v>7</v>
      </c>
      <c r="F3910" t="s">
        <v>7</v>
      </c>
      <c r="G3910" t="s">
        <v>7</v>
      </c>
      <c r="H3910">
        <v>22635.18</v>
      </c>
      <c r="I3910">
        <v>6213.4</v>
      </c>
      <c r="J3910">
        <v>0</v>
      </c>
    </row>
    <row r="3911" spans="1:10" x14ac:dyDescent="0.35">
      <c r="A3911">
        <v>321432</v>
      </c>
      <c r="B3911" t="s">
        <v>20</v>
      </c>
      <c r="C3911">
        <v>2015</v>
      </c>
      <c r="D3911">
        <v>7</v>
      </c>
      <c r="E3911" t="s">
        <v>7</v>
      </c>
      <c r="F3911" t="s">
        <v>7</v>
      </c>
      <c r="G3911" t="s">
        <v>7</v>
      </c>
      <c r="H3911">
        <v>67935.64</v>
      </c>
      <c r="I3911">
        <v>49230.31</v>
      </c>
      <c r="J3911">
        <v>0</v>
      </c>
    </row>
    <row r="3912" spans="1:10" x14ac:dyDescent="0.35">
      <c r="A3912">
        <v>321436</v>
      </c>
      <c r="B3912" t="s">
        <v>20</v>
      </c>
      <c r="C3912">
        <v>2015</v>
      </c>
      <c r="D3912">
        <v>7</v>
      </c>
      <c r="E3912" t="s">
        <v>7</v>
      </c>
      <c r="F3912" t="s">
        <v>7</v>
      </c>
      <c r="G3912" t="s">
        <v>7</v>
      </c>
      <c r="H3912">
        <v>10759.34</v>
      </c>
      <c r="I3912">
        <v>2768.14</v>
      </c>
      <c r="J3912">
        <v>0</v>
      </c>
    </row>
    <row r="3913" spans="1:10" x14ac:dyDescent="0.35">
      <c r="A3913">
        <v>321438</v>
      </c>
      <c r="B3913" t="s">
        <v>20</v>
      </c>
      <c r="C3913">
        <v>2015</v>
      </c>
      <c r="D3913">
        <v>7</v>
      </c>
      <c r="E3913" t="s">
        <v>7</v>
      </c>
      <c r="F3913" t="s">
        <v>7</v>
      </c>
      <c r="G3913" t="s">
        <v>7</v>
      </c>
      <c r="H3913">
        <v>65274.76</v>
      </c>
      <c r="I3913">
        <v>48517.17</v>
      </c>
      <c r="J3913">
        <v>0</v>
      </c>
    </row>
    <row r="3914" spans="1:10" x14ac:dyDescent="0.35">
      <c r="A3914">
        <v>321441</v>
      </c>
      <c r="B3914" t="s">
        <v>20</v>
      </c>
      <c r="C3914">
        <v>2015</v>
      </c>
      <c r="D3914">
        <v>7</v>
      </c>
      <c r="E3914" t="s">
        <v>7</v>
      </c>
      <c r="F3914" t="s">
        <v>7</v>
      </c>
      <c r="G3914" t="s">
        <v>7</v>
      </c>
      <c r="H3914">
        <v>90356.9</v>
      </c>
      <c r="I3914">
        <v>62049.03</v>
      </c>
      <c r="J3914">
        <v>0</v>
      </c>
    </row>
    <row r="3915" spans="1:10" x14ac:dyDescent="0.35">
      <c r="A3915">
        <v>321442</v>
      </c>
      <c r="B3915" t="s">
        <v>20</v>
      </c>
      <c r="C3915">
        <v>2015</v>
      </c>
      <c r="D3915">
        <v>7</v>
      </c>
      <c r="E3915" t="s">
        <v>7</v>
      </c>
      <c r="F3915" t="s">
        <v>7</v>
      </c>
      <c r="G3915" t="s">
        <v>7</v>
      </c>
      <c r="H3915">
        <v>81711.039999999994</v>
      </c>
      <c r="I3915">
        <v>27446.94</v>
      </c>
      <c r="J3915">
        <v>0</v>
      </c>
    </row>
    <row r="3916" spans="1:10" x14ac:dyDescent="0.35">
      <c r="A3916">
        <v>321449</v>
      </c>
      <c r="B3916" t="s">
        <v>20</v>
      </c>
      <c r="C3916">
        <v>2015</v>
      </c>
      <c r="D3916">
        <v>7</v>
      </c>
      <c r="E3916" t="s">
        <v>7</v>
      </c>
      <c r="F3916" t="s">
        <v>7</v>
      </c>
      <c r="G3916" t="s">
        <v>7</v>
      </c>
      <c r="H3916">
        <v>10667.6</v>
      </c>
      <c r="I3916">
        <v>2735.22</v>
      </c>
      <c r="J3916">
        <v>0</v>
      </c>
    </row>
    <row r="3917" spans="1:10" x14ac:dyDescent="0.35">
      <c r="A3917">
        <v>321452</v>
      </c>
      <c r="B3917" t="s">
        <v>20</v>
      </c>
      <c r="C3917">
        <v>2015</v>
      </c>
      <c r="D3917">
        <v>7</v>
      </c>
      <c r="E3917" t="s">
        <v>7</v>
      </c>
      <c r="F3917" t="s">
        <v>7</v>
      </c>
      <c r="G3917" t="s">
        <v>7</v>
      </c>
      <c r="H3917">
        <v>70152.100000000006</v>
      </c>
      <c r="I3917">
        <v>55710.01</v>
      </c>
      <c r="J3917">
        <v>0</v>
      </c>
    </row>
    <row r="3918" spans="1:10" x14ac:dyDescent="0.35">
      <c r="A3918">
        <v>321455</v>
      </c>
      <c r="B3918" t="s">
        <v>20</v>
      </c>
      <c r="C3918">
        <v>2015</v>
      </c>
      <c r="D3918">
        <v>7</v>
      </c>
      <c r="E3918" t="s">
        <v>7</v>
      </c>
      <c r="F3918" t="s">
        <v>7</v>
      </c>
      <c r="G3918" t="s">
        <v>7</v>
      </c>
      <c r="H3918">
        <v>61237.8</v>
      </c>
      <c r="I3918">
        <v>42852.13</v>
      </c>
      <c r="J3918">
        <v>0</v>
      </c>
    </row>
    <row r="3919" spans="1:10" x14ac:dyDescent="0.35">
      <c r="A3919">
        <v>321458</v>
      </c>
      <c r="B3919" t="s">
        <v>20</v>
      </c>
      <c r="C3919">
        <v>2015</v>
      </c>
      <c r="D3919">
        <v>7</v>
      </c>
      <c r="E3919" t="s">
        <v>7</v>
      </c>
      <c r="F3919" t="s">
        <v>7</v>
      </c>
      <c r="G3919" t="s">
        <v>7</v>
      </c>
      <c r="H3919">
        <v>14581.42</v>
      </c>
      <c r="I3919">
        <v>2677.07</v>
      </c>
      <c r="J3919">
        <v>0</v>
      </c>
    </row>
    <row r="3920" spans="1:10" x14ac:dyDescent="0.35">
      <c r="A3920">
        <v>321459</v>
      </c>
      <c r="B3920" t="s">
        <v>20</v>
      </c>
      <c r="C3920">
        <v>2015</v>
      </c>
      <c r="D3920">
        <v>7</v>
      </c>
      <c r="E3920" t="s">
        <v>7</v>
      </c>
      <c r="F3920" t="s">
        <v>7</v>
      </c>
      <c r="G3920" t="s">
        <v>7</v>
      </c>
      <c r="H3920">
        <v>6933</v>
      </c>
      <c r="I3920">
        <v>1864.1</v>
      </c>
      <c r="J3920">
        <v>0</v>
      </c>
    </row>
    <row r="3921" spans="1:10" x14ac:dyDescent="0.35">
      <c r="A3921">
        <v>321465</v>
      </c>
      <c r="B3921" t="s">
        <v>20</v>
      </c>
      <c r="C3921">
        <v>2015</v>
      </c>
      <c r="D3921">
        <v>7</v>
      </c>
      <c r="E3921" t="s">
        <v>7</v>
      </c>
      <c r="F3921" t="s">
        <v>7</v>
      </c>
      <c r="G3921" t="s">
        <v>7</v>
      </c>
      <c r="H3921">
        <v>69366.740000000005</v>
      </c>
      <c r="I3921">
        <v>52162.83</v>
      </c>
      <c r="J3921">
        <v>0</v>
      </c>
    </row>
    <row r="3922" spans="1:10" x14ac:dyDescent="0.35">
      <c r="A3922">
        <v>321466</v>
      </c>
      <c r="B3922" t="s">
        <v>20</v>
      </c>
      <c r="C3922">
        <v>2015</v>
      </c>
      <c r="D3922">
        <v>7</v>
      </c>
      <c r="E3922" t="s">
        <v>7</v>
      </c>
      <c r="F3922" t="s">
        <v>7</v>
      </c>
      <c r="G3922" t="s">
        <v>7</v>
      </c>
      <c r="H3922">
        <v>28211.46</v>
      </c>
      <c r="I3922">
        <v>11803.52</v>
      </c>
      <c r="J3922">
        <v>0</v>
      </c>
    </row>
    <row r="3923" spans="1:10" x14ac:dyDescent="0.35">
      <c r="A3923">
        <v>321473</v>
      </c>
      <c r="B3923" t="s">
        <v>20</v>
      </c>
      <c r="C3923">
        <v>2015</v>
      </c>
      <c r="D3923">
        <v>7</v>
      </c>
      <c r="E3923" t="s">
        <v>7</v>
      </c>
      <c r="F3923" t="s">
        <v>7</v>
      </c>
      <c r="G3923" t="s">
        <v>7</v>
      </c>
      <c r="H3923">
        <v>39479.599999999999</v>
      </c>
      <c r="I3923">
        <v>10342.82</v>
      </c>
      <c r="J3923">
        <v>0</v>
      </c>
    </row>
    <row r="3924" spans="1:10" x14ac:dyDescent="0.35">
      <c r="A3924">
        <v>321474</v>
      </c>
      <c r="B3924" t="s">
        <v>20</v>
      </c>
      <c r="C3924">
        <v>2015</v>
      </c>
      <c r="D3924">
        <v>7</v>
      </c>
      <c r="E3924" t="s">
        <v>7</v>
      </c>
      <c r="F3924" t="s">
        <v>7</v>
      </c>
      <c r="G3924" t="s">
        <v>7</v>
      </c>
      <c r="H3924">
        <v>49262.16</v>
      </c>
      <c r="I3924">
        <v>13426.34</v>
      </c>
      <c r="J3924">
        <v>0</v>
      </c>
    </row>
    <row r="3925" spans="1:10" x14ac:dyDescent="0.35">
      <c r="A3925">
        <v>321475</v>
      </c>
      <c r="B3925" t="s">
        <v>20</v>
      </c>
      <c r="C3925">
        <v>2015</v>
      </c>
      <c r="D3925">
        <v>7</v>
      </c>
      <c r="E3925" t="s">
        <v>7</v>
      </c>
      <c r="F3925" t="s">
        <v>7</v>
      </c>
      <c r="G3925" t="s">
        <v>7</v>
      </c>
      <c r="H3925">
        <v>78611.039999999994</v>
      </c>
      <c r="I3925">
        <v>60131.1</v>
      </c>
      <c r="J3925">
        <v>0</v>
      </c>
    </row>
    <row r="3926" spans="1:10" x14ac:dyDescent="0.35">
      <c r="A3926">
        <v>321478</v>
      </c>
      <c r="B3926" t="s">
        <v>20</v>
      </c>
      <c r="C3926">
        <v>2015</v>
      </c>
      <c r="D3926">
        <v>7</v>
      </c>
      <c r="E3926" t="s">
        <v>7</v>
      </c>
      <c r="F3926" t="s">
        <v>7</v>
      </c>
      <c r="G3926" t="s">
        <v>7</v>
      </c>
      <c r="H3926">
        <v>95454.46</v>
      </c>
      <c r="I3926">
        <v>36514.21</v>
      </c>
      <c r="J3926">
        <v>0</v>
      </c>
    </row>
    <row r="3927" spans="1:10" x14ac:dyDescent="0.35">
      <c r="A3927">
        <v>321480</v>
      </c>
      <c r="B3927" t="s">
        <v>20</v>
      </c>
      <c r="C3927">
        <v>2015</v>
      </c>
      <c r="D3927">
        <v>7</v>
      </c>
      <c r="E3927" t="s">
        <v>7</v>
      </c>
      <c r="F3927" t="s">
        <v>7</v>
      </c>
      <c r="G3927" t="s">
        <v>7</v>
      </c>
      <c r="H3927">
        <v>29320.54</v>
      </c>
      <c r="I3927">
        <v>8830.49</v>
      </c>
      <c r="J3927">
        <v>0</v>
      </c>
    </row>
    <row r="3928" spans="1:10" x14ac:dyDescent="0.35">
      <c r="A3928">
        <v>321483</v>
      </c>
      <c r="B3928" t="s">
        <v>20</v>
      </c>
      <c r="C3928">
        <v>2015</v>
      </c>
      <c r="D3928">
        <v>7</v>
      </c>
      <c r="E3928" t="s">
        <v>7</v>
      </c>
      <c r="F3928" t="s">
        <v>7</v>
      </c>
      <c r="G3928" t="s">
        <v>7</v>
      </c>
      <c r="H3928">
        <v>26499.64</v>
      </c>
      <c r="I3928">
        <v>6648.53</v>
      </c>
      <c r="J3928">
        <v>0</v>
      </c>
    </row>
    <row r="3929" spans="1:10" x14ac:dyDescent="0.35">
      <c r="A3929">
        <v>321485</v>
      </c>
      <c r="B3929" t="s">
        <v>20</v>
      </c>
      <c r="C3929">
        <v>2015</v>
      </c>
      <c r="D3929">
        <v>7</v>
      </c>
      <c r="E3929" t="s">
        <v>7</v>
      </c>
      <c r="F3929" t="s">
        <v>7</v>
      </c>
      <c r="G3929" t="s">
        <v>7</v>
      </c>
      <c r="H3929">
        <v>41530.28</v>
      </c>
      <c r="I3929">
        <v>19672.43</v>
      </c>
      <c r="J3929">
        <v>0</v>
      </c>
    </row>
    <row r="3930" spans="1:10" x14ac:dyDescent="0.35">
      <c r="A3930">
        <v>321487</v>
      </c>
      <c r="B3930" t="s">
        <v>20</v>
      </c>
      <c r="C3930">
        <v>2015</v>
      </c>
      <c r="D3930">
        <v>7</v>
      </c>
      <c r="E3930" t="s">
        <v>7</v>
      </c>
      <c r="F3930" t="s">
        <v>7</v>
      </c>
      <c r="G3930" t="s">
        <v>7</v>
      </c>
      <c r="H3930">
        <v>84124.28</v>
      </c>
      <c r="I3930">
        <v>46931.95</v>
      </c>
      <c r="J3930">
        <v>0</v>
      </c>
    </row>
    <row r="3931" spans="1:10" x14ac:dyDescent="0.35">
      <c r="A3931">
        <v>321489</v>
      </c>
      <c r="B3931" t="s">
        <v>20</v>
      </c>
      <c r="C3931">
        <v>2015</v>
      </c>
      <c r="D3931">
        <v>7</v>
      </c>
      <c r="E3931" t="s">
        <v>7</v>
      </c>
      <c r="F3931" t="s">
        <v>7</v>
      </c>
      <c r="G3931" t="s">
        <v>7</v>
      </c>
      <c r="H3931">
        <v>33501.58</v>
      </c>
      <c r="I3931">
        <v>10447.99</v>
      </c>
      <c r="J3931">
        <v>0</v>
      </c>
    </row>
    <row r="3932" spans="1:10" x14ac:dyDescent="0.35">
      <c r="A3932">
        <v>321492</v>
      </c>
      <c r="B3932" t="s">
        <v>20</v>
      </c>
      <c r="C3932">
        <v>2015</v>
      </c>
      <c r="D3932">
        <v>7</v>
      </c>
      <c r="E3932" t="s">
        <v>7</v>
      </c>
      <c r="F3932" t="s">
        <v>7</v>
      </c>
      <c r="G3932" t="s">
        <v>7</v>
      </c>
      <c r="H3932">
        <v>32725.06</v>
      </c>
      <c r="I3932">
        <v>10085.700000000001</v>
      </c>
      <c r="J3932">
        <v>0</v>
      </c>
    </row>
    <row r="3933" spans="1:10" x14ac:dyDescent="0.35">
      <c r="A3933">
        <v>321493</v>
      </c>
      <c r="B3933" t="s">
        <v>20</v>
      </c>
      <c r="C3933">
        <v>2015</v>
      </c>
      <c r="D3933">
        <v>7</v>
      </c>
      <c r="E3933" t="s">
        <v>7</v>
      </c>
      <c r="F3933" t="s">
        <v>7</v>
      </c>
      <c r="G3933" t="s">
        <v>7</v>
      </c>
      <c r="H3933">
        <v>38166.620000000003</v>
      </c>
      <c r="I3933">
        <v>10017.790000000001</v>
      </c>
      <c r="J3933">
        <v>0</v>
      </c>
    </row>
    <row r="3934" spans="1:10" x14ac:dyDescent="0.35">
      <c r="A3934">
        <v>321499</v>
      </c>
      <c r="B3934" t="s">
        <v>20</v>
      </c>
      <c r="C3934">
        <v>2015</v>
      </c>
      <c r="D3934">
        <v>7</v>
      </c>
      <c r="E3934" t="s">
        <v>7</v>
      </c>
      <c r="F3934" t="s">
        <v>7</v>
      </c>
      <c r="G3934" t="s">
        <v>7</v>
      </c>
      <c r="H3934">
        <v>139255.4</v>
      </c>
      <c r="I3934">
        <v>65159.01</v>
      </c>
      <c r="J3934">
        <v>0</v>
      </c>
    </row>
    <row r="3935" spans="1:10" x14ac:dyDescent="0.35">
      <c r="A3935">
        <v>321500</v>
      </c>
      <c r="B3935" t="s">
        <v>20</v>
      </c>
      <c r="C3935">
        <v>2015</v>
      </c>
      <c r="D3935">
        <v>7</v>
      </c>
      <c r="E3935" t="s">
        <v>7</v>
      </c>
      <c r="F3935" t="s">
        <v>7</v>
      </c>
      <c r="G3935" t="s">
        <v>7</v>
      </c>
      <c r="H3935">
        <v>42237.04</v>
      </c>
      <c r="I3935">
        <v>13218.6</v>
      </c>
      <c r="J3935">
        <v>0</v>
      </c>
    </row>
    <row r="3936" spans="1:10" x14ac:dyDescent="0.35">
      <c r="A3936">
        <v>321501</v>
      </c>
      <c r="B3936" t="s">
        <v>20</v>
      </c>
      <c r="C3936">
        <v>2015</v>
      </c>
      <c r="D3936">
        <v>7</v>
      </c>
      <c r="E3936" t="s">
        <v>7</v>
      </c>
      <c r="F3936" t="s">
        <v>7</v>
      </c>
      <c r="G3936" t="s">
        <v>7</v>
      </c>
      <c r="H3936">
        <v>77586</v>
      </c>
      <c r="I3936">
        <v>59082.79</v>
      </c>
      <c r="J3936">
        <v>0</v>
      </c>
    </row>
    <row r="3937" spans="1:10" x14ac:dyDescent="0.35">
      <c r="A3937">
        <v>321502</v>
      </c>
      <c r="B3937" t="s">
        <v>20</v>
      </c>
      <c r="C3937">
        <v>2015</v>
      </c>
      <c r="D3937">
        <v>7</v>
      </c>
      <c r="E3937" t="s">
        <v>7</v>
      </c>
      <c r="F3937" t="s">
        <v>7</v>
      </c>
      <c r="G3937" t="s">
        <v>7</v>
      </c>
      <c r="H3937">
        <v>36881.82</v>
      </c>
      <c r="I3937">
        <v>11524.45</v>
      </c>
      <c r="J3937">
        <v>0</v>
      </c>
    </row>
    <row r="3938" spans="1:10" x14ac:dyDescent="0.35">
      <c r="A3938">
        <v>321503</v>
      </c>
      <c r="B3938" t="s">
        <v>20</v>
      </c>
      <c r="C3938">
        <v>2015</v>
      </c>
      <c r="D3938">
        <v>7</v>
      </c>
      <c r="E3938" t="s">
        <v>7</v>
      </c>
      <c r="F3938" t="s">
        <v>7</v>
      </c>
      <c r="G3938" t="s">
        <v>7</v>
      </c>
      <c r="H3938">
        <v>72167.14</v>
      </c>
      <c r="I3938">
        <v>55127.59</v>
      </c>
      <c r="J3938">
        <v>0</v>
      </c>
    </row>
    <row r="3939" spans="1:10" x14ac:dyDescent="0.35">
      <c r="A3939">
        <v>321506</v>
      </c>
      <c r="B3939" t="s">
        <v>20</v>
      </c>
      <c r="C3939">
        <v>2015</v>
      </c>
      <c r="D3939">
        <v>7</v>
      </c>
      <c r="E3939" t="s">
        <v>7</v>
      </c>
      <c r="F3939" t="s">
        <v>7</v>
      </c>
      <c r="G3939" t="s">
        <v>7</v>
      </c>
      <c r="H3939">
        <v>31956.1</v>
      </c>
      <c r="I3939">
        <v>9051.48</v>
      </c>
      <c r="J3939">
        <v>0</v>
      </c>
    </row>
    <row r="3940" spans="1:10" x14ac:dyDescent="0.35">
      <c r="A3940">
        <v>321508</v>
      </c>
      <c r="B3940" t="s">
        <v>20</v>
      </c>
      <c r="C3940">
        <v>2015</v>
      </c>
      <c r="D3940">
        <v>7</v>
      </c>
      <c r="E3940" t="s">
        <v>7</v>
      </c>
      <c r="F3940" t="s">
        <v>7</v>
      </c>
      <c r="G3940" t="s">
        <v>7</v>
      </c>
      <c r="H3940">
        <v>29439.88</v>
      </c>
      <c r="I3940">
        <v>7017.06</v>
      </c>
      <c r="J3940">
        <v>0</v>
      </c>
    </row>
    <row r="3941" spans="1:10" x14ac:dyDescent="0.35">
      <c r="A3941">
        <v>321509</v>
      </c>
      <c r="B3941" t="s">
        <v>20</v>
      </c>
      <c r="C3941">
        <v>2015</v>
      </c>
      <c r="D3941">
        <v>7</v>
      </c>
      <c r="E3941" t="s">
        <v>7</v>
      </c>
      <c r="F3941" t="s">
        <v>7</v>
      </c>
      <c r="G3941" t="s">
        <v>7</v>
      </c>
      <c r="H3941">
        <v>16357.62</v>
      </c>
      <c r="I3941">
        <v>3721.04</v>
      </c>
      <c r="J3941">
        <v>0</v>
      </c>
    </row>
    <row r="3942" spans="1:10" x14ac:dyDescent="0.35">
      <c r="A3942">
        <v>321512</v>
      </c>
      <c r="B3942" t="s">
        <v>20</v>
      </c>
      <c r="C3942">
        <v>2015</v>
      </c>
      <c r="D3942">
        <v>7</v>
      </c>
      <c r="E3942" t="s">
        <v>7</v>
      </c>
      <c r="F3942" t="s">
        <v>7</v>
      </c>
      <c r="G3942" t="s">
        <v>7</v>
      </c>
      <c r="H3942">
        <v>32679.9</v>
      </c>
      <c r="I3942">
        <v>14935.31</v>
      </c>
      <c r="J3942">
        <v>0</v>
      </c>
    </row>
    <row r="3943" spans="1:10" x14ac:dyDescent="0.35">
      <c r="A3943">
        <v>321516</v>
      </c>
      <c r="B3943" t="s">
        <v>20</v>
      </c>
      <c r="C3943">
        <v>2015</v>
      </c>
      <c r="D3943">
        <v>7</v>
      </c>
      <c r="E3943" t="s">
        <v>7</v>
      </c>
      <c r="F3943" t="s">
        <v>7</v>
      </c>
      <c r="G3943" t="s">
        <v>7</v>
      </c>
      <c r="H3943">
        <v>119259.76</v>
      </c>
      <c r="I3943">
        <v>75689.89</v>
      </c>
      <c r="J3943">
        <v>0</v>
      </c>
    </row>
    <row r="3944" spans="1:10" x14ac:dyDescent="0.35">
      <c r="A3944">
        <v>321521</v>
      </c>
      <c r="B3944" t="s">
        <v>20</v>
      </c>
      <c r="C3944">
        <v>2015</v>
      </c>
      <c r="D3944">
        <v>7</v>
      </c>
      <c r="E3944" t="s">
        <v>7</v>
      </c>
      <c r="F3944" t="s">
        <v>7</v>
      </c>
      <c r="G3944" t="s">
        <v>7</v>
      </c>
      <c r="H3944">
        <v>68606.42</v>
      </c>
      <c r="I3944">
        <v>51969.95</v>
      </c>
      <c r="J3944">
        <v>0</v>
      </c>
    </row>
    <row r="3945" spans="1:10" x14ac:dyDescent="0.35">
      <c r="A3945">
        <v>321523</v>
      </c>
      <c r="B3945" t="s">
        <v>20</v>
      </c>
      <c r="C3945">
        <v>2015</v>
      </c>
      <c r="D3945">
        <v>7</v>
      </c>
      <c r="E3945" t="s">
        <v>7</v>
      </c>
      <c r="F3945" t="s">
        <v>7</v>
      </c>
      <c r="G3945" t="s">
        <v>7</v>
      </c>
      <c r="H3945">
        <v>130628.78</v>
      </c>
      <c r="I3945">
        <v>40484.76</v>
      </c>
      <c r="J3945">
        <v>0</v>
      </c>
    </row>
    <row r="3946" spans="1:10" x14ac:dyDescent="0.35">
      <c r="A3946">
        <v>321526</v>
      </c>
      <c r="B3946" t="s">
        <v>20</v>
      </c>
      <c r="C3946">
        <v>2015</v>
      </c>
      <c r="D3946">
        <v>7</v>
      </c>
      <c r="E3946" t="s">
        <v>7</v>
      </c>
      <c r="F3946" t="s">
        <v>7</v>
      </c>
      <c r="G3946" t="s">
        <v>7</v>
      </c>
      <c r="H3946">
        <v>47017.1</v>
      </c>
      <c r="I3946">
        <v>14962.56</v>
      </c>
      <c r="J3946">
        <v>0</v>
      </c>
    </row>
    <row r="3947" spans="1:10" x14ac:dyDescent="0.35">
      <c r="A3947">
        <v>321528</v>
      </c>
      <c r="B3947" t="s">
        <v>20</v>
      </c>
      <c r="C3947">
        <v>2015</v>
      </c>
      <c r="D3947">
        <v>7</v>
      </c>
      <c r="E3947" t="s">
        <v>7</v>
      </c>
      <c r="F3947" t="s">
        <v>7</v>
      </c>
      <c r="G3947" t="s">
        <v>7</v>
      </c>
      <c r="H3947">
        <v>152865.85999999999</v>
      </c>
      <c r="I3947">
        <v>61104.52</v>
      </c>
      <c r="J3947">
        <v>0</v>
      </c>
    </row>
    <row r="3948" spans="1:10" x14ac:dyDescent="0.35">
      <c r="A3948">
        <v>321531</v>
      </c>
      <c r="B3948" t="s">
        <v>20</v>
      </c>
      <c r="C3948">
        <v>2015</v>
      </c>
      <c r="D3948">
        <v>7</v>
      </c>
      <c r="E3948" t="s">
        <v>7</v>
      </c>
      <c r="F3948" t="s">
        <v>7</v>
      </c>
      <c r="G3948" t="s">
        <v>7</v>
      </c>
      <c r="H3948">
        <v>66484.78</v>
      </c>
      <c r="I3948">
        <v>48943.199999999997</v>
      </c>
      <c r="J3948">
        <v>0</v>
      </c>
    </row>
    <row r="3949" spans="1:10" x14ac:dyDescent="0.35">
      <c r="A3949">
        <v>321532</v>
      </c>
      <c r="B3949" t="s">
        <v>20</v>
      </c>
      <c r="C3949">
        <v>2015</v>
      </c>
      <c r="D3949">
        <v>7</v>
      </c>
      <c r="E3949" t="s">
        <v>7</v>
      </c>
      <c r="F3949" t="s">
        <v>7</v>
      </c>
      <c r="G3949" t="s">
        <v>7</v>
      </c>
      <c r="H3949">
        <v>40863.599999999999</v>
      </c>
      <c r="I3949">
        <v>11727.76</v>
      </c>
      <c r="J3949">
        <v>0</v>
      </c>
    </row>
    <row r="3950" spans="1:10" x14ac:dyDescent="0.35">
      <c r="A3950">
        <v>321533</v>
      </c>
      <c r="B3950" t="s">
        <v>20</v>
      </c>
      <c r="C3950">
        <v>2015</v>
      </c>
      <c r="D3950">
        <v>7</v>
      </c>
      <c r="E3950" t="s">
        <v>7</v>
      </c>
      <c r="F3950" t="s">
        <v>7</v>
      </c>
      <c r="G3950" t="s">
        <v>7</v>
      </c>
      <c r="H3950">
        <v>28335.98</v>
      </c>
      <c r="I3950">
        <v>7495.34</v>
      </c>
      <c r="J3950">
        <v>0</v>
      </c>
    </row>
    <row r="3951" spans="1:10" x14ac:dyDescent="0.35">
      <c r="A3951">
        <v>321535</v>
      </c>
      <c r="B3951" t="s">
        <v>20</v>
      </c>
      <c r="C3951">
        <v>2015</v>
      </c>
      <c r="D3951">
        <v>7</v>
      </c>
      <c r="E3951" t="s">
        <v>7</v>
      </c>
      <c r="F3951" t="s">
        <v>7</v>
      </c>
      <c r="G3951" t="s">
        <v>7</v>
      </c>
      <c r="H3951">
        <v>73484.179999999993</v>
      </c>
      <c r="I3951">
        <v>53257.32</v>
      </c>
      <c r="J3951">
        <v>0</v>
      </c>
    </row>
    <row r="3952" spans="1:10" x14ac:dyDescent="0.35">
      <c r="A3952">
        <v>321540</v>
      </c>
      <c r="B3952" t="s">
        <v>20</v>
      </c>
      <c r="C3952">
        <v>2015</v>
      </c>
      <c r="D3952">
        <v>7</v>
      </c>
      <c r="E3952" t="s">
        <v>7</v>
      </c>
      <c r="F3952" t="s">
        <v>7</v>
      </c>
      <c r="G3952" t="s">
        <v>7</v>
      </c>
      <c r="H3952">
        <v>17689.02</v>
      </c>
      <c r="I3952">
        <v>4561.47</v>
      </c>
      <c r="J3952">
        <v>0</v>
      </c>
    </row>
    <row r="3953" spans="1:10" x14ac:dyDescent="0.35">
      <c r="A3953">
        <v>321543</v>
      </c>
      <c r="B3953" t="s">
        <v>20</v>
      </c>
      <c r="C3953">
        <v>2015</v>
      </c>
      <c r="D3953">
        <v>7</v>
      </c>
      <c r="E3953" t="s">
        <v>7</v>
      </c>
      <c r="F3953" t="s">
        <v>7</v>
      </c>
      <c r="G3953" t="s">
        <v>7</v>
      </c>
      <c r="H3953">
        <v>26078.18</v>
      </c>
      <c r="I3953">
        <v>6547.83</v>
      </c>
      <c r="J3953">
        <v>0</v>
      </c>
    </row>
    <row r="3954" spans="1:10" x14ac:dyDescent="0.35">
      <c r="A3954">
        <v>321545</v>
      </c>
      <c r="B3954" t="s">
        <v>20</v>
      </c>
      <c r="C3954">
        <v>2015</v>
      </c>
      <c r="D3954">
        <v>7</v>
      </c>
      <c r="E3954" t="s">
        <v>7</v>
      </c>
      <c r="F3954" t="s">
        <v>7</v>
      </c>
      <c r="G3954" t="s">
        <v>7</v>
      </c>
      <c r="H3954">
        <v>37380.36</v>
      </c>
      <c r="I3954">
        <v>10704.82</v>
      </c>
      <c r="J3954">
        <v>0</v>
      </c>
    </row>
    <row r="3955" spans="1:10" x14ac:dyDescent="0.35">
      <c r="A3955">
        <v>321549</v>
      </c>
      <c r="B3955" t="s">
        <v>20</v>
      </c>
      <c r="C3955">
        <v>2015</v>
      </c>
      <c r="D3955">
        <v>7</v>
      </c>
      <c r="E3955" t="s">
        <v>7</v>
      </c>
      <c r="F3955" t="s">
        <v>7</v>
      </c>
      <c r="G3955" t="s">
        <v>7</v>
      </c>
      <c r="H3955">
        <v>15238.96</v>
      </c>
      <c r="I3955">
        <v>2928.71</v>
      </c>
      <c r="J3955">
        <v>0</v>
      </c>
    </row>
    <row r="3956" spans="1:10" x14ac:dyDescent="0.35">
      <c r="A3956">
        <v>321553</v>
      </c>
      <c r="B3956" t="s">
        <v>20</v>
      </c>
      <c r="C3956">
        <v>2015</v>
      </c>
      <c r="D3956">
        <v>7</v>
      </c>
      <c r="E3956" t="s">
        <v>7</v>
      </c>
      <c r="F3956" t="s">
        <v>7</v>
      </c>
      <c r="G3956" t="s">
        <v>7</v>
      </c>
      <c r="H3956">
        <v>30216.880000000001</v>
      </c>
      <c r="I3956">
        <v>8660.02</v>
      </c>
      <c r="J3956">
        <v>0</v>
      </c>
    </row>
    <row r="3957" spans="1:10" x14ac:dyDescent="0.35">
      <c r="A3957">
        <v>321560</v>
      </c>
      <c r="B3957" t="s">
        <v>20</v>
      </c>
      <c r="C3957">
        <v>2015</v>
      </c>
      <c r="D3957">
        <v>7</v>
      </c>
      <c r="E3957" t="s">
        <v>7</v>
      </c>
      <c r="F3957" t="s">
        <v>7</v>
      </c>
      <c r="G3957" t="s">
        <v>7</v>
      </c>
      <c r="H3957">
        <v>33861.879999999997</v>
      </c>
      <c r="I3957">
        <v>9739.75</v>
      </c>
      <c r="J3957">
        <v>0</v>
      </c>
    </row>
    <row r="3958" spans="1:10" x14ac:dyDescent="0.35">
      <c r="A3958">
        <v>321564</v>
      </c>
      <c r="B3958" t="s">
        <v>20</v>
      </c>
      <c r="C3958">
        <v>2015</v>
      </c>
      <c r="D3958">
        <v>7</v>
      </c>
      <c r="E3958" t="s">
        <v>7</v>
      </c>
      <c r="F3958" t="s">
        <v>7</v>
      </c>
      <c r="G3958" t="s">
        <v>7</v>
      </c>
      <c r="H3958">
        <v>10262.1</v>
      </c>
      <c r="I3958">
        <v>2298.4699999999998</v>
      </c>
      <c r="J3958">
        <v>0</v>
      </c>
    </row>
    <row r="3959" spans="1:10" x14ac:dyDescent="0.35">
      <c r="A3959">
        <v>321565</v>
      </c>
      <c r="B3959" t="s">
        <v>20</v>
      </c>
      <c r="C3959">
        <v>2015</v>
      </c>
      <c r="D3959">
        <v>7</v>
      </c>
      <c r="E3959" t="s">
        <v>7</v>
      </c>
      <c r="F3959" t="s">
        <v>7</v>
      </c>
      <c r="G3959" t="s">
        <v>7</v>
      </c>
      <c r="H3959">
        <v>14646.1</v>
      </c>
      <c r="I3959">
        <v>4281.87</v>
      </c>
      <c r="J3959">
        <v>0</v>
      </c>
    </row>
    <row r="3960" spans="1:10" x14ac:dyDescent="0.35">
      <c r="A3960">
        <v>321568</v>
      </c>
      <c r="B3960" t="s">
        <v>20</v>
      </c>
      <c r="C3960">
        <v>2015</v>
      </c>
      <c r="D3960">
        <v>7</v>
      </c>
      <c r="E3960" t="s">
        <v>7</v>
      </c>
      <c r="F3960" t="s">
        <v>7</v>
      </c>
      <c r="G3960" t="s">
        <v>7</v>
      </c>
      <c r="H3960">
        <v>42095.31</v>
      </c>
      <c r="I3960">
        <v>31107.279999999999</v>
      </c>
      <c r="J3960">
        <v>0</v>
      </c>
    </row>
    <row r="3961" spans="1:10" x14ac:dyDescent="0.35">
      <c r="A3961">
        <v>321570</v>
      </c>
      <c r="B3961" t="s">
        <v>20</v>
      </c>
      <c r="C3961">
        <v>2015</v>
      </c>
      <c r="D3961">
        <v>7</v>
      </c>
      <c r="E3961" t="s">
        <v>7</v>
      </c>
      <c r="F3961" t="s">
        <v>7</v>
      </c>
      <c r="G3961" t="s">
        <v>7</v>
      </c>
      <c r="H3961">
        <v>18742.439999999999</v>
      </c>
      <c r="I3961">
        <v>4711.18</v>
      </c>
      <c r="J3961">
        <v>0</v>
      </c>
    </row>
    <row r="3962" spans="1:10" x14ac:dyDescent="0.35">
      <c r="A3962">
        <v>321577</v>
      </c>
      <c r="B3962" t="s">
        <v>20</v>
      </c>
      <c r="C3962">
        <v>2015</v>
      </c>
      <c r="D3962">
        <v>7</v>
      </c>
      <c r="E3962" t="s">
        <v>7</v>
      </c>
      <c r="F3962" t="s">
        <v>7</v>
      </c>
      <c r="G3962" t="s">
        <v>7</v>
      </c>
      <c r="H3962">
        <v>70376.2</v>
      </c>
      <c r="I3962">
        <v>52230.97</v>
      </c>
      <c r="J3962">
        <v>0</v>
      </c>
    </row>
    <row r="3963" spans="1:10" x14ac:dyDescent="0.35">
      <c r="A3963">
        <v>321578</v>
      </c>
      <c r="B3963" t="s">
        <v>20</v>
      </c>
      <c r="C3963">
        <v>2015</v>
      </c>
      <c r="D3963">
        <v>7</v>
      </c>
      <c r="E3963" t="s">
        <v>7</v>
      </c>
      <c r="F3963" t="s">
        <v>7</v>
      </c>
      <c r="G3963" t="s">
        <v>7</v>
      </c>
      <c r="H3963">
        <v>66455.759999999995</v>
      </c>
      <c r="I3963">
        <v>48728.9</v>
      </c>
      <c r="J3963">
        <v>0</v>
      </c>
    </row>
    <row r="3964" spans="1:10" x14ac:dyDescent="0.35">
      <c r="A3964">
        <v>321579</v>
      </c>
      <c r="B3964" t="s">
        <v>20</v>
      </c>
      <c r="C3964">
        <v>2015</v>
      </c>
      <c r="D3964">
        <v>7</v>
      </c>
      <c r="E3964" t="s">
        <v>7</v>
      </c>
      <c r="F3964" t="s">
        <v>7</v>
      </c>
      <c r="G3964" t="s">
        <v>7</v>
      </c>
      <c r="H3964">
        <v>53736.74</v>
      </c>
      <c r="I3964">
        <v>16559.169999999998</v>
      </c>
      <c r="J3964">
        <v>0</v>
      </c>
    </row>
    <row r="3965" spans="1:10" x14ac:dyDescent="0.35">
      <c r="A3965">
        <v>321580</v>
      </c>
      <c r="B3965" t="s">
        <v>20</v>
      </c>
      <c r="C3965">
        <v>2015</v>
      </c>
      <c r="D3965">
        <v>7</v>
      </c>
      <c r="E3965" t="s">
        <v>7</v>
      </c>
      <c r="F3965" t="s">
        <v>7</v>
      </c>
      <c r="G3965" t="s">
        <v>7</v>
      </c>
      <c r="H3965">
        <v>30332</v>
      </c>
      <c r="I3965">
        <v>9013.52</v>
      </c>
      <c r="J3965">
        <v>0</v>
      </c>
    </row>
    <row r="3966" spans="1:10" x14ac:dyDescent="0.35">
      <c r="A3966">
        <v>321585</v>
      </c>
      <c r="B3966" t="s">
        <v>20</v>
      </c>
      <c r="C3966">
        <v>2015</v>
      </c>
      <c r="D3966">
        <v>7</v>
      </c>
      <c r="E3966" t="s">
        <v>7</v>
      </c>
      <c r="F3966" t="s">
        <v>7</v>
      </c>
      <c r="G3966" t="s">
        <v>7</v>
      </c>
      <c r="H3966">
        <v>49332.14</v>
      </c>
      <c r="I3966">
        <v>16589.23</v>
      </c>
      <c r="J3966">
        <v>0</v>
      </c>
    </row>
    <row r="3967" spans="1:10" x14ac:dyDescent="0.35">
      <c r="A3967">
        <v>321589</v>
      </c>
      <c r="B3967" t="s">
        <v>20</v>
      </c>
      <c r="C3967">
        <v>2015</v>
      </c>
      <c r="D3967">
        <v>7</v>
      </c>
      <c r="E3967" t="s">
        <v>7</v>
      </c>
      <c r="F3967" t="s">
        <v>7</v>
      </c>
      <c r="G3967" t="s">
        <v>7</v>
      </c>
      <c r="H3967">
        <v>21731.919999999998</v>
      </c>
      <c r="I3967">
        <v>6119.42</v>
      </c>
      <c r="J3967">
        <v>0</v>
      </c>
    </row>
    <row r="3968" spans="1:10" x14ac:dyDescent="0.35">
      <c r="A3968">
        <v>321593</v>
      </c>
      <c r="B3968" t="s">
        <v>20</v>
      </c>
      <c r="C3968">
        <v>2015</v>
      </c>
      <c r="D3968">
        <v>7</v>
      </c>
      <c r="E3968" t="s">
        <v>7</v>
      </c>
      <c r="F3968" t="s">
        <v>7</v>
      </c>
      <c r="G3968" t="s">
        <v>7</v>
      </c>
      <c r="H3968">
        <v>69369.100000000006</v>
      </c>
      <c r="I3968">
        <v>52162.18</v>
      </c>
      <c r="J3968">
        <v>0</v>
      </c>
    </row>
    <row r="3969" spans="1:10" x14ac:dyDescent="0.35">
      <c r="A3969">
        <v>321594</v>
      </c>
      <c r="B3969" t="s">
        <v>20</v>
      </c>
      <c r="C3969">
        <v>2015</v>
      </c>
      <c r="D3969">
        <v>7</v>
      </c>
      <c r="E3969" t="s">
        <v>7</v>
      </c>
      <c r="F3969" t="s">
        <v>7</v>
      </c>
      <c r="G3969" t="s">
        <v>7</v>
      </c>
      <c r="H3969">
        <v>29328.86</v>
      </c>
      <c r="I3969">
        <v>8228.69</v>
      </c>
      <c r="J3969">
        <v>0</v>
      </c>
    </row>
    <row r="3970" spans="1:10" x14ac:dyDescent="0.35">
      <c r="A3970">
        <v>321598</v>
      </c>
      <c r="B3970" t="s">
        <v>20</v>
      </c>
      <c r="C3970">
        <v>2015</v>
      </c>
      <c r="D3970">
        <v>7</v>
      </c>
      <c r="E3970" t="s">
        <v>7</v>
      </c>
      <c r="F3970" t="s">
        <v>7</v>
      </c>
      <c r="G3970" t="s">
        <v>7</v>
      </c>
      <c r="H3970">
        <v>70050.759999999995</v>
      </c>
      <c r="I3970">
        <v>52509.03</v>
      </c>
      <c r="J3970">
        <v>0</v>
      </c>
    </row>
    <row r="3971" spans="1:10" x14ac:dyDescent="0.35">
      <c r="A3971">
        <v>321603</v>
      </c>
      <c r="B3971" t="s">
        <v>20</v>
      </c>
      <c r="C3971">
        <v>2015</v>
      </c>
      <c r="D3971">
        <v>7</v>
      </c>
      <c r="E3971" t="s">
        <v>7</v>
      </c>
      <c r="F3971" t="s">
        <v>7</v>
      </c>
      <c r="G3971" t="s">
        <v>7</v>
      </c>
      <c r="H3971">
        <v>60813.7</v>
      </c>
      <c r="I3971">
        <v>47078.43</v>
      </c>
      <c r="J3971">
        <v>0</v>
      </c>
    </row>
    <row r="3972" spans="1:10" x14ac:dyDescent="0.35">
      <c r="A3972">
        <v>321606</v>
      </c>
      <c r="B3972" t="s">
        <v>20</v>
      </c>
      <c r="C3972">
        <v>2015</v>
      </c>
      <c r="D3972">
        <v>7</v>
      </c>
      <c r="E3972" t="s">
        <v>7</v>
      </c>
      <c r="F3972" t="s">
        <v>7</v>
      </c>
      <c r="G3972" t="s">
        <v>7</v>
      </c>
      <c r="H3972">
        <v>146154.44</v>
      </c>
      <c r="I3972">
        <v>62104.73</v>
      </c>
      <c r="J3972">
        <v>0</v>
      </c>
    </row>
    <row r="3973" spans="1:10" x14ac:dyDescent="0.35">
      <c r="A3973">
        <v>321607</v>
      </c>
      <c r="B3973" t="s">
        <v>20</v>
      </c>
      <c r="C3973">
        <v>2015</v>
      </c>
      <c r="D3973">
        <v>7</v>
      </c>
      <c r="E3973" t="s">
        <v>7</v>
      </c>
      <c r="F3973" t="s">
        <v>7</v>
      </c>
      <c r="G3973" t="s">
        <v>7</v>
      </c>
      <c r="H3973">
        <v>67237.179999999993</v>
      </c>
      <c r="I3973">
        <v>18310.21</v>
      </c>
      <c r="J3973">
        <v>0</v>
      </c>
    </row>
    <row r="3974" spans="1:10" x14ac:dyDescent="0.35">
      <c r="A3974">
        <v>321610</v>
      </c>
      <c r="B3974" t="s">
        <v>20</v>
      </c>
      <c r="C3974">
        <v>2015</v>
      </c>
      <c r="D3974">
        <v>7</v>
      </c>
      <c r="E3974" t="s">
        <v>7</v>
      </c>
      <c r="F3974" t="s">
        <v>7</v>
      </c>
      <c r="G3974" t="s">
        <v>7</v>
      </c>
      <c r="H3974">
        <v>33079.06</v>
      </c>
      <c r="I3974">
        <v>9645.83</v>
      </c>
      <c r="J3974">
        <v>0</v>
      </c>
    </row>
    <row r="3975" spans="1:10" x14ac:dyDescent="0.35">
      <c r="A3975">
        <v>321611</v>
      </c>
      <c r="B3975" t="s">
        <v>20</v>
      </c>
      <c r="C3975">
        <v>2015</v>
      </c>
      <c r="D3975">
        <v>7</v>
      </c>
      <c r="E3975" t="s">
        <v>7</v>
      </c>
      <c r="F3975" t="s">
        <v>7</v>
      </c>
      <c r="G3975" t="s">
        <v>7</v>
      </c>
      <c r="H3975">
        <v>73260.460000000006</v>
      </c>
      <c r="I3975">
        <v>56060.25</v>
      </c>
      <c r="J3975">
        <v>0</v>
      </c>
    </row>
    <row r="3976" spans="1:10" x14ac:dyDescent="0.35">
      <c r="A3976">
        <v>321612</v>
      </c>
      <c r="B3976" t="s">
        <v>20</v>
      </c>
      <c r="C3976">
        <v>2015</v>
      </c>
      <c r="D3976">
        <v>7</v>
      </c>
      <c r="E3976" t="s">
        <v>7</v>
      </c>
      <c r="F3976" t="s">
        <v>7</v>
      </c>
      <c r="G3976" t="s">
        <v>7</v>
      </c>
      <c r="H3976">
        <v>15707.74</v>
      </c>
      <c r="I3976">
        <v>5895.35</v>
      </c>
      <c r="J3976">
        <v>0</v>
      </c>
    </row>
    <row r="3977" spans="1:10" x14ac:dyDescent="0.35">
      <c r="A3977">
        <v>321615</v>
      </c>
      <c r="B3977" t="s">
        <v>20</v>
      </c>
      <c r="C3977">
        <v>2015</v>
      </c>
      <c r="D3977">
        <v>7</v>
      </c>
      <c r="E3977" t="s">
        <v>7</v>
      </c>
      <c r="F3977" t="s">
        <v>7</v>
      </c>
      <c r="G3977" t="s">
        <v>7</v>
      </c>
      <c r="H3977">
        <v>26246.54</v>
      </c>
      <c r="I3977">
        <v>7124.69</v>
      </c>
      <c r="J3977">
        <v>0</v>
      </c>
    </row>
    <row r="3978" spans="1:10" x14ac:dyDescent="0.35">
      <c r="A3978">
        <v>321617</v>
      </c>
      <c r="B3978" t="s">
        <v>20</v>
      </c>
      <c r="C3978">
        <v>2015</v>
      </c>
      <c r="D3978">
        <v>7</v>
      </c>
      <c r="E3978" t="s">
        <v>7</v>
      </c>
      <c r="F3978" t="s">
        <v>7</v>
      </c>
      <c r="G3978" t="s">
        <v>7</v>
      </c>
      <c r="H3978">
        <v>11099.52</v>
      </c>
      <c r="I3978">
        <v>3043.67</v>
      </c>
      <c r="J3978">
        <v>0</v>
      </c>
    </row>
    <row r="3979" spans="1:10" x14ac:dyDescent="0.35">
      <c r="A3979">
        <v>321619</v>
      </c>
      <c r="B3979" t="s">
        <v>20</v>
      </c>
      <c r="C3979">
        <v>2015</v>
      </c>
      <c r="D3979">
        <v>7</v>
      </c>
      <c r="E3979" t="s">
        <v>7</v>
      </c>
      <c r="F3979" t="s">
        <v>7</v>
      </c>
      <c r="G3979" t="s">
        <v>7</v>
      </c>
      <c r="H3979">
        <v>56184.74</v>
      </c>
      <c r="I3979">
        <v>26967.15</v>
      </c>
      <c r="J3979">
        <v>0</v>
      </c>
    </row>
    <row r="3980" spans="1:10" x14ac:dyDescent="0.35">
      <c r="A3980">
        <v>321624</v>
      </c>
      <c r="B3980" t="s">
        <v>20</v>
      </c>
      <c r="C3980">
        <v>2015</v>
      </c>
      <c r="D3980">
        <v>7</v>
      </c>
      <c r="E3980" t="s">
        <v>7</v>
      </c>
      <c r="F3980" t="s">
        <v>7</v>
      </c>
      <c r="G3980" t="s">
        <v>7</v>
      </c>
      <c r="H3980">
        <v>75511.58</v>
      </c>
      <c r="I3980">
        <v>57460.97</v>
      </c>
      <c r="J3980">
        <v>0</v>
      </c>
    </row>
    <row r="3981" spans="1:10" x14ac:dyDescent="0.35">
      <c r="A3981">
        <v>321626</v>
      </c>
      <c r="B3981" t="s">
        <v>20</v>
      </c>
      <c r="C3981">
        <v>2015</v>
      </c>
      <c r="D3981">
        <v>7</v>
      </c>
      <c r="E3981" t="s">
        <v>7</v>
      </c>
      <c r="F3981" t="s">
        <v>7</v>
      </c>
      <c r="G3981" t="s">
        <v>7</v>
      </c>
      <c r="H3981">
        <v>69386.42</v>
      </c>
      <c r="I3981">
        <v>54171.46</v>
      </c>
      <c r="J3981">
        <v>0</v>
      </c>
    </row>
    <row r="3982" spans="1:10" x14ac:dyDescent="0.35">
      <c r="A3982">
        <v>321629</v>
      </c>
      <c r="B3982" t="s">
        <v>20</v>
      </c>
      <c r="C3982">
        <v>2015</v>
      </c>
      <c r="D3982">
        <v>7</v>
      </c>
      <c r="E3982" t="s">
        <v>7</v>
      </c>
      <c r="F3982" t="s">
        <v>7</v>
      </c>
      <c r="G3982" t="s">
        <v>7</v>
      </c>
      <c r="H3982">
        <v>26115.96</v>
      </c>
      <c r="I3982">
        <v>6971.12</v>
      </c>
      <c r="J3982">
        <v>0</v>
      </c>
    </row>
    <row r="3983" spans="1:10" x14ac:dyDescent="0.35">
      <c r="A3983">
        <v>321630</v>
      </c>
      <c r="B3983" t="s">
        <v>20</v>
      </c>
      <c r="C3983">
        <v>2015</v>
      </c>
      <c r="D3983">
        <v>7</v>
      </c>
      <c r="E3983" t="s">
        <v>7</v>
      </c>
      <c r="F3983" t="s">
        <v>7</v>
      </c>
      <c r="G3983" t="s">
        <v>7</v>
      </c>
      <c r="H3983">
        <v>45416.1</v>
      </c>
      <c r="I3983">
        <v>12564.05</v>
      </c>
      <c r="J3983">
        <v>0</v>
      </c>
    </row>
    <row r="3984" spans="1:10" x14ac:dyDescent="0.35">
      <c r="A3984">
        <v>321632</v>
      </c>
      <c r="B3984" t="s">
        <v>20</v>
      </c>
      <c r="C3984">
        <v>2015</v>
      </c>
      <c r="D3984">
        <v>7</v>
      </c>
      <c r="E3984" t="s">
        <v>7</v>
      </c>
      <c r="F3984" t="s">
        <v>7</v>
      </c>
      <c r="G3984" t="s">
        <v>7</v>
      </c>
      <c r="H3984">
        <v>11197.96</v>
      </c>
      <c r="I3984">
        <v>3034.93</v>
      </c>
      <c r="J3984">
        <v>0</v>
      </c>
    </row>
    <row r="3985" spans="1:10" x14ac:dyDescent="0.35">
      <c r="A3985">
        <v>321636</v>
      </c>
      <c r="B3985" t="s">
        <v>20</v>
      </c>
      <c r="C3985">
        <v>2015</v>
      </c>
      <c r="D3985">
        <v>7</v>
      </c>
      <c r="E3985" t="s">
        <v>7</v>
      </c>
      <c r="F3985" t="s">
        <v>7</v>
      </c>
      <c r="G3985" t="s">
        <v>7</v>
      </c>
      <c r="H3985">
        <v>29192.54</v>
      </c>
      <c r="I3985">
        <v>6909.73</v>
      </c>
      <c r="J3985">
        <v>0</v>
      </c>
    </row>
    <row r="3986" spans="1:10" x14ac:dyDescent="0.35">
      <c r="A3986">
        <v>321637</v>
      </c>
      <c r="B3986" t="s">
        <v>20</v>
      </c>
      <c r="C3986">
        <v>2015</v>
      </c>
      <c r="D3986">
        <v>7</v>
      </c>
      <c r="E3986" t="s">
        <v>7</v>
      </c>
      <c r="F3986" t="s">
        <v>7</v>
      </c>
      <c r="G3986" t="s">
        <v>7</v>
      </c>
      <c r="H3986">
        <v>14899.58</v>
      </c>
      <c r="I3986">
        <v>4889.83</v>
      </c>
      <c r="J3986">
        <v>0</v>
      </c>
    </row>
    <row r="3987" spans="1:10" x14ac:dyDescent="0.35">
      <c r="A3987">
        <v>321638</v>
      </c>
      <c r="B3987" t="s">
        <v>20</v>
      </c>
      <c r="C3987">
        <v>2015</v>
      </c>
      <c r="D3987">
        <v>7</v>
      </c>
      <c r="E3987" t="s">
        <v>7</v>
      </c>
      <c r="F3987" t="s">
        <v>7</v>
      </c>
      <c r="G3987" t="s">
        <v>7</v>
      </c>
      <c r="H3987">
        <v>46591.54</v>
      </c>
      <c r="I3987">
        <v>10030</v>
      </c>
      <c r="J3987">
        <v>0</v>
      </c>
    </row>
    <row r="3988" spans="1:10" x14ac:dyDescent="0.35">
      <c r="A3988">
        <v>321640</v>
      </c>
      <c r="B3988" t="s">
        <v>20</v>
      </c>
      <c r="C3988">
        <v>2015</v>
      </c>
      <c r="D3988">
        <v>7</v>
      </c>
      <c r="E3988" t="s">
        <v>7</v>
      </c>
      <c r="F3988" t="s">
        <v>7</v>
      </c>
      <c r="G3988" t="s">
        <v>7</v>
      </c>
      <c r="H3988">
        <v>104834.7</v>
      </c>
      <c r="I3988">
        <v>84860.11</v>
      </c>
      <c r="J3988">
        <v>0</v>
      </c>
    </row>
    <row r="3989" spans="1:10" x14ac:dyDescent="0.35">
      <c r="A3989">
        <v>321642</v>
      </c>
      <c r="B3989" t="s">
        <v>20</v>
      </c>
      <c r="C3989">
        <v>2015</v>
      </c>
      <c r="D3989">
        <v>7</v>
      </c>
      <c r="E3989" t="s">
        <v>7</v>
      </c>
      <c r="F3989" t="s">
        <v>7</v>
      </c>
      <c r="G3989" t="s">
        <v>7</v>
      </c>
      <c r="H3989">
        <v>41955.38</v>
      </c>
      <c r="I3989">
        <v>17952.96</v>
      </c>
      <c r="J3989">
        <v>0</v>
      </c>
    </row>
    <row r="3990" spans="1:10" x14ac:dyDescent="0.35">
      <c r="A3990">
        <v>321649</v>
      </c>
      <c r="B3990" t="s">
        <v>20</v>
      </c>
      <c r="C3990">
        <v>2015</v>
      </c>
      <c r="D3990">
        <v>7</v>
      </c>
      <c r="E3990" t="s">
        <v>7</v>
      </c>
      <c r="F3990" t="s">
        <v>7</v>
      </c>
      <c r="G3990" t="s">
        <v>7</v>
      </c>
      <c r="H3990">
        <v>11145.32</v>
      </c>
      <c r="I3990">
        <v>2503</v>
      </c>
      <c r="J3990">
        <v>0</v>
      </c>
    </row>
    <row r="3991" spans="1:10" x14ac:dyDescent="0.35">
      <c r="A3991">
        <v>321650</v>
      </c>
      <c r="B3991" t="s">
        <v>20</v>
      </c>
      <c r="C3991">
        <v>2015</v>
      </c>
      <c r="D3991">
        <v>7</v>
      </c>
      <c r="E3991" t="s">
        <v>7</v>
      </c>
      <c r="F3991" t="s">
        <v>7</v>
      </c>
      <c r="G3991" t="s">
        <v>7</v>
      </c>
      <c r="H3991">
        <v>68427.48</v>
      </c>
      <c r="I3991">
        <v>21428.25</v>
      </c>
      <c r="J3991">
        <v>0</v>
      </c>
    </row>
    <row r="3992" spans="1:10" x14ac:dyDescent="0.35">
      <c r="A3992">
        <v>321651</v>
      </c>
      <c r="B3992" t="s">
        <v>20</v>
      </c>
      <c r="C3992">
        <v>2015</v>
      </c>
      <c r="D3992">
        <v>7</v>
      </c>
      <c r="E3992" t="s">
        <v>7</v>
      </c>
      <c r="F3992" t="s">
        <v>7</v>
      </c>
      <c r="G3992" t="s">
        <v>7</v>
      </c>
      <c r="H3992">
        <v>23229.38</v>
      </c>
      <c r="I3992">
        <v>6105.51</v>
      </c>
      <c r="J3992">
        <v>0</v>
      </c>
    </row>
    <row r="3993" spans="1:10" x14ac:dyDescent="0.35">
      <c r="A3993">
        <v>321652</v>
      </c>
      <c r="B3993" t="s">
        <v>20</v>
      </c>
      <c r="C3993">
        <v>2015</v>
      </c>
      <c r="D3993">
        <v>7</v>
      </c>
      <c r="E3993" t="s">
        <v>7</v>
      </c>
      <c r="F3993" t="s">
        <v>7</v>
      </c>
      <c r="G3993" t="s">
        <v>7</v>
      </c>
      <c r="H3993">
        <v>31073.84</v>
      </c>
      <c r="I3993">
        <v>12154.9</v>
      </c>
      <c r="J3993">
        <v>0</v>
      </c>
    </row>
    <row r="3994" spans="1:10" x14ac:dyDescent="0.35">
      <c r="A3994">
        <v>321654</v>
      </c>
      <c r="B3994" t="s">
        <v>20</v>
      </c>
      <c r="C3994">
        <v>2015</v>
      </c>
      <c r="D3994">
        <v>7</v>
      </c>
      <c r="E3994" t="s">
        <v>7</v>
      </c>
      <c r="F3994" t="s">
        <v>7</v>
      </c>
      <c r="G3994" t="s">
        <v>7</v>
      </c>
      <c r="H3994">
        <v>62659.98</v>
      </c>
      <c r="I3994">
        <v>45769.91</v>
      </c>
      <c r="J3994">
        <v>0</v>
      </c>
    </row>
    <row r="3995" spans="1:10" x14ac:dyDescent="0.35">
      <c r="A3995">
        <v>321658</v>
      </c>
      <c r="B3995" t="s">
        <v>20</v>
      </c>
      <c r="C3995">
        <v>2015</v>
      </c>
      <c r="D3995">
        <v>7</v>
      </c>
      <c r="E3995" t="s">
        <v>7</v>
      </c>
      <c r="F3995" t="s">
        <v>7</v>
      </c>
      <c r="G3995" t="s">
        <v>7</v>
      </c>
      <c r="H3995">
        <v>24532.16</v>
      </c>
      <c r="I3995">
        <v>6997.55</v>
      </c>
      <c r="J3995">
        <v>0</v>
      </c>
    </row>
    <row r="3996" spans="1:10" x14ac:dyDescent="0.35">
      <c r="A3996">
        <v>321660</v>
      </c>
      <c r="B3996" t="s">
        <v>20</v>
      </c>
      <c r="C3996">
        <v>2015</v>
      </c>
      <c r="D3996">
        <v>7</v>
      </c>
      <c r="E3996" t="s">
        <v>7</v>
      </c>
      <c r="F3996" t="s">
        <v>7</v>
      </c>
      <c r="G3996" t="s">
        <v>7</v>
      </c>
      <c r="H3996">
        <v>63788.62</v>
      </c>
      <c r="I3996">
        <v>18085</v>
      </c>
      <c r="J3996">
        <v>0</v>
      </c>
    </row>
    <row r="3997" spans="1:10" x14ac:dyDescent="0.35">
      <c r="A3997">
        <v>321661</v>
      </c>
      <c r="B3997" t="s">
        <v>20</v>
      </c>
      <c r="C3997">
        <v>2015</v>
      </c>
      <c r="D3997">
        <v>7</v>
      </c>
      <c r="E3997" t="s">
        <v>7</v>
      </c>
      <c r="F3997" t="s">
        <v>7</v>
      </c>
      <c r="G3997" t="s">
        <v>7</v>
      </c>
      <c r="H3997">
        <v>25534.81</v>
      </c>
      <c r="I3997">
        <v>13748.64</v>
      </c>
      <c r="J3997">
        <v>0</v>
      </c>
    </row>
    <row r="3998" spans="1:10" x14ac:dyDescent="0.35">
      <c r="A3998">
        <v>321662</v>
      </c>
      <c r="B3998" t="s">
        <v>20</v>
      </c>
      <c r="C3998">
        <v>2015</v>
      </c>
      <c r="D3998">
        <v>7</v>
      </c>
      <c r="E3998" t="s">
        <v>7</v>
      </c>
      <c r="F3998" t="s">
        <v>7</v>
      </c>
      <c r="G3998" t="s">
        <v>7</v>
      </c>
      <c r="H3998">
        <v>70784.86</v>
      </c>
      <c r="I3998">
        <v>51119.11</v>
      </c>
      <c r="J3998">
        <v>0</v>
      </c>
    </row>
    <row r="3999" spans="1:10" x14ac:dyDescent="0.35">
      <c r="A3999">
        <v>321664</v>
      </c>
      <c r="B3999" t="s">
        <v>20</v>
      </c>
      <c r="C3999">
        <v>2015</v>
      </c>
      <c r="D3999">
        <v>7</v>
      </c>
      <c r="E3999" t="s">
        <v>7</v>
      </c>
      <c r="F3999" t="s">
        <v>7</v>
      </c>
      <c r="G3999" t="s">
        <v>7</v>
      </c>
      <c r="H3999">
        <v>29398.13</v>
      </c>
      <c r="I3999">
        <v>14252.21</v>
      </c>
      <c r="J3999">
        <v>0</v>
      </c>
    </row>
    <row r="4000" spans="1:10" x14ac:dyDescent="0.35">
      <c r="A4000">
        <v>321666</v>
      </c>
      <c r="B4000" t="s">
        <v>20</v>
      </c>
      <c r="C4000">
        <v>2015</v>
      </c>
      <c r="D4000">
        <v>7</v>
      </c>
      <c r="E4000" t="s">
        <v>7</v>
      </c>
      <c r="F4000" t="s">
        <v>7</v>
      </c>
      <c r="G4000" t="s">
        <v>7</v>
      </c>
      <c r="H4000">
        <v>75605.320000000007</v>
      </c>
      <c r="I4000">
        <v>57713.13</v>
      </c>
      <c r="J4000">
        <v>0</v>
      </c>
    </row>
    <row r="4001" spans="1:10" x14ac:dyDescent="0.35">
      <c r="A4001">
        <v>321667</v>
      </c>
      <c r="B4001" t="s">
        <v>20</v>
      </c>
      <c r="C4001">
        <v>2015</v>
      </c>
      <c r="D4001">
        <v>7</v>
      </c>
      <c r="E4001" t="s">
        <v>7</v>
      </c>
      <c r="F4001" t="s">
        <v>7</v>
      </c>
      <c r="G4001" t="s">
        <v>7</v>
      </c>
      <c r="H4001">
        <v>34062.120000000003</v>
      </c>
      <c r="I4001">
        <v>14516.03</v>
      </c>
      <c r="J4001">
        <v>0</v>
      </c>
    </row>
    <row r="4002" spans="1:10" x14ac:dyDescent="0.35">
      <c r="A4002">
        <v>321668</v>
      </c>
      <c r="B4002" t="s">
        <v>20</v>
      </c>
      <c r="C4002">
        <v>2015</v>
      </c>
      <c r="D4002">
        <v>7</v>
      </c>
      <c r="E4002" t="s">
        <v>7</v>
      </c>
      <c r="F4002" t="s">
        <v>7</v>
      </c>
      <c r="G4002" t="s">
        <v>7</v>
      </c>
      <c r="H4002">
        <v>87157.38</v>
      </c>
      <c r="I4002">
        <v>45119.96</v>
      </c>
      <c r="J4002">
        <v>0</v>
      </c>
    </row>
    <row r="4003" spans="1:10" x14ac:dyDescent="0.35">
      <c r="A4003">
        <v>321673</v>
      </c>
      <c r="B4003" t="s">
        <v>20</v>
      </c>
      <c r="C4003">
        <v>2015</v>
      </c>
      <c r="D4003">
        <v>7</v>
      </c>
      <c r="E4003" t="s">
        <v>7</v>
      </c>
      <c r="F4003" t="s">
        <v>7</v>
      </c>
      <c r="G4003" t="s">
        <v>7</v>
      </c>
      <c r="H4003">
        <v>139570.85999999999</v>
      </c>
      <c r="I4003">
        <v>110166.78</v>
      </c>
      <c r="J4003">
        <v>0</v>
      </c>
    </row>
    <row r="4004" spans="1:10" x14ac:dyDescent="0.35">
      <c r="A4004">
        <v>321674</v>
      </c>
      <c r="B4004" t="s">
        <v>20</v>
      </c>
      <c r="C4004">
        <v>2015</v>
      </c>
      <c r="D4004">
        <v>7</v>
      </c>
      <c r="E4004" t="s">
        <v>7</v>
      </c>
      <c r="F4004" t="s">
        <v>7</v>
      </c>
      <c r="G4004" t="s">
        <v>7</v>
      </c>
      <c r="H4004">
        <v>24481.8</v>
      </c>
      <c r="I4004">
        <v>6465.14</v>
      </c>
      <c r="J4004">
        <v>0</v>
      </c>
    </row>
    <row r="4005" spans="1:10" x14ac:dyDescent="0.35">
      <c r="A4005">
        <v>321675</v>
      </c>
      <c r="B4005" t="s">
        <v>20</v>
      </c>
      <c r="C4005">
        <v>2015</v>
      </c>
      <c r="D4005">
        <v>7</v>
      </c>
      <c r="E4005" t="s">
        <v>7</v>
      </c>
      <c r="F4005" t="s">
        <v>7</v>
      </c>
      <c r="G4005" t="s">
        <v>7</v>
      </c>
      <c r="H4005">
        <v>73222.28</v>
      </c>
      <c r="I4005">
        <v>55547.1</v>
      </c>
      <c r="J4005">
        <v>0</v>
      </c>
    </row>
    <row r="4006" spans="1:10" x14ac:dyDescent="0.35">
      <c r="A4006">
        <v>321677</v>
      </c>
      <c r="B4006" t="s">
        <v>20</v>
      </c>
      <c r="C4006">
        <v>2015</v>
      </c>
      <c r="D4006">
        <v>7</v>
      </c>
      <c r="E4006" t="s">
        <v>7</v>
      </c>
      <c r="F4006" t="s">
        <v>7</v>
      </c>
      <c r="G4006" t="s">
        <v>7</v>
      </c>
      <c r="H4006">
        <v>13072.56</v>
      </c>
      <c r="I4006">
        <v>3110.04</v>
      </c>
      <c r="J4006">
        <v>0</v>
      </c>
    </row>
    <row r="4007" spans="1:10" x14ac:dyDescent="0.35">
      <c r="A4007">
        <v>321680</v>
      </c>
      <c r="B4007" t="s">
        <v>20</v>
      </c>
      <c r="C4007">
        <v>2015</v>
      </c>
      <c r="D4007">
        <v>7</v>
      </c>
      <c r="E4007" t="s">
        <v>7</v>
      </c>
      <c r="F4007" t="s">
        <v>7</v>
      </c>
      <c r="G4007" t="s">
        <v>7</v>
      </c>
      <c r="H4007">
        <v>65560.08</v>
      </c>
      <c r="I4007">
        <v>47806</v>
      </c>
      <c r="J4007">
        <v>0</v>
      </c>
    </row>
    <row r="4008" spans="1:10" x14ac:dyDescent="0.35">
      <c r="A4008">
        <v>321683</v>
      </c>
      <c r="B4008" t="s">
        <v>20</v>
      </c>
      <c r="C4008">
        <v>2015</v>
      </c>
      <c r="D4008">
        <v>7</v>
      </c>
      <c r="E4008" t="s">
        <v>7</v>
      </c>
      <c r="F4008" t="s">
        <v>7</v>
      </c>
      <c r="G4008" t="s">
        <v>7</v>
      </c>
      <c r="H4008">
        <v>48795.26</v>
      </c>
      <c r="I4008">
        <v>11414.69</v>
      </c>
      <c r="J4008">
        <v>0</v>
      </c>
    </row>
    <row r="4009" spans="1:10" x14ac:dyDescent="0.35">
      <c r="A4009">
        <v>321689</v>
      </c>
      <c r="B4009" t="s">
        <v>20</v>
      </c>
      <c r="C4009">
        <v>2015</v>
      </c>
      <c r="D4009">
        <v>7</v>
      </c>
      <c r="E4009" t="s">
        <v>7</v>
      </c>
      <c r="F4009" t="s">
        <v>7</v>
      </c>
      <c r="G4009" t="s">
        <v>7</v>
      </c>
      <c r="H4009">
        <v>23924.2</v>
      </c>
      <c r="I4009">
        <v>7346.13</v>
      </c>
      <c r="J4009">
        <v>0</v>
      </c>
    </row>
    <row r="4010" spans="1:10" x14ac:dyDescent="0.35">
      <c r="A4010">
        <v>321698</v>
      </c>
      <c r="B4010" t="s">
        <v>20</v>
      </c>
      <c r="C4010">
        <v>2015</v>
      </c>
      <c r="D4010">
        <v>7</v>
      </c>
      <c r="E4010" t="s">
        <v>7</v>
      </c>
      <c r="F4010" t="s">
        <v>7</v>
      </c>
      <c r="G4010" t="s">
        <v>7</v>
      </c>
      <c r="H4010">
        <v>107614.2</v>
      </c>
      <c r="I4010">
        <v>64196.49</v>
      </c>
      <c r="J4010">
        <v>0</v>
      </c>
    </row>
    <row r="4011" spans="1:10" x14ac:dyDescent="0.35">
      <c r="A4011">
        <v>321699</v>
      </c>
      <c r="B4011" t="s">
        <v>20</v>
      </c>
      <c r="C4011">
        <v>2015</v>
      </c>
      <c r="D4011">
        <v>7</v>
      </c>
      <c r="E4011" t="s">
        <v>7</v>
      </c>
      <c r="F4011" t="s">
        <v>7</v>
      </c>
      <c r="G4011" t="s">
        <v>7</v>
      </c>
      <c r="H4011">
        <v>11605.3</v>
      </c>
      <c r="I4011">
        <v>2935.51</v>
      </c>
      <c r="J4011">
        <v>0</v>
      </c>
    </row>
    <row r="4012" spans="1:10" x14ac:dyDescent="0.35">
      <c r="A4012">
        <v>321703</v>
      </c>
      <c r="B4012" t="s">
        <v>20</v>
      </c>
      <c r="C4012">
        <v>2015</v>
      </c>
      <c r="D4012">
        <v>7</v>
      </c>
      <c r="E4012" t="s">
        <v>7</v>
      </c>
      <c r="F4012" t="s">
        <v>7</v>
      </c>
      <c r="G4012" t="s">
        <v>7</v>
      </c>
      <c r="H4012">
        <v>76273.399999999994</v>
      </c>
      <c r="I4012">
        <v>22397.08</v>
      </c>
      <c r="J4012">
        <v>0</v>
      </c>
    </row>
    <row r="4013" spans="1:10" x14ac:dyDescent="0.35">
      <c r="A4013">
        <v>321705</v>
      </c>
      <c r="B4013" t="s">
        <v>20</v>
      </c>
      <c r="C4013">
        <v>2015</v>
      </c>
      <c r="D4013">
        <v>7</v>
      </c>
      <c r="E4013" t="s">
        <v>7</v>
      </c>
      <c r="F4013" t="s">
        <v>7</v>
      </c>
      <c r="G4013" t="s">
        <v>7</v>
      </c>
      <c r="H4013">
        <v>32222.36</v>
      </c>
      <c r="I4013">
        <v>9101.0499999999993</v>
      </c>
      <c r="J4013">
        <v>0</v>
      </c>
    </row>
    <row r="4014" spans="1:10" x14ac:dyDescent="0.35">
      <c r="A4014">
        <v>321706</v>
      </c>
      <c r="B4014" t="s">
        <v>20</v>
      </c>
      <c r="C4014">
        <v>2015</v>
      </c>
      <c r="D4014">
        <v>7</v>
      </c>
      <c r="E4014" t="s">
        <v>7</v>
      </c>
      <c r="F4014" t="s">
        <v>7</v>
      </c>
      <c r="G4014" t="s">
        <v>7</v>
      </c>
      <c r="H4014">
        <v>11069.1</v>
      </c>
      <c r="I4014">
        <v>3114.98</v>
      </c>
      <c r="J4014">
        <v>0</v>
      </c>
    </row>
    <row r="4015" spans="1:10" x14ac:dyDescent="0.35">
      <c r="A4015">
        <v>321710</v>
      </c>
      <c r="B4015" t="s">
        <v>20</v>
      </c>
      <c r="C4015">
        <v>2015</v>
      </c>
      <c r="D4015">
        <v>7</v>
      </c>
      <c r="E4015" t="s">
        <v>7</v>
      </c>
      <c r="F4015" t="s">
        <v>7</v>
      </c>
      <c r="G4015" t="s">
        <v>7</v>
      </c>
      <c r="H4015">
        <v>24821.24</v>
      </c>
      <c r="I4015">
        <v>7287.95</v>
      </c>
      <c r="J4015">
        <v>0</v>
      </c>
    </row>
    <row r="4016" spans="1:10" x14ac:dyDescent="0.35">
      <c r="A4016">
        <v>321716</v>
      </c>
      <c r="B4016" t="s">
        <v>20</v>
      </c>
      <c r="C4016">
        <v>2015</v>
      </c>
      <c r="D4016">
        <v>7</v>
      </c>
      <c r="E4016" t="s">
        <v>7</v>
      </c>
      <c r="F4016" t="s">
        <v>7</v>
      </c>
      <c r="G4016" t="s">
        <v>7</v>
      </c>
      <c r="H4016">
        <v>97428.95</v>
      </c>
      <c r="I4016">
        <v>29070.59</v>
      </c>
      <c r="J4016">
        <v>0</v>
      </c>
    </row>
    <row r="4017" spans="1:10" x14ac:dyDescent="0.35">
      <c r="A4017">
        <v>321717</v>
      </c>
      <c r="B4017" t="s">
        <v>20</v>
      </c>
      <c r="C4017">
        <v>2015</v>
      </c>
      <c r="D4017">
        <v>7</v>
      </c>
      <c r="E4017" t="s">
        <v>7</v>
      </c>
      <c r="F4017" t="s">
        <v>7</v>
      </c>
      <c r="G4017" t="s">
        <v>7</v>
      </c>
      <c r="H4017">
        <v>65715.199999999997</v>
      </c>
      <c r="I4017">
        <v>47198.35</v>
      </c>
      <c r="J4017">
        <v>0</v>
      </c>
    </row>
    <row r="4018" spans="1:10" x14ac:dyDescent="0.35">
      <c r="A4018">
        <v>321718</v>
      </c>
      <c r="B4018" t="s">
        <v>20</v>
      </c>
      <c r="C4018">
        <v>2015</v>
      </c>
      <c r="D4018">
        <v>7</v>
      </c>
      <c r="E4018" t="s">
        <v>7</v>
      </c>
      <c r="F4018" t="s">
        <v>7</v>
      </c>
      <c r="G4018" t="s">
        <v>7</v>
      </c>
      <c r="H4018">
        <v>98115.8</v>
      </c>
      <c r="I4018">
        <v>56526.82</v>
      </c>
      <c r="J4018">
        <v>0</v>
      </c>
    </row>
    <row r="4019" spans="1:10" x14ac:dyDescent="0.35">
      <c r="A4019">
        <v>321719</v>
      </c>
      <c r="B4019" t="s">
        <v>20</v>
      </c>
      <c r="C4019">
        <v>2015</v>
      </c>
      <c r="D4019">
        <v>7</v>
      </c>
      <c r="E4019" t="s">
        <v>7</v>
      </c>
      <c r="F4019" t="s">
        <v>7</v>
      </c>
      <c r="G4019" t="s">
        <v>7</v>
      </c>
      <c r="H4019">
        <v>27561.439999999999</v>
      </c>
      <c r="I4019">
        <v>6587.25</v>
      </c>
      <c r="J4019">
        <v>0</v>
      </c>
    </row>
    <row r="4020" spans="1:10" x14ac:dyDescent="0.35">
      <c r="A4020">
        <v>321720</v>
      </c>
      <c r="B4020" t="s">
        <v>20</v>
      </c>
      <c r="C4020">
        <v>2015</v>
      </c>
      <c r="D4020">
        <v>7</v>
      </c>
      <c r="E4020" t="s">
        <v>7</v>
      </c>
      <c r="F4020" t="s">
        <v>7</v>
      </c>
      <c r="G4020" t="s">
        <v>7</v>
      </c>
      <c r="H4020">
        <v>18391.66</v>
      </c>
      <c r="I4020">
        <v>9482.82</v>
      </c>
      <c r="J4020">
        <v>0</v>
      </c>
    </row>
    <row r="4021" spans="1:10" x14ac:dyDescent="0.35">
      <c r="A4021">
        <v>321721</v>
      </c>
      <c r="B4021" t="s">
        <v>20</v>
      </c>
      <c r="C4021">
        <v>2015</v>
      </c>
      <c r="D4021">
        <v>7</v>
      </c>
      <c r="E4021" t="s">
        <v>7</v>
      </c>
      <c r="F4021" t="s">
        <v>7</v>
      </c>
      <c r="G4021" t="s">
        <v>7</v>
      </c>
      <c r="H4021">
        <v>63622.2</v>
      </c>
      <c r="I4021">
        <v>19373.18</v>
      </c>
      <c r="J4021">
        <v>0</v>
      </c>
    </row>
    <row r="4022" spans="1:10" x14ac:dyDescent="0.35">
      <c r="A4022">
        <v>321722</v>
      </c>
      <c r="B4022" t="s">
        <v>20</v>
      </c>
      <c r="C4022">
        <v>2015</v>
      </c>
      <c r="D4022">
        <v>7</v>
      </c>
      <c r="E4022" t="s">
        <v>7</v>
      </c>
      <c r="F4022" t="s">
        <v>7</v>
      </c>
      <c r="G4022" t="s">
        <v>7</v>
      </c>
      <c r="H4022">
        <v>17252.02</v>
      </c>
      <c r="I4022">
        <v>4305.62</v>
      </c>
      <c r="J4022">
        <v>0</v>
      </c>
    </row>
    <row r="4023" spans="1:10" x14ac:dyDescent="0.35">
      <c r="A4023">
        <v>321725</v>
      </c>
      <c r="B4023" t="s">
        <v>20</v>
      </c>
      <c r="C4023">
        <v>2015</v>
      </c>
      <c r="D4023">
        <v>7</v>
      </c>
      <c r="E4023" t="s">
        <v>7</v>
      </c>
      <c r="F4023" t="s">
        <v>7</v>
      </c>
      <c r="G4023" t="s">
        <v>7</v>
      </c>
      <c r="H4023">
        <v>66681.66</v>
      </c>
      <c r="I4023">
        <v>48961.83</v>
      </c>
      <c r="J4023">
        <v>0</v>
      </c>
    </row>
    <row r="4024" spans="1:10" x14ac:dyDescent="0.35">
      <c r="A4024">
        <v>321727</v>
      </c>
      <c r="B4024" t="s">
        <v>20</v>
      </c>
      <c r="C4024">
        <v>2015</v>
      </c>
      <c r="D4024">
        <v>7</v>
      </c>
      <c r="E4024" t="s">
        <v>7</v>
      </c>
      <c r="F4024" t="s">
        <v>7</v>
      </c>
      <c r="G4024" t="s">
        <v>7</v>
      </c>
      <c r="H4024">
        <v>70730.740000000005</v>
      </c>
      <c r="I4024">
        <v>56774.65</v>
      </c>
      <c r="J4024">
        <v>0</v>
      </c>
    </row>
    <row r="4025" spans="1:10" x14ac:dyDescent="0.35">
      <c r="A4025">
        <v>321728</v>
      </c>
      <c r="B4025" t="s">
        <v>20</v>
      </c>
      <c r="C4025">
        <v>2015</v>
      </c>
      <c r="D4025">
        <v>7</v>
      </c>
      <c r="E4025" t="s">
        <v>7</v>
      </c>
      <c r="F4025" t="s">
        <v>7</v>
      </c>
      <c r="G4025" t="s">
        <v>7</v>
      </c>
      <c r="H4025">
        <v>25612.66</v>
      </c>
      <c r="I4025">
        <v>7470.72</v>
      </c>
      <c r="J4025">
        <v>0</v>
      </c>
    </row>
    <row r="4026" spans="1:10" x14ac:dyDescent="0.35">
      <c r="A4026">
        <v>321730</v>
      </c>
      <c r="B4026" t="s">
        <v>20</v>
      </c>
      <c r="C4026">
        <v>2015</v>
      </c>
      <c r="D4026">
        <v>7</v>
      </c>
      <c r="E4026" t="s">
        <v>7</v>
      </c>
      <c r="F4026" t="s">
        <v>7</v>
      </c>
      <c r="G4026" t="s">
        <v>7</v>
      </c>
      <c r="H4026">
        <v>49609</v>
      </c>
      <c r="I4026">
        <v>18041.349999999999</v>
      </c>
      <c r="J4026">
        <v>0</v>
      </c>
    </row>
    <row r="4027" spans="1:10" x14ac:dyDescent="0.35">
      <c r="A4027">
        <v>321734</v>
      </c>
      <c r="B4027" t="s">
        <v>20</v>
      </c>
      <c r="C4027">
        <v>2015</v>
      </c>
      <c r="D4027">
        <v>7</v>
      </c>
      <c r="E4027" t="s">
        <v>7</v>
      </c>
      <c r="F4027" t="s">
        <v>7</v>
      </c>
      <c r="G4027" t="s">
        <v>7</v>
      </c>
      <c r="H4027">
        <v>29899.08</v>
      </c>
      <c r="I4027">
        <v>6400.75</v>
      </c>
      <c r="J4027">
        <v>0</v>
      </c>
    </row>
    <row r="4028" spans="1:10" x14ac:dyDescent="0.35">
      <c r="A4028">
        <v>321735</v>
      </c>
      <c r="B4028" t="s">
        <v>20</v>
      </c>
      <c r="C4028">
        <v>2015</v>
      </c>
      <c r="D4028">
        <v>7</v>
      </c>
      <c r="E4028" t="s">
        <v>7</v>
      </c>
      <c r="F4028" t="s">
        <v>7</v>
      </c>
      <c r="G4028" t="s">
        <v>7</v>
      </c>
      <c r="H4028">
        <v>99583.54</v>
      </c>
      <c r="I4028">
        <v>80358.84</v>
      </c>
      <c r="J4028">
        <v>0</v>
      </c>
    </row>
    <row r="4029" spans="1:10" x14ac:dyDescent="0.35">
      <c r="A4029">
        <v>321739</v>
      </c>
      <c r="B4029" t="s">
        <v>20</v>
      </c>
      <c r="C4029">
        <v>2015</v>
      </c>
      <c r="D4029">
        <v>7</v>
      </c>
      <c r="E4029" t="s">
        <v>7</v>
      </c>
      <c r="F4029" t="s">
        <v>7</v>
      </c>
      <c r="G4029" t="s">
        <v>7</v>
      </c>
      <c r="H4029">
        <v>49121.1</v>
      </c>
      <c r="I4029">
        <v>13333.84</v>
      </c>
      <c r="J4029">
        <v>0</v>
      </c>
    </row>
    <row r="4030" spans="1:10" x14ac:dyDescent="0.35">
      <c r="A4030">
        <v>321740</v>
      </c>
      <c r="B4030" t="s">
        <v>20</v>
      </c>
      <c r="C4030">
        <v>2015</v>
      </c>
      <c r="D4030">
        <v>7</v>
      </c>
      <c r="E4030" t="s">
        <v>7</v>
      </c>
      <c r="F4030" t="s">
        <v>7</v>
      </c>
      <c r="G4030" t="s">
        <v>7</v>
      </c>
      <c r="H4030">
        <v>63884.34</v>
      </c>
      <c r="I4030">
        <v>19346.8</v>
      </c>
      <c r="J4030">
        <v>0</v>
      </c>
    </row>
    <row r="4031" spans="1:10" x14ac:dyDescent="0.35">
      <c r="A4031">
        <v>321741</v>
      </c>
      <c r="B4031" t="s">
        <v>20</v>
      </c>
      <c r="C4031">
        <v>2015</v>
      </c>
      <c r="D4031">
        <v>7</v>
      </c>
      <c r="E4031" t="s">
        <v>7</v>
      </c>
      <c r="F4031" t="s">
        <v>7</v>
      </c>
      <c r="G4031" t="s">
        <v>7</v>
      </c>
      <c r="H4031">
        <v>47931.17</v>
      </c>
      <c r="I4031">
        <v>25623.21</v>
      </c>
      <c r="J4031">
        <v>0</v>
      </c>
    </row>
    <row r="4032" spans="1:10" x14ac:dyDescent="0.35">
      <c r="A4032">
        <v>321743</v>
      </c>
      <c r="B4032" t="s">
        <v>20</v>
      </c>
      <c r="C4032">
        <v>2015</v>
      </c>
      <c r="D4032">
        <v>7</v>
      </c>
      <c r="E4032" t="s">
        <v>7</v>
      </c>
      <c r="F4032" t="s">
        <v>7</v>
      </c>
      <c r="G4032" t="s">
        <v>7</v>
      </c>
      <c r="H4032">
        <v>32415.88</v>
      </c>
      <c r="I4032">
        <v>12288.47</v>
      </c>
      <c r="J4032">
        <v>0</v>
      </c>
    </row>
    <row r="4033" spans="1:10" x14ac:dyDescent="0.35">
      <c r="A4033">
        <v>321744</v>
      </c>
      <c r="B4033" t="s">
        <v>20</v>
      </c>
      <c r="C4033">
        <v>2015</v>
      </c>
      <c r="D4033">
        <v>7</v>
      </c>
      <c r="E4033" t="s">
        <v>7</v>
      </c>
      <c r="F4033" t="s">
        <v>7</v>
      </c>
      <c r="G4033" t="s">
        <v>7</v>
      </c>
      <c r="H4033">
        <v>29582.92</v>
      </c>
      <c r="I4033">
        <v>9072.6</v>
      </c>
      <c r="J4033">
        <v>0</v>
      </c>
    </row>
    <row r="4034" spans="1:10" x14ac:dyDescent="0.35">
      <c r="A4034">
        <v>321746</v>
      </c>
      <c r="B4034" t="s">
        <v>20</v>
      </c>
      <c r="C4034">
        <v>2015</v>
      </c>
      <c r="D4034">
        <v>7</v>
      </c>
      <c r="E4034" t="s">
        <v>7</v>
      </c>
      <c r="F4034" t="s">
        <v>7</v>
      </c>
      <c r="G4034" t="s">
        <v>7</v>
      </c>
      <c r="H4034">
        <v>11798.44</v>
      </c>
      <c r="I4034">
        <v>2588.5100000000002</v>
      </c>
      <c r="J4034">
        <v>0</v>
      </c>
    </row>
    <row r="4035" spans="1:10" x14ac:dyDescent="0.35">
      <c r="A4035">
        <v>321748</v>
      </c>
      <c r="B4035" t="s">
        <v>20</v>
      </c>
      <c r="C4035">
        <v>2015</v>
      </c>
      <c r="D4035">
        <v>7</v>
      </c>
      <c r="E4035" t="s">
        <v>7</v>
      </c>
      <c r="F4035" t="s">
        <v>7</v>
      </c>
      <c r="G4035" t="s">
        <v>7</v>
      </c>
      <c r="H4035">
        <v>118182.34</v>
      </c>
      <c r="I4035">
        <v>91408.52</v>
      </c>
      <c r="J4035">
        <v>0</v>
      </c>
    </row>
    <row r="4036" spans="1:10" x14ac:dyDescent="0.35">
      <c r="A4036">
        <v>321754</v>
      </c>
      <c r="B4036" t="s">
        <v>20</v>
      </c>
      <c r="C4036">
        <v>2015</v>
      </c>
      <c r="D4036">
        <v>7</v>
      </c>
      <c r="E4036" t="s">
        <v>7</v>
      </c>
      <c r="F4036" t="s">
        <v>7</v>
      </c>
      <c r="G4036" t="s">
        <v>7</v>
      </c>
      <c r="H4036">
        <v>58687.7</v>
      </c>
      <c r="I4036">
        <v>34004.97</v>
      </c>
      <c r="J4036">
        <v>0</v>
      </c>
    </row>
    <row r="4037" spans="1:10" x14ac:dyDescent="0.35">
      <c r="A4037">
        <v>321755</v>
      </c>
      <c r="B4037" t="s">
        <v>20</v>
      </c>
      <c r="C4037">
        <v>2015</v>
      </c>
      <c r="D4037">
        <v>7</v>
      </c>
      <c r="E4037" t="s">
        <v>7</v>
      </c>
      <c r="F4037" t="s">
        <v>7</v>
      </c>
      <c r="G4037" t="s">
        <v>7</v>
      </c>
      <c r="H4037">
        <v>177181.89</v>
      </c>
      <c r="I4037">
        <v>152615.04999999999</v>
      </c>
      <c r="J4037">
        <v>0</v>
      </c>
    </row>
    <row r="4038" spans="1:10" x14ac:dyDescent="0.35">
      <c r="A4038">
        <v>321756</v>
      </c>
      <c r="B4038" t="s">
        <v>20</v>
      </c>
      <c r="C4038">
        <v>2015</v>
      </c>
      <c r="D4038">
        <v>7</v>
      </c>
      <c r="E4038" t="s">
        <v>7</v>
      </c>
      <c r="F4038" t="s">
        <v>7</v>
      </c>
      <c r="G4038" t="s">
        <v>7</v>
      </c>
      <c r="H4038">
        <v>75233.52</v>
      </c>
      <c r="I4038">
        <v>57830.02</v>
      </c>
      <c r="J4038">
        <v>0</v>
      </c>
    </row>
    <row r="4039" spans="1:10" x14ac:dyDescent="0.35">
      <c r="A4039">
        <v>321758</v>
      </c>
      <c r="B4039" t="s">
        <v>20</v>
      </c>
      <c r="C4039">
        <v>2015</v>
      </c>
      <c r="D4039">
        <v>7</v>
      </c>
      <c r="E4039" t="s">
        <v>7</v>
      </c>
      <c r="F4039" t="s">
        <v>7</v>
      </c>
      <c r="G4039" t="s">
        <v>7</v>
      </c>
      <c r="H4039">
        <v>25753.119999999999</v>
      </c>
      <c r="I4039">
        <v>5734.32</v>
      </c>
      <c r="J4039">
        <v>0</v>
      </c>
    </row>
    <row r="4040" spans="1:10" x14ac:dyDescent="0.35">
      <c r="A4040">
        <v>321759</v>
      </c>
      <c r="B4040" t="s">
        <v>20</v>
      </c>
      <c r="C4040">
        <v>2015</v>
      </c>
      <c r="D4040">
        <v>7</v>
      </c>
      <c r="E4040" t="s">
        <v>7</v>
      </c>
      <c r="F4040" t="s">
        <v>7</v>
      </c>
      <c r="G4040" t="s">
        <v>7</v>
      </c>
      <c r="H4040">
        <v>21789.58</v>
      </c>
      <c r="I4040">
        <v>5235.8999999999996</v>
      </c>
      <c r="J4040">
        <v>0</v>
      </c>
    </row>
    <row r="4041" spans="1:10" x14ac:dyDescent="0.35">
      <c r="A4041">
        <v>321760</v>
      </c>
      <c r="B4041" t="s">
        <v>20</v>
      </c>
      <c r="C4041">
        <v>2015</v>
      </c>
      <c r="D4041">
        <v>7</v>
      </c>
      <c r="E4041" t="s">
        <v>7</v>
      </c>
      <c r="F4041" t="s">
        <v>7</v>
      </c>
      <c r="G4041" t="s">
        <v>7</v>
      </c>
      <c r="H4041">
        <v>62321.1</v>
      </c>
      <c r="I4041">
        <v>42476.73</v>
      </c>
      <c r="J4041">
        <v>0</v>
      </c>
    </row>
    <row r="4042" spans="1:10" x14ac:dyDescent="0.35">
      <c r="A4042">
        <v>321761</v>
      </c>
      <c r="B4042" t="s">
        <v>20</v>
      </c>
      <c r="C4042">
        <v>2015</v>
      </c>
      <c r="D4042">
        <v>7</v>
      </c>
      <c r="E4042" t="s">
        <v>7</v>
      </c>
      <c r="F4042" t="s">
        <v>7</v>
      </c>
      <c r="G4042" t="s">
        <v>7</v>
      </c>
      <c r="H4042">
        <v>62173.26</v>
      </c>
      <c r="I4042">
        <v>42938.44</v>
      </c>
      <c r="J4042">
        <v>0</v>
      </c>
    </row>
    <row r="4043" spans="1:10" x14ac:dyDescent="0.35">
      <c r="A4043">
        <v>321762</v>
      </c>
      <c r="B4043" t="s">
        <v>20</v>
      </c>
      <c r="C4043">
        <v>2015</v>
      </c>
      <c r="D4043">
        <v>7</v>
      </c>
      <c r="E4043" t="s">
        <v>7</v>
      </c>
      <c r="F4043" t="s">
        <v>7</v>
      </c>
      <c r="G4043" t="s">
        <v>7</v>
      </c>
      <c r="H4043">
        <v>65879.259999999995</v>
      </c>
      <c r="I4043">
        <v>48502.73</v>
      </c>
      <c r="J4043">
        <v>0</v>
      </c>
    </row>
    <row r="4044" spans="1:10" x14ac:dyDescent="0.35">
      <c r="A4044">
        <v>321764</v>
      </c>
      <c r="B4044" t="s">
        <v>20</v>
      </c>
      <c r="C4044">
        <v>2015</v>
      </c>
      <c r="D4044">
        <v>7</v>
      </c>
      <c r="E4044" t="s">
        <v>7</v>
      </c>
      <c r="F4044" t="s">
        <v>7</v>
      </c>
      <c r="G4044" t="s">
        <v>7</v>
      </c>
      <c r="H4044">
        <v>29155.26</v>
      </c>
      <c r="I4044">
        <v>8385.25</v>
      </c>
      <c r="J4044">
        <v>0</v>
      </c>
    </row>
    <row r="4045" spans="1:10" x14ac:dyDescent="0.35">
      <c r="A4045">
        <v>321768</v>
      </c>
      <c r="B4045" t="s">
        <v>20</v>
      </c>
      <c r="C4045">
        <v>2015</v>
      </c>
      <c r="D4045">
        <v>7</v>
      </c>
      <c r="E4045" t="s">
        <v>7</v>
      </c>
      <c r="F4045" t="s">
        <v>7</v>
      </c>
      <c r="G4045" t="s">
        <v>7</v>
      </c>
      <c r="H4045">
        <v>28211.5</v>
      </c>
      <c r="I4045">
        <v>8312.39</v>
      </c>
      <c r="J4045">
        <v>0</v>
      </c>
    </row>
    <row r="4046" spans="1:10" x14ac:dyDescent="0.35">
      <c r="A4046">
        <v>321771</v>
      </c>
      <c r="B4046" t="s">
        <v>20</v>
      </c>
      <c r="C4046">
        <v>2015</v>
      </c>
      <c r="D4046">
        <v>7</v>
      </c>
      <c r="E4046" t="s">
        <v>7</v>
      </c>
      <c r="F4046" t="s">
        <v>7</v>
      </c>
      <c r="G4046" t="s">
        <v>7</v>
      </c>
      <c r="H4046">
        <v>71653.86</v>
      </c>
      <c r="I4046">
        <v>54269.15</v>
      </c>
      <c r="J4046">
        <v>0</v>
      </c>
    </row>
    <row r="4047" spans="1:10" x14ac:dyDescent="0.35">
      <c r="A4047">
        <v>321777</v>
      </c>
      <c r="B4047" t="s">
        <v>20</v>
      </c>
      <c r="C4047">
        <v>2015</v>
      </c>
      <c r="D4047">
        <v>7</v>
      </c>
      <c r="E4047" t="s">
        <v>7</v>
      </c>
      <c r="F4047" t="s">
        <v>7</v>
      </c>
      <c r="G4047" t="s">
        <v>7</v>
      </c>
      <c r="H4047">
        <v>55877.18</v>
      </c>
      <c r="I4047">
        <v>31094.46</v>
      </c>
      <c r="J4047">
        <v>0</v>
      </c>
    </row>
    <row r="4048" spans="1:10" x14ac:dyDescent="0.35">
      <c r="A4048">
        <v>321779</v>
      </c>
      <c r="B4048" t="s">
        <v>20</v>
      </c>
      <c r="C4048">
        <v>2015</v>
      </c>
      <c r="D4048">
        <v>7</v>
      </c>
      <c r="E4048" t="s">
        <v>7</v>
      </c>
      <c r="F4048" t="s">
        <v>7</v>
      </c>
      <c r="G4048" t="s">
        <v>7</v>
      </c>
      <c r="H4048">
        <v>12406.32</v>
      </c>
      <c r="I4048">
        <v>3035.96</v>
      </c>
      <c r="J4048">
        <v>0</v>
      </c>
    </row>
    <row r="4049" spans="1:10" x14ac:dyDescent="0.35">
      <c r="A4049">
        <v>321784</v>
      </c>
      <c r="B4049" t="s">
        <v>20</v>
      </c>
      <c r="C4049">
        <v>2015</v>
      </c>
      <c r="D4049">
        <v>7</v>
      </c>
      <c r="E4049" t="s">
        <v>7</v>
      </c>
      <c r="F4049" t="s">
        <v>7</v>
      </c>
      <c r="G4049" t="s">
        <v>7</v>
      </c>
      <c r="H4049">
        <v>50923.33</v>
      </c>
      <c r="I4049">
        <v>18290.03</v>
      </c>
      <c r="J4049">
        <v>0</v>
      </c>
    </row>
    <row r="4050" spans="1:10" x14ac:dyDescent="0.35">
      <c r="A4050">
        <v>321790</v>
      </c>
      <c r="B4050" t="s">
        <v>20</v>
      </c>
      <c r="C4050">
        <v>2015</v>
      </c>
      <c r="D4050">
        <v>7</v>
      </c>
      <c r="E4050" t="s">
        <v>7</v>
      </c>
      <c r="F4050" t="s">
        <v>7</v>
      </c>
      <c r="G4050" t="s">
        <v>7</v>
      </c>
      <c r="H4050">
        <v>92848.22</v>
      </c>
      <c r="I4050">
        <v>25998.82</v>
      </c>
      <c r="J4050">
        <v>0</v>
      </c>
    </row>
    <row r="4051" spans="1:10" x14ac:dyDescent="0.35">
      <c r="A4051">
        <v>321792</v>
      </c>
      <c r="B4051" t="s">
        <v>20</v>
      </c>
      <c r="C4051">
        <v>2015</v>
      </c>
      <c r="D4051">
        <v>7</v>
      </c>
      <c r="E4051" t="s">
        <v>7</v>
      </c>
      <c r="F4051" t="s">
        <v>7</v>
      </c>
      <c r="G4051" t="s">
        <v>7</v>
      </c>
      <c r="H4051">
        <v>53649.16</v>
      </c>
      <c r="I4051">
        <v>19682.95</v>
      </c>
      <c r="J4051">
        <v>0</v>
      </c>
    </row>
    <row r="4052" spans="1:10" x14ac:dyDescent="0.35">
      <c r="A4052">
        <v>321794</v>
      </c>
      <c r="B4052" t="s">
        <v>20</v>
      </c>
      <c r="C4052">
        <v>2015</v>
      </c>
      <c r="D4052">
        <v>7</v>
      </c>
      <c r="E4052" t="s">
        <v>7</v>
      </c>
      <c r="F4052" t="s">
        <v>7</v>
      </c>
      <c r="G4052" t="s">
        <v>7</v>
      </c>
      <c r="H4052">
        <v>28337.62</v>
      </c>
      <c r="I4052">
        <v>7989.52</v>
      </c>
      <c r="J4052">
        <v>0</v>
      </c>
    </row>
    <row r="4053" spans="1:10" x14ac:dyDescent="0.35">
      <c r="A4053">
        <v>321795</v>
      </c>
      <c r="B4053" t="s">
        <v>20</v>
      </c>
      <c r="C4053">
        <v>2015</v>
      </c>
      <c r="D4053">
        <v>7</v>
      </c>
      <c r="E4053" t="s">
        <v>7</v>
      </c>
      <c r="F4053" t="s">
        <v>7</v>
      </c>
      <c r="G4053" t="s">
        <v>7</v>
      </c>
      <c r="H4053">
        <v>112358.32</v>
      </c>
      <c r="I4053">
        <v>43807.55</v>
      </c>
      <c r="J4053">
        <v>0</v>
      </c>
    </row>
    <row r="4054" spans="1:10" x14ac:dyDescent="0.35">
      <c r="A4054">
        <v>321798</v>
      </c>
      <c r="B4054" t="s">
        <v>20</v>
      </c>
      <c r="C4054">
        <v>2015</v>
      </c>
      <c r="D4054">
        <v>7</v>
      </c>
      <c r="E4054" t="s">
        <v>7</v>
      </c>
      <c r="F4054" t="s">
        <v>7</v>
      </c>
      <c r="G4054" t="s">
        <v>7</v>
      </c>
      <c r="H4054">
        <v>23180.62</v>
      </c>
      <c r="I4054">
        <v>6238.64</v>
      </c>
      <c r="J4054">
        <v>0</v>
      </c>
    </row>
    <row r="4055" spans="1:10" x14ac:dyDescent="0.35">
      <c r="A4055">
        <v>321802</v>
      </c>
      <c r="B4055" t="s">
        <v>20</v>
      </c>
      <c r="C4055">
        <v>2015</v>
      </c>
      <c r="D4055">
        <v>7</v>
      </c>
      <c r="E4055" t="s">
        <v>7</v>
      </c>
      <c r="F4055" t="s">
        <v>7</v>
      </c>
      <c r="G4055" t="s">
        <v>7</v>
      </c>
      <c r="H4055">
        <v>64288.34</v>
      </c>
      <c r="I4055">
        <v>46598.54</v>
      </c>
      <c r="J4055">
        <v>0</v>
      </c>
    </row>
    <row r="4056" spans="1:10" x14ac:dyDescent="0.35">
      <c r="A4056">
        <v>321806</v>
      </c>
      <c r="B4056" t="s">
        <v>20</v>
      </c>
      <c r="C4056">
        <v>2015</v>
      </c>
      <c r="D4056">
        <v>7</v>
      </c>
      <c r="E4056" t="s">
        <v>7</v>
      </c>
      <c r="F4056" t="s">
        <v>7</v>
      </c>
      <c r="G4056" t="s">
        <v>7</v>
      </c>
      <c r="H4056">
        <v>16159.78</v>
      </c>
      <c r="I4056">
        <v>4710.41</v>
      </c>
      <c r="J4056">
        <v>0</v>
      </c>
    </row>
    <row r="4057" spans="1:10" x14ac:dyDescent="0.35">
      <c r="A4057">
        <v>321807</v>
      </c>
      <c r="B4057" t="s">
        <v>20</v>
      </c>
      <c r="C4057">
        <v>2015</v>
      </c>
      <c r="D4057">
        <v>7</v>
      </c>
      <c r="E4057" t="s">
        <v>7</v>
      </c>
      <c r="F4057" t="s">
        <v>7</v>
      </c>
      <c r="G4057" t="s">
        <v>7</v>
      </c>
      <c r="H4057">
        <v>15150.24</v>
      </c>
      <c r="I4057">
        <v>5085.88</v>
      </c>
      <c r="J4057">
        <v>0</v>
      </c>
    </row>
    <row r="4058" spans="1:10" x14ac:dyDescent="0.35">
      <c r="A4058">
        <v>321808</v>
      </c>
      <c r="B4058" t="s">
        <v>20</v>
      </c>
      <c r="C4058">
        <v>2015</v>
      </c>
      <c r="D4058">
        <v>7</v>
      </c>
      <c r="E4058" t="s">
        <v>7</v>
      </c>
      <c r="F4058" t="s">
        <v>7</v>
      </c>
      <c r="G4058" t="s">
        <v>7</v>
      </c>
      <c r="H4058">
        <v>16986.72</v>
      </c>
      <c r="I4058">
        <v>5107.1000000000004</v>
      </c>
      <c r="J4058">
        <v>0</v>
      </c>
    </row>
    <row r="4059" spans="1:10" x14ac:dyDescent="0.35">
      <c r="A4059">
        <v>321810</v>
      </c>
      <c r="B4059" t="s">
        <v>20</v>
      </c>
      <c r="C4059">
        <v>2015</v>
      </c>
      <c r="D4059">
        <v>7</v>
      </c>
      <c r="E4059" t="s">
        <v>7</v>
      </c>
      <c r="F4059" t="s">
        <v>7</v>
      </c>
      <c r="G4059" t="s">
        <v>7</v>
      </c>
      <c r="H4059">
        <v>21146.84</v>
      </c>
      <c r="I4059">
        <v>4918.7299999999996</v>
      </c>
      <c r="J4059">
        <v>0</v>
      </c>
    </row>
    <row r="4060" spans="1:10" x14ac:dyDescent="0.35">
      <c r="A4060">
        <v>321812</v>
      </c>
      <c r="B4060" t="s">
        <v>20</v>
      </c>
      <c r="C4060">
        <v>2015</v>
      </c>
      <c r="D4060">
        <v>7</v>
      </c>
      <c r="E4060" t="s">
        <v>7</v>
      </c>
      <c r="F4060" t="s">
        <v>7</v>
      </c>
      <c r="G4060" t="s">
        <v>7</v>
      </c>
      <c r="H4060">
        <v>73069.78</v>
      </c>
      <c r="I4060">
        <v>54522.81</v>
      </c>
      <c r="J4060">
        <v>0</v>
      </c>
    </row>
    <row r="4061" spans="1:10" x14ac:dyDescent="0.35">
      <c r="A4061">
        <v>321817</v>
      </c>
      <c r="B4061" t="s">
        <v>20</v>
      </c>
      <c r="C4061">
        <v>2015</v>
      </c>
      <c r="D4061">
        <v>7</v>
      </c>
      <c r="E4061" t="s">
        <v>7</v>
      </c>
      <c r="F4061" t="s">
        <v>7</v>
      </c>
      <c r="G4061" t="s">
        <v>7</v>
      </c>
      <c r="H4061">
        <v>53306.16</v>
      </c>
      <c r="I4061">
        <v>23878.639999999999</v>
      </c>
      <c r="J4061">
        <v>0</v>
      </c>
    </row>
    <row r="4062" spans="1:10" x14ac:dyDescent="0.35">
      <c r="A4062">
        <v>321818</v>
      </c>
      <c r="B4062" t="s">
        <v>20</v>
      </c>
      <c r="C4062">
        <v>2015</v>
      </c>
      <c r="D4062">
        <v>7</v>
      </c>
      <c r="E4062" t="s">
        <v>7</v>
      </c>
      <c r="F4062" t="s">
        <v>7</v>
      </c>
      <c r="G4062" t="s">
        <v>7</v>
      </c>
      <c r="H4062">
        <v>53157.760000000002</v>
      </c>
      <c r="I4062">
        <v>16245.77</v>
      </c>
      <c r="J4062">
        <v>0</v>
      </c>
    </row>
    <row r="4063" spans="1:10" x14ac:dyDescent="0.35">
      <c r="A4063">
        <v>321819</v>
      </c>
      <c r="B4063" t="s">
        <v>20</v>
      </c>
      <c r="C4063">
        <v>2015</v>
      </c>
      <c r="D4063">
        <v>7</v>
      </c>
      <c r="E4063" t="s">
        <v>7</v>
      </c>
      <c r="F4063" t="s">
        <v>7</v>
      </c>
      <c r="G4063" t="s">
        <v>7</v>
      </c>
      <c r="H4063">
        <v>25022.36</v>
      </c>
      <c r="I4063">
        <v>5517.74</v>
      </c>
      <c r="J4063">
        <v>0</v>
      </c>
    </row>
    <row r="4064" spans="1:10" x14ac:dyDescent="0.35">
      <c r="A4064">
        <v>321822</v>
      </c>
      <c r="B4064" t="s">
        <v>20</v>
      </c>
      <c r="C4064">
        <v>2015</v>
      </c>
      <c r="D4064">
        <v>7</v>
      </c>
      <c r="E4064" t="s">
        <v>7</v>
      </c>
      <c r="F4064" t="s">
        <v>7</v>
      </c>
      <c r="G4064" t="s">
        <v>7</v>
      </c>
      <c r="H4064">
        <v>82288.92</v>
      </c>
      <c r="I4064">
        <v>58217.11</v>
      </c>
      <c r="J4064">
        <v>0</v>
      </c>
    </row>
    <row r="4065" spans="1:10" x14ac:dyDescent="0.35">
      <c r="A4065">
        <v>321823</v>
      </c>
      <c r="B4065" t="s">
        <v>20</v>
      </c>
      <c r="C4065">
        <v>2015</v>
      </c>
      <c r="D4065">
        <v>7</v>
      </c>
      <c r="E4065" t="s">
        <v>7</v>
      </c>
      <c r="F4065" t="s">
        <v>7</v>
      </c>
      <c r="G4065" t="s">
        <v>7</v>
      </c>
      <c r="H4065">
        <v>115009.1</v>
      </c>
      <c r="I4065">
        <v>101807.86</v>
      </c>
      <c r="J4065">
        <v>0</v>
      </c>
    </row>
    <row r="4066" spans="1:10" x14ac:dyDescent="0.35">
      <c r="A4066">
        <v>321825</v>
      </c>
      <c r="B4066" t="s">
        <v>20</v>
      </c>
      <c r="C4066">
        <v>2015</v>
      </c>
      <c r="D4066">
        <v>7</v>
      </c>
      <c r="E4066" t="s">
        <v>7</v>
      </c>
      <c r="F4066" t="s">
        <v>7</v>
      </c>
      <c r="G4066" t="s">
        <v>7</v>
      </c>
      <c r="H4066">
        <v>46647.56</v>
      </c>
      <c r="I4066">
        <v>14169.03</v>
      </c>
      <c r="J4066">
        <v>0</v>
      </c>
    </row>
    <row r="4067" spans="1:10" x14ac:dyDescent="0.35">
      <c r="A4067">
        <v>321827</v>
      </c>
      <c r="B4067" t="s">
        <v>20</v>
      </c>
      <c r="C4067">
        <v>2015</v>
      </c>
      <c r="D4067">
        <v>7</v>
      </c>
      <c r="E4067" t="s">
        <v>7</v>
      </c>
      <c r="F4067" t="s">
        <v>7</v>
      </c>
      <c r="G4067" t="s">
        <v>7</v>
      </c>
      <c r="H4067">
        <v>20529.98</v>
      </c>
      <c r="I4067">
        <v>6014.06</v>
      </c>
      <c r="J4067">
        <v>0</v>
      </c>
    </row>
    <row r="4068" spans="1:10" x14ac:dyDescent="0.35">
      <c r="A4068">
        <v>321835</v>
      </c>
      <c r="B4068" t="s">
        <v>20</v>
      </c>
      <c r="C4068">
        <v>2015</v>
      </c>
      <c r="D4068">
        <v>7</v>
      </c>
      <c r="E4068" t="s">
        <v>7</v>
      </c>
      <c r="F4068" t="s">
        <v>7</v>
      </c>
      <c r="G4068" t="s">
        <v>7</v>
      </c>
      <c r="H4068">
        <v>30085.82</v>
      </c>
      <c r="I4068">
        <v>8293.9699999999993</v>
      </c>
      <c r="J4068">
        <v>0</v>
      </c>
    </row>
    <row r="4069" spans="1:10" x14ac:dyDescent="0.35">
      <c r="A4069">
        <v>321837</v>
      </c>
      <c r="B4069" t="s">
        <v>20</v>
      </c>
      <c r="C4069">
        <v>2015</v>
      </c>
      <c r="D4069">
        <v>7</v>
      </c>
      <c r="E4069" t="s">
        <v>7</v>
      </c>
      <c r="F4069" t="s">
        <v>7</v>
      </c>
      <c r="G4069" t="s">
        <v>7</v>
      </c>
      <c r="H4069">
        <v>113741.51</v>
      </c>
      <c r="I4069">
        <v>55187.56</v>
      </c>
      <c r="J4069">
        <v>0</v>
      </c>
    </row>
    <row r="4070" spans="1:10" x14ac:dyDescent="0.35">
      <c r="A4070">
        <v>321840</v>
      </c>
      <c r="B4070" t="s">
        <v>20</v>
      </c>
      <c r="C4070">
        <v>2015</v>
      </c>
      <c r="D4070">
        <v>7</v>
      </c>
      <c r="E4070" t="s">
        <v>7</v>
      </c>
      <c r="F4070" t="s">
        <v>7</v>
      </c>
      <c r="G4070" t="s">
        <v>7</v>
      </c>
      <c r="H4070">
        <v>38708.879999999997</v>
      </c>
      <c r="I4070">
        <v>17346.96</v>
      </c>
      <c r="J4070">
        <v>0</v>
      </c>
    </row>
    <row r="4071" spans="1:10" x14ac:dyDescent="0.35">
      <c r="A4071">
        <v>321843</v>
      </c>
      <c r="B4071" t="s">
        <v>20</v>
      </c>
      <c r="C4071">
        <v>2015</v>
      </c>
      <c r="D4071">
        <v>7</v>
      </c>
      <c r="E4071" t="s">
        <v>7</v>
      </c>
      <c r="F4071" t="s">
        <v>7</v>
      </c>
      <c r="G4071" t="s">
        <v>7</v>
      </c>
      <c r="H4071">
        <v>65433.88</v>
      </c>
      <c r="I4071">
        <v>46392.36</v>
      </c>
      <c r="J4071">
        <v>0</v>
      </c>
    </row>
    <row r="4072" spans="1:10" x14ac:dyDescent="0.35">
      <c r="A4072">
        <v>321847</v>
      </c>
      <c r="B4072" t="s">
        <v>20</v>
      </c>
      <c r="C4072">
        <v>2015</v>
      </c>
      <c r="D4072">
        <v>7</v>
      </c>
      <c r="E4072" t="s">
        <v>7</v>
      </c>
      <c r="F4072" t="s">
        <v>7</v>
      </c>
      <c r="G4072" t="s">
        <v>7</v>
      </c>
      <c r="H4072">
        <v>48842.400000000001</v>
      </c>
      <c r="I4072">
        <v>14931.9</v>
      </c>
      <c r="J4072">
        <v>0</v>
      </c>
    </row>
    <row r="4073" spans="1:10" x14ac:dyDescent="0.35">
      <c r="A4073">
        <v>321848</v>
      </c>
      <c r="B4073" t="s">
        <v>20</v>
      </c>
      <c r="C4073">
        <v>2015</v>
      </c>
      <c r="D4073">
        <v>7</v>
      </c>
      <c r="E4073" t="s">
        <v>7</v>
      </c>
      <c r="F4073" t="s">
        <v>7</v>
      </c>
      <c r="G4073" t="s">
        <v>7</v>
      </c>
      <c r="H4073">
        <v>69308.06</v>
      </c>
      <c r="I4073">
        <v>52144.5</v>
      </c>
      <c r="J4073">
        <v>0</v>
      </c>
    </row>
    <row r="4074" spans="1:10" x14ac:dyDescent="0.35">
      <c r="A4074">
        <v>321849</v>
      </c>
      <c r="B4074" t="s">
        <v>20</v>
      </c>
      <c r="C4074">
        <v>2015</v>
      </c>
      <c r="D4074">
        <v>7</v>
      </c>
      <c r="E4074" t="s">
        <v>7</v>
      </c>
      <c r="F4074" t="s">
        <v>7</v>
      </c>
      <c r="G4074" t="s">
        <v>7</v>
      </c>
      <c r="H4074">
        <v>23770.42</v>
      </c>
      <c r="I4074">
        <v>4374.79</v>
      </c>
      <c r="J4074">
        <v>0</v>
      </c>
    </row>
    <row r="4075" spans="1:10" x14ac:dyDescent="0.35">
      <c r="A4075">
        <v>321851</v>
      </c>
      <c r="B4075" t="s">
        <v>20</v>
      </c>
      <c r="C4075">
        <v>2015</v>
      </c>
      <c r="D4075">
        <v>7</v>
      </c>
      <c r="E4075" t="s">
        <v>7</v>
      </c>
      <c r="F4075" t="s">
        <v>7</v>
      </c>
      <c r="G4075" t="s">
        <v>7</v>
      </c>
      <c r="H4075">
        <v>29261.919999999998</v>
      </c>
      <c r="I4075">
        <v>6205.29</v>
      </c>
      <c r="J4075">
        <v>0</v>
      </c>
    </row>
    <row r="4076" spans="1:10" x14ac:dyDescent="0.35">
      <c r="A4076">
        <v>321853</v>
      </c>
      <c r="B4076" t="s">
        <v>20</v>
      </c>
      <c r="C4076">
        <v>2015</v>
      </c>
      <c r="D4076">
        <v>7</v>
      </c>
      <c r="E4076" t="s">
        <v>7</v>
      </c>
      <c r="F4076" t="s">
        <v>7</v>
      </c>
      <c r="G4076" t="s">
        <v>7</v>
      </c>
      <c r="H4076">
        <v>38595.120000000003</v>
      </c>
      <c r="I4076">
        <v>28685.360000000001</v>
      </c>
      <c r="J4076">
        <v>0</v>
      </c>
    </row>
    <row r="4077" spans="1:10" x14ac:dyDescent="0.35">
      <c r="A4077">
        <v>321854</v>
      </c>
      <c r="B4077" t="s">
        <v>20</v>
      </c>
      <c r="C4077">
        <v>2015</v>
      </c>
      <c r="D4077">
        <v>7</v>
      </c>
      <c r="E4077" t="s">
        <v>7</v>
      </c>
      <c r="F4077" t="s">
        <v>7</v>
      </c>
      <c r="G4077" t="s">
        <v>7</v>
      </c>
      <c r="H4077">
        <v>70570.2</v>
      </c>
      <c r="I4077">
        <v>52453.440000000002</v>
      </c>
      <c r="J4077">
        <v>0</v>
      </c>
    </row>
    <row r="4078" spans="1:10" x14ac:dyDescent="0.35">
      <c r="A4078">
        <v>321856</v>
      </c>
      <c r="B4078" t="s">
        <v>20</v>
      </c>
      <c r="C4078">
        <v>2015</v>
      </c>
      <c r="D4078">
        <v>7</v>
      </c>
      <c r="E4078" t="s">
        <v>7</v>
      </c>
      <c r="F4078" t="s">
        <v>7</v>
      </c>
      <c r="G4078" t="s">
        <v>7</v>
      </c>
      <c r="H4078">
        <v>23762.6</v>
      </c>
      <c r="I4078">
        <v>7085.37</v>
      </c>
      <c r="J4078">
        <v>0</v>
      </c>
    </row>
    <row r="4079" spans="1:10" x14ac:dyDescent="0.35">
      <c r="A4079">
        <v>321857</v>
      </c>
      <c r="B4079" t="s">
        <v>20</v>
      </c>
      <c r="C4079">
        <v>2015</v>
      </c>
      <c r="D4079">
        <v>7</v>
      </c>
      <c r="E4079" t="s">
        <v>7</v>
      </c>
      <c r="F4079" t="s">
        <v>7</v>
      </c>
      <c r="G4079" t="s">
        <v>7</v>
      </c>
      <c r="H4079">
        <v>13412.28</v>
      </c>
      <c r="I4079">
        <v>3160.46</v>
      </c>
      <c r="J4079">
        <v>0</v>
      </c>
    </row>
    <row r="4080" spans="1:10" x14ac:dyDescent="0.35">
      <c r="A4080">
        <v>321863</v>
      </c>
      <c r="B4080" t="s">
        <v>20</v>
      </c>
      <c r="C4080">
        <v>2015</v>
      </c>
      <c r="D4080">
        <v>7</v>
      </c>
      <c r="E4080" t="s">
        <v>7</v>
      </c>
      <c r="F4080" t="s">
        <v>7</v>
      </c>
      <c r="G4080" t="s">
        <v>7</v>
      </c>
      <c r="H4080">
        <v>29396.94</v>
      </c>
      <c r="I4080">
        <v>8339.24</v>
      </c>
      <c r="J4080">
        <v>0</v>
      </c>
    </row>
    <row r="4081" spans="1:10" x14ac:dyDescent="0.35">
      <c r="A4081">
        <v>321864</v>
      </c>
      <c r="B4081" t="s">
        <v>20</v>
      </c>
      <c r="C4081">
        <v>2015</v>
      </c>
      <c r="D4081">
        <v>7</v>
      </c>
      <c r="E4081" t="s">
        <v>7</v>
      </c>
      <c r="F4081" t="s">
        <v>7</v>
      </c>
      <c r="G4081" t="s">
        <v>7</v>
      </c>
      <c r="H4081">
        <v>58931.360000000001</v>
      </c>
      <c r="I4081">
        <v>45060.49</v>
      </c>
      <c r="J4081">
        <v>0</v>
      </c>
    </row>
    <row r="4082" spans="1:10" x14ac:dyDescent="0.35">
      <c r="A4082">
        <v>321866</v>
      </c>
      <c r="B4082" t="s">
        <v>20</v>
      </c>
      <c r="C4082">
        <v>2015</v>
      </c>
      <c r="D4082">
        <v>7</v>
      </c>
      <c r="E4082" t="s">
        <v>7</v>
      </c>
      <c r="F4082" t="s">
        <v>7</v>
      </c>
      <c r="G4082" t="s">
        <v>7</v>
      </c>
      <c r="H4082">
        <v>59809.8</v>
      </c>
      <c r="I4082">
        <v>26846.49</v>
      </c>
      <c r="J4082">
        <v>0</v>
      </c>
    </row>
    <row r="4083" spans="1:10" x14ac:dyDescent="0.35">
      <c r="A4083">
        <v>321871</v>
      </c>
      <c r="B4083" t="s">
        <v>20</v>
      </c>
      <c r="C4083">
        <v>2015</v>
      </c>
      <c r="D4083">
        <v>7</v>
      </c>
      <c r="E4083" t="s">
        <v>7</v>
      </c>
      <c r="F4083" t="s">
        <v>7</v>
      </c>
      <c r="G4083" t="s">
        <v>7</v>
      </c>
      <c r="H4083">
        <v>20106</v>
      </c>
      <c r="I4083">
        <v>5553.13</v>
      </c>
      <c r="J4083">
        <v>0</v>
      </c>
    </row>
    <row r="4084" spans="1:10" x14ac:dyDescent="0.35">
      <c r="A4084">
        <v>321877</v>
      </c>
      <c r="B4084" t="s">
        <v>20</v>
      </c>
      <c r="C4084">
        <v>2015</v>
      </c>
      <c r="D4084">
        <v>7</v>
      </c>
      <c r="E4084" t="s">
        <v>7</v>
      </c>
      <c r="F4084" t="s">
        <v>7</v>
      </c>
      <c r="G4084" t="s">
        <v>7</v>
      </c>
      <c r="H4084">
        <v>62145.64</v>
      </c>
      <c r="I4084">
        <v>42724.78</v>
      </c>
      <c r="J4084">
        <v>0</v>
      </c>
    </row>
    <row r="4085" spans="1:10" x14ac:dyDescent="0.35">
      <c r="A4085">
        <v>321878</v>
      </c>
      <c r="B4085" t="s">
        <v>20</v>
      </c>
      <c r="C4085">
        <v>2015</v>
      </c>
      <c r="D4085">
        <v>7</v>
      </c>
      <c r="E4085" t="s">
        <v>7</v>
      </c>
      <c r="F4085" t="s">
        <v>7</v>
      </c>
      <c r="G4085" t="s">
        <v>7</v>
      </c>
      <c r="H4085">
        <v>75887.12</v>
      </c>
      <c r="I4085">
        <v>56335.16</v>
      </c>
      <c r="J4085">
        <v>0</v>
      </c>
    </row>
    <row r="4086" spans="1:10" x14ac:dyDescent="0.35">
      <c r="A4086">
        <v>321879</v>
      </c>
      <c r="B4086" t="s">
        <v>20</v>
      </c>
      <c r="C4086">
        <v>2015</v>
      </c>
      <c r="D4086">
        <v>7</v>
      </c>
      <c r="E4086" t="s">
        <v>7</v>
      </c>
      <c r="F4086" t="s">
        <v>7</v>
      </c>
      <c r="G4086" t="s">
        <v>7</v>
      </c>
      <c r="H4086">
        <v>38067.660000000003</v>
      </c>
      <c r="I4086">
        <v>11826.78</v>
      </c>
      <c r="J4086">
        <v>0</v>
      </c>
    </row>
    <row r="4087" spans="1:10" x14ac:dyDescent="0.35">
      <c r="A4087">
        <v>321880</v>
      </c>
      <c r="B4087" t="s">
        <v>20</v>
      </c>
      <c r="C4087">
        <v>2015</v>
      </c>
      <c r="D4087">
        <v>7</v>
      </c>
      <c r="E4087" t="s">
        <v>7</v>
      </c>
      <c r="F4087" t="s">
        <v>7</v>
      </c>
      <c r="G4087" t="s">
        <v>7</v>
      </c>
      <c r="H4087">
        <v>15499.76</v>
      </c>
      <c r="I4087">
        <v>4109.88</v>
      </c>
      <c r="J4087">
        <v>0</v>
      </c>
    </row>
    <row r="4088" spans="1:10" x14ac:dyDescent="0.35">
      <c r="A4088">
        <v>321884</v>
      </c>
      <c r="B4088" t="s">
        <v>20</v>
      </c>
      <c r="C4088">
        <v>2015</v>
      </c>
      <c r="D4088">
        <v>7</v>
      </c>
      <c r="E4088" t="s">
        <v>7</v>
      </c>
      <c r="F4088" t="s">
        <v>7</v>
      </c>
      <c r="G4088" t="s">
        <v>7</v>
      </c>
      <c r="H4088">
        <v>44323.32</v>
      </c>
      <c r="I4088">
        <v>15701.08</v>
      </c>
      <c r="J4088">
        <v>0</v>
      </c>
    </row>
    <row r="4089" spans="1:10" x14ac:dyDescent="0.35">
      <c r="A4089">
        <v>321885</v>
      </c>
      <c r="B4089" t="s">
        <v>20</v>
      </c>
      <c r="C4089">
        <v>2015</v>
      </c>
      <c r="D4089">
        <v>7</v>
      </c>
      <c r="E4089" t="s">
        <v>7</v>
      </c>
      <c r="F4089" t="s">
        <v>7</v>
      </c>
      <c r="G4089" t="s">
        <v>7</v>
      </c>
      <c r="H4089">
        <v>14996.38</v>
      </c>
      <c r="I4089">
        <v>4436.38</v>
      </c>
      <c r="J4089">
        <v>0</v>
      </c>
    </row>
    <row r="4090" spans="1:10" x14ac:dyDescent="0.35">
      <c r="A4090">
        <v>321889</v>
      </c>
      <c r="B4090" t="s">
        <v>20</v>
      </c>
      <c r="C4090">
        <v>2015</v>
      </c>
      <c r="D4090">
        <v>7</v>
      </c>
      <c r="E4090" t="s">
        <v>7</v>
      </c>
      <c r="F4090" t="s">
        <v>7</v>
      </c>
      <c r="G4090" t="s">
        <v>7</v>
      </c>
      <c r="H4090">
        <v>67763.960000000006</v>
      </c>
      <c r="I4090">
        <v>49216.19</v>
      </c>
      <c r="J4090">
        <v>0</v>
      </c>
    </row>
    <row r="4091" spans="1:10" x14ac:dyDescent="0.35">
      <c r="A4091">
        <v>321890</v>
      </c>
      <c r="B4091" t="s">
        <v>20</v>
      </c>
      <c r="C4091">
        <v>2015</v>
      </c>
      <c r="D4091">
        <v>7</v>
      </c>
      <c r="E4091" t="s">
        <v>7</v>
      </c>
      <c r="F4091" t="s">
        <v>7</v>
      </c>
      <c r="G4091" t="s">
        <v>7</v>
      </c>
      <c r="H4091">
        <v>52935.88</v>
      </c>
      <c r="I4091">
        <v>20960.38</v>
      </c>
      <c r="J4091">
        <v>0</v>
      </c>
    </row>
    <row r="4092" spans="1:10" x14ac:dyDescent="0.35">
      <c r="A4092">
        <v>321895</v>
      </c>
      <c r="B4092" t="s">
        <v>20</v>
      </c>
      <c r="C4092">
        <v>2015</v>
      </c>
      <c r="D4092">
        <v>7</v>
      </c>
      <c r="E4092" t="s">
        <v>7</v>
      </c>
      <c r="F4092" t="s">
        <v>7</v>
      </c>
      <c r="G4092" t="s">
        <v>7</v>
      </c>
      <c r="H4092">
        <v>66124.08</v>
      </c>
      <c r="I4092">
        <v>46225.03</v>
      </c>
      <c r="J4092">
        <v>0</v>
      </c>
    </row>
    <row r="4093" spans="1:10" x14ac:dyDescent="0.35">
      <c r="A4093">
        <v>321896</v>
      </c>
      <c r="B4093" t="s">
        <v>20</v>
      </c>
      <c r="C4093">
        <v>2015</v>
      </c>
      <c r="D4093">
        <v>7</v>
      </c>
      <c r="E4093" t="s">
        <v>7</v>
      </c>
      <c r="F4093" t="s">
        <v>7</v>
      </c>
      <c r="G4093" t="s">
        <v>7</v>
      </c>
      <c r="H4093">
        <v>21790.44</v>
      </c>
      <c r="I4093">
        <v>6440.49</v>
      </c>
      <c r="J4093">
        <v>0</v>
      </c>
    </row>
    <row r="4094" spans="1:10" x14ac:dyDescent="0.35">
      <c r="A4094">
        <v>321897</v>
      </c>
      <c r="B4094" t="s">
        <v>20</v>
      </c>
      <c r="C4094">
        <v>2015</v>
      </c>
      <c r="D4094">
        <v>7</v>
      </c>
      <c r="E4094" t="s">
        <v>7</v>
      </c>
      <c r="F4094" t="s">
        <v>7</v>
      </c>
      <c r="G4094" t="s">
        <v>7</v>
      </c>
      <c r="H4094">
        <v>61149.7</v>
      </c>
      <c r="I4094">
        <v>47215.9</v>
      </c>
      <c r="J4094">
        <v>0</v>
      </c>
    </row>
    <row r="4095" spans="1:10" x14ac:dyDescent="0.35">
      <c r="A4095">
        <v>321899</v>
      </c>
      <c r="B4095" t="s">
        <v>20</v>
      </c>
      <c r="C4095">
        <v>2015</v>
      </c>
      <c r="D4095">
        <v>7</v>
      </c>
      <c r="E4095" t="s">
        <v>7</v>
      </c>
      <c r="F4095" t="s">
        <v>7</v>
      </c>
      <c r="G4095" t="s">
        <v>7</v>
      </c>
      <c r="H4095">
        <v>18740.5</v>
      </c>
      <c r="I4095">
        <v>9001.1200000000008</v>
      </c>
      <c r="J4095">
        <v>0</v>
      </c>
    </row>
    <row r="4096" spans="1:10" x14ac:dyDescent="0.35">
      <c r="A4096">
        <v>321902</v>
      </c>
      <c r="B4096" t="s">
        <v>20</v>
      </c>
      <c r="C4096">
        <v>2015</v>
      </c>
      <c r="D4096">
        <v>7</v>
      </c>
      <c r="E4096" t="s">
        <v>7</v>
      </c>
      <c r="F4096" t="s">
        <v>7</v>
      </c>
      <c r="G4096" t="s">
        <v>7</v>
      </c>
      <c r="H4096">
        <v>14427.1</v>
      </c>
      <c r="I4096">
        <v>4198.3599999999997</v>
      </c>
      <c r="J4096">
        <v>0</v>
      </c>
    </row>
    <row r="4097" spans="1:10" x14ac:dyDescent="0.35">
      <c r="A4097">
        <v>321904</v>
      </c>
      <c r="B4097" t="s">
        <v>20</v>
      </c>
      <c r="C4097">
        <v>2015</v>
      </c>
      <c r="D4097">
        <v>7</v>
      </c>
      <c r="E4097" t="s">
        <v>7</v>
      </c>
      <c r="F4097" t="s">
        <v>7</v>
      </c>
      <c r="G4097" t="s">
        <v>7</v>
      </c>
      <c r="H4097">
        <v>64256.56</v>
      </c>
      <c r="I4097">
        <v>21040.85</v>
      </c>
      <c r="J4097">
        <v>0</v>
      </c>
    </row>
    <row r="4098" spans="1:10" x14ac:dyDescent="0.35">
      <c r="A4098">
        <v>321906</v>
      </c>
      <c r="B4098" t="s">
        <v>20</v>
      </c>
      <c r="C4098">
        <v>2015</v>
      </c>
      <c r="D4098">
        <v>7</v>
      </c>
      <c r="E4098" t="s">
        <v>7</v>
      </c>
      <c r="F4098" t="s">
        <v>7</v>
      </c>
      <c r="G4098" t="s">
        <v>7</v>
      </c>
      <c r="H4098">
        <v>62385.95</v>
      </c>
      <c r="I4098">
        <v>19497.2</v>
      </c>
      <c r="J4098">
        <v>0</v>
      </c>
    </row>
    <row r="4099" spans="1:10" x14ac:dyDescent="0.35">
      <c r="A4099">
        <v>321909</v>
      </c>
      <c r="B4099" t="s">
        <v>20</v>
      </c>
      <c r="C4099">
        <v>2015</v>
      </c>
      <c r="D4099">
        <v>7</v>
      </c>
      <c r="E4099" t="s">
        <v>7</v>
      </c>
      <c r="F4099" t="s">
        <v>7</v>
      </c>
      <c r="G4099" t="s">
        <v>7</v>
      </c>
      <c r="H4099">
        <v>15510.14</v>
      </c>
      <c r="I4099">
        <v>4505.8500000000004</v>
      </c>
      <c r="J4099">
        <v>0</v>
      </c>
    </row>
    <row r="4100" spans="1:10" x14ac:dyDescent="0.35">
      <c r="A4100">
        <v>321912</v>
      </c>
      <c r="B4100" t="s">
        <v>20</v>
      </c>
      <c r="C4100">
        <v>2015</v>
      </c>
      <c r="D4100">
        <v>7</v>
      </c>
      <c r="E4100" t="s">
        <v>7</v>
      </c>
      <c r="F4100" t="s">
        <v>7</v>
      </c>
      <c r="G4100" t="s">
        <v>7</v>
      </c>
      <c r="H4100">
        <v>61555.56</v>
      </c>
      <c r="I4100">
        <v>42391.05</v>
      </c>
      <c r="J4100">
        <v>0</v>
      </c>
    </row>
    <row r="4101" spans="1:10" x14ac:dyDescent="0.35">
      <c r="A4101">
        <v>321914</v>
      </c>
      <c r="B4101" t="s">
        <v>20</v>
      </c>
      <c r="C4101">
        <v>2015</v>
      </c>
      <c r="D4101">
        <v>7</v>
      </c>
      <c r="E4101" t="s">
        <v>7</v>
      </c>
      <c r="F4101" t="s">
        <v>7</v>
      </c>
      <c r="G4101" t="s">
        <v>7</v>
      </c>
      <c r="H4101">
        <v>18849.060000000001</v>
      </c>
      <c r="I4101">
        <v>4844.3</v>
      </c>
      <c r="J4101">
        <v>0</v>
      </c>
    </row>
    <row r="4102" spans="1:10" x14ac:dyDescent="0.35">
      <c r="A4102">
        <v>321916</v>
      </c>
      <c r="B4102" t="s">
        <v>20</v>
      </c>
      <c r="C4102">
        <v>2015</v>
      </c>
      <c r="D4102">
        <v>7</v>
      </c>
      <c r="E4102" t="s">
        <v>7</v>
      </c>
      <c r="F4102" t="s">
        <v>7</v>
      </c>
      <c r="G4102" t="s">
        <v>7</v>
      </c>
      <c r="H4102">
        <v>11312</v>
      </c>
      <c r="I4102">
        <v>2689.42</v>
      </c>
      <c r="J4102">
        <v>0</v>
      </c>
    </row>
    <row r="4103" spans="1:10" x14ac:dyDescent="0.35">
      <c r="A4103">
        <v>321917</v>
      </c>
      <c r="B4103" t="s">
        <v>20</v>
      </c>
      <c r="C4103">
        <v>2015</v>
      </c>
      <c r="D4103">
        <v>7</v>
      </c>
      <c r="E4103" t="s">
        <v>7</v>
      </c>
      <c r="F4103" t="s">
        <v>7</v>
      </c>
      <c r="G4103" t="s">
        <v>7</v>
      </c>
      <c r="H4103">
        <v>199513</v>
      </c>
      <c r="I4103">
        <v>93272.12</v>
      </c>
      <c r="J4103">
        <v>0</v>
      </c>
    </row>
    <row r="4104" spans="1:10" x14ac:dyDescent="0.35">
      <c r="A4104">
        <v>321923</v>
      </c>
      <c r="B4104" t="s">
        <v>20</v>
      </c>
      <c r="C4104">
        <v>2015</v>
      </c>
      <c r="D4104">
        <v>7</v>
      </c>
      <c r="E4104" t="s">
        <v>7</v>
      </c>
      <c r="F4104" t="s">
        <v>7</v>
      </c>
      <c r="G4104" t="s">
        <v>7</v>
      </c>
      <c r="H4104">
        <v>54796.54</v>
      </c>
      <c r="I4104">
        <v>12174.78</v>
      </c>
      <c r="J4104">
        <v>0</v>
      </c>
    </row>
    <row r="4105" spans="1:10" x14ac:dyDescent="0.35">
      <c r="A4105">
        <v>321927</v>
      </c>
      <c r="B4105" t="s">
        <v>20</v>
      </c>
      <c r="C4105">
        <v>2015</v>
      </c>
      <c r="D4105">
        <v>7</v>
      </c>
      <c r="E4105" t="s">
        <v>7</v>
      </c>
      <c r="F4105" t="s">
        <v>7</v>
      </c>
      <c r="G4105" t="s">
        <v>7</v>
      </c>
      <c r="H4105">
        <v>63789.26</v>
      </c>
      <c r="I4105">
        <v>45695.94</v>
      </c>
      <c r="J4105">
        <v>0</v>
      </c>
    </row>
    <row r="4106" spans="1:10" x14ac:dyDescent="0.35">
      <c r="A4106">
        <v>321928</v>
      </c>
      <c r="B4106" t="s">
        <v>20</v>
      </c>
      <c r="C4106">
        <v>2015</v>
      </c>
      <c r="D4106">
        <v>7</v>
      </c>
      <c r="E4106" t="s">
        <v>7</v>
      </c>
      <c r="F4106" t="s">
        <v>7</v>
      </c>
      <c r="G4106" t="s">
        <v>7</v>
      </c>
      <c r="H4106">
        <v>47618.12</v>
      </c>
      <c r="I4106">
        <v>16642.43</v>
      </c>
      <c r="J4106">
        <v>0</v>
      </c>
    </row>
    <row r="4107" spans="1:10" x14ac:dyDescent="0.35">
      <c r="A4107">
        <v>321929</v>
      </c>
      <c r="B4107" t="s">
        <v>20</v>
      </c>
      <c r="C4107">
        <v>2015</v>
      </c>
      <c r="D4107">
        <v>7</v>
      </c>
      <c r="E4107" t="s">
        <v>7</v>
      </c>
      <c r="F4107" t="s">
        <v>7</v>
      </c>
      <c r="G4107" t="s">
        <v>7</v>
      </c>
      <c r="H4107">
        <v>60289.120000000003</v>
      </c>
      <c r="I4107">
        <v>46825.35</v>
      </c>
      <c r="J4107">
        <v>0</v>
      </c>
    </row>
    <row r="4108" spans="1:10" x14ac:dyDescent="0.35">
      <c r="A4108">
        <v>321931</v>
      </c>
      <c r="B4108" t="s">
        <v>20</v>
      </c>
      <c r="C4108">
        <v>2015</v>
      </c>
      <c r="D4108">
        <v>7</v>
      </c>
      <c r="E4108" t="s">
        <v>7</v>
      </c>
      <c r="F4108" t="s">
        <v>7</v>
      </c>
      <c r="G4108" t="s">
        <v>7</v>
      </c>
      <c r="H4108">
        <v>19981.7</v>
      </c>
      <c r="I4108">
        <v>5552.25</v>
      </c>
      <c r="J4108">
        <v>0</v>
      </c>
    </row>
    <row r="4109" spans="1:10" x14ac:dyDescent="0.35">
      <c r="A4109">
        <v>321933</v>
      </c>
      <c r="B4109" t="s">
        <v>20</v>
      </c>
      <c r="C4109">
        <v>2015</v>
      </c>
      <c r="D4109">
        <v>7</v>
      </c>
      <c r="E4109" t="s">
        <v>7</v>
      </c>
      <c r="F4109" t="s">
        <v>7</v>
      </c>
      <c r="G4109" t="s">
        <v>7</v>
      </c>
      <c r="H4109">
        <v>39361.74</v>
      </c>
      <c r="I4109">
        <v>9888.56</v>
      </c>
      <c r="J4109">
        <v>0</v>
      </c>
    </row>
    <row r="4110" spans="1:10" x14ac:dyDescent="0.35">
      <c r="A4110">
        <v>321934</v>
      </c>
      <c r="B4110" t="s">
        <v>20</v>
      </c>
      <c r="C4110">
        <v>2015</v>
      </c>
      <c r="D4110">
        <v>7</v>
      </c>
      <c r="E4110" t="s">
        <v>7</v>
      </c>
      <c r="F4110" t="s">
        <v>7</v>
      </c>
      <c r="G4110" t="s">
        <v>7</v>
      </c>
      <c r="H4110">
        <v>80259.92</v>
      </c>
      <c r="I4110">
        <v>57766.13</v>
      </c>
      <c r="J4110">
        <v>0</v>
      </c>
    </row>
    <row r="4111" spans="1:10" x14ac:dyDescent="0.35">
      <c r="A4111">
        <v>321937</v>
      </c>
      <c r="B4111" t="s">
        <v>20</v>
      </c>
      <c r="C4111">
        <v>2015</v>
      </c>
      <c r="D4111">
        <v>7</v>
      </c>
      <c r="E4111" t="s">
        <v>7</v>
      </c>
      <c r="F4111" t="s">
        <v>7</v>
      </c>
      <c r="G4111" t="s">
        <v>7</v>
      </c>
      <c r="H4111">
        <v>31879.279999999999</v>
      </c>
      <c r="I4111">
        <v>10419.42</v>
      </c>
      <c r="J4111">
        <v>0</v>
      </c>
    </row>
    <row r="4112" spans="1:10" x14ac:dyDescent="0.35">
      <c r="A4112">
        <v>321940</v>
      </c>
      <c r="B4112" t="s">
        <v>20</v>
      </c>
      <c r="C4112">
        <v>2015</v>
      </c>
      <c r="D4112">
        <v>7</v>
      </c>
      <c r="E4112" t="s">
        <v>7</v>
      </c>
      <c r="F4112" t="s">
        <v>7</v>
      </c>
      <c r="G4112" t="s">
        <v>7</v>
      </c>
      <c r="H4112">
        <v>67431.240000000005</v>
      </c>
      <c r="I4112">
        <v>49154.11</v>
      </c>
      <c r="J4112">
        <v>0</v>
      </c>
    </row>
    <row r="4113" spans="1:10" x14ac:dyDescent="0.35">
      <c r="A4113">
        <v>321941</v>
      </c>
      <c r="B4113" t="s">
        <v>20</v>
      </c>
      <c r="C4113">
        <v>2015</v>
      </c>
      <c r="D4113">
        <v>7</v>
      </c>
      <c r="E4113" t="s">
        <v>7</v>
      </c>
      <c r="F4113" t="s">
        <v>7</v>
      </c>
      <c r="G4113" t="s">
        <v>7</v>
      </c>
      <c r="H4113">
        <v>27400</v>
      </c>
      <c r="I4113">
        <v>7930.97</v>
      </c>
      <c r="J4113">
        <v>0</v>
      </c>
    </row>
    <row r="4114" spans="1:10" x14ac:dyDescent="0.35">
      <c r="A4114">
        <v>321942</v>
      </c>
      <c r="B4114" t="s">
        <v>20</v>
      </c>
      <c r="C4114">
        <v>2015</v>
      </c>
      <c r="D4114">
        <v>7</v>
      </c>
      <c r="E4114" t="s">
        <v>7</v>
      </c>
      <c r="F4114" t="s">
        <v>7</v>
      </c>
      <c r="G4114" t="s">
        <v>7</v>
      </c>
      <c r="H4114">
        <v>21198.34</v>
      </c>
      <c r="I4114">
        <v>7503.49</v>
      </c>
      <c r="J4114">
        <v>0</v>
      </c>
    </row>
    <row r="4115" spans="1:10" x14ac:dyDescent="0.35">
      <c r="A4115">
        <v>321943</v>
      </c>
      <c r="B4115" t="s">
        <v>20</v>
      </c>
      <c r="C4115">
        <v>2015</v>
      </c>
      <c r="D4115">
        <v>7</v>
      </c>
      <c r="E4115" t="s">
        <v>7</v>
      </c>
      <c r="F4115" t="s">
        <v>7</v>
      </c>
      <c r="G4115" t="s">
        <v>7</v>
      </c>
      <c r="H4115">
        <v>22497.84</v>
      </c>
      <c r="I4115">
        <v>6412.39</v>
      </c>
      <c r="J4115">
        <v>0</v>
      </c>
    </row>
    <row r="4116" spans="1:10" x14ac:dyDescent="0.35">
      <c r="A4116">
        <v>321944</v>
      </c>
      <c r="B4116" t="s">
        <v>20</v>
      </c>
      <c r="C4116">
        <v>2015</v>
      </c>
      <c r="D4116">
        <v>7</v>
      </c>
      <c r="E4116" t="s">
        <v>7</v>
      </c>
      <c r="F4116" t="s">
        <v>7</v>
      </c>
      <c r="G4116" t="s">
        <v>7</v>
      </c>
      <c r="H4116">
        <v>30555.74</v>
      </c>
      <c r="I4116">
        <v>9021.69</v>
      </c>
      <c r="J4116">
        <v>0</v>
      </c>
    </row>
    <row r="4117" spans="1:10" x14ac:dyDescent="0.35">
      <c r="A4117">
        <v>321946</v>
      </c>
      <c r="B4117" t="s">
        <v>20</v>
      </c>
      <c r="C4117">
        <v>2015</v>
      </c>
      <c r="D4117">
        <v>7</v>
      </c>
      <c r="E4117" t="s">
        <v>7</v>
      </c>
      <c r="F4117" t="s">
        <v>7</v>
      </c>
      <c r="G4117" t="s">
        <v>7</v>
      </c>
      <c r="H4117">
        <v>72092.3</v>
      </c>
      <c r="I4117">
        <v>54373.9</v>
      </c>
      <c r="J4117">
        <v>0</v>
      </c>
    </row>
    <row r="4118" spans="1:10" x14ac:dyDescent="0.35">
      <c r="A4118">
        <v>321948</v>
      </c>
      <c r="B4118" t="s">
        <v>20</v>
      </c>
      <c r="C4118">
        <v>2015</v>
      </c>
      <c r="D4118">
        <v>7</v>
      </c>
      <c r="E4118" t="s">
        <v>7</v>
      </c>
      <c r="F4118" t="s">
        <v>7</v>
      </c>
      <c r="G4118" t="s">
        <v>7</v>
      </c>
      <c r="H4118">
        <v>23397.599999999999</v>
      </c>
      <c r="I4118">
        <v>6022.52</v>
      </c>
      <c r="J4118">
        <v>0</v>
      </c>
    </row>
    <row r="4119" spans="1:10" x14ac:dyDescent="0.35">
      <c r="A4119">
        <v>321950</v>
      </c>
      <c r="B4119" t="s">
        <v>20</v>
      </c>
      <c r="C4119">
        <v>2015</v>
      </c>
      <c r="D4119">
        <v>7</v>
      </c>
      <c r="E4119" t="s">
        <v>7</v>
      </c>
      <c r="F4119" t="s">
        <v>7</v>
      </c>
      <c r="G4119" t="s">
        <v>7</v>
      </c>
      <c r="H4119">
        <v>29844.28</v>
      </c>
      <c r="I4119">
        <v>7391.64</v>
      </c>
      <c r="J4119">
        <v>0</v>
      </c>
    </row>
    <row r="4120" spans="1:10" x14ac:dyDescent="0.35">
      <c r="A4120">
        <v>321951</v>
      </c>
      <c r="B4120" t="s">
        <v>20</v>
      </c>
      <c r="C4120">
        <v>2015</v>
      </c>
      <c r="D4120">
        <v>7</v>
      </c>
      <c r="E4120" t="s">
        <v>7</v>
      </c>
      <c r="F4120" t="s">
        <v>7</v>
      </c>
      <c r="G4120" t="s">
        <v>7</v>
      </c>
      <c r="H4120">
        <v>13605.84</v>
      </c>
      <c r="I4120">
        <v>2826.32</v>
      </c>
      <c r="J4120">
        <v>0</v>
      </c>
    </row>
    <row r="4121" spans="1:10" x14ac:dyDescent="0.35">
      <c r="A4121">
        <v>321954</v>
      </c>
      <c r="B4121" t="s">
        <v>20</v>
      </c>
      <c r="C4121">
        <v>2015</v>
      </c>
      <c r="D4121">
        <v>7</v>
      </c>
      <c r="E4121" t="s">
        <v>7</v>
      </c>
      <c r="F4121" t="s">
        <v>7</v>
      </c>
      <c r="G4121" t="s">
        <v>7</v>
      </c>
      <c r="H4121">
        <v>72962.320000000007</v>
      </c>
      <c r="I4121">
        <v>55036.31</v>
      </c>
      <c r="J4121">
        <v>0</v>
      </c>
    </row>
    <row r="4122" spans="1:10" x14ac:dyDescent="0.35">
      <c r="A4122">
        <v>321955</v>
      </c>
      <c r="B4122" t="s">
        <v>20</v>
      </c>
      <c r="C4122">
        <v>2015</v>
      </c>
      <c r="D4122">
        <v>7</v>
      </c>
      <c r="E4122" t="s">
        <v>7</v>
      </c>
      <c r="F4122" t="s">
        <v>7</v>
      </c>
      <c r="G4122" t="s">
        <v>7</v>
      </c>
      <c r="H4122">
        <v>53362.12</v>
      </c>
      <c r="I4122">
        <v>15624.03</v>
      </c>
      <c r="J4122">
        <v>0</v>
      </c>
    </row>
    <row r="4123" spans="1:10" x14ac:dyDescent="0.35">
      <c r="A4123">
        <v>321958</v>
      </c>
      <c r="B4123" t="s">
        <v>20</v>
      </c>
      <c r="C4123">
        <v>2015</v>
      </c>
      <c r="D4123">
        <v>7</v>
      </c>
      <c r="E4123" t="s">
        <v>7</v>
      </c>
      <c r="F4123" t="s">
        <v>7</v>
      </c>
      <c r="G4123" t="s">
        <v>7</v>
      </c>
      <c r="H4123">
        <v>11737.48</v>
      </c>
      <c r="I4123">
        <v>2650.34</v>
      </c>
      <c r="J4123">
        <v>0</v>
      </c>
    </row>
    <row r="4124" spans="1:10" x14ac:dyDescent="0.35">
      <c r="A4124">
        <v>321959</v>
      </c>
      <c r="B4124" t="s">
        <v>20</v>
      </c>
      <c r="C4124">
        <v>2015</v>
      </c>
      <c r="D4124">
        <v>7</v>
      </c>
      <c r="E4124" t="s">
        <v>7</v>
      </c>
      <c r="F4124" t="s">
        <v>7</v>
      </c>
      <c r="G4124" t="s">
        <v>7</v>
      </c>
      <c r="H4124">
        <v>16982.54</v>
      </c>
      <c r="I4124">
        <v>4360.1499999999996</v>
      </c>
      <c r="J4124">
        <v>0</v>
      </c>
    </row>
    <row r="4125" spans="1:10" x14ac:dyDescent="0.35">
      <c r="A4125">
        <v>321962</v>
      </c>
      <c r="B4125" t="s">
        <v>20</v>
      </c>
      <c r="C4125">
        <v>2015</v>
      </c>
      <c r="D4125">
        <v>7</v>
      </c>
      <c r="E4125" t="s">
        <v>7</v>
      </c>
      <c r="F4125" t="s">
        <v>7</v>
      </c>
      <c r="G4125" t="s">
        <v>7</v>
      </c>
      <c r="H4125">
        <v>62863.22</v>
      </c>
      <c r="I4125">
        <v>42852.54</v>
      </c>
      <c r="J4125">
        <v>0</v>
      </c>
    </row>
    <row r="4126" spans="1:10" x14ac:dyDescent="0.35">
      <c r="A4126">
        <v>321963</v>
      </c>
      <c r="B4126" t="s">
        <v>20</v>
      </c>
      <c r="C4126">
        <v>2015</v>
      </c>
      <c r="D4126">
        <v>7</v>
      </c>
      <c r="E4126" t="s">
        <v>7</v>
      </c>
      <c r="F4126" t="s">
        <v>7</v>
      </c>
      <c r="G4126" t="s">
        <v>7</v>
      </c>
      <c r="H4126">
        <v>10698.94</v>
      </c>
      <c r="I4126">
        <v>2901.8</v>
      </c>
      <c r="J4126">
        <v>0</v>
      </c>
    </row>
    <row r="4127" spans="1:10" x14ac:dyDescent="0.35">
      <c r="A4127">
        <v>321969</v>
      </c>
      <c r="B4127" t="s">
        <v>20</v>
      </c>
      <c r="C4127">
        <v>2015</v>
      </c>
      <c r="D4127">
        <v>7</v>
      </c>
      <c r="E4127" t="s">
        <v>7</v>
      </c>
      <c r="F4127" t="s">
        <v>7</v>
      </c>
      <c r="G4127" t="s">
        <v>7</v>
      </c>
      <c r="H4127">
        <v>63031.92</v>
      </c>
      <c r="I4127">
        <v>18166.830000000002</v>
      </c>
      <c r="J4127">
        <v>0</v>
      </c>
    </row>
    <row r="4128" spans="1:10" x14ac:dyDescent="0.35">
      <c r="A4128">
        <v>321970</v>
      </c>
      <c r="B4128" t="s">
        <v>20</v>
      </c>
      <c r="C4128">
        <v>2015</v>
      </c>
      <c r="D4128">
        <v>7</v>
      </c>
      <c r="E4128" t="s">
        <v>7</v>
      </c>
      <c r="F4128" t="s">
        <v>7</v>
      </c>
      <c r="G4128" t="s">
        <v>7</v>
      </c>
      <c r="H4128">
        <v>37921.5</v>
      </c>
      <c r="I4128">
        <v>20695.099999999999</v>
      </c>
      <c r="J4128">
        <v>0</v>
      </c>
    </row>
    <row r="4129" spans="1:10" x14ac:dyDescent="0.35">
      <c r="A4129">
        <v>321971</v>
      </c>
      <c r="B4129" t="s">
        <v>20</v>
      </c>
      <c r="C4129">
        <v>2015</v>
      </c>
      <c r="D4129">
        <v>7</v>
      </c>
      <c r="E4129" t="s">
        <v>7</v>
      </c>
      <c r="F4129" t="s">
        <v>7</v>
      </c>
      <c r="G4129" t="s">
        <v>7</v>
      </c>
      <c r="H4129">
        <v>28062.959999999999</v>
      </c>
      <c r="I4129">
        <v>7442.2</v>
      </c>
      <c r="J4129">
        <v>0</v>
      </c>
    </row>
    <row r="4130" spans="1:10" x14ac:dyDescent="0.35">
      <c r="A4130">
        <v>321974</v>
      </c>
      <c r="B4130" t="s">
        <v>20</v>
      </c>
      <c r="C4130">
        <v>2015</v>
      </c>
      <c r="D4130">
        <v>7</v>
      </c>
      <c r="E4130" t="s">
        <v>7</v>
      </c>
      <c r="F4130" t="s">
        <v>7</v>
      </c>
      <c r="G4130" t="s">
        <v>7</v>
      </c>
      <c r="H4130">
        <v>12793.54</v>
      </c>
      <c r="I4130">
        <v>3303.36</v>
      </c>
      <c r="J4130">
        <v>0</v>
      </c>
    </row>
    <row r="4131" spans="1:10" x14ac:dyDescent="0.35">
      <c r="A4131">
        <v>321976</v>
      </c>
      <c r="B4131" t="s">
        <v>20</v>
      </c>
      <c r="C4131">
        <v>2015</v>
      </c>
      <c r="D4131">
        <v>7</v>
      </c>
      <c r="E4131" t="s">
        <v>7</v>
      </c>
      <c r="F4131" t="s">
        <v>7</v>
      </c>
      <c r="G4131" t="s">
        <v>7</v>
      </c>
      <c r="H4131">
        <v>20217.86</v>
      </c>
      <c r="I4131">
        <v>5434.42</v>
      </c>
      <c r="J4131">
        <v>0</v>
      </c>
    </row>
    <row r="4132" spans="1:10" x14ac:dyDescent="0.35">
      <c r="A4132">
        <v>321981</v>
      </c>
      <c r="B4132" t="s">
        <v>20</v>
      </c>
      <c r="C4132">
        <v>2015</v>
      </c>
      <c r="D4132">
        <v>7</v>
      </c>
      <c r="E4132" t="s">
        <v>7</v>
      </c>
      <c r="F4132" t="s">
        <v>7</v>
      </c>
      <c r="G4132" t="s">
        <v>7</v>
      </c>
      <c r="H4132">
        <v>34509.94</v>
      </c>
      <c r="I4132">
        <v>13790.72</v>
      </c>
      <c r="J4132">
        <v>0</v>
      </c>
    </row>
    <row r="4133" spans="1:10" x14ac:dyDescent="0.35">
      <c r="A4133">
        <v>321982</v>
      </c>
      <c r="B4133" t="s">
        <v>20</v>
      </c>
      <c r="C4133">
        <v>2015</v>
      </c>
      <c r="D4133">
        <v>7</v>
      </c>
      <c r="E4133" t="s">
        <v>7</v>
      </c>
      <c r="F4133" t="s">
        <v>7</v>
      </c>
      <c r="G4133" t="s">
        <v>7</v>
      </c>
      <c r="H4133">
        <v>33589.360000000001</v>
      </c>
      <c r="I4133">
        <v>14891.97</v>
      </c>
      <c r="J4133">
        <v>0</v>
      </c>
    </row>
    <row r="4134" spans="1:10" x14ac:dyDescent="0.35">
      <c r="A4134">
        <v>321987</v>
      </c>
      <c r="B4134" t="s">
        <v>20</v>
      </c>
      <c r="C4134">
        <v>2015</v>
      </c>
      <c r="D4134">
        <v>7</v>
      </c>
      <c r="E4134" t="s">
        <v>7</v>
      </c>
      <c r="F4134" t="s">
        <v>7</v>
      </c>
      <c r="G4134" t="s">
        <v>7</v>
      </c>
      <c r="H4134">
        <v>67804.639999999999</v>
      </c>
      <c r="I4134">
        <v>48879.02</v>
      </c>
      <c r="J4134">
        <v>0</v>
      </c>
    </row>
    <row r="4135" spans="1:10" x14ac:dyDescent="0.35">
      <c r="A4135">
        <v>321988</v>
      </c>
      <c r="B4135" t="s">
        <v>20</v>
      </c>
      <c r="C4135">
        <v>2015</v>
      </c>
      <c r="D4135">
        <v>7</v>
      </c>
      <c r="E4135" t="s">
        <v>7</v>
      </c>
      <c r="F4135" t="s">
        <v>7</v>
      </c>
      <c r="G4135" t="s">
        <v>7</v>
      </c>
      <c r="H4135">
        <v>49825.4</v>
      </c>
      <c r="I4135">
        <v>15701.33</v>
      </c>
      <c r="J4135">
        <v>0</v>
      </c>
    </row>
    <row r="4136" spans="1:10" x14ac:dyDescent="0.35">
      <c r="A4136">
        <v>321990</v>
      </c>
      <c r="B4136" t="s">
        <v>20</v>
      </c>
      <c r="C4136">
        <v>2015</v>
      </c>
      <c r="D4136">
        <v>7</v>
      </c>
      <c r="E4136" t="s">
        <v>7</v>
      </c>
      <c r="F4136" t="s">
        <v>7</v>
      </c>
      <c r="G4136" t="s">
        <v>7</v>
      </c>
      <c r="H4136">
        <v>26478.32</v>
      </c>
      <c r="I4136">
        <v>7192.72</v>
      </c>
      <c r="J4136">
        <v>0</v>
      </c>
    </row>
    <row r="4137" spans="1:10" x14ac:dyDescent="0.35">
      <c r="A4137">
        <v>321995</v>
      </c>
      <c r="B4137" t="s">
        <v>20</v>
      </c>
      <c r="C4137">
        <v>2015</v>
      </c>
      <c r="D4137">
        <v>7</v>
      </c>
      <c r="E4137" t="s">
        <v>7</v>
      </c>
      <c r="F4137" t="s">
        <v>7</v>
      </c>
      <c r="G4137" t="s">
        <v>7</v>
      </c>
      <c r="H4137">
        <v>15454.38</v>
      </c>
      <c r="I4137">
        <v>4516.72</v>
      </c>
      <c r="J4137">
        <v>0</v>
      </c>
    </row>
    <row r="4138" spans="1:10" x14ac:dyDescent="0.35">
      <c r="A4138">
        <v>321997</v>
      </c>
      <c r="B4138" t="s">
        <v>20</v>
      </c>
      <c r="C4138">
        <v>2015</v>
      </c>
      <c r="D4138">
        <v>7</v>
      </c>
      <c r="E4138" t="s">
        <v>7</v>
      </c>
      <c r="F4138" t="s">
        <v>7</v>
      </c>
      <c r="G4138" t="s">
        <v>7</v>
      </c>
      <c r="H4138">
        <v>21411.34</v>
      </c>
      <c r="I4138">
        <v>4659.18</v>
      </c>
      <c r="J4138">
        <v>0</v>
      </c>
    </row>
    <row r="4139" spans="1:10" x14ac:dyDescent="0.35">
      <c r="A4139">
        <v>321999</v>
      </c>
      <c r="B4139" t="s">
        <v>20</v>
      </c>
      <c r="C4139">
        <v>2015</v>
      </c>
      <c r="D4139">
        <v>7</v>
      </c>
      <c r="E4139" t="s">
        <v>7</v>
      </c>
      <c r="F4139" t="s">
        <v>7</v>
      </c>
      <c r="G4139" t="s">
        <v>7</v>
      </c>
      <c r="H4139">
        <v>66000.88</v>
      </c>
      <c r="I4139">
        <v>48808.69</v>
      </c>
      <c r="J4139">
        <v>0</v>
      </c>
    </row>
    <row r="4140" spans="1:10" x14ac:dyDescent="0.35">
      <c r="A4140">
        <v>322000</v>
      </c>
      <c r="B4140" t="s">
        <v>20</v>
      </c>
      <c r="C4140">
        <v>2015</v>
      </c>
      <c r="D4140">
        <v>7</v>
      </c>
      <c r="E4140" t="s">
        <v>7</v>
      </c>
      <c r="F4140" t="s">
        <v>7</v>
      </c>
      <c r="G4140" t="s">
        <v>7</v>
      </c>
      <c r="H4140">
        <v>20908.28</v>
      </c>
      <c r="I4140">
        <v>6342.01</v>
      </c>
      <c r="J4140">
        <v>0</v>
      </c>
    </row>
    <row r="4141" spans="1:10" x14ac:dyDescent="0.35">
      <c r="A4141">
        <v>322003</v>
      </c>
      <c r="B4141" t="s">
        <v>20</v>
      </c>
      <c r="C4141">
        <v>2015</v>
      </c>
      <c r="D4141">
        <v>7</v>
      </c>
      <c r="E4141" t="s">
        <v>7</v>
      </c>
      <c r="F4141" t="s">
        <v>7</v>
      </c>
      <c r="G4141" t="s">
        <v>7</v>
      </c>
      <c r="H4141">
        <v>47231.16</v>
      </c>
      <c r="I4141">
        <v>12756.33</v>
      </c>
      <c r="J4141">
        <v>0</v>
      </c>
    </row>
    <row r="4142" spans="1:10" x14ac:dyDescent="0.35">
      <c r="A4142">
        <v>322006</v>
      </c>
      <c r="B4142" t="s">
        <v>20</v>
      </c>
      <c r="C4142">
        <v>2015</v>
      </c>
      <c r="D4142">
        <v>7</v>
      </c>
      <c r="E4142" t="s">
        <v>7</v>
      </c>
      <c r="F4142" t="s">
        <v>7</v>
      </c>
      <c r="G4142" t="s">
        <v>7</v>
      </c>
      <c r="H4142">
        <v>66132.899999999994</v>
      </c>
      <c r="I4142">
        <v>47630.02</v>
      </c>
      <c r="J4142">
        <v>0</v>
      </c>
    </row>
    <row r="4143" spans="1:10" x14ac:dyDescent="0.35">
      <c r="A4143">
        <v>322008</v>
      </c>
      <c r="B4143" t="s">
        <v>20</v>
      </c>
      <c r="C4143">
        <v>2015</v>
      </c>
      <c r="D4143">
        <v>7</v>
      </c>
      <c r="E4143" t="s">
        <v>7</v>
      </c>
      <c r="F4143" t="s">
        <v>7</v>
      </c>
      <c r="G4143" t="s">
        <v>7</v>
      </c>
      <c r="H4143">
        <v>78213.34</v>
      </c>
      <c r="I4143">
        <v>40798.639999999999</v>
      </c>
      <c r="J4143">
        <v>0</v>
      </c>
    </row>
    <row r="4144" spans="1:10" x14ac:dyDescent="0.35">
      <c r="A4144">
        <v>322009</v>
      </c>
      <c r="B4144" t="s">
        <v>20</v>
      </c>
      <c r="C4144">
        <v>2015</v>
      </c>
      <c r="D4144">
        <v>7</v>
      </c>
      <c r="E4144" t="s">
        <v>7</v>
      </c>
      <c r="F4144" t="s">
        <v>7</v>
      </c>
      <c r="G4144" t="s">
        <v>7</v>
      </c>
      <c r="H4144">
        <v>19186.66</v>
      </c>
      <c r="I4144">
        <v>5387.55</v>
      </c>
      <c r="J4144">
        <v>0</v>
      </c>
    </row>
    <row r="4145" spans="1:10" x14ac:dyDescent="0.35">
      <c r="A4145">
        <v>322010</v>
      </c>
      <c r="B4145" t="s">
        <v>20</v>
      </c>
      <c r="C4145">
        <v>2015</v>
      </c>
      <c r="D4145">
        <v>7</v>
      </c>
      <c r="E4145" t="s">
        <v>7</v>
      </c>
      <c r="F4145" t="s">
        <v>7</v>
      </c>
      <c r="G4145" t="s">
        <v>7</v>
      </c>
      <c r="H4145">
        <v>58712.74</v>
      </c>
      <c r="I4145">
        <v>17275.34</v>
      </c>
      <c r="J4145">
        <v>0</v>
      </c>
    </row>
    <row r="4146" spans="1:10" x14ac:dyDescent="0.35">
      <c r="A4146">
        <v>322013</v>
      </c>
      <c r="B4146" t="s">
        <v>20</v>
      </c>
      <c r="C4146">
        <v>2015</v>
      </c>
      <c r="D4146">
        <v>7</v>
      </c>
      <c r="E4146" t="s">
        <v>7</v>
      </c>
      <c r="F4146" t="s">
        <v>7</v>
      </c>
      <c r="G4146" t="s">
        <v>7</v>
      </c>
      <c r="H4146">
        <v>32815.279999999999</v>
      </c>
      <c r="I4146">
        <v>8891.2099999999991</v>
      </c>
      <c r="J4146">
        <v>0</v>
      </c>
    </row>
    <row r="4147" spans="1:10" x14ac:dyDescent="0.35">
      <c r="A4147">
        <v>322015</v>
      </c>
      <c r="B4147" t="s">
        <v>20</v>
      </c>
      <c r="C4147">
        <v>2015</v>
      </c>
      <c r="D4147">
        <v>7</v>
      </c>
      <c r="E4147" t="s">
        <v>7</v>
      </c>
      <c r="F4147" t="s">
        <v>7</v>
      </c>
      <c r="G4147" t="s">
        <v>7</v>
      </c>
      <c r="H4147">
        <v>12405.44</v>
      </c>
      <c r="I4147">
        <v>3019.48</v>
      </c>
      <c r="J4147">
        <v>0</v>
      </c>
    </row>
    <row r="4148" spans="1:10" x14ac:dyDescent="0.35">
      <c r="A4148">
        <v>322017</v>
      </c>
      <c r="B4148" t="s">
        <v>20</v>
      </c>
      <c r="C4148">
        <v>2015</v>
      </c>
      <c r="D4148">
        <v>7</v>
      </c>
      <c r="E4148" t="s">
        <v>7</v>
      </c>
      <c r="F4148" t="s">
        <v>7</v>
      </c>
      <c r="G4148" t="s">
        <v>7</v>
      </c>
      <c r="H4148">
        <v>22982.34</v>
      </c>
      <c r="I4148">
        <v>6820.43</v>
      </c>
      <c r="J4148">
        <v>0</v>
      </c>
    </row>
    <row r="4149" spans="1:10" x14ac:dyDescent="0.35">
      <c r="A4149">
        <v>322020</v>
      </c>
      <c r="B4149" t="s">
        <v>20</v>
      </c>
      <c r="C4149">
        <v>2015</v>
      </c>
      <c r="D4149">
        <v>7</v>
      </c>
      <c r="E4149" t="s">
        <v>7</v>
      </c>
      <c r="F4149" t="s">
        <v>7</v>
      </c>
      <c r="G4149" t="s">
        <v>7</v>
      </c>
      <c r="H4149">
        <v>12537.96</v>
      </c>
      <c r="I4149">
        <v>2892.48</v>
      </c>
      <c r="J4149">
        <v>0</v>
      </c>
    </row>
    <row r="4150" spans="1:10" x14ac:dyDescent="0.35">
      <c r="A4150">
        <v>322021</v>
      </c>
      <c r="B4150" t="s">
        <v>20</v>
      </c>
      <c r="C4150">
        <v>2015</v>
      </c>
      <c r="D4150">
        <v>7</v>
      </c>
      <c r="E4150" t="s">
        <v>7</v>
      </c>
      <c r="F4150" t="s">
        <v>7</v>
      </c>
      <c r="G4150" t="s">
        <v>7</v>
      </c>
      <c r="H4150">
        <v>51304.480000000003</v>
      </c>
      <c r="I4150">
        <v>14151.9</v>
      </c>
      <c r="J4150">
        <v>0</v>
      </c>
    </row>
    <row r="4151" spans="1:10" x14ac:dyDescent="0.35">
      <c r="A4151">
        <v>322023</v>
      </c>
      <c r="B4151" t="s">
        <v>20</v>
      </c>
      <c r="C4151">
        <v>2015</v>
      </c>
      <c r="D4151">
        <v>7</v>
      </c>
      <c r="E4151" t="s">
        <v>7</v>
      </c>
      <c r="F4151" t="s">
        <v>7</v>
      </c>
      <c r="G4151" t="s">
        <v>7</v>
      </c>
      <c r="H4151">
        <v>85560</v>
      </c>
      <c r="I4151">
        <v>66990.41</v>
      </c>
      <c r="J4151">
        <v>0</v>
      </c>
    </row>
    <row r="4152" spans="1:10" x14ac:dyDescent="0.35">
      <c r="A4152">
        <v>322025</v>
      </c>
      <c r="B4152" t="s">
        <v>20</v>
      </c>
      <c r="C4152">
        <v>2015</v>
      </c>
      <c r="D4152">
        <v>7</v>
      </c>
      <c r="E4152" t="s">
        <v>7</v>
      </c>
      <c r="F4152" t="s">
        <v>7</v>
      </c>
      <c r="G4152" t="s">
        <v>7</v>
      </c>
      <c r="H4152">
        <v>108912.5</v>
      </c>
      <c r="I4152">
        <v>39003.949999999997</v>
      </c>
      <c r="J4152">
        <v>0</v>
      </c>
    </row>
    <row r="4153" spans="1:10" x14ac:dyDescent="0.35">
      <c r="A4153">
        <v>322026</v>
      </c>
      <c r="B4153" t="s">
        <v>20</v>
      </c>
      <c r="C4153">
        <v>2015</v>
      </c>
      <c r="D4153">
        <v>7</v>
      </c>
      <c r="E4153" t="s">
        <v>7</v>
      </c>
      <c r="F4153" t="s">
        <v>7</v>
      </c>
      <c r="G4153" t="s">
        <v>7</v>
      </c>
      <c r="H4153">
        <v>36671.74</v>
      </c>
      <c r="I4153">
        <v>9580.24</v>
      </c>
      <c r="J4153">
        <v>0</v>
      </c>
    </row>
    <row r="4154" spans="1:10" x14ac:dyDescent="0.35">
      <c r="A4154">
        <v>322028</v>
      </c>
      <c r="B4154" t="s">
        <v>20</v>
      </c>
      <c r="C4154">
        <v>2015</v>
      </c>
      <c r="D4154">
        <v>7</v>
      </c>
      <c r="E4154" t="s">
        <v>7</v>
      </c>
      <c r="F4154" t="s">
        <v>7</v>
      </c>
      <c r="G4154" t="s">
        <v>7</v>
      </c>
      <c r="H4154">
        <v>70925.240000000005</v>
      </c>
      <c r="I4154">
        <v>49743.4</v>
      </c>
      <c r="J4154">
        <v>0</v>
      </c>
    </row>
    <row r="4155" spans="1:10" x14ac:dyDescent="0.35">
      <c r="A4155">
        <v>322030</v>
      </c>
      <c r="B4155" t="s">
        <v>20</v>
      </c>
      <c r="C4155">
        <v>2015</v>
      </c>
      <c r="D4155">
        <v>7</v>
      </c>
      <c r="E4155" t="s">
        <v>7</v>
      </c>
      <c r="F4155" t="s">
        <v>7</v>
      </c>
      <c r="G4155" t="s">
        <v>7</v>
      </c>
      <c r="H4155">
        <v>49037.3</v>
      </c>
      <c r="I4155">
        <v>15987.33</v>
      </c>
      <c r="J4155">
        <v>0</v>
      </c>
    </row>
    <row r="4156" spans="1:10" x14ac:dyDescent="0.35">
      <c r="A4156">
        <v>322032</v>
      </c>
      <c r="B4156" t="s">
        <v>20</v>
      </c>
      <c r="C4156">
        <v>2015</v>
      </c>
      <c r="D4156">
        <v>7</v>
      </c>
      <c r="E4156" t="s">
        <v>7</v>
      </c>
      <c r="F4156" t="s">
        <v>7</v>
      </c>
      <c r="G4156" t="s">
        <v>7</v>
      </c>
      <c r="H4156">
        <v>11132.76</v>
      </c>
      <c r="I4156">
        <v>3117.4</v>
      </c>
      <c r="J4156">
        <v>0</v>
      </c>
    </row>
    <row r="4157" spans="1:10" x14ac:dyDescent="0.35">
      <c r="A4157">
        <v>322034</v>
      </c>
      <c r="B4157" t="s">
        <v>20</v>
      </c>
      <c r="C4157">
        <v>2015</v>
      </c>
      <c r="D4157">
        <v>7</v>
      </c>
      <c r="E4157" t="s">
        <v>7</v>
      </c>
      <c r="F4157" t="s">
        <v>7</v>
      </c>
      <c r="G4157" t="s">
        <v>7</v>
      </c>
      <c r="H4157">
        <v>68027.42</v>
      </c>
      <c r="I4157">
        <v>53189.41</v>
      </c>
      <c r="J4157">
        <v>0</v>
      </c>
    </row>
    <row r="4158" spans="1:10" x14ac:dyDescent="0.35">
      <c r="A4158">
        <v>322041</v>
      </c>
      <c r="B4158" t="s">
        <v>20</v>
      </c>
      <c r="C4158">
        <v>2015</v>
      </c>
      <c r="D4158">
        <v>7</v>
      </c>
      <c r="E4158" t="s">
        <v>7</v>
      </c>
      <c r="F4158" t="s">
        <v>7</v>
      </c>
      <c r="G4158" t="s">
        <v>7</v>
      </c>
      <c r="H4158">
        <v>22312.76</v>
      </c>
      <c r="I4158">
        <v>6654.19</v>
      </c>
      <c r="J4158">
        <v>0</v>
      </c>
    </row>
    <row r="4159" spans="1:10" x14ac:dyDescent="0.35">
      <c r="A4159">
        <v>322044</v>
      </c>
      <c r="B4159" t="s">
        <v>20</v>
      </c>
      <c r="C4159">
        <v>2015</v>
      </c>
      <c r="D4159">
        <v>7</v>
      </c>
      <c r="E4159" t="s">
        <v>7</v>
      </c>
      <c r="F4159" t="s">
        <v>7</v>
      </c>
      <c r="G4159" t="s">
        <v>7</v>
      </c>
      <c r="H4159">
        <v>18005.5</v>
      </c>
      <c r="I4159">
        <v>3716.02</v>
      </c>
      <c r="J4159">
        <v>0</v>
      </c>
    </row>
    <row r="4160" spans="1:10" x14ac:dyDescent="0.35">
      <c r="A4160">
        <v>322045</v>
      </c>
      <c r="B4160" t="s">
        <v>20</v>
      </c>
      <c r="C4160">
        <v>2015</v>
      </c>
      <c r="D4160">
        <v>7</v>
      </c>
      <c r="E4160" t="s">
        <v>7</v>
      </c>
      <c r="F4160" t="s">
        <v>7</v>
      </c>
      <c r="G4160" t="s">
        <v>7</v>
      </c>
      <c r="H4160">
        <v>55412.3</v>
      </c>
      <c r="I4160">
        <v>17296.36</v>
      </c>
      <c r="J4160">
        <v>0</v>
      </c>
    </row>
    <row r="4161" spans="1:10" x14ac:dyDescent="0.35">
      <c r="A4161">
        <v>322046</v>
      </c>
      <c r="B4161" t="s">
        <v>20</v>
      </c>
      <c r="C4161">
        <v>2015</v>
      </c>
      <c r="D4161">
        <v>7</v>
      </c>
      <c r="E4161" t="s">
        <v>7</v>
      </c>
      <c r="F4161" t="s">
        <v>7</v>
      </c>
      <c r="G4161" t="s">
        <v>7</v>
      </c>
      <c r="H4161">
        <v>55913.38</v>
      </c>
      <c r="I4161">
        <v>18239.25</v>
      </c>
      <c r="J4161">
        <v>0</v>
      </c>
    </row>
    <row r="4162" spans="1:10" x14ac:dyDescent="0.35">
      <c r="A4162">
        <v>322048</v>
      </c>
      <c r="B4162" t="s">
        <v>20</v>
      </c>
      <c r="C4162">
        <v>2015</v>
      </c>
      <c r="D4162">
        <v>7</v>
      </c>
      <c r="E4162" t="s">
        <v>7</v>
      </c>
      <c r="F4162" t="s">
        <v>7</v>
      </c>
      <c r="G4162" t="s">
        <v>7</v>
      </c>
      <c r="H4162">
        <v>106767.62</v>
      </c>
      <c r="I4162">
        <v>76562.31</v>
      </c>
      <c r="J4162">
        <v>0</v>
      </c>
    </row>
    <row r="4163" spans="1:10" x14ac:dyDescent="0.35">
      <c r="A4163">
        <v>322051</v>
      </c>
      <c r="B4163" t="s">
        <v>20</v>
      </c>
      <c r="C4163">
        <v>2015</v>
      </c>
      <c r="D4163">
        <v>7</v>
      </c>
      <c r="E4163" t="s">
        <v>7</v>
      </c>
      <c r="F4163" t="s">
        <v>7</v>
      </c>
      <c r="G4163" t="s">
        <v>7</v>
      </c>
      <c r="H4163">
        <v>16274.32</v>
      </c>
      <c r="I4163">
        <v>3832.37</v>
      </c>
      <c r="J4163">
        <v>0</v>
      </c>
    </row>
    <row r="4164" spans="1:10" x14ac:dyDescent="0.35">
      <c r="A4164">
        <v>322052</v>
      </c>
      <c r="B4164" t="s">
        <v>20</v>
      </c>
      <c r="C4164">
        <v>2015</v>
      </c>
      <c r="D4164">
        <v>7</v>
      </c>
      <c r="E4164" t="s">
        <v>7</v>
      </c>
      <c r="F4164" t="s">
        <v>7</v>
      </c>
      <c r="G4164" t="s">
        <v>7</v>
      </c>
      <c r="H4164">
        <v>8579.9</v>
      </c>
      <c r="I4164">
        <v>2194.63</v>
      </c>
      <c r="J4164">
        <v>0</v>
      </c>
    </row>
    <row r="4165" spans="1:10" x14ac:dyDescent="0.35">
      <c r="A4165">
        <v>322053</v>
      </c>
      <c r="B4165" t="s">
        <v>20</v>
      </c>
      <c r="C4165">
        <v>2015</v>
      </c>
      <c r="D4165">
        <v>7</v>
      </c>
      <c r="E4165" t="s">
        <v>7</v>
      </c>
      <c r="F4165" t="s">
        <v>7</v>
      </c>
      <c r="G4165" t="s">
        <v>7</v>
      </c>
      <c r="H4165">
        <v>38261.160000000003</v>
      </c>
      <c r="I4165">
        <v>10614.31</v>
      </c>
      <c r="J4165">
        <v>0</v>
      </c>
    </row>
    <row r="4166" spans="1:10" x14ac:dyDescent="0.35">
      <c r="A4166">
        <v>322059</v>
      </c>
      <c r="B4166" t="s">
        <v>20</v>
      </c>
      <c r="C4166">
        <v>2015</v>
      </c>
      <c r="D4166">
        <v>7</v>
      </c>
      <c r="E4166" t="s">
        <v>7</v>
      </c>
      <c r="F4166" t="s">
        <v>7</v>
      </c>
      <c r="G4166" t="s">
        <v>7</v>
      </c>
      <c r="H4166">
        <v>27439.200000000001</v>
      </c>
      <c r="I4166">
        <v>7758.57</v>
      </c>
      <c r="J4166">
        <v>0</v>
      </c>
    </row>
    <row r="4167" spans="1:10" x14ac:dyDescent="0.35">
      <c r="A4167">
        <v>322062</v>
      </c>
      <c r="B4167" t="s">
        <v>20</v>
      </c>
      <c r="C4167">
        <v>2015</v>
      </c>
      <c r="D4167">
        <v>7</v>
      </c>
      <c r="E4167" t="s">
        <v>7</v>
      </c>
      <c r="F4167" t="s">
        <v>7</v>
      </c>
      <c r="G4167" t="s">
        <v>7</v>
      </c>
      <c r="H4167">
        <v>25236.18</v>
      </c>
      <c r="I4167">
        <v>7502.42</v>
      </c>
      <c r="J4167">
        <v>0</v>
      </c>
    </row>
    <row r="4168" spans="1:10" x14ac:dyDescent="0.35">
      <c r="A4168">
        <v>322065</v>
      </c>
      <c r="B4168" t="s">
        <v>20</v>
      </c>
      <c r="C4168">
        <v>2015</v>
      </c>
      <c r="D4168">
        <v>7</v>
      </c>
      <c r="E4168" t="s">
        <v>7</v>
      </c>
      <c r="F4168" t="s">
        <v>7</v>
      </c>
      <c r="G4168" t="s">
        <v>7</v>
      </c>
      <c r="H4168">
        <v>44467.76</v>
      </c>
      <c r="I4168">
        <v>17171.82</v>
      </c>
      <c r="J4168">
        <v>0</v>
      </c>
    </row>
    <row r="4169" spans="1:10" x14ac:dyDescent="0.35">
      <c r="A4169">
        <v>322066</v>
      </c>
      <c r="B4169" t="s">
        <v>20</v>
      </c>
      <c r="C4169">
        <v>2015</v>
      </c>
      <c r="D4169">
        <v>7</v>
      </c>
      <c r="E4169" t="s">
        <v>7</v>
      </c>
      <c r="F4169" t="s">
        <v>7</v>
      </c>
      <c r="G4169" t="s">
        <v>7</v>
      </c>
      <c r="H4169">
        <v>13392.84</v>
      </c>
      <c r="I4169">
        <v>3113.07</v>
      </c>
      <c r="J4169">
        <v>0</v>
      </c>
    </row>
    <row r="4170" spans="1:10" x14ac:dyDescent="0.35">
      <c r="A4170">
        <v>322067</v>
      </c>
      <c r="B4170" t="s">
        <v>20</v>
      </c>
      <c r="C4170">
        <v>2015</v>
      </c>
      <c r="D4170">
        <v>7</v>
      </c>
      <c r="E4170" t="s">
        <v>7</v>
      </c>
      <c r="F4170" t="s">
        <v>7</v>
      </c>
      <c r="G4170" t="s">
        <v>7</v>
      </c>
      <c r="H4170">
        <v>67802.58</v>
      </c>
      <c r="I4170">
        <v>44426.93</v>
      </c>
      <c r="J4170">
        <v>0</v>
      </c>
    </row>
    <row r="4171" spans="1:10" x14ac:dyDescent="0.35">
      <c r="A4171">
        <v>322071</v>
      </c>
      <c r="B4171" t="s">
        <v>20</v>
      </c>
      <c r="C4171">
        <v>2015</v>
      </c>
      <c r="D4171">
        <v>7</v>
      </c>
      <c r="E4171" t="s">
        <v>7</v>
      </c>
      <c r="F4171" t="s">
        <v>7</v>
      </c>
      <c r="G4171" t="s">
        <v>7</v>
      </c>
      <c r="H4171">
        <v>26266.6</v>
      </c>
      <c r="I4171">
        <v>5010.42</v>
      </c>
      <c r="J4171">
        <v>0</v>
      </c>
    </row>
    <row r="4172" spans="1:10" x14ac:dyDescent="0.35">
      <c r="A4172">
        <v>322074</v>
      </c>
      <c r="B4172" t="s">
        <v>20</v>
      </c>
      <c r="C4172">
        <v>2015</v>
      </c>
      <c r="D4172">
        <v>7</v>
      </c>
      <c r="E4172" t="s">
        <v>7</v>
      </c>
      <c r="F4172" t="s">
        <v>7</v>
      </c>
      <c r="G4172" t="s">
        <v>7</v>
      </c>
      <c r="H4172">
        <v>32391.38</v>
      </c>
      <c r="I4172">
        <v>8871.67</v>
      </c>
      <c r="J4172">
        <v>0</v>
      </c>
    </row>
    <row r="4173" spans="1:10" x14ac:dyDescent="0.35">
      <c r="A4173">
        <v>322077</v>
      </c>
      <c r="B4173" t="s">
        <v>20</v>
      </c>
      <c r="C4173">
        <v>2015</v>
      </c>
      <c r="D4173">
        <v>7</v>
      </c>
      <c r="E4173" t="s">
        <v>7</v>
      </c>
      <c r="F4173" t="s">
        <v>7</v>
      </c>
      <c r="G4173" t="s">
        <v>7</v>
      </c>
      <c r="H4173">
        <v>75419.5</v>
      </c>
      <c r="I4173">
        <v>56509.47</v>
      </c>
      <c r="J4173">
        <v>0</v>
      </c>
    </row>
    <row r="4174" spans="1:10" x14ac:dyDescent="0.35">
      <c r="A4174">
        <v>322081</v>
      </c>
      <c r="B4174" t="s">
        <v>20</v>
      </c>
      <c r="C4174">
        <v>2015</v>
      </c>
      <c r="D4174">
        <v>7</v>
      </c>
      <c r="E4174" t="s">
        <v>7</v>
      </c>
      <c r="F4174" t="s">
        <v>7</v>
      </c>
      <c r="G4174" t="s">
        <v>7</v>
      </c>
      <c r="H4174">
        <v>34690.18</v>
      </c>
      <c r="I4174">
        <v>10655.78</v>
      </c>
      <c r="J4174">
        <v>0</v>
      </c>
    </row>
    <row r="4175" spans="1:10" x14ac:dyDescent="0.35">
      <c r="A4175">
        <v>322082</v>
      </c>
      <c r="B4175" t="s">
        <v>20</v>
      </c>
      <c r="C4175">
        <v>2015</v>
      </c>
      <c r="D4175">
        <v>7</v>
      </c>
      <c r="E4175" t="s">
        <v>7</v>
      </c>
      <c r="F4175" t="s">
        <v>7</v>
      </c>
      <c r="G4175" t="s">
        <v>7</v>
      </c>
      <c r="H4175">
        <v>36058.1</v>
      </c>
      <c r="I4175">
        <v>8436.8700000000008</v>
      </c>
      <c r="J4175">
        <v>0</v>
      </c>
    </row>
    <row r="4176" spans="1:10" x14ac:dyDescent="0.35">
      <c r="A4176">
        <v>322083</v>
      </c>
      <c r="B4176" t="s">
        <v>20</v>
      </c>
      <c r="C4176">
        <v>2015</v>
      </c>
      <c r="D4176">
        <v>7</v>
      </c>
      <c r="E4176" t="s">
        <v>7</v>
      </c>
      <c r="F4176" t="s">
        <v>7</v>
      </c>
      <c r="G4176" t="s">
        <v>7</v>
      </c>
      <c r="H4176">
        <v>55165.08</v>
      </c>
      <c r="I4176">
        <v>16401.009999999998</v>
      </c>
      <c r="J4176">
        <v>0</v>
      </c>
    </row>
    <row r="4177" spans="1:10" x14ac:dyDescent="0.35">
      <c r="A4177">
        <v>322088</v>
      </c>
      <c r="B4177" t="s">
        <v>20</v>
      </c>
      <c r="C4177">
        <v>2015</v>
      </c>
      <c r="D4177">
        <v>7</v>
      </c>
      <c r="E4177" t="s">
        <v>7</v>
      </c>
      <c r="F4177" t="s">
        <v>7</v>
      </c>
      <c r="G4177" t="s">
        <v>7</v>
      </c>
      <c r="H4177">
        <v>29732.880000000001</v>
      </c>
      <c r="I4177">
        <v>9539.8700000000008</v>
      </c>
      <c r="J4177">
        <v>0</v>
      </c>
    </row>
    <row r="4178" spans="1:10" x14ac:dyDescent="0.35">
      <c r="A4178">
        <v>322090</v>
      </c>
      <c r="B4178" t="s">
        <v>20</v>
      </c>
      <c r="C4178">
        <v>2015</v>
      </c>
      <c r="D4178">
        <v>7</v>
      </c>
      <c r="E4178" t="s">
        <v>7</v>
      </c>
      <c r="F4178" t="s">
        <v>7</v>
      </c>
      <c r="G4178" t="s">
        <v>7</v>
      </c>
      <c r="H4178">
        <v>39162.04</v>
      </c>
      <c r="I4178">
        <v>11509.53</v>
      </c>
      <c r="J4178">
        <v>0</v>
      </c>
    </row>
    <row r="4179" spans="1:10" x14ac:dyDescent="0.35">
      <c r="A4179">
        <v>322092</v>
      </c>
      <c r="B4179" t="s">
        <v>20</v>
      </c>
      <c r="C4179">
        <v>2015</v>
      </c>
      <c r="D4179">
        <v>7</v>
      </c>
      <c r="E4179" t="s">
        <v>7</v>
      </c>
      <c r="F4179" t="s">
        <v>7</v>
      </c>
      <c r="G4179" t="s">
        <v>7</v>
      </c>
      <c r="H4179">
        <v>23761.38</v>
      </c>
      <c r="I4179">
        <v>7376.5</v>
      </c>
      <c r="J4179">
        <v>0</v>
      </c>
    </row>
    <row r="4180" spans="1:10" x14ac:dyDescent="0.35">
      <c r="A4180">
        <v>322093</v>
      </c>
      <c r="B4180" t="s">
        <v>20</v>
      </c>
      <c r="C4180">
        <v>2015</v>
      </c>
      <c r="D4180">
        <v>7</v>
      </c>
      <c r="E4180" t="s">
        <v>7</v>
      </c>
      <c r="F4180" t="s">
        <v>7</v>
      </c>
      <c r="G4180" t="s">
        <v>7</v>
      </c>
      <c r="H4180">
        <v>13064.56</v>
      </c>
      <c r="I4180">
        <v>3365.7</v>
      </c>
      <c r="J4180">
        <v>0</v>
      </c>
    </row>
    <row r="4181" spans="1:10" x14ac:dyDescent="0.35">
      <c r="A4181">
        <v>322098</v>
      </c>
      <c r="B4181" t="s">
        <v>20</v>
      </c>
      <c r="C4181">
        <v>2015</v>
      </c>
      <c r="D4181">
        <v>7</v>
      </c>
      <c r="E4181" t="s">
        <v>7</v>
      </c>
      <c r="F4181" t="s">
        <v>7</v>
      </c>
      <c r="G4181" t="s">
        <v>7</v>
      </c>
      <c r="H4181">
        <v>139650.4</v>
      </c>
      <c r="I4181">
        <v>89336.82</v>
      </c>
      <c r="J4181">
        <v>0</v>
      </c>
    </row>
    <row r="4182" spans="1:10" x14ac:dyDescent="0.35">
      <c r="A4182">
        <v>322099</v>
      </c>
      <c r="B4182" t="s">
        <v>20</v>
      </c>
      <c r="C4182">
        <v>2015</v>
      </c>
      <c r="D4182">
        <v>7</v>
      </c>
      <c r="E4182" t="s">
        <v>7</v>
      </c>
      <c r="F4182" t="s">
        <v>7</v>
      </c>
      <c r="G4182" t="s">
        <v>7</v>
      </c>
      <c r="H4182">
        <v>24456.32</v>
      </c>
      <c r="I4182">
        <v>7167.46</v>
      </c>
      <c r="J4182">
        <v>0</v>
      </c>
    </row>
    <row r="4183" spans="1:10" x14ac:dyDescent="0.35">
      <c r="A4183">
        <v>322101</v>
      </c>
      <c r="B4183" t="s">
        <v>20</v>
      </c>
      <c r="C4183">
        <v>2015</v>
      </c>
      <c r="D4183">
        <v>7</v>
      </c>
      <c r="E4183" t="s">
        <v>7</v>
      </c>
      <c r="F4183" t="s">
        <v>7</v>
      </c>
      <c r="G4183" t="s">
        <v>7</v>
      </c>
      <c r="H4183">
        <v>103847.96</v>
      </c>
      <c r="I4183">
        <v>68067.929999999993</v>
      </c>
      <c r="J4183">
        <v>0</v>
      </c>
    </row>
    <row r="4184" spans="1:10" x14ac:dyDescent="0.35">
      <c r="A4184">
        <v>322102</v>
      </c>
      <c r="B4184" t="s">
        <v>20</v>
      </c>
      <c r="C4184">
        <v>2015</v>
      </c>
      <c r="D4184">
        <v>7</v>
      </c>
      <c r="E4184" t="s">
        <v>7</v>
      </c>
      <c r="F4184" t="s">
        <v>7</v>
      </c>
      <c r="G4184" t="s">
        <v>7</v>
      </c>
      <c r="H4184">
        <v>18907.259999999998</v>
      </c>
      <c r="I4184">
        <v>4926.7</v>
      </c>
      <c r="J4184">
        <v>0</v>
      </c>
    </row>
    <row r="4185" spans="1:10" x14ac:dyDescent="0.35">
      <c r="A4185">
        <v>322112</v>
      </c>
      <c r="B4185" t="s">
        <v>20</v>
      </c>
      <c r="C4185">
        <v>2015</v>
      </c>
      <c r="D4185">
        <v>7</v>
      </c>
      <c r="E4185" t="s">
        <v>7</v>
      </c>
      <c r="F4185" t="s">
        <v>7</v>
      </c>
      <c r="G4185" t="s">
        <v>7</v>
      </c>
      <c r="H4185">
        <v>10084.32</v>
      </c>
      <c r="I4185">
        <v>2640.29</v>
      </c>
      <c r="J4185">
        <v>0</v>
      </c>
    </row>
    <row r="4186" spans="1:10" x14ac:dyDescent="0.35">
      <c r="A4186">
        <v>322113</v>
      </c>
      <c r="B4186" t="s">
        <v>20</v>
      </c>
      <c r="C4186">
        <v>2015</v>
      </c>
      <c r="D4186">
        <v>7</v>
      </c>
      <c r="E4186" t="s">
        <v>7</v>
      </c>
      <c r="F4186" t="s">
        <v>7</v>
      </c>
      <c r="G4186" t="s">
        <v>7</v>
      </c>
      <c r="H4186">
        <v>46333.06</v>
      </c>
      <c r="I4186">
        <v>22816.639999999999</v>
      </c>
      <c r="J4186">
        <v>0</v>
      </c>
    </row>
    <row r="4187" spans="1:10" x14ac:dyDescent="0.35">
      <c r="A4187">
        <v>322114</v>
      </c>
      <c r="B4187" t="s">
        <v>20</v>
      </c>
      <c r="C4187">
        <v>2015</v>
      </c>
      <c r="D4187">
        <v>7</v>
      </c>
      <c r="E4187" t="s">
        <v>7</v>
      </c>
      <c r="F4187" t="s">
        <v>7</v>
      </c>
      <c r="G4187" t="s">
        <v>7</v>
      </c>
      <c r="H4187">
        <v>10979.24</v>
      </c>
      <c r="I4187">
        <v>2578.12</v>
      </c>
      <c r="J4187">
        <v>0</v>
      </c>
    </row>
    <row r="4188" spans="1:10" x14ac:dyDescent="0.35">
      <c r="A4188">
        <v>322115</v>
      </c>
      <c r="B4188" t="s">
        <v>20</v>
      </c>
      <c r="C4188">
        <v>2015</v>
      </c>
      <c r="D4188">
        <v>7</v>
      </c>
      <c r="E4188" t="s">
        <v>7</v>
      </c>
      <c r="F4188" t="s">
        <v>7</v>
      </c>
      <c r="G4188" t="s">
        <v>7</v>
      </c>
      <c r="H4188">
        <v>44909.18</v>
      </c>
      <c r="I4188">
        <v>13039.4</v>
      </c>
      <c r="J4188">
        <v>0</v>
      </c>
    </row>
    <row r="4189" spans="1:10" x14ac:dyDescent="0.35">
      <c r="A4189">
        <v>322116</v>
      </c>
      <c r="B4189" t="s">
        <v>20</v>
      </c>
      <c r="C4189">
        <v>2015</v>
      </c>
      <c r="D4189">
        <v>7</v>
      </c>
      <c r="E4189" t="s">
        <v>7</v>
      </c>
      <c r="F4189" t="s">
        <v>7</v>
      </c>
      <c r="G4189" t="s">
        <v>7</v>
      </c>
      <c r="H4189">
        <v>64235.78</v>
      </c>
      <c r="I4189">
        <v>43071.5</v>
      </c>
      <c r="J4189">
        <v>0</v>
      </c>
    </row>
    <row r="4190" spans="1:10" x14ac:dyDescent="0.35">
      <c r="A4190">
        <v>322117</v>
      </c>
      <c r="B4190" t="s">
        <v>20</v>
      </c>
      <c r="C4190">
        <v>2015</v>
      </c>
      <c r="D4190">
        <v>7</v>
      </c>
      <c r="E4190" t="s">
        <v>7</v>
      </c>
      <c r="F4190" t="s">
        <v>7</v>
      </c>
      <c r="G4190" t="s">
        <v>7</v>
      </c>
      <c r="H4190">
        <v>71760.240000000005</v>
      </c>
      <c r="I4190">
        <v>21343.8</v>
      </c>
      <c r="J4190">
        <v>0</v>
      </c>
    </row>
    <row r="4191" spans="1:10" x14ac:dyDescent="0.35">
      <c r="A4191">
        <v>322120</v>
      </c>
      <c r="B4191" t="s">
        <v>20</v>
      </c>
      <c r="C4191">
        <v>2015</v>
      </c>
      <c r="D4191">
        <v>7</v>
      </c>
      <c r="E4191" t="s">
        <v>7</v>
      </c>
      <c r="F4191" t="s">
        <v>7</v>
      </c>
      <c r="G4191" t="s">
        <v>7</v>
      </c>
      <c r="H4191">
        <v>17103.22</v>
      </c>
      <c r="I4191">
        <v>9160.69</v>
      </c>
      <c r="J4191">
        <v>0</v>
      </c>
    </row>
    <row r="4192" spans="1:10" x14ac:dyDescent="0.35">
      <c r="A4192">
        <v>322121</v>
      </c>
      <c r="B4192" t="s">
        <v>20</v>
      </c>
      <c r="C4192">
        <v>2015</v>
      </c>
      <c r="D4192">
        <v>7</v>
      </c>
      <c r="E4192" t="s">
        <v>7</v>
      </c>
      <c r="F4192" t="s">
        <v>7</v>
      </c>
      <c r="G4192" t="s">
        <v>7</v>
      </c>
      <c r="H4192">
        <v>57459.72</v>
      </c>
      <c r="I4192">
        <v>41364.25</v>
      </c>
      <c r="J4192">
        <v>0</v>
      </c>
    </row>
    <row r="4193" spans="1:10" x14ac:dyDescent="0.35">
      <c r="A4193">
        <v>322122</v>
      </c>
      <c r="B4193" t="s">
        <v>20</v>
      </c>
      <c r="C4193">
        <v>2015</v>
      </c>
      <c r="D4193">
        <v>7</v>
      </c>
      <c r="E4193" t="s">
        <v>7</v>
      </c>
      <c r="F4193" t="s">
        <v>7</v>
      </c>
      <c r="G4193" t="s">
        <v>7</v>
      </c>
      <c r="H4193">
        <v>132875.38</v>
      </c>
      <c r="I4193">
        <v>65416.07</v>
      </c>
      <c r="J4193">
        <v>0</v>
      </c>
    </row>
    <row r="4194" spans="1:10" x14ac:dyDescent="0.35">
      <c r="A4194">
        <v>322123</v>
      </c>
      <c r="B4194" t="s">
        <v>20</v>
      </c>
      <c r="C4194">
        <v>2015</v>
      </c>
      <c r="D4194">
        <v>7</v>
      </c>
      <c r="E4194" t="s">
        <v>7</v>
      </c>
      <c r="F4194" t="s">
        <v>7</v>
      </c>
      <c r="G4194" t="s">
        <v>7</v>
      </c>
      <c r="H4194">
        <v>11503.98</v>
      </c>
      <c r="I4194">
        <v>2660.38</v>
      </c>
      <c r="J4194">
        <v>0</v>
      </c>
    </row>
    <row r="4195" spans="1:10" x14ac:dyDescent="0.35">
      <c r="A4195">
        <v>322124</v>
      </c>
      <c r="B4195" t="s">
        <v>20</v>
      </c>
      <c r="C4195">
        <v>2015</v>
      </c>
      <c r="D4195">
        <v>7</v>
      </c>
      <c r="E4195" t="s">
        <v>7</v>
      </c>
      <c r="F4195" t="s">
        <v>7</v>
      </c>
      <c r="G4195" t="s">
        <v>7</v>
      </c>
      <c r="H4195">
        <v>41361.96</v>
      </c>
      <c r="I4195">
        <v>11849.54</v>
      </c>
      <c r="J4195">
        <v>0</v>
      </c>
    </row>
    <row r="4196" spans="1:10" x14ac:dyDescent="0.35">
      <c r="A4196">
        <v>322125</v>
      </c>
      <c r="B4196" t="s">
        <v>20</v>
      </c>
      <c r="C4196">
        <v>2015</v>
      </c>
      <c r="D4196">
        <v>7</v>
      </c>
      <c r="E4196" t="s">
        <v>7</v>
      </c>
      <c r="F4196" t="s">
        <v>7</v>
      </c>
      <c r="G4196" t="s">
        <v>7</v>
      </c>
      <c r="H4196">
        <v>28340.400000000001</v>
      </c>
      <c r="I4196">
        <v>14047.37</v>
      </c>
      <c r="J4196">
        <v>0</v>
      </c>
    </row>
    <row r="4197" spans="1:10" x14ac:dyDescent="0.35">
      <c r="A4197">
        <v>322126</v>
      </c>
      <c r="B4197" t="s">
        <v>20</v>
      </c>
      <c r="C4197">
        <v>2015</v>
      </c>
      <c r="D4197">
        <v>7</v>
      </c>
      <c r="E4197" t="s">
        <v>7</v>
      </c>
      <c r="F4197" t="s">
        <v>7</v>
      </c>
      <c r="G4197" t="s">
        <v>7</v>
      </c>
      <c r="H4197">
        <v>64741.7</v>
      </c>
      <c r="I4197">
        <v>31197.66</v>
      </c>
      <c r="J4197">
        <v>0</v>
      </c>
    </row>
    <row r="4198" spans="1:10" x14ac:dyDescent="0.35">
      <c r="A4198">
        <v>322127</v>
      </c>
      <c r="B4198" t="s">
        <v>20</v>
      </c>
      <c r="C4198">
        <v>2015</v>
      </c>
      <c r="D4198">
        <v>7</v>
      </c>
      <c r="E4198" t="s">
        <v>7</v>
      </c>
      <c r="F4198" t="s">
        <v>7</v>
      </c>
      <c r="G4198" t="s">
        <v>7</v>
      </c>
      <c r="H4198">
        <v>15368.5</v>
      </c>
      <c r="I4198">
        <v>4355.5200000000004</v>
      </c>
      <c r="J4198">
        <v>0</v>
      </c>
    </row>
    <row r="4199" spans="1:10" x14ac:dyDescent="0.35">
      <c r="A4199">
        <v>322128</v>
      </c>
      <c r="B4199" t="s">
        <v>20</v>
      </c>
      <c r="C4199">
        <v>2015</v>
      </c>
      <c r="D4199">
        <v>7</v>
      </c>
      <c r="E4199" t="s">
        <v>7</v>
      </c>
      <c r="F4199" t="s">
        <v>7</v>
      </c>
      <c r="G4199" t="s">
        <v>7</v>
      </c>
      <c r="H4199">
        <v>28434.98</v>
      </c>
      <c r="I4199">
        <v>7576.17</v>
      </c>
      <c r="J4199">
        <v>0</v>
      </c>
    </row>
    <row r="4200" spans="1:10" x14ac:dyDescent="0.35">
      <c r="A4200">
        <v>322130</v>
      </c>
      <c r="B4200" t="s">
        <v>20</v>
      </c>
      <c r="C4200">
        <v>2015</v>
      </c>
      <c r="D4200">
        <v>7</v>
      </c>
      <c r="E4200" t="s">
        <v>7</v>
      </c>
      <c r="F4200" t="s">
        <v>7</v>
      </c>
      <c r="G4200" t="s">
        <v>7</v>
      </c>
      <c r="H4200">
        <v>34176.26</v>
      </c>
      <c r="I4200">
        <v>10062.61</v>
      </c>
      <c r="J4200">
        <v>0</v>
      </c>
    </row>
    <row r="4201" spans="1:10" x14ac:dyDescent="0.35">
      <c r="A4201">
        <v>322132</v>
      </c>
      <c r="B4201" t="s">
        <v>20</v>
      </c>
      <c r="C4201">
        <v>2015</v>
      </c>
      <c r="D4201">
        <v>7</v>
      </c>
      <c r="E4201" t="s">
        <v>7</v>
      </c>
      <c r="F4201" t="s">
        <v>7</v>
      </c>
      <c r="G4201" t="s">
        <v>7</v>
      </c>
      <c r="H4201">
        <v>18116.52</v>
      </c>
      <c r="I4201">
        <v>2911.62</v>
      </c>
      <c r="J4201">
        <v>0</v>
      </c>
    </row>
    <row r="4202" spans="1:10" x14ac:dyDescent="0.35">
      <c r="A4202">
        <v>322134</v>
      </c>
      <c r="B4202" t="s">
        <v>20</v>
      </c>
      <c r="C4202">
        <v>2015</v>
      </c>
      <c r="D4202">
        <v>7</v>
      </c>
      <c r="E4202" t="s">
        <v>7</v>
      </c>
      <c r="F4202" t="s">
        <v>7</v>
      </c>
      <c r="G4202" t="s">
        <v>7</v>
      </c>
      <c r="H4202">
        <v>52178.9</v>
      </c>
      <c r="I4202">
        <v>13213.8</v>
      </c>
      <c r="J4202">
        <v>0</v>
      </c>
    </row>
    <row r="4203" spans="1:10" x14ac:dyDescent="0.35">
      <c r="A4203">
        <v>322137</v>
      </c>
      <c r="B4203" t="s">
        <v>20</v>
      </c>
      <c r="C4203">
        <v>2015</v>
      </c>
      <c r="D4203">
        <v>7</v>
      </c>
      <c r="E4203" t="s">
        <v>7</v>
      </c>
      <c r="F4203" t="s">
        <v>7</v>
      </c>
      <c r="G4203" t="s">
        <v>7</v>
      </c>
      <c r="H4203">
        <v>13903.58</v>
      </c>
      <c r="I4203">
        <v>4092.51</v>
      </c>
      <c r="J4203">
        <v>0</v>
      </c>
    </row>
    <row r="4204" spans="1:10" x14ac:dyDescent="0.35">
      <c r="A4204">
        <v>322138</v>
      </c>
      <c r="B4204" t="s">
        <v>20</v>
      </c>
      <c r="C4204">
        <v>2015</v>
      </c>
      <c r="D4204">
        <v>7</v>
      </c>
      <c r="E4204" t="s">
        <v>7</v>
      </c>
      <c r="F4204" t="s">
        <v>7</v>
      </c>
      <c r="G4204" t="s">
        <v>7</v>
      </c>
      <c r="H4204">
        <v>52286.22</v>
      </c>
      <c r="I4204">
        <v>15828.79</v>
      </c>
      <c r="J4204">
        <v>0</v>
      </c>
    </row>
    <row r="4205" spans="1:10" x14ac:dyDescent="0.35">
      <c r="A4205">
        <v>322139</v>
      </c>
      <c r="B4205" t="s">
        <v>20</v>
      </c>
      <c r="C4205">
        <v>2015</v>
      </c>
      <c r="D4205">
        <v>7</v>
      </c>
      <c r="E4205" t="s">
        <v>7</v>
      </c>
      <c r="F4205" t="s">
        <v>7</v>
      </c>
      <c r="G4205" t="s">
        <v>7</v>
      </c>
      <c r="H4205">
        <v>68761.320000000007</v>
      </c>
      <c r="I4205">
        <v>51839.360000000001</v>
      </c>
      <c r="J4205">
        <v>0</v>
      </c>
    </row>
    <row r="4206" spans="1:10" x14ac:dyDescent="0.35">
      <c r="A4206">
        <v>322142</v>
      </c>
      <c r="B4206" t="s">
        <v>20</v>
      </c>
      <c r="C4206">
        <v>2015</v>
      </c>
      <c r="D4206">
        <v>7</v>
      </c>
      <c r="E4206" t="s">
        <v>7</v>
      </c>
      <c r="F4206" t="s">
        <v>7</v>
      </c>
      <c r="G4206" t="s">
        <v>7</v>
      </c>
      <c r="H4206">
        <v>52497.32</v>
      </c>
      <c r="I4206">
        <v>25737.79</v>
      </c>
      <c r="J4206">
        <v>0</v>
      </c>
    </row>
    <row r="4207" spans="1:10" x14ac:dyDescent="0.35">
      <c r="A4207">
        <v>322146</v>
      </c>
      <c r="B4207" t="s">
        <v>20</v>
      </c>
      <c r="C4207">
        <v>2015</v>
      </c>
      <c r="D4207">
        <v>7</v>
      </c>
      <c r="E4207" t="s">
        <v>7</v>
      </c>
      <c r="F4207" t="s">
        <v>7</v>
      </c>
      <c r="G4207" t="s">
        <v>7</v>
      </c>
      <c r="H4207">
        <v>19686.88</v>
      </c>
      <c r="I4207">
        <v>4869.18</v>
      </c>
      <c r="J4207">
        <v>0</v>
      </c>
    </row>
    <row r="4208" spans="1:10" x14ac:dyDescent="0.35">
      <c r="A4208">
        <v>322148</v>
      </c>
      <c r="B4208" t="s">
        <v>20</v>
      </c>
      <c r="C4208">
        <v>2015</v>
      </c>
      <c r="D4208">
        <v>7</v>
      </c>
      <c r="E4208" t="s">
        <v>7</v>
      </c>
      <c r="F4208" t="s">
        <v>7</v>
      </c>
      <c r="G4208" t="s">
        <v>7</v>
      </c>
      <c r="H4208">
        <v>18620.740000000002</v>
      </c>
      <c r="I4208">
        <v>3034.39</v>
      </c>
      <c r="J4208">
        <v>0</v>
      </c>
    </row>
    <row r="4209" spans="1:10" x14ac:dyDescent="0.35">
      <c r="A4209">
        <v>322150</v>
      </c>
      <c r="B4209" t="s">
        <v>20</v>
      </c>
      <c r="C4209">
        <v>2015</v>
      </c>
      <c r="D4209">
        <v>7</v>
      </c>
      <c r="E4209" t="s">
        <v>7</v>
      </c>
      <c r="F4209" t="s">
        <v>7</v>
      </c>
      <c r="G4209" t="s">
        <v>7</v>
      </c>
      <c r="H4209">
        <v>76414.38</v>
      </c>
      <c r="I4209">
        <v>58942.82</v>
      </c>
      <c r="J4209">
        <v>0</v>
      </c>
    </row>
    <row r="4210" spans="1:10" x14ac:dyDescent="0.35">
      <c r="A4210">
        <v>322151</v>
      </c>
      <c r="B4210" t="s">
        <v>20</v>
      </c>
      <c r="C4210">
        <v>2015</v>
      </c>
      <c r="D4210">
        <v>7</v>
      </c>
      <c r="E4210" t="s">
        <v>7</v>
      </c>
      <c r="F4210" t="s">
        <v>7</v>
      </c>
      <c r="G4210" t="s">
        <v>7</v>
      </c>
      <c r="H4210">
        <v>11176.42</v>
      </c>
      <c r="I4210">
        <v>2927.22</v>
      </c>
      <c r="J4210">
        <v>0</v>
      </c>
    </row>
    <row r="4211" spans="1:10" x14ac:dyDescent="0.35">
      <c r="A4211">
        <v>322153</v>
      </c>
      <c r="B4211" t="s">
        <v>20</v>
      </c>
      <c r="C4211">
        <v>2015</v>
      </c>
      <c r="D4211">
        <v>7</v>
      </c>
      <c r="E4211" t="s">
        <v>7</v>
      </c>
      <c r="F4211" t="s">
        <v>7</v>
      </c>
      <c r="G4211" t="s">
        <v>7</v>
      </c>
      <c r="H4211">
        <v>27116.26</v>
      </c>
      <c r="I4211">
        <v>7708.27</v>
      </c>
      <c r="J4211">
        <v>0</v>
      </c>
    </row>
    <row r="4212" spans="1:10" x14ac:dyDescent="0.35">
      <c r="A4212">
        <v>322155</v>
      </c>
      <c r="B4212" t="s">
        <v>20</v>
      </c>
      <c r="C4212">
        <v>2015</v>
      </c>
      <c r="D4212">
        <v>7</v>
      </c>
      <c r="E4212" t="s">
        <v>7</v>
      </c>
      <c r="F4212" t="s">
        <v>7</v>
      </c>
      <c r="G4212" t="s">
        <v>7</v>
      </c>
      <c r="H4212">
        <v>22699.3</v>
      </c>
      <c r="I4212">
        <v>6991.5</v>
      </c>
      <c r="J4212">
        <v>0</v>
      </c>
    </row>
    <row r="4213" spans="1:10" x14ac:dyDescent="0.35">
      <c r="A4213">
        <v>322156</v>
      </c>
      <c r="B4213" t="s">
        <v>20</v>
      </c>
      <c r="C4213">
        <v>2015</v>
      </c>
      <c r="D4213">
        <v>7</v>
      </c>
      <c r="E4213" t="s">
        <v>7</v>
      </c>
      <c r="F4213" t="s">
        <v>7</v>
      </c>
      <c r="G4213" t="s">
        <v>7</v>
      </c>
      <c r="H4213">
        <v>61511.48</v>
      </c>
      <c r="I4213">
        <v>45427.05</v>
      </c>
      <c r="J4213">
        <v>0</v>
      </c>
    </row>
    <row r="4214" spans="1:10" x14ac:dyDescent="0.35">
      <c r="A4214">
        <v>322160</v>
      </c>
      <c r="B4214" t="s">
        <v>20</v>
      </c>
      <c r="C4214">
        <v>2015</v>
      </c>
      <c r="D4214">
        <v>7</v>
      </c>
      <c r="E4214" t="s">
        <v>7</v>
      </c>
      <c r="F4214" t="s">
        <v>7</v>
      </c>
      <c r="G4214" t="s">
        <v>7</v>
      </c>
      <c r="H4214">
        <v>24239.439999999999</v>
      </c>
      <c r="I4214">
        <v>3024.37</v>
      </c>
      <c r="J4214">
        <v>0</v>
      </c>
    </row>
    <row r="4215" spans="1:10" x14ac:dyDescent="0.35">
      <c r="A4215">
        <v>322162</v>
      </c>
      <c r="B4215" t="s">
        <v>20</v>
      </c>
      <c r="C4215">
        <v>2015</v>
      </c>
      <c r="D4215">
        <v>7</v>
      </c>
      <c r="E4215" t="s">
        <v>7</v>
      </c>
      <c r="F4215" t="s">
        <v>7</v>
      </c>
      <c r="G4215" t="s">
        <v>7</v>
      </c>
      <c r="H4215">
        <v>29469.24</v>
      </c>
      <c r="I4215">
        <v>8477.67</v>
      </c>
      <c r="J4215">
        <v>0</v>
      </c>
    </row>
    <row r="4216" spans="1:10" x14ac:dyDescent="0.35">
      <c r="A4216">
        <v>322167</v>
      </c>
      <c r="B4216" t="s">
        <v>20</v>
      </c>
      <c r="C4216">
        <v>2015</v>
      </c>
      <c r="D4216">
        <v>7</v>
      </c>
      <c r="E4216" t="s">
        <v>7</v>
      </c>
      <c r="F4216" t="s">
        <v>7</v>
      </c>
      <c r="G4216" t="s">
        <v>7</v>
      </c>
      <c r="H4216">
        <v>43645.48</v>
      </c>
      <c r="I4216">
        <v>15623.46</v>
      </c>
      <c r="J4216">
        <v>0</v>
      </c>
    </row>
    <row r="4217" spans="1:10" x14ac:dyDescent="0.35">
      <c r="A4217">
        <v>322168</v>
      </c>
      <c r="B4217" t="s">
        <v>20</v>
      </c>
      <c r="C4217">
        <v>2015</v>
      </c>
      <c r="D4217">
        <v>7</v>
      </c>
      <c r="E4217" t="s">
        <v>7</v>
      </c>
      <c r="F4217" t="s">
        <v>7</v>
      </c>
      <c r="G4217" t="s">
        <v>7</v>
      </c>
      <c r="H4217">
        <v>22330.58</v>
      </c>
      <c r="I4217">
        <v>6154.77</v>
      </c>
      <c r="J4217">
        <v>0</v>
      </c>
    </row>
    <row r="4218" spans="1:10" x14ac:dyDescent="0.35">
      <c r="A4218">
        <v>322169</v>
      </c>
      <c r="B4218" t="s">
        <v>20</v>
      </c>
      <c r="C4218">
        <v>2015</v>
      </c>
      <c r="D4218">
        <v>7</v>
      </c>
      <c r="E4218" t="s">
        <v>7</v>
      </c>
      <c r="F4218" t="s">
        <v>7</v>
      </c>
      <c r="G4218" t="s">
        <v>7</v>
      </c>
      <c r="H4218">
        <v>37042.18</v>
      </c>
      <c r="I4218">
        <v>9871</v>
      </c>
      <c r="J4218">
        <v>0</v>
      </c>
    </row>
    <row r="4219" spans="1:10" x14ac:dyDescent="0.35">
      <c r="A4219">
        <v>322170</v>
      </c>
      <c r="B4219" t="s">
        <v>20</v>
      </c>
      <c r="C4219">
        <v>2015</v>
      </c>
      <c r="D4219">
        <v>7</v>
      </c>
      <c r="E4219" t="s">
        <v>7</v>
      </c>
      <c r="F4219" t="s">
        <v>7</v>
      </c>
      <c r="G4219" t="s">
        <v>7</v>
      </c>
      <c r="H4219">
        <v>22893.54</v>
      </c>
      <c r="I4219">
        <v>6279.68</v>
      </c>
      <c r="J4219">
        <v>0</v>
      </c>
    </row>
    <row r="4220" spans="1:10" x14ac:dyDescent="0.35">
      <c r="A4220">
        <v>322171</v>
      </c>
      <c r="B4220" t="s">
        <v>20</v>
      </c>
      <c r="C4220">
        <v>2015</v>
      </c>
      <c r="D4220">
        <v>7</v>
      </c>
      <c r="E4220" t="s">
        <v>7</v>
      </c>
      <c r="F4220" t="s">
        <v>7</v>
      </c>
      <c r="G4220" t="s">
        <v>7</v>
      </c>
      <c r="H4220">
        <v>22043.919999999998</v>
      </c>
      <c r="I4220">
        <v>5584.65</v>
      </c>
      <c r="J4220">
        <v>0</v>
      </c>
    </row>
    <row r="4221" spans="1:10" x14ac:dyDescent="0.35">
      <c r="A4221">
        <v>322173</v>
      </c>
      <c r="B4221" t="s">
        <v>20</v>
      </c>
      <c r="C4221">
        <v>2015</v>
      </c>
      <c r="D4221">
        <v>7</v>
      </c>
      <c r="E4221" t="s">
        <v>7</v>
      </c>
      <c r="F4221" t="s">
        <v>7</v>
      </c>
      <c r="G4221" t="s">
        <v>7</v>
      </c>
      <c r="H4221">
        <v>79652.160000000003</v>
      </c>
      <c r="I4221">
        <v>57888.13</v>
      </c>
      <c r="J4221">
        <v>0</v>
      </c>
    </row>
    <row r="4222" spans="1:10" x14ac:dyDescent="0.35">
      <c r="A4222">
        <v>322174</v>
      </c>
      <c r="B4222" t="s">
        <v>20</v>
      </c>
      <c r="C4222">
        <v>2015</v>
      </c>
      <c r="D4222">
        <v>7</v>
      </c>
      <c r="E4222" t="s">
        <v>7</v>
      </c>
      <c r="F4222" t="s">
        <v>7</v>
      </c>
      <c r="G4222" t="s">
        <v>7</v>
      </c>
      <c r="H4222">
        <v>29521.18</v>
      </c>
      <c r="I4222">
        <v>9973.14</v>
      </c>
      <c r="J4222">
        <v>0</v>
      </c>
    </row>
    <row r="4223" spans="1:10" x14ac:dyDescent="0.35">
      <c r="A4223">
        <v>322179</v>
      </c>
      <c r="B4223" t="s">
        <v>20</v>
      </c>
      <c r="C4223">
        <v>2015</v>
      </c>
      <c r="D4223">
        <v>7</v>
      </c>
      <c r="E4223" t="s">
        <v>7</v>
      </c>
      <c r="F4223" t="s">
        <v>7</v>
      </c>
      <c r="G4223" t="s">
        <v>7</v>
      </c>
      <c r="H4223">
        <v>67171.820000000007</v>
      </c>
      <c r="I4223">
        <v>27956.959999999999</v>
      </c>
      <c r="J4223">
        <v>0</v>
      </c>
    </row>
    <row r="4224" spans="1:10" x14ac:dyDescent="0.35">
      <c r="A4224">
        <v>322183</v>
      </c>
      <c r="B4224" t="s">
        <v>20</v>
      </c>
      <c r="C4224">
        <v>2015</v>
      </c>
      <c r="D4224">
        <v>7</v>
      </c>
      <c r="E4224" t="s">
        <v>7</v>
      </c>
      <c r="F4224" t="s">
        <v>7</v>
      </c>
      <c r="G4224" t="s">
        <v>7</v>
      </c>
      <c r="H4224">
        <v>26959.040000000001</v>
      </c>
      <c r="I4224">
        <v>9837.9</v>
      </c>
      <c r="J4224">
        <v>0</v>
      </c>
    </row>
    <row r="4225" spans="1:10" x14ac:dyDescent="0.35">
      <c r="A4225">
        <v>322184</v>
      </c>
      <c r="B4225" t="s">
        <v>20</v>
      </c>
      <c r="C4225">
        <v>2015</v>
      </c>
      <c r="D4225">
        <v>7</v>
      </c>
      <c r="E4225" t="s">
        <v>7</v>
      </c>
      <c r="F4225" t="s">
        <v>7</v>
      </c>
      <c r="G4225" t="s">
        <v>7</v>
      </c>
      <c r="H4225">
        <v>28385.88</v>
      </c>
      <c r="I4225">
        <v>7851.15</v>
      </c>
      <c r="J4225">
        <v>0</v>
      </c>
    </row>
    <row r="4226" spans="1:10" x14ac:dyDescent="0.35">
      <c r="A4226">
        <v>322186</v>
      </c>
      <c r="B4226" t="s">
        <v>20</v>
      </c>
      <c r="C4226">
        <v>2015</v>
      </c>
      <c r="D4226">
        <v>7</v>
      </c>
      <c r="E4226" t="s">
        <v>7</v>
      </c>
      <c r="F4226" t="s">
        <v>7</v>
      </c>
      <c r="G4226" t="s">
        <v>7</v>
      </c>
      <c r="H4226">
        <v>61299.9</v>
      </c>
      <c r="I4226">
        <v>46065.14</v>
      </c>
      <c r="J4226">
        <v>0</v>
      </c>
    </row>
    <row r="4227" spans="1:10" x14ac:dyDescent="0.35">
      <c r="A4227">
        <v>322188</v>
      </c>
      <c r="B4227" t="s">
        <v>20</v>
      </c>
      <c r="C4227">
        <v>2015</v>
      </c>
      <c r="D4227">
        <v>7</v>
      </c>
      <c r="E4227" t="s">
        <v>7</v>
      </c>
      <c r="F4227" t="s">
        <v>7</v>
      </c>
      <c r="G4227" t="s">
        <v>7</v>
      </c>
      <c r="H4227">
        <v>110091.98</v>
      </c>
      <c r="I4227">
        <v>40540.99</v>
      </c>
      <c r="J4227">
        <v>0</v>
      </c>
    </row>
    <row r="4228" spans="1:10" x14ac:dyDescent="0.35">
      <c r="A4228">
        <v>322190</v>
      </c>
      <c r="B4228" t="s">
        <v>20</v>
      </c>
      <c r="C4228">
        <v>2015</v>
      </c>
      <c r="D4228">
        <v>7</v>
      </c>
      <c r="E4228" t="s">
        <v>7</v>
      </c>
      <c r="F4228" t="s">
        <v>7</v>
      </c>
      <c r="G4228" t="s">
        <v>7</v>
      </c>
      <c r="H4228">
        <v>16328.6</v>
      </c>
      <c r="I4228">
        <v>4205.29</v>
      </c>
      <c r="J4228">
        <v>0</v>
      </c>
    </row>
    <row r="4229" spans="1:10" x14ac:dyDescent="0.35">
      <c r="A4229">
        <v>322191</v>
      </c>
      <c r="B4229" t="s">
        <v>20</v>
      </c>
      <c r="C4229">
        <v>2015</v>
      </c>
      <c r="D4229">
        <v>7</v>
      </c>
      <c r="E4229" t="s">
        <v>7</v>
      </c>
      <c r="F4229" t="s">
        <v>7</v>
      </c>
      <c r="G4229" t="s">
        <v>7</v>
      </c>
      <c r="H4229">
        <v>11490.04</v>
      </c>
      <c r="I4229">
        <v>3772.71</v>
      </c>
      <c r="J4229">
        <v>0</v>
      </c>
    </row>
    <row r="4230" spans="1:10" x14ac:dyDescent="0.35">
      <c r="A4230">
        <v>322192</v>
      </c>
      <c r="B4230" t="s">
        <v>20</v>
      </c>
      <c r="C4230">
        <v>2015</v>
      </c>
      <c r="D4230">
        <v>7</v>
      </c>
      <c r="E4230" t="s">
        <v>7</v>
      </c>
      <c r="F4230" t="s">
        <v>7</v>
      </c>
      <c r="G4230" t="s">
        <v>7</v>
      </c>
      <c r="H4230">
        <v>66602.720000000001</v>
      </c>
      <c r="I4230">
        <v>48961.86</v>
      </c>
      <c r="J4230">
        <v>0</v>
      </c>
    </row>
    <row r="4231" spans="1:10" x14ac:dyDescent="0.35">
      <c r="A4231">
        <v>322194</v>
      </c>
      <c r="B4231" t="s">
        <v>20</v>
      </c>
      <c r="C4231">
        <v>2015</v>
      </c>
      <c r="D4231">
        <v>7</v>
      </c>
      <c r="E4231" t="s">
        <v>7</v>
      </c>
      <c r="F4231" t="s">
        <v>7</v>
      </c>
      <c r="G4231" t="s">
        <v>7</v>
      </c>
      <c r="H4231">
        <v>46999</v>
      </c>
      <c r="I4231">
        <v>23691.16</v>
      </c>
      <c r="J4231">
        <v>0</v>
      </c>
    </row>
    <row r="4232" spans="1:10" x14ac:dyDescent="0.35">
      <c r="A4232">
        <v>322197</v>
      </c>
      <c r="B4232" t="s">
        <v>20</v>
      </c>
      <c r="C4232">
        <v>2015</v>
      </c>
      <c r="D4232">
        <v>7</v>
      </c>
      <c r="E4232" t="s">
        <v>7</v>
      </c>
      <c r="F4232" t="s">
        <v>7</v>
      </c>
      <c r="G4232" t="s">
        <v>7</v>
      </c>
      <c r="H4232">
        <v>27631.42</v>
      </c>
      <c r="I4232">
        <v>8442.2199999999993</v>
      </c>
      <c r="J4232">
        <v>0</v>
      </c>
    </row>
    <row r="4233" spans="1:10" x14ac:dyDescent="0.35">
      <c r="A4233">
        <v>322198</v>
      </c>
      <c r="B4233" t="s">
        <v>20</v>
      </c>
      <c r="C4233">
        <v>2015</v>
      </c>
      <c r="D4233">
        <v>7</v>
      </c>
      <c r="E4233" t="s">
        <v>7</v>
      </c>
      <c r="F4233" t="s">
        <v>7</v>
      </c>
      <c r="G4233" t="s">
        <v>7</v>
      </c>
      <c r="H4233">
        <v>101255.42</v>
      </c>
      <c r="I4233">
        <v>56540.59</v>
      </c>
      <c r="J4233">
        <v>0</v>
      </c>
    </row>
    <row r="4234" spans="1:10" x14ac:dyDescent="0.35">
      <c r="A4234">
        <v>322201</v>
      </c>
      <c r="B4234" t="s">
        <v>20</v>
      </c>
      <c r="C4234">
        <v>2015</v>
      </c>
      <c r="D4234">
        <v>7</v>
      </c>
      <c r="E4234" t="s">
        <v>7</v>
      </c>
      <c r="F4234" t="s">
        <v>7</v>
      </c>
      <c r="G4234" t="s">
        <v>7</v>
      </c>
      <c r="H4234">
        <v>24781.38</v>
      </c>
      <c r="I4234">
        <v>5857.45</v>
      </c>
      <c r="J4234">
        <v>0</v>
      </c>
    </row>
    <row r="4235" spans="1:10" x14ac:dyDescent="0.35">
      <c r="A4235">
        <v>322206</v>
      </c>
      <c r="B4235" t="s">
        <v>20</v>
      </c>
      <c r="C4235">
        <v>2015</v>
      </c>
      <c r="D4235">
        <v>7</v>
      </c>
      <c r="E4235" t="s">
        <v>7</v>
      </c>
      <c r="F4235" t="s">
        <v>7</v>
      </c>
      <c r="G4235" t="s">
        <v>7</v>
      </c>
      <c r="H4235">
        <v>11327.72</v>
      </c>
      <c r="I4235">
        <v>2582.37</v>
      </c>
      <c r="J4235">
        <v>0</v>
      </c>
    </row>
    <row r="4236" spans="1:10" x14ac:dyDescent="0.35">
      <c r="A4236">
        <v>322209</v>
      </c>
      <c r="B4236" t="s">
        <v>20</v>
      </c>
      <c r="C4236">
        <v>2015</v>
      </c>
      <c r="D4236">
        <v>7</v>
      </c>
      <c r="E4236" t="s">
        <v>7</v>
      </c>
      <c r="F4236" t="s">
        <v>7</v>
      </c>
      <c r="G4236" t="s">
        <v>7</v>
      </c>
      <c r="H4236">
        <v>22529.82</v>
      </c>
      <c r="I4236">
        <v>6804.75</v>
      </c>
      <c r="J4236">
        <v>0</v>
      </c>
    </row>
    <row r="4237" spans="1:10" x14ac:dyDescent="0.35">
      <c r="A4237">
        <v>322210</v>
      </c>
      <c r="B4237" t="s">
        <v>20</v>
      </c>
      <c r="C4237">
        <v>2015</v>
      </c>
      <c r="D4237">
        <v>7</v>
      </c>
      <c r="E4237" t="s">
        <v>7</v>
      </c>
      <c r="F4237" t="s">
        <v>7</v>
      </c>
      <c r="G4237" t="s">
        <v>7</v>
      </c>
      <c r="H4237">
        <v>99740.5</v>
      </c>
      <c r="I4237">
        <v>62357.04</v>
      </c>
      <c r="J4237">
        <v>0</v>
      </c>
    </row>
    <row r="4238" spans="1:10" x14ac:dyDescent="0.35">
      <c r="A4238">
        <v>322213</v>
      </c>
      <c r="B4238" t="s">
        <v>20</v>
      </c>
      <c r="C4238">
        <v>2015</v>
      </c>
      <c r="D4238">
        <v>7</v>
      </c>
      <c r="E4238" t="s">
        <v>7</v>
      </c>
      <c r="F4238" t="s">
        <v>7</v>
      </c>
      <c r="G4238" t="s">
        <v>7</v>
      </c>
      <c r="H4238">
        <v>55656.62</v>
      </c>
      <c r="I4238">
        <v>12480.31</v>
      </c>
      <c r="J4238">
        <v>0</v>
      </c>
    </row>
    <row r="4239" spans="1:10" x14ac:dyDescent="0.35">
      <c r="A4239">
        <v>322214</v>
      </c>
      <c r="B4239" t="s">
        <v>20</v>
      </c>
      <c r="C4239">
        <v>2015</v>
      </c>
      <c r="D4239">
        <v>7</v>
      </c>
      <c r="E4239" t="s">
        <v>7</v>
      </c>
      <c r="F4239" t="s">
        <v>7</v>
      </c>
      <c r="G4239" t="s">
        <v>7</v>
      </c>
      <c r="H4239">
        <v>14006.84</v>
      </c>
      <c r="I4239">
        <v>2897.49</v>
      </c>
      <c r="J4239">
        <v>0</v>
      </c>
    </row>
    <row r="4240" spans="1:10" x14ac:dyDescent="0.35">
      <c r="A4240">
        <v>322217</v>
      </c>
      <c r="B4240" t="s">
        <v>20</v>
      </c>
      <c r="C4240">
        <v>2015</v>
      </c>
      <c r="D4240">
        <v>7</v>
      </c>
      <c r="E4240" t="s">
        <v>7</v>
      </c>
      <c r="F4240" t="s">
        <v>7</v>
      </c>
      <c r="G4240" t="s">
        <v>7</v>
      </c>
      <c r="H4240">
        <v>19203.04</v>
      </c>
      <c r="I4240">
        <v>5774.69</v>
      </c>
      <c r="J4240">
        <v>0</v>
      </c>
    </row>
    <row r="4241" spans="1:10" x14ac:dyDescent="0.35">
      <c r="A4241">
        <v>322218</v>
      </c>
      <c r="B4241" t="s">
        <v>20</v>
      </c>
      <c r="C4241">
        <v>2015</v>
      </c>
      <c r="D4241">
        <v>7</v>
      </c>
      <c r="E4241" t="s">
        <v>7</v>
      </c>
      <c r="F4241" t="s">
        <v>7</v>
      </c>
      <c r="G4241" t="s">
        <v>7</v>
      </c>
      <c r="H4241">
        <v>20430.34</v>
      </c>
      <c r="I4241">
        <v>6170.39</v>
      </c>
      <c r="J4241">
        <v>0</v>
      </c>
    </row>
    <row r="4242" spans="1:10" x14ac:dyDescent="0.35">
      <c r="A4242">
        <v>322220</v>
      </c>
      <c r="B4242" t="s">
        <v>20</v>
      </c>
      <c r="C4242">
        <v>2015</v>
      </c>
      <c r="D4242">
        <v>7</v>
      </c>
      <c r="E4242" t="s">
        <v>7</v>
      </c>
      <c r="F4242" t="s">
        <v>7</v>
      </c>
      <c r="G4242" t="s">
        <v>7</v>
      </c>
      <c r="H4242">
        <v>46200.78</v>
      </c>
      <c r="I4242">
        <v>12509.68</v>
      </c>
      <c r="J4242">
        <v>0</v>
      </c>
    </row>
    <row r="4243" spans="1:10" x14ac:dyDescent="0.35">
      <c r="A4243">
        <v>322224</v>
      </c>
      <c r="B4243" t="s">
        <v>20</v>
      </c>
      <c r="C4243">
        <v>2015</v>
      </c>
      <c r="D4243">
        <v>7</v>
      </c>
      <c r="E4243" t="s">
        <v>7</v>
      </c>
      <c r="F4243" t="s">
        <v>7</v>
      </c>
      <c r="G4243" t="s">
        <v>7</v>
      </c>
      <c r="H4243">
        <v>73084.759999999995</v>
      </c>
      <c r="I4243">
        <v>22979.43</v>
      </c>
      <c r="J4243">
        <v>0</v>
      </c>
    </row>
    <row r="4244" spans="1:10" x14ac:dyDescent="0.35">
      <c r="A4244">
        <v>322227</v>
      </c>
      <c r="B4244" t="s">
        <v>20</v>
      </c>
      <c r="C4244">
        <v>2015</v>
      </c>
      <c r="D4244">
        <v>7</v>
      </c>
      <c r="E4244" t="s">
        <v>7</v>
      </c>
      <c r="F4244" t="s">
        <v>7</v>
      </c>
      <c r="G4244" t="s">
        <v>7</v>
      </c>
      <c r="H4244">
        <v>15064.86</v>
      </c>
      <c r="I4244">
        <v>3313.69</v>
      </c>
      <c r="J4244">
        <v>0</v>
      </c>
    </row>
    <row r="4245" spans="1:10" x14ac:dyDescent="0.35">
      <c r="A4245">
        <v>322229</v>
      </c>
      <c r="B4245" t="s">
        <v>20</v>
      </c>
      <c r="C4245">
        <v>2015</v>
      </c>
      <c r="D4245">
        <v>7</v>
      </c>
      <c r="E4245" t="s">
        <v>7</v>
      </c>
      <c r="F4245" t="s">
        <v>7</v>
      </c>
      <c r="G4245" t="s">
        <v>7</v>
      </c>
      <c r="H4245">
        <v>39384.1</v>
      </c>
      <c r="I4245">
        <v>11421.44</v>
      </c>
      <c r="J4245">
        <v>0</v>
      </c>
    </row>
    <row r="4246" spans="1:10" x14ac:dyDescent="0.35">
      <c r="A4246">
        <v>322230</v>
      </c>
      <c r="B4246" t="s">
        <v>20</v>
      </c>
      <c r="C4246">
        <v>2015</v>
      </c>
      <c r="D4246">
        <v>7</v>
      </c>
      <c r="E4246" t="s">
        <v>7</v>
      </c>
      <c r="F4246" t="s">
        <v>7</v>
      </c>
      <c r="G4246" t="s">
        <v>7</v>
      </c>
      <c r="H4246">
        <v>25412.720000000001</v>
      </c>
      <c r="I4246">
        <v>7697.77</v>
      </c>
      <c r="J4246">
        <v>0</v>
      </c>
    </row>
    <row r="4247" spans="1:10" x14ac:dyDescent="0.35">
      <c r="A4247">
        <v>322235</v>
      </c>
      <c r="B4247" t="s">
        <v>20</v>
      </c>
      <c r="C4247">
        <v>2015</v>
      </c>
      <c r="D4247">
        <v>7</v>
      </c>
      <c r="E4247" t="s">
        <v>7</v>
      </c>
      <c r="F4247" t="s">
        <v>7</v>
      </c>
      <c r="G4247" t="s">
        <v>7</v>
      </c>
      <c r="H4247">
        <v>19401.36</v>
      </c>
      <c r="I4247">
        <v>5869.7</v>
      </c>
      <c r="J4247">
        <v>0</v>
      </c>
    </row>
    <row r="4248" spans="1:10" x14ac:dyDescent="0.35">
      <c r="A4248">
        <v>322236</v>
      </c>
      <c r="B4248" t="s">
        <v>20</v>
      </c>
      <c r="C4248">
        <v>2015</v>
      </c>
      <c r="D4248">
        <v>7</v>
      </c>
      <c r="E4248" t="s">
        <v>7</v>
      </c>
      <c r="F4248" t="s">
        <v>7</v>
      </c>
      <c r="G4248" t="s">
        <v>7</v>
      </c>
      <c r="H4248">
        <v>12853.84</v>
      </c>
      <c r="I4248">
        <v>2991.13</v>
      </c>
      <c r="J4248">
        <v>0</v>
      </c>
    </row>
    <row r="4249" spans="1:10" x14ac:dyDescent="0.35">
      <c r="A4249">
        <v>322238</v>
      </c>
      <c r="B4249" t="s">
        <v>20</v>
      </c>
      <c r="C4249">
        <v>2015</v>
      </c>
      <c r="D4249">
        <v>7</v>
      </c>
      <c r="E4249" t="s">
        <v>7</v>
      </c>
      <c r="F4249" t="s">
        <v>7</v>
      </c>
      <c r="G4249" t="s">
        <v>7</v>
      </c>
      <c r="H4249">
        <v>16489.66</v>
      </c>
      <c r="I4249">
        <v>4029.52</v>
      </c>
      <c r="J4249">
        <v>0</v>
      </c>
    </row>
    <row r="4250" spans="1:10" x14ac:dyDescent="0.35">
      <c r="A4250">
        <v>322240</v>
      </c>
      <c r="B4250" t="s">
        <v>20</v>
      </c>
      <c r="C4250">
        <v>2015</v>
      </c>
      <c r="D4250">
        <v>7</v>
      </c>
      <c r="E4250" t="s">
        <v>7</v>
      </c>
      <c r="F4250" t="s">
        <v>7</v>
      </c>
      <c r="G4250" t="s">
        <v>7</v>
      </c>
      <c r="H4250">
        <v>32987.4</v>
      </c>
      <c r="I4250">
        <v>9081.09</v>
      </c>
      <c r="J4250">
        <v>0</v>
      </c>
    </row>
    <row r="4251" spans="1:10" x14ac:dyDescent="0.35">
      <c r="A4251">
        <v>322241</v>
      </c>
      <c r="B4251" t="s">
        <v>20</v>
      </c>
      <c r="C4251">
        <v>2015</v>
      </c>
      <c r="D4251">
        <v>7</v>
      </c>
      <c r="E4251" t="s">
        <v>7</v>
      </c>
      <c r="F4251" t="s">
        <v>7</v>
      </c>
      <c r="G4251" t="s">
        <v>7</v>
      </c>
      <c r="H4251">
        <v>33320.78</v>
      </c>
      <c r="I4251">
        <v>10324.31</v>
      </c>
      <c r="J4251">
        <v>0</v>
      </c>
    </row>
    <row r="4252" spans="1:10" x14ac:dyDescent="0.35">
      <c r="A4252">
        <v>322246</v>
      </c>
      <c r="B4252" t="s">
        <v>20</v>
      </c>
      <c r="C4252">
        <v>2015</v>
      </c>
      <c r="D4252">
        <v>7</v>
      </c>
      <c r="E4252" t="s">
        <v>7</v>
      </c>
      <c r="F4252" t="s">
        <v>7</v>
      </c>
      <c r="G4252" t="s">
        <v>7</v>
      </c>
      <c r="H4252">
        <v>20003.22</v>
      </c>
      <c r="I4252">
        <v>5588.36</v>
      </c>
      <c r="J4252">
        <v>0</v>
      </c>
    </row>
    <row r="4253" spans="1:10" x14ac:dyDescent="0.35">
      <c r="A4253">
        <v>322247</v>
      </c>
      <c r="B4253" t="s">
        <v>20</v>
      </c>
      <c r="C4253">
        <v>2015</v>
      </c>
      <c r="D4253">
        <v>7</v>
      </c>
      <c r="E4253" t="s">
        <v>7</v>
      </c>
      <c r="F4253" t="s">
        <v>7</v>
      </c>
      <c r="G4253" t="s">
        <v>7</v>
      </c>
      <c r="H4253">
        <v>39783.699999999997</v>
      </c>
      <c r="I4253">
        <v>12869.35</v>
      </c>
      <c r="J4253">
        <v>0</v>
      </c>
    </row>
    <row r="4254" spans="1:10" x14ac:dyDescent="0.35">
      <c r="A4254">
        <v>322249</v>
      </c>
      <c r="B4254" t="s">
        <v>20</v>
      </c>
      <c r="C4254">
        <v>2015</v>
      </c>
      <c r="D4254">
        <v>7</v>
      </c>
      <c r="E4254" t="s">
        <v>7</v>
      </c>
      <c r="F4254" t="s">
        <v>7</v>
      </c>
      <c r="G4254" t="s">
        <v>7</v>
      </c>
      <c r="H4254">
        <v>64406.559999999998</v>
      </c>
      <c r="I4254">
        <v>46645.25</v>
      </c>
      <c r="J4254">
        <v>0</v>
      </c>
    </row>
    <row r="4255" spans="1:10" x14ac:dyDescent="0.35">
      <c r="A4255">
        <v>322250</v>
      </c>
      <c r="B4255" t="s">
        <v>20</v>
      </c>
      <c r="C4255">
        <v>2015</v>
      </c>
      <c r="D4255">
        <v>7</v>
      </c>
      <c r="E4255" t="s">
        <v>7</v>
      </c>
      <c r="F4255" t="s">
        <v>7</v>
      </c>
      <c r="G4255" t="s">
        <v>7</v>
      </c>
      <c r="H4255">
        <v>225977.16</v>
      </c>
      <c r="I4255">
        <v>204833.96</v>
      </c>
      <c r="J4255">
        <v>0</v>
      </c>
    </row>
    <row r="4256" spans="1:10" x14ac:dyDescent="0.35">
      <c r="A4256">
        <v>322251</v>
      </c>
      <c r="B4256" t="s">
        <v>20</v>
      </c>
      <c r="C4256">
        <v>2015</v>
      </c>
      <c r="D4256">
        <v>7</v>
      </c>
      <c r="E4256" t="s">
        <v>7</v>
      </c>
      <c r="F4256" t="s">
        <v>7</v>
      </c>
      <c r="G4256" t="s">
        <v>7</v>
      </c>
      <c r="H4256">
        <v>15584.18</v>
      </c>
      <c r="I4256">
        <v>2976.34</v>
      </c>
      <c r="J4256">
        <v>0</v>
      </c>
    </row>
    <row r="4257" spans="1:10" x14ac:dyDescent="0.35">
      <c r="A4257">
        <v>322253</v>
      </c>
      <c r="B4257" t="s">
        <v>20</v>
      </c>
      <c r="C4257">
        <v>2015</v>
      </c>
      <c r="D4257">
        <v>7</v>
      </c>
      <c r="E4257" t="s">
        <v>7</v>
      </c>
      <c r="F4257" t="s">
        <v>7</v>
      </c>
      <c r="G4257" t="s">
        <v>7</v>
      </c>
      <c r="H4257">
        <v>25573.42</v>
      </c>
      <c r="I4257">
        <v>7805.72</v>
      </c>
      <c r="J4257">
        <v>0</v>
      </c>
    </row>
    <row r="4258" spans="1:10" x14ac:dyDescent="0.35">
      <c r="A4258">
        <v>322255</v>
      </c>
      <c r="B4258" t="s">
        <v>20</v>
      </c>
      <c r="C4258">
        <v>2015</v>
      </c>
      <c r="D4258">
        <v>7</v>
      </c>
      <c r="E4258" t="s">
        <v>7</v>
      </c>
      <c r="F4258" t="s">
        <v>7</v>
      </c>
      <c r="G4258" t="s">
        <v>7</v>
      </c>
      <c r="H4258">
        <v>66567.839999999997</v>
      </c>
      <c r="I4258">
        <v>52455.96</v>
      </c>
      <c r="J4258">
        <v>0</v>
      </c>
    </row>
    <row r="4259" spans="1:10" x14ac:dyDescent="0.35">
      <c r="A4259">
        <v>322256</v>
      </c>
      <c r="B4259" t="s">
        <v>20</v>
      </c>
      <c r="C4259">
        <v>2015</v>
      </c>
      <c r="D4259">
        <v>7</v>
      </c>
      <c r="E4259" t="s">
        <v>7</v>
      </c>
      <c r="F4259" t="s">
        <v>7</v>
      </c>
      <c r="G4259" t="s">
        <v>7</v>
      </c>
      <c r="H4259">
        <v>13887.5</v>
      </c>
      <c r="I4259">
        <v>4142.08</v>
      </c>
      <c r="J4259">
        <v>0</v>
      </c>
    </row>
    <row r="4260" spans="1:10" x14ac:dyDescent="0.35">
      <c r="A4260">
        <v>322257</v>
      </c>
      <c r="B4260" t="s">
        <v>20</v>
      </c>
      <c r="C4260">
        <v>2015</v>
      </c>
      <c r="D4260">
        <v>7</v>
      </c>
      <c r="E4260" t="s">
        <v>7</v>
      </c>
      <c r="F4260" t="s">
        <v>7</v>
      </c>
      <c r="G4260" t="s">
        <v>7</v>
      </c>
      <c r="H4260">
        <v>32371.72</v>
      </c>
      <c r="I4260">
        <v>9854.7900000000009</v>
      </c>
      <c r="J4260">
        <v>0</v>
      </c>
    </row>
    <row r="4261" spans="1:10" x14ac:dyDescent="0.35">
      <c r="A4261">
        <v>322258</v>
      </c>
      <c r="B4261" t="s">
        <v>20</v>
      </c>
      <c r="C4261">
        <v>2015</v>
      </c>
      <c r="D4261">
        <v>7</v>
      </c>
      <c r="E4261" t="s">
        <v>7</v>
      </c>
      <c r="F4261" t="s">
        <v>7</v>
      </c>
      <c r="G4261" t="s">
        <v>7</v>
      </c>
      <c r="H4261">
        <v>84057.26</v>
      </c>
      <c r="I4261">
        <v>30775.08</v>
      </c>
      <c r="J4261">
        <v>0</v>
      </c>
    </row>
    <row r="4262" spans="1:10" x14ac:dyDescent="0.35">
      <c r="A4262">
        <v>322259</v>
      </c>
      <c r="B4262" t="s">
        <v>20</v>
      </c>
      <c r="C4262">
        <v>2015</v>
      </c>
      <c r="D4262">
        <v>7</v>
      </c>
      <c r="E4262" t="s">
        <v>7</v>
      </c>
      <c r="F4262" t="s">
        <v>7</v>
      </c>
      <c r="G4262" t="s">
        <v>7</v>
      </c>
      <c r="H4262">
        <v>36984.78</v>
      </c>
      <c r="I4262">
        <v>13203.77</v>
      </c>
      <c r="J4262">
        <v>0</v>
      </c>
    </row>
    <row r="4263" spans="1:10" x14ac:dyDescent="0.35">
      <c r="A4263">
        <v>322261</v>
      </c>
      <c r="B4263" t="s">
        <v>20</v>
      </c>
      <c r="C4263">
        <v>2015</v>
      </c>
      <c r="D4263">
        <v>7</v>
      </c>
      <c r="E4263" t="s">
        <v>7</v>
      </c>
      <c r="F4263" t="s">
        <v>7</v>
      </c>
      <c r="G4263" t="s">
        <v>7</v>
      </c>
      <c r="H4263">
        <v>55329.760000000002</v>
      </c>
      <c r="I4263">
        <v>17956.599999999999</v>
      </c>
      <c r="J4263">
        <v>0</v>
      </c>
    </row>
    <row r="4264" spans="1:10" x14ac:dyDescent="0.35">
      <c r="A4264">
        <v>322262</v>
      </c>
      <c r="B4264" t="s">
        <v>20</v>
      </c>
      <c r="C4264">
        <v>2015</v>
      </c>
      <c r="D4264">
        <v>7</v>
      </c>
      <c r="E4264" t="s">
        <v>7</v>
      </c>
      <c r="F4264" t="s">
        <v>7</v>
      </c>
      <c r="G4264" t="s">
        <v>7</v>
      </c>
      <c r="H4264">
        <v>14231.06</v>
      </c>
      <c r="I4264">
        <v>2896.47</v>
      </c>
      <c r="J4264">
        <v>0</v>
      </c>
    </row>
    <row r="4265" spans="1:10" x14ac:dyDescent="0.35">
      <c r="A4265">
        <v>322263</v>
      </c>
      <c r="B4265" t="s">
        <v>20</v>
      </c>
      <c r="C4265">
        <v>2015</v>
      </c>
      <c r="D4265">
        <v>7</v>
      </c>
      <c r="E4265" t="s">
        <v>7</v>
      </c>
      <c r="F4265" t="s">
        <v>7</v>
      </c>
      <c r="G4265" t="s">
        <v>7</v>
      </c>
      <c r="H4265">
        <v>70349.02</v>
      </c>
      <c r="I4265">
        <v>21078.639999999999</v>
      </c>
      <c r="J4265">
        <v>0</v>
      </c>
    </row>
    <row r="4266" spans="1:10" x14ac:dyDescent="0.35">
      <c r="A4266">
        <v>322265</v>
      </c>
      <c r="B4266" t="s">
        <v>20</v>
      </c>
      <c r="C4266">
        <v>2015</v>
      </c>
      <c r="D4266">
        <v>7</v>
      </c>
      <c r="E4266" t="s">
        <v>7</v>
      </c>
      <c r="F4266" t="s">
        <v>7</v>
      </c>
      <c r="G4266" t="s">
        <v>7</v>
      </c>
      <c r="H4266">
        <v>34521.18</v>
      </c>
      <c r="I4266">
        <v>8939.83</v>
      </c>
      <c r="J4266">
        <v>0</v>
      </c>
    </row>
    <row r="4267" spans="1:10" x14ac:dyDescent="0.35">
      <c r="A4267">
        <v>322269</v>
      </c>
      <c r="B4267" t="s">
        <v>20</v>
      </c>
      <c r="C4267">
        <v>2015</v>
      </c>
      <c r="D4267">
        <v>7</v>
      </c>
      <c r="E4267" t="s">
        <v>7</v>
      </c>
      <c r="F4267" t="s">
        <v>7</v>
      </c>
      <c r="G4267" t="s">
        <v>7</v>
      </c>
      <c r="H4267">
        <v>115401.04</v>
      </c>
      <c r="I4267">
        <v>62551.34</v>
      </c>
      <c r="J4267">
        <v>0</v>
      </c>
    </row>
    <row r="4268" spans="1:10" x14ac:dyDescent="0.35">
      <c r="A4268">
        <v>322270</v>
      </c>
      <c r="B4268" t="s">
        <v>20</v>
      </c>
      <c r="C4268">
        <v>2015</v>
      </c>
      <c r="D4268">
        <v>7</v>
      </c>
      <c r="E4268" t="s">
        <v>7</v>
      </c>
      <c r="F4268" t="s">
        <v>7</v>
      </c>
      <c r="G4268" t="s">
        <v>7</v>
      </c>
      <c r="H4268">
        <v>45594.52</v>
      </c>
      <c r="I4268">
        <v>12440.1</v>
      </c>
      <c r="J4268">
        <v>0</v>
      </c>
    </row>
    <row r="4269" spans="1:10" x14ac:dyDescent="0.35">
      <c r="A4269">
        <v>322272</v>
      </c>
      <c r="B4269" t="s">
        <v>20</v>
      </c>
      <c r="C4269">
        <v>2015</v>
      </c>
      <c r="D4269">
        <v>7</v>
      </c>
      <c r="E4269" t="s">
        <v>7</v>
      </c>
      <c r="F4269" t="s">
        <v>7</v>
      </c>
      <c r="G4269" t="s">
        <v>7</v>
      </c>
      <c r="H4269">
        <v>13454.6</v>
      </c>
      <c r="I4269">
        <v>3448.03</v>
      </c>
      <c r="J4269">
        <v>0</v>
      </c>
    </row>
    <row r="4270" spans="1:10" x14ac:dyDescent="0.35">
      <c r="A4270">
        <v>322273</v>
      </c>
      <c r="B4270" t="s">
        <v>20</v>
      </c>
      <c r="C4270">
        <v>2015</v>
      </c>
      <c r="D4270">
        <v>7</v>
      </c>
      <c r="E4270" t="s">
        <v>7</v>
      </c>
      <c r="F4270" t="s">
        <v>7</v>
      </c>
      <c r="G4270" t="s">
        <v>7</v>
      </c>
      <c r="H4270">
        <v>73168.06</v>
      </c>
      <c r="I4270">
        <v>55176.63</v>
      </c>
      <c r="J4270">
        <v>0</v>
      </c>
    </row>
    <row r="4271" spans="1:10" x14ac:dyDescent="0.35">
      <c r="A4271">
        <v>322274</v>
      </c>
      <c r="B4271" t="s">
        <v>20</v>
      </c>
      <c r="C4271">
        <v>2015</v>
      </c>
      <c r="D4271">
        <v>7</v>
      </c>
      <c r="E4271" t="s">
        <v>7</v>
      </c>
      <c r="F4271" t="s">
        <v>7</v>
      </c>
      <c r="G4271" t="s">
        <v>7</v>
      </c>
      <c r="H4271">
        <v>28719.3</v>
      </c>
      <c r="I4271">
        <v>9086.0499999999993</v>
      </c>
      <c r="J4271">
        <v>0</v>
      </c>
    </row>
    <row r="4272" spans="1:10" x14ac:dyDescent="0.35">
      <c r="A4272">
        <v>322275</v>
      </c>
      <c r="B4272" t="s">
        <v>20</v>
      </c>
      <c r="C4272">
        <v>2015</v>
      </c>
      <c r="D4272">
        <v>7</v>
      </c>
      <c r="E4272" t="s">
        <v>7</v>
      </c>
      <c r="F4272" t="s">
        <v>7</v>
      </c>
      <c r="G4272" t="s">
        <v>7</v>
      </c>
      <c r="H4272">
        <v>33564.019999999997</v>
      </c>
      <c r="I4272">
        <v>9251.01</v>
      </c>
      <c r="J4272">
        <v>0</v>
      </c>
    </row>
    <row r="4273" spans="1:10" x14ac:dyDescent="0.35">
      <c r="A4273">
        <v>322276</v>
      </c>
      <c r="B4273" t="s">
        <v>20</v>
      </c>
      <c r="C4273">
        <v>2015</v>
      </c>
      <c r="D4273">
        <v>7</v>
      </c>
      <c r="E4273" t="s">
        <v>7</v>
      </c>
      <c r="F4273" t="s">
        <v>7</v>
      </c>
      <c r="G4273" t="s">
        <v>7</v>
      </c>
      <c r="H4273">
        <v>45604.66</v>
      </c>
      <c r="I4273">
        <v>32812.28</v>
      </c>
      <c r="J4273">
        <v>0</v>
      </c>
    </row>
    <row r="4274" spans="1:10" x14ac:dyDescent="0.35">
      <c r="A4274">
        <v>322281</v>
      </c>
      <c r="B4274" t="s">
        <v>20</v>
      </c>
      <c r="C4274">
        <v>2015</v>
      </c>
      <c r="D4274">
        <v>7</v>
      </c>
      <c r="E4274" t="s">
        <v>7</v>
      </c>
      <c r="F4274" t="s">
        <v>7</v>
      </c>
      <c r="G4274" t="s">
        <v>7</v>
      </c>
      <c r="H4274">
        <v>23648.880000000001</v>
      </c>
      <c r="I4274">
        <v>7432.87</v>
      </c>
      <c r="J4274">
        <v>0</v>
      </c>
    </row>
    <row r="4275" spans="1:10" x14ac:dyDescent="0.35">
      <c r="A4275">
        <v>322282</v>
      </c>
      <c r="B4275" t="s">
        <v>20</v>
      </c>
      <c r="C4275">
        <v>2015</v>
      </c>
      <c r="D4275">
        <v>7</v>
      </c>
      <c r="E4275" t="s">
        <v>7</v>
      </c>
      <c r="F4275" t="s">
        <v>7</v>
      </c>
      <c r="G4275" t="s">
        <v>7</v>
      </c>
      <c r="H4275">
        <v>68365.919999999998</v>
      </c>
      <c r="I4275">
        <v>54441.99</v>
      </c>
      <c r="J4275">
        <v>0</v>
      </c>
    </row>
    <row r="4276" spans="1:10" x14ac:dyDescent="0.35">
      <c r="A4276">
        <v>322283</v>
      </c>
      <c r="B4276" t="s">
        <v>20</v>
      </c>
      <c r="C4276">
        <v>2015</v>
      </c>
      <c r="D4276">
        <v>7</v>
      </c>
      <c r="E4276" t="s">
        <v>7</v>
      </c>
      <c r="F4276" t="s">
        <v>7</v>
      </c>
      <c r="G4276" t="s">
        <v>7</v>
      </c>
      <c r="H4276">
        <v>32793.800000000003</v>
      </c>
      <c r="I4276">
        <v>9736.2000000000007</v>
      </c>
      <c r="J4276">
        <v>0</v>
      </c>
    </row>
    <row r="4277" spans="1:10" x14ac:dyDescent="0.35">
      <c r="A4277">
        <v>322285</v>
      </c>
      <c r="B4277" t="s">
        <v>20</v>
      </c>
      <c r="C4277">
        <v>2015</v>
      </c>
      <c r="D4277">
        <v>7</v>
      </c>
      <c r="E4277" t="s">
        <v>7</v>
      </c>
      <c r="F4277" t="s">
        <v>7</v>
      </c>
      <c r="G4277" t="s">
        <v>7</v>
      </c>
      <c r="H4277">
        <v>58459.42</v>
      </c>
      <c r="I4277">
        <v>19092.93</v>
      </c>
      <c r="J4277">
        <v>0</v>
      </c>
    </row>
    <row r="4278" spans="1:10" x14ac:dyDescent="0.35">
      <c r="A4278">
        <v>322286</v>
      </c>
      <c r="B4278" t="s">
        <v>20</v>
      </c>
      <c r="C4278">
        <v>2015</v>
      </c>
      <c r="D4278">
        <v>7</v>
      </c>
      <c r="E4278" t="s">
        <v>7</v>
      </c>
      <c r="F4278" t="s">
        <v>7</v>
      </c>
      <c r="G4278" t="s">
        <v>7</v>
      </c>
      <c r="H4278">
        <v>26066.26</v>
      </c>
      <c r="I4278">
        <v>8005.82</v>
      </c>
      <c r="J4278">
        <v>0</v>
      </c>
    </row>
    <row r="4279" spans="1:10" x14ac:dyDescent="0.35">
      <c r="A4279">
        <v>322289</v>
      </c>
      <c r="B4279" t="s">
        <v>20</v>
      </c>
      <c r="C4279">
        <v>2015</v>
      </c>
      <c r="D4279">
        <v>7</v>
      </c>
      <c r="E4279" t="s">
        <v>7</v>
      </c>
      <c r="F4279" t="s">
        <v>7</v>
      </c>
      <c r="G4279" t="s">
        <v>7</v>
      </c>
      <c r="H4279">
        <v>88173.94</v>
      </c>
      <c r="I4279">
        <v>35374.89</v>
      </c>
      <c r="J4279">
        <v>0</v>
      </c>
    </row>
    <row r="4280" spans="1:10" x14ac:dyDescent="0.35">
      <c r="A4280">
        <v>322292</v>
      </c>
      <c r="B4280" t="s">
        <v>20</v>
      </c>
      <c r="C4280">
        <v>2015</v>
      </c>
      <c r="D4280">
        <v>7</v>
      </c>
      <c r="E4280" t="s">
        <v>7</v>
      </c>
      <c r="F4280" t="s">
        <v>7</v>
      </c>
      <c r="G4280" t="s">
        <v>7</v>
      </c>
      <c r="H4280">
        <v>67809.399999999994</v>
      </c>
      <c r="I4280">
        <v>38649.56</v>
      </c>
      <c r="J4280">
        <v>0</v>
      </c>
    </row>
    <row r="4281" spans="1:10" x14ac:dyDescent="0.35">
      <c r="A4281">
        <v>322293</v>
      </c>
      <c r="B4281" t="s">
        <v>20</v>
      </c>
      <c r="C4281">
        <v>2015</v>
      </c>
      <c r="D4281">
        <v>7</v>
      </c>
      <c r="E4281" t="s">
        <v>7</v>
      </c>
      <c r="F4281" t="s">
        <v>7</v>
      </c>
      <c r="G4281" t="s">
        <v>7</v>
      </c>
      <c r="H4281">
        <v>64082.06</v>
      </c>
      <c r="I4281">
        <v>46534.25</v>
      </c>
      <c r="J4281">
        <v>0</v>
      </c>
    </row>
    <row r="4282" spans="1:10" x14ac:dyDescent="0.35">
      <c r="A4282">
        <v>322294</v>
      </c>
      <c r="B4282" t="s">
        <v>20</v>
      </c>
      <c r="C4282">
        <v>2015</v>
      </c>
      <c r="D4282">
        <v>7</v>
      </c>
      <c r="E4282" t="s">
        <v>7</v>
      </c>
      <c r="F4282" t="s">
        <v>7</v>
      </c>
      <c r="G4282" t="s">
        <v>7</v>
      </c>
      <c r="H4282">
        <v>23163.279999999999</v>
      </c>
      <c r="I4282">
        <v>6919.74</v>
      </c>
      <c r="J4282">
        <v>0</v>
      </c>
    </row>
    <row r="4283" spans="1:10" x14ac:dyDescent="0.35">
      <c r="A4283">
        <v>322295</v>
      </c>
      <c r="B4283" t="s">
        <v>20</v>
      </c>
      <c r="C4283">
        <v>2015</v>
      </c>
      <c r="D4283">
        <v>7</v>
      </c>
      <c r="E4283" t="s">
        <v>7</v>
      </c>
      <c r="F4283" t="s">
        <v>7</v>
      </c>
      <c r="G4283" t="s">
        <v>7</v>
      </c>
      <c r="H4283">
        <v>84293.94</v>
      </c>
      <c r="I4283">
        <v>33063.08</v>
      </c>
      <c r="J4283">
        <v>0</v>
      </c>
    </row>
    <row r="4284" spans="1:10" x14ac:dyDescent="0.35">
      <c r="A4284">
        <v>322297</v>
      </c>
      <c r="B4284" t="s">
        <v>20</v>
      </c>
      <c r="C4284">
        <v>2015</v>
      </c>
      <c r="D4284">
        <v>7</v>
      </c>
      <c r="E4284" t="s">
        <v>7</v>
      </c>
      <c r="F4284" t="s">
        <v>7</v>
      </c>
      <c r="G4284" t="s">
        <v>7</v>
      </c>
      <c r="H4284">
        <v>42958.1</v>
      </c>
      <c r="I4284">
        <v>12209.22</v>
      </c>
      <c r="J4284">
        <v>0</v>
      </c>
    </row>
    <row r="4285" spans="1:10" x14ac:dyDescent="0.35">
      <c r="A4285">
        <v>322300</v>
      </c>
      <c r="B4285" t="s">
        <v>20</v>
      </c>
      <c r="C4285">
        <v>2015</v>
      </c>
      <c r="D4285">
        <v>7</v>
      </c>
      <c r="E4285" t="s">
        <v>7</v>
      </c>
      <c r="F4285" t="s">
        <v>7</v>
      </c>
      <c r="G4285" t="s">
        <v>7</v>
      </c>
      <c r="H4285">
        <v>79990.92</v>
      </c>
      <c r="I4285">
        <v>58567.88</v>
      </c>
      <c r="J4285">
        <v>0</v>
      </c>
    </row>
    <row r="4286" spans="1:10" x14ac:dyDescent="0.35">
      <c r="A4286">
        <v>322302</v>
      </c>
      <c r="B4286" t="s">
        <v>20</v>
      </c>
      <c r="C4286">
        <v>2015</v>
      </c>
      <c r="D4286">
        <v>7</v>
      </c>
      <c r="E4286" t="s">
        <v>7</v>
      </c>
      <c r="F4286" t="s">
        <v>7</v>
      </c>
      <c r="G4286" t="s">
        <v>7</v>
      </c>
      <c r="H4286">
        <v>14967.1</v>
      </c>
      <c r="I4286">
        <v>4369.8100000000004</v>
      </c>
      <c r="J4286">
        <v>0</v>
      </c>
    </row>
    <row r="4287" spans="1:10" x14ac:dyDescent="0.35">
      <c r="A4287">
        <v>322306</v>
      </c>
      <c r="B4287" t="s">
        <v>20</v>
      </c>
      <c r="C4287">
        <v>2015</v>
      </c>
      <c r="D4287">
        <v>7</v>
      </c>
      <c r="E4287" t="s">
        <v>7</v>
      </c>
      <c r="F4287" t="s">
        <v>7</v>
      </c>
      <c r="G4287" t="s">
        <v>7</v>
      </c>
      <c r="H4287">
        <v>62312.82</v>
      </c>
      <c r="I4287">
        <v>16539.490000000002</v>
      </c>
      <c r="J4287">
        <v>0</v>
      </c>
    </row>
    <row r="4288" spans="1:10" x14ac:dyDescent="0.35">
      <c r="A4288">
        <v>322307</v>
      </c>
      <c r="B4288" t="s">
        <v>20</v>
      </c>
      <c r="C4288">
        <v>2015</v>
      </c>
      <c r="D4288">
        <v>7</v>
      </c>
      <c r="E4288" t="s">
        <v>7</v>
      </c>
      <c r="F4288" t="s">
        <v>7</v>
      </c>
      <c r="G4288" t="s">
        <v>7</v>
      </c>
      <c r="H4288">
        <v>27647.759999999998</v>
      </c>
      <c r="I4288">
        <v>7975.84</v>
      </c>
      <c r="J4288">
        <v>0</v>
      </c>
    </row>
    <row r="4289" spans="1:10" x14ac:dyDescent="0.35">
      <c r="A4289">
        <v>322308</v>
      </c>
      <c r="B4289" t="s">
        <v>20</v>
      </c>
      <c r="C4289">
        <v>2015</v>
      </c>
      <c r="D4289">
        <v>7</v>
      </c>
      <c r="E4289" t="s">
        <v>7</v>
      </c>
      <c r="F4289" t="s">
        <v>7</v>
      </c>
      <c r="G4289" t="s">
        <v>7</v>
      </c>
      <c r="H4289">
        <v>14693.76</v>
      </c>
      <c r="I4289">
        <v>4370.9799999999996</v>
      </c>
      <c r="J4289">
        <v>0</v>
      </c>
    </row>
    <row r="4290" spans="1:10" x14ac:dyDescent="0.35">
      <c r="A4290">
        <v>322309</v>
      </c>
      <c r="B4290" t="s">
        <v>20</v>
      </c>
      <c r="C4290">
        <v>2015</v>
      </c>
      <c r="D4290">
        <v>7</v>
      </c>
      <c r="E4290" t="s">
        <v>7</v>
      </c>
      <c r="F4290" t="s">
        <v>7</v>
      </c>
      <c r="G4290" t="s">
        <v>7</v>
      </c>
      <c r="H4290">
        <v>80955.5</v>
      </c>
      <c r="I4290">
        <v>25418</v>
      </c>
      <c r="J4290">
        <v>0</v>
      </c>
    </row>
    <row r="4291" spans="1:10" x14ac:dyDescent="0.35">
      <c r="A4291">
        <v>322310</v>
      </c>
      <c r="B4291" t="s">
        <v>20</v>
      </c>
      <c r="C4291">
        <v>2015</v>
      </c>
      <c r="D4291">
        <v>7</v>
      </c>
      <c r="E4291" t="s">
        <v>7</v>
      </c>
      <c r="F4291" t="s">
        <v>7</v>
      </c>
      <c r="G4291" t="s">
        <v>7</v>
      </c>
      <c r="H4291">
        <v>65180.5</v>
      </c>
      <c r="I4291">
        <v>52166.41</v>
      </c>
      <c r="J4291">
        <v>0</v>
      </c>
    </row>
    <row r="4292" spans="1:10" x14ac:dyDescent="0.35">
      <c r="A4292">
        <v>322311</v>
      </c>
      <c r="B4292" t="s">
        <v>20</v>
      </c>
      <c r="C4292">
        <v>2015</v>
      </c>
      <c r="D4292">
        <v>7</v>
      </c>
      <c r="E4292" t="s">
        <v>7</v>
      </c>
      <c r="F4292" t="s">
        <v>7</v>
      </c>
      <c r="G4292" t="s">
        <v>7</v>
      </c>
      <c r="H4292">
        <v>30081.98</v>
      </c>
      <c r="I4292">
        <v>8290.65</v>
      </c>
      <c r="J4292">
        <v>0</v>
      </c>
    </row>
    <row r="4293" spans="1:10" x14ac:dyDescent="0.35">
      <c r="A4293">
        <v>322313</v>
      </c>
      <c r="B4293" t="s">
        <v>20</v>
      </c>
      <c r="C4293">
        <v>2015</v>
      </c>
      <c r="D4293">
        <v>7</v>
      </c>
      <c r="E4293" t="s">
        <v>7</v>
      </c>
      <c r="F4293" t="s">
        <v>7</v>
      </c>
      <c r="G4293" t="s">
        <v>7</v>
      </c>
      <c r="H4293">
        <v>11862.6</v>
      </c>
      <c r="I4293">
        <v>3355.66</v>
      </c>
      <c r="J4293">
        <v>0</v>
      </c>
    </row>
    <row r="4294" spans="1:10" x14ac:dyDescent="0.35">
      <c r="A4294">
        <v>322315</v>
      </c>
      <c r="B4294" t="s">
        <v>20</v>
      </c>
      <c r="C4294">
        <v>2015</v>
      </c>
      <c r="D4294">
        <v>7</v>
      </c>
      <c r="E4294" t="s">
        <v>7</v>
      </c>
      <c r="F4294" t="s">
        <v>7</v>
      </c>
      <c r="G4294" t="s">
        <v>7</v>
      </c>
      <c r="H4294">
        <v>72207.56</v>
      </c>
      <c r="I4294">
        <v>22505.87</v>
      </c>
      <c r="J4294">
        <v>0</v>
      </c>
    </row>
    <row r="4295" spans="1:10" x14ac:dyDescent="0.35">
      <c r="A4295">
        <v>322320</v>
      </c>
      <c r="B4295" t="s">
        <v>20</v>
      </c>
      <c r="C4295">
        <v>2015</v>
      </c>
      <c r="D4295">
        <v>7</v>
      </c>
      <c r="E4295" t="s">
        <v>7</v>
      </c>
      <c r="F4295" t="s">
        <v>7</v>
      </c>
      <c r="G4295" t="s">
        <v>7</v>
      </c>
      <c r="H4295">
        <v>20137.080000000002</v>
      </c>
      <c r="I4295">
        <v>5561.09</v>
      </c>
      <c r="J4295">
        <v>0</v>
      </c>
    </row>
    <row r="4296" spans="1:10" x14ac:dyDescent="0.35">
      <c r="A4296">
        <v>322323</v>
      </c>
      <c r="B4296" t="s">
        <v>20</v>
      </c>
      <c r="C4296">
        <v>2015</v>
      </c>
      <c r="D4296">
        <v>7</v>
      </c>
      <c r="E4296" t="s">
        <v>7</v>
      </c>
      <c r="F4296" t="s">
        <v>7</v>
      </c>
      <c r="G4296" t="s">
        <v>7</v>
      </c>
      <c r="H4296">
        <v>11790.42</v>
      </c>
      <c r="I4296">
        <v>2697.34</v>
      </c>
      <c r="J4296">
        <v>0</v>
      </c>
    </row>
    <row r="4297" spans="1:10" x14ac:dyDescent="0.35">
      <c r="A4297">
        <v>322324</v>
      </c>
      <c r="B4297" t="s">
        <v>20</v>
      </c>
      <c r="C4297">
        <v>2015</v>
      </c>
      <c r="D4297">
        <v>7</v>
      </c>
      <c r="E4297" t="s">
        <v>7</v>
      </c>
      <c r="F4297" t="s">
        <v>7</v>
      </c>
      <c r="G4297" t="s">
        <v>7</v>
      </c>
      <c r="H4297">
        <v>49994.48</v>
      </c>
      <c r="I4297">
        <v>13689.17</v>
      </c>
      <c r="J4297">
        <v>0</v>
      </c>
    </row>
    <row r="4298" spans="1:10" x14ac:dyDescent="0.35">
      <c r="A4298">
        <v>322327</v>
      </c>
      <c r="B4298" t="s">
        <v>20</v>
      </c>
      <c r="C4298">
        <v>2015</v>
      </c>
      <c r="D4298">
        <v>7</v>
      </c>
      <c r="E4298" t="s">
        <v>7</v>
      </c>
      <c r="F4298" t="s">
        <v>7</v>
      </c>
      <c r="G4298" t="s">
        <v>7</v>
      </c>
      <c r="H4298">
        <v>28575.52</v>
      </c>
      <c r="I4298">
        <v>7895.5</v>
      </c>
      <c r="J4298">
        <v>0</v>
      </c>
    </row>
    <row r="4299" spans="1:10" x14ac:dyDescent="0.35">
      <c r="A4299">
        <v>322332</v>
      </c>
      <c r="B4299" t="s">
        <v>20</v>
      </c>
      <c r="C4299">
        <v>2015</v>
      </c>
      <c r="D4299">
        <v>7</v>
      </c>
      <c r="E4299" t="s">
        <v>7</v>
      </c>
      <c r="F4299" t="s">
        <v>7</v>
      </c>
      <c r="G4299" t="s">
        <v>7</v>
      </c>
      <c r="H4299">
        <v>20706.22</v>
      </c>
      <c r="I4299">
        <v>5658.37</v>
      </c>
      <c r="J4299">
        <v>0</v>
      </c>
    </row>
    <row r="4300" spans="1:10" x14ac:dyDescent="0.35">
      <c r="A4300">
        <v>322335</v>
      </c>
      <c r="B4300" t="s">
        <v>20</v>
      </c>
      <c r="C4300">
        <v>2015</v>
      </c>
      <c r="D4300">
        <v>7</v>
      </c>
      <c r="E4300" t="s">
        <v>7</v>
      </c>
      <c r="F4300" t="s">
        <v>7</v>
      </c>
      <c r="G4300" t="s">
        <v>7</v>
      </c>
      <c r="H4300">
        <v>35702.660000000003</v>
      </c>
      <c r="I4300">
        <v>11169.36</v>
      </c>
      <c r="J4300">
        <v>0</v>
      </c>
    </row>
    <row r="4301" spans="1:10" x14ac:dyDescent="0.35">
      <c r="A4301">
        <v>322341</v>
      </c>
      <c r="B4301" t="s">
        <v>20</v>
      </c>
      <c r="C4301">
        <v>2015</v>
      </c>
      <c r="D4301">
        <v>7</v>
      </c>
      <c r="E4301" t="s">
        <v>7</v>
      </c>
      <c r="F4301" t="s">
        <v>7</v>
      </c>
      <c r="G4301" t="s">
        <v>7</v>
      </c>
      <c r="H4301">
        <v>31469.360000000001</v>
      </c>
      <c r="I4301">
        <v>7003.07</v>
      </c>
      <c r="J4301">
        <v>0</v>
      </c>
    </row>
    <row r="4302" spans="1:10" x14ac:dyDescent="0.35">
      <c r="A4302">
        <v>322342</v>
      </c>
      <c r="B4302" t="s">
        <v>20</v>
      </c>
      <c r="C4302">
        <v>2015</v>
      </c>
      <c r="D4302">
        <v>7</v>
      </c>
      <c r="E4302" t="s">
        <v>7</v>
      </c>
      <c r="F4302" t="s">
        <v>7</v>
      </c>
      <c r="G4302" t="s">
        <v>7</v>
      </c>
      <c r="H4302">
        <v>19844.02</v>
      </c>
      <c r="I4302">
        <v>5314.86</v>
      </c>
      <c r="J4302">
        <v>0</v>
      </c>
    </row>
    <row r="4303" spans="1:10" x14ac:dyDescent="0.35">
      <c r="A4303">
        <v>322344</v>
      </c>
      <c r="B4303" t="s">
        <v>20</v>
      </c>
      <c r="C4303">
        <v>2015</v>
      </c>
      <c r="D4303">
        <v>7</v>
      </c>
      <c r="E4303" t="s">
        <v>7</v>
      </c>
      <c r="F4303" t="s">
        <v>7</v>
      </c>
      <c r="G4303" t="s">
        <v>7</v>
      </c>
      <c r="H4303">
        <v>31126.74</v>
      </c>
      <c r="I4303">
        <v>11423.9</v>
      </c>
      <c r="J4303">
        <v>0</v>
      </c>
    </row>
    <row r="4304" spans="1:10" x14ac:dyDescent="0.35">
      <c r="A4304">
        <v>322347</v>
      </c>
      <c r="B4304" t="s">
        <v>20</v>
      </c>
      <c r="C4304">
        <v>2015</v>
      </c>
      <c r="D4304">
        <v>7</v>
      </c>
      <c r="E4304" t="s">
        <v>7</v>
      </c>
      <c r="F4304" t="s">
        <v>7</v>
      </c>
      <c r="G4304" t="s">
        <v>7</v>
      </c>
      <c r="H4304">
        <v>9711.2999999999993</v>
      </c>
      <c r="I4304">
        <v>2633.86</v>
      </c>
      <c r="J4304">
        <v>0</v>
      </c>
    </row>
    <row r="4305" spans="1:10" x14ac:dyDescent="0.35">
      <c r="A4305">
        <v>322348</v>
      </c>
      <c r="B4305" t="s">
        <v>20</v>
      </c>
      <c r="C4305">
        <v>2015</v>
      </c>
      <c r="D4305">
        <v>7</v>
      </c>
      <c r="E4305" t="s">
        <v>7</v>
      </c>
      <c r="F4305" t="s">
        <v>7</v>
      </c>
      <c r="G4305" t="s">
        <v>7</v>
      </c>
      <c r="H4305">
        <v>23045.94</v>
      </c>
      <c r="I4305">
        <v>5367.33</v>
      </c>
      <c r="J4305">
        <v>0</v>
      </c>
    </row>
    <row r="4306" spans="1:10" x14ac:dyDescent="0.35">
      <c r="A4306">
        <v>322349</v>
      </c>
      <c r="B4306" t="s">
        <v>20</v>
      </c>
      <c r="C4306">
        <v>2015</v>
      </c>
      <c r="D4306">
        <v>7</v>
      </c>
      <c r="E4306" t="s">
        <v>7</v>
      </c>
      <c r="F4306" t="s">
        <v>7</v>
      </c>
      <c r="G4306" t="s">
        <v>7</v>
      </c>
      <c r="H4306">
        <v>67764.52</v>
      </c>
      <c r="I4306">
        <v>53534.94</v>
      </c>
      <c r="J4306">
        <v>0</v>
      </c>
    </row>
    <row r="4307" spans="1:10" x14ac:dyDescent="0.35">
      <c r="A4307">
        <v>322350</v>
      </c>
      <c r="B4307" t="s">
        <v>20</v>
      </c>
      <c r="C4307">
        <v>2015</v>
      </c>
      <c r="D4307">
        <v>7</v>
      </c>
      <c r="E4307" t="s">
        <v>7</v>
      </c>
      <c r="F4307" t="s">
        <v>7</v>
      </c>
      <c r="G4307" t="s">
        <v>7</v>
      </c>
      <c r="H4307">
        <v>74930.34</v>
      </c>
      <c r="I4307">
        <v>58331.45</v>
      </c>
      <c r="J4307">
        <v>0</v>
      </c>
    </row>
    <row r="4308" spans="1:10" x14ac:dyDescent="0.35">
      <c r="A4308">
        <v>322351</v>
      </c>
      <c r="B4308" t="s">
        <v>20</v>
      </c>
      <c r="C4308">
        <v>2015</v>
      </c>
      <c r="D4308">
        <v>7</v>
      </c>
      <c r="E4308" t="s">
        <v>7</v>
      </c>
      <c r="F4308" t="s">
        <v>7</v>
      </c>
      <c r="G4308" t="s">
        <v>7</v>
      </c>
      <c r="H4308">
        <v>30380.16</v>
      </c>
      <c r="I4308">
        <v>9347.08</v>
      </c>
      <c r="J4308">
        <v>0</v>
      </c>
    </row>
    <row r="4309" spans="1:10" x14ac:dyDescent="0.35">
      <c r="A4309">
        <v>322352</v>
      </c>
      <c r="B4309" t="s">
        <v>20</v>
      </c>
      <c r="C4309">
        <v>2015</v>
      </c>
      <c r="D4309">
        <v>7</v>
      </c>
      <c r="E4309" t="s">
        <v>7</v>
      </c>
      <c r="F4309" t="s">
        <v>7</v>
      </c>
      <c r="G4309" t="s">
        <v>7</v>
      </c>
      <c r="H4309">
        <v>16969.28</v>
      </c>
      <c r="I4309">
        <v>3157.7</v>
      </c>
      <c r="J4309">
        <v>0</v>
      </c>
    </row>
    <row r="4310" spans="1:10" x14ac:dyDescent="0.35">
      <c r="A4310">
        <v>322354</v>
      </c>
      <c r="B4310" t="s">
        <v>20</v>
      </c>
      <c r="C4310">
        <v>2015</v>
      </c>
      <c r="D4310">
        <v>7</v>
      </c>
      <c r="E4310" t="s">
        <v>7</v>
      </c>
      <c r="F4310" t="s">
        <v>7</v>
      </c>
      <c r="G4310" t="s">
        <v>7</v>
      </c>
      <c r="H4310">
        <v>44903.94</v>
      </c>
      <c r="I4310">
        <v>12205.76</v>
      </c>
      <c r="J4310">
        <v>0</v>
      </c>
    </row>
    <row r="4311" spans="1:10" x14ac:dyDescent="0.35">
      <c r="A4311">
        <v>322355</v>
      </c>
      <c r="B4311" t="s">
        <v>20</v>
      </c>
      <c r="C4311">
        <v>2015</v>
      </c>
      <c r="D4311">
        <v>7</v>
      </c>
      <c r="E4311" t="s">
        <v>7</v>
      </c>
      <c r="F4311" t="s">
        <v>7</v>
      </c>
      <c r="G4311" t="s">
        <v>7</v>
      </c>
      <c r="H4311">
        <v>66554.559999999998</v>
      </c>
      <c r="I4311">
        <v>19214.73</v>
      </c>
      <c r="J4311">
        <v>0</v>
      </c>
    </row>
    <row r="4312" spans="1:10" x14ac:dyDescent="0.35">
      <c r="A4312">
        <v>322357</v>
      </c>
      <c r="B4312" t="s">
        <v>20</v>
      </c>
      <c r="C4312">
        <v>2015</v>
      </c>
      <c r="D4312">
        <v>7</v>
      </c>
      <c r="E4312" t="s">
        <v>7</v>
      </c>
      <c r="F4312" t="s">
        <v>7</v>
      </c>
      <c r="G4312" t="s">
        <v>7</v>
      </c>
      <c r="H4312">
        <v>61993.42</v>
      </c>
      <c r="I4312">
        <v>42520.74</v>
      </c>
      <c r="J4312">
        <v>0</v>
      </c>
    </row>
    <row r="4313" spans="1:10" x14ac:dyDescent="0.35">
      <c r="A4313">
        <v>322358</v>
      </c>
      <c r="B4313" t="s">
        <v>20</v>
      </c>
      <c r="C4313">
        <v>2015</v>
      </c>
      <c r="D4313">
        <v>7</v>
      </c>
      <c r="E4313" t="s">
        <v>7</v>
      </c>
      <c r="F4313" t="s">
        <v>7</v>
      </c>
      <c r="G4313" t="s">
        <v>7</v>
      </c>
      <c r="H4313">
        <v>71574.62</v>
      </c>
      <c r="I4313">
        <v>54092.92</v>
      </c>
      <c r="J4313">
        <v>0</v>
      </c>
    </row>
    <row r="4314" spans="1:10" x14ac:dyDescent="0.35">
      <c r="A4314">
        <v>322360</v>
      </c>
      <c r="B4314" t="s">
        <v>20</v>
      </c>
      <c r="C4314">
        <v>2015</v>
      </c>
      <c r="D4314">
        <v>7</v>
      </c>
      <c r="E4314" t="s">
        <v>7</v>
      </c>
      <c r="F4314" t="s">
        <v>7</v>
      </c>
      <c r="G4314" t="s">
        <v>7</v>
      </c>
      <c r="H4314">
        <v>17506.82</v>
      </c>
      <c r="I4314">
        <v>4928.03</v>
      </c>
      <c r="J4314">
        <v>0</v>
      </c>
    </row>
    <row r="4315" spans="1:10" x14ac:dyDescent="0.35">
      <c r="A4315">
        <v>322361</v>
      </c>
      <c r="B4315" t="s">
        <v>20</v>
      </c>
      <c r="C4315">
        <v>2015</v>
      </c>
      <c r="D4315">
        <v>7</v>
      </c>
      <c r="E4315" t="s">
        <v>7</v>
      </c>
      <c r="F4315" t="s">
        <v>7</v>
      </c>
      <c r="G4315" t="s">
        <v>7</v>
      </c>
      <c r="H4315">
        <v>14302.88</v>
      </c>
      <c r="I4315">
        <v>4272.26</v>
      </c>
      <c r="J4315">
        <v>0</v>
      </c>
    </row>
    <row r="4316" spans="1:10" x14ac:dyDescent="0.35">
      <c r="A4316">
        <v>322364</v>
      </c>
      <c r="B4316" t="s">
        <v>20</v>
      </c>
      <c r="C4316">
        <v>2015</v>
      </c>
      <c r="D4316">
        <v>7</v>
      </c>
      <c r="E4316" t="s">
        <v>7</v>
      </c>
      <c r="F4316" t="s">
        <v>7</v>
      </c>
      <c r="G4316" t="s">
        <v>7</v>
      </c>
      <c r="H4316">
        <v>124188</v>
      </c>
      <c r="I4316">
        <v>40621.64</v>
      </c>
      <c r="J4316">
        <v>0</v>
      </c>
    </row>
    <row r="4317" spans="1:10" x14ac:dyDescent="0.35">
      <c r="A4317">
        <v>322365</v>
      </c>
      <c r="B4317" t="s">
        <v>20</v>
      </c>
      <c r="C4317">
        <v>2015</v>
      </c>
      <c r="D4317">
        <v>7</v>
      </c>
      <c r="E4317" t="s">
        <v>7</v>
      </c>
      <c r="F4317" t="s">
        <v>7</v>
      </c>
      <c r="G4317" t="s">
        <v>7</v>
      </c>
      <c r="H4317">
        <v>55524.1</v>
      </c>
      <c r="I4317">
        <v>37467.97</v>
      </c>
      <c r="J4317">
        <v>0</v>
      </c>
    </row>
    <row r="4318" spans="1:10" x14ac:dyDescent="0.35">
      <c r="A4318">
        <v>322366</v>
      </c>
      <c r="B4318" t="s">
        <v>20</v>
      </c>
      <c r="C4318">
        <v>2015</v>
      </c>
      <c r="D4318">
        <v>7</v>
      </c>
      <c r="E4318" t="s">
        <v>7</v>
      </c>
      <c r="F4318" t="s">
        <v>7</v>
      </c>
      <c r="G4318" t="s">
        <v>7</v>
      </c>
      <c r="H4318">
        <v>182427.1</v>
      </c>
      <c r="I4318">
        <v>61153.39</v>
      </c>
      <c r="J4318">
        <v>0</v>
      </c>
    </row>
    <row r="4319" spans="1:10" x14ac:dyDescent="0.35">
      <c r="A4319">
        <v>322367</v>
      </c>
      <c r="B4319" t="s">
        <v>20</v>
      </c>
      <c r="C4319">
        <v>2015</v>
      </c>
      <c r="D4319">
        <v>7</v>
      </c>
      <c r="E4319" t="s">
        <v>7</v>
      </c>
      <c r="F4319" t="s">
        <v>7</v>
      </c>
      <c r="G4319" t="s">
        <v>7</v>
      </c>
      <c r="H4319">
        <v>60599.18</v>
      </c>
      <c r="I4319">
        <v>27701.3</v>
      </c>
      <c r="J4319">
        <v>0</v>
      </c>
    </row>
    <row r="4320" spans="1:10" x14ac:dyDescent="0.35">
      <c r="A4320">
        <v>322368</v>
      </c>
      <c r="B4320" t="s">
        <v>20</v>
      </c>
      <c r="C4320">
        <v>2015</v>
      </c>
      <c r="D4320">
        <v>7</v>
      </c>
      <c r="E4320" t="s">
        <v>7</v>
      </c>
      <c r="F4320" t="s">
        <v>7</v>
      </c>
      <c r="G4320" t="s">
        <v>7</v>
      </c>
      <c r="H4320">
        <v>45861.34</v>
      </c>
      <c r="I4320">
        <v>9777.91</v>
      </c>
      <c r="J4320">
        <v>0</v>
      </c>
    </row>
    <row r="4321" spans="1:10" x14ac:dyDescent="0.35">
      <c r="A4321">
        <v>322369</v>
      </c>
      <c r="B4321" t="s">
        <v>20</v>
      </c>
      <c r="C4321">
        <v>2015</v>
      </c>
      <c r="D4321">
        <v>7</v>
      </c>
      <c r="E4321" t="s">
        <v>7</v>
      </c>
      <c r="F4321" t="s">
        <v>7</v>
      </c>
      <c r="G4321" t="s">
        <v>7</v>
      </c>
      <c r="H4321">
        <v>16171.76</v>
      </c>
      <c r="I4321">
        <v>2504.2199999999998</v>
      </c>
      <c r="J4321">
        <v>0</v>
      </c>
    </row>
    <row r="4322" spans="1:10" x14ac:dyDescent="0.35">
      <c r="A4322">
        <v>322372</v>
      </c>
      <c r="B4322" t="s">
        <v>20</v>
      </c>
      <c r="C4322">
        <v>2015</v>
      </c>
      <c r="D4322">
        <v>7</v>
      </c>
      <c r="E4322" t="s">
        <v>7</v>
      </c>
      <c r="F4322" t="s">
        <v>7</v>
      </c>
      <c r="G4322" t="s">
        <v>7</v>
      </c>
      <c r="H4322">
        <v>23955.96</v>
      </c>
      <c r="I4322">
        <v>7095.54</v>
      </c>
      <c r="J4322">
        <v>0</v>
      </c>
    </row>
    <row r="4323" spans="1:10" x14ac:dyDescent="0.35">
      <c r="A4323">
        <v>322373</v>
      </c>
      <c r="B4323" t="s">
        <v>20</v>
      </c>
      <c r="C4323">
        <v>2015</v>
      </c>
      <c r="D4323">
        <v>7</v>
      </c>
      <c r="E4323" t="s">
        <v>7</v>
      </c>
      <c r="F4323" t="s">
        <v>7</v>
      </c>
      <c r="G4323" t="s">
        <v>7</v>
      </c>
      <c r="H4323">
        <v>30635.48</v>
      </c>
      <c r="I4323">
        <v>8627.68</v>
      </c>
      <c r="J4323">
        <v>0</v>
      </c>
    </row>
    <row r="4324" spans="1:10" x14ac:dyDescent="0.35">
      <c r="A4324">
        <v>322374</v>
      </c>
      <c r="B4324" t="s">
        <v>20</v>
      </c>
      <c r="C4324">
        <v>2015</v>
      </c>
      <c r="D4324">
        <v>7</v>
      </c>
      <c r="E4324" t="s">
        <v>7</v>
      </c>
      <c r="F4324" t="s">
        <v>7</v>
      </c>
      <c r="G4324" t="s">
        <v>7</v>
      </c>
      <c r="H4324">
        <v>62773.62</v>
      </c>
      <c r="I4324">
        <v>46045</v>
      </c>
      <c r="J4324">
        <v>0</v>
      </c>
    </row>
    <row r="4325" spans="1:10" x14ac:dyDescent="0.35">
      <c r="A4325">
        <v>322376</v>
      </c>
      <c r="B4325" t="s">
        <v>20</v>
      </c>
      <c r="C4325">
        <v>2015</v>
      </c>
      <c r="D4325">
        <v>7</v>
      </c>
      <c r="E4325" t="s">
        <v>7</v>
      </c>
      <c r="F4325" t="s">
        <v>7</v>
      </c>
      <c r="G4325" t="s">
        <v>7</v>
      </c>
      <c r="H4325">
        <v>15170.86</v>
      </c>
      <c r="I4325">
        <v>4393.2</v>
      </c>
      <c r="J4325">
        <v>0</v>
      </c>
    </row>
    <row r="4326" spans="1:10" x14ac:dyDescent="0.35">
      <c r="A4326">
        <v>322378</v>
      </c>
      <c r="B4326" t="s">
        <v>20</v>
      </c>
      <c r="C4326">
        <v>2015</v>
      </c>
      <c r="D4326">
        <v>7</v>
      </c>
      <c r="E4326" t="s">
        <v>7</v>
      </c>
      <c r="F4326" t="s">
        <v>7</v>
      </c>
      <c r="G4326" t="s">
        <v>7</v>
      </c>
      <c r="H4326">
        <v>15518.48</v>
      </c>
      <c r="I4326">
        <v>3933.49</v>
      </c>
      <c r="J4326">
        <v>0</v>
      </c>
    </row>
    <row r="4327" spans="1:10" x14ac:dyDescent="0.35">
      <c r="A4327">
        <v>322383</v>
      </c>
      <c r="B4327" t="s">
        <v>20</v>
      </c>
      <c r="C4327">
        <v>2015</v>
      </c>
      <c r="D4327">
        <v>7</v>
      </c>
      <c r="E4327" t="s">
        <v>7</v>
      </c>
      <c r="F4327" t="s">
        <v>7</v>
      </c>
      <c r="G4327" t="s">
        <v>7</v>
      </c>
      <c r="H4327">
        <v>38940.160000000003</v>
      </c>
      <c r="I4327">
        <v>10596.9</v>
      </c>
      <c r="J4327">
        <v>0</v>
      </c>
    </row>
    <row r="4328" spans="1:10" x14ac:dyDescent="0.35">
      <c r="A4328">
        <v>322384</v>
      </c>
      <c r="B4328" t="s">
        <v>20</v>
      </c>
      <c r="C4328">
        <v>2015</v>
      </c>
      <c r="D4328">
        <v>7</v>
      </c>
      <c r="E4328" t="s">
        <v>7</v>
      </c>
      <c r="F4328" t="s">
        <v>7</v>
      </c>
      <c r="G4328" t="s">
        <v>7</v>
      </c>
      <c r="H4328">
        <v>27852.58</v>
      </c>
      <c r="I4328">
        <v>7359.73</v>
      </c>
      <c r="J4328">
        <v>0</v>
      </c>
    </row>
    <row r="4329" spans="1:10" x14ac:dyDescent="0.35">
      <c r="A4329">
        <v>322385</v>
      </c>
      <c r="B4329" t="s">
        <v>20</v>
      </c>
      <c r="C4329">
        <v>2015</v>
      </c>
      <c r="D4329">
        <v>7</v>
      </c>
      <c r="E4329" t="s">
        <v>7</v>
      </c>
      <c r="F4329" t="s">
        <v>7</v>
      </c>
      <c r="G4329" t="s">
        <v>7</v>
      </c>
      <c r="H4329">
        <v>21908.32</v>
      </c>
      <c r="I4329">
        <v>4885.49</v>
      </c>
      <c r="J4329">
        <v>0</v>
      </c>
    </row>
    <row r="4330" spans="1:10" x14ac:dyDescent="0.35">
      <c r="A4330">
        <v>322391</v>
      </c>
      <c r="B4330" t="s">
        <v>20</v>
      </c>
      <c r="C4330">
        <v>2015</v>
      </c>
      <c r="D4330">
        <v>7</v>
      </c>
      <c r="E4330" t="s">
        <v>7</v>
      </c>
      <c r="F4330" t="s">
        <v>7</v>
      </c>
      <c r="G4330" t="s">
        <v>7</v>
      </c>
      <c r="H4330">
        <v>37255.94</v>
      </c>
      <c r="I4330">
        <v>10851.82</v>
      </c>
      <c r="J4330">
        <v>0</v>
      </c>
    </row>
    <row r="4331" spans="1:10" x14ac:dyDescent="0.35">
      <c r="A4331">
        <v>322392</v>
      </c>
      <c r="B4331" t="s">
        <v>20</v>
      </c>
      <c r="C4331">
        <v>2015</v>
      </c>
      <c r="D4331">
        <v>7</v>
      </c>
      <c r="E4331" t="s">
        <v>7</v>
      </c>
      <c r="F4331" t="s">
        <v>7</v>
      </c>
      <c r="G4331" t="s">
        <v>7</v>
      </c>
      <c r="H4331">
        <v>13899.32</v>
      </c>
      <c r="I4331">
        <v>3315.19</v>
      </c>
      <c r="J4331">
        <v>0</v>
      </c>
    </row>
    <row r="4332" spans="1:10" x14ac:dyDescent="0.35">
      <c r="A4332">
        <v>322398</v>
      </c>
      <c r="B4332" t="s">
        <v>20</v>
      </c>
      <c r="C4332">
        <v>2015</v>
      </c>
      <c r="D4332">
        <v>7</v>
      </c>
      <c r="E4332" t="s">
        <v>7</v>
      </c>
      <c r="F4332" t="s">
        <v>7</v>
      </c>
      <c r="G4332" t="s">
        <v>7</v>
      </c>
      <c r="H4332">
        <v>45633.42</v>
      </c>
      <c r="I4332">
        <v>11773.08</v>
      </c>
      <c r="J4332">
        <v>0</v>
      </c>
    </row>
    <row r="4333" spans="1:10" x14ac:dyDescent="0.35">
      <c r="A4333">
        <v>322399</v>
      </c>
      <c r="B4333" t="s">
        <v>20</v>
      </c>
      <c r="C4333">
        <v>2015</v>
      </c>
      <c r="D4333">
        <v>7</v>
      </c>
      <c r="E4333" t="s">
        <v>7</v>
      </c>
      <c r="F4333" t="s">
        <v>7</v>
      </c>
      <c r="G4333" t="s">
        <v>7</v>
      </c>
      <c r="H4333">
        <v>19916.919999999998</v>
      </c>
      <c r="I4333">
        <v>5937.25</v>
      </c>
      <c r="J4333">
        <v>0</v>
      </c>
    </row>
    <row r="4334" spans="1:10" x14ac:dyDescent="0.35">
      <c r="A4334">
        <v>322402</v>
      </c>
      <c r="B4334" t="s">
        <v>20</v>
      </c>
      <c r="C4334">
        <v>2015</v>
      </c>
      <c r="D4334">
        <v>7</v>
      </c>
      <c r="E4334" t="s">
        <v>7</v>
      </c>
      <c r="F4334" t="s">
        <v>7</v>
      </c>
      <c r="G4334" t="s">
        <v>7</v>
      </c>
      <c r="H4334">
        <v>35471.879999999997</v>
      </c>
      <c r="I4334">
        <v>9275.81</v>
      </c>
      <c r="J4334">
        <v>0</v>
      </c>
    </row>
    <row r="4335" spans="1:10" x14ac:dyDescent="0.35">
      <c r="A4335">
        <v>322403</v>
      </c>
      <c r="B4335" t="s">
        <v>20</v>
      </c>
      <c r="C4335">
        <v>2015</v>
      </c>
      <c r="D4335">
        <v>7</v>
      </c>
      <c r="E4335" t="s">
        <v>7</v>
      </c>
      <c r="F4335" t="s">
        <v>7</v>
      </c>
      <c r="G4335" t="s">
        <v>7</v>
      </c>
      <c r="H4335">
        <v>51748.26</v>
      </c>
      <c r="I4335">
        <v>16301.05</v>
      </c>
      <c r="J4335">
        <v>0</v>
      </c>
    </row>
    <row r="4336" spans="1:10" x14ac:dyDescent="0.35">
      <c r="A4336">
        <v>322407</v>
      </c>
      <c r="B4336" t="s">
        <v>20</v>
      </c>
      <c r="C4336">
        <v>2015</v>
      </c>
      <c r="D4336">
        <v>7</v>
      </c>
      <c r="E4336" t="s">
        <v>7</v>
      </c>
      <c r="F4336" t="s">
        <v>7</v>
      </c>
      <c r="G4336" t="s">
        <v>7</v>
      </c>
      <c r="H4336">
        <v>25126.68</v>
      </c>
      <c r="I4336">
        <v>6807.73</v>
      </c>
      <c r="J4336">
        <v>0</v>
      </c>
    </row>
    <row r="4337" spans="1:10" x14ac:dyDescent="0.35">
      <c r="A4337">
        <v>322408</v>
      </c>
      <c r="B4337" t="s">
        <v>20</v>
      </c>
      <c r="C4337">
        <v>2015</v>
      </c>
      <c r="D4337">
        <v>7</v>
      </c>
      <c r="E4337" t="s">
        <v>7</v>
      </c>
      <c r="F4337" t="s">
        <v>7</v>
      </c>
      <c r="G4337" t="s">
        <v>7</v>
      </c>
      <c r="H4337">
        <v>27863.52</v>
      </c>
      <c r="I4337">
        <v>5037.75</v>
      </c>
      <c r="J4337">
        <v>0</v>
      </c>
    </row>
    <row r="4338" spans="1:10" x14ac:dyDescent="0.35">
      <c r="A4338">
        <v>322413</v>
      </c>
      <c r="B4338" t="s">
        <v>20</v>
      </c>
      <c r="C4338">
        <v>2015</v>
      </c>
      <c r="D4338">
        <v>7</v>
      </c>
      <c r="E4338" t="s">
        <v>7</v>
      </c>
      <c r="F4338" t="s">
        <v>7</v>
      </c>
      <c r="G4338" t="s">
        <v>7</v>
      </c>
      <c r="H4338">
        <v>66869.399999999994</v>
      </c>
      <c r="I4338">
        <v>49020.2</v>
      </c>
      <c r="J4338">
        <v>0</v>
      </c>
    </row>
    <row r="4339" spans="1:10" x14ac:dyDescent="0.35">
      <c r="A4339">
        <v>322414</v>
      </c>
      <c r="B4339" t="s">
        <v>20</v>
      </c>
      <c r="C4339">
        <v>2015</v>
      </c>
      <c r="D4339">
        <v>7</v>
      </c>
      <c r="E4339" t="s">
        <v>7</v>
      </c>
      <c r="F4339" t="s">
        <v>7</v>
      </c>
      <c r="G4339" t="s">
        <v>7</v>
      </c>
      <c r="H4339">
        <v>25615.02</v>
      </c>
      <c r="I4339">
        <v>7744.9</v>
      </c>
      <c r="J4339">
        <v>0</v>
      </c>
    </row>
    <row r="4340" spans="1:10" x14ac:dyDescent="0.35">
      <c r="A4340">
        <v>322415</v>
      </c>
      <c r="B4340" t="s">
        <v>20</v>
      </c>
      <c r="C4340">
        <v>2015</v>
      </c>
      <c r="D4340">
        <v>7</v>
      </c>
      <c r="E4340" t="s">
        <v>7</v>
      </c>
      <c r="F4340" t="s">
        <v>7</v>
      </c>
      <c r="G4340" t="s">
        <v>7</v>
      </c>
      <c r="H4340">
        <v>10572.22</v>
      </c>
      <c r="I4340">
        <v>2698.49</v>
      </c>
      <c r="J4340">
        <v>0</v>
      </c>
    </row>
    <row r="4341" spans="1:10" x14ac:dyDescent="0.35">
      <c r="A4341">
        <v>322416</v>
      </c>
      <c r="B4341" t="s">
        <v>20</v>
      </c>
      <c r="C4341">
        <v>2015</v>
      </c>
      <c r="D4341">
        <v>7</v>
      </c>
      <c r="E4341" t="s">
        <v>7</v>
      </c>
      <c r="F4341" t="s">
        <v>7</v>
      </c>
      <c r="G4341" t="s">
        <v>7</v>
      </c>
      <c r="H4341">
        <v>66962.28</v>
      </c>
      <c r="I4341">
        <v>27375.97</v>
      </c>
      <c r="J4341">
        <v>0</v>
      </c>
    </row>
    <row r="4342" spans="1:10" x14ac:dyDescent="0.35">
      <c r="A4342">
        <v>322419</v>
      </c>
      <c r="B4342" t="s">
        <v>20</v>
      </c>
      <c r="C4342">
        <v>2015</v>
      </c>
      <c r="D4342">
        <v>7</v>
      </c>
      <c r="E4342" t="s">
        <v>7</v>
      </c>
      <c r="F4342" t="s">
        <v>7</v>
      </c>
      <c r="G4342" t="s">
        <v>7</v>
      </c>
      <c r="H4342">
        <v>68598.62</v>
      </c>
      <c r="I4342">
        <v>49479.26</v>
      </c>
      <c r="J4342">
        <v>0</v>
      </c>
    </row>
    <row r="4343" spans="1:10" x14ac:dyDescent="0.35">
      <c r="A4343">
        <v>322420</v>
      </c>
      <c r="B4343" t="s">
        <v>20</v>
      </c>
      <c r="C4343">
        <v>2015</v>
      </c>
      <c r="D4343">
        <v>7</v>
      </c>
      <c r="E4343" t="s">
        <v>7</v>
      </c>
      <c r="F4343" t="s">
        <v>7</v>
      </c>
      <c r="G4343" t="s">
        <v>7</v>
      </c>
      <c r="H4343">
        <v>18073.2</v>
      </c>
      <c r="I4343">
        <v>4549.95</v>
      </c>
      <c r="J4343">
        <v>0</v>
      </c>
    </row>
    <row r="4344" spans="1:10" x14ac:dyDescent="0.35">
      <c r="A4344">
        <v>322421</v>
      </c>
      <c r="B4344" t="s">
        <v>20</v>
      </c>
      <c r="C4344">
        <v>2015</v>
      </c>
      <c r="D4344">
        <v>7</v>
      </c>
      <c r="E4344" t="s">
        <v>7</v>
      </c>
      <c r="F4344" t="s">
        <v>7</v>
      </c>
      <c r="G4344" t="s">
        <v>7</v>
      </c>
      <c r="H4344">
        <v>35882.019999999997</v>
      </c>
      <c r="I4344">
        <v>10727.18</v>
      </c>
      <c r="J4344">
        <v>0</v>
      </c>
    </row>
    <row r="4345" spans="1:10" x14ac:dyDescent="0.35">
      <c r="A4345">
        <v>322423</v>
      </c>
      <c r="B4345" t="s">
        <v>20</v>
      </c>
      <c r="C4345">
        <v>2015</v>
      </c>
      <c r="D4345">
        <v>7</v>
      </c>
      <c r="E4345" t="s">
        <v>7</v>
      </c>
      <c r="F4345" t="s">
        <v>7</v>
      </c>
      <c r="G4345" t="s">
        <v>7</v>
      </c>
      <c r="H4345">
        <v>38687.480000000003</v>
      </c>
      <c r="I4345">
        <v>11007.98</v>
      </c>
      <c r="J4345">
        <v>0</v>
      </c>
    </row>
    <row r="4346" spans="1:10" x14ac:dyDescent="0.35">
      <c r="A4346">
        <v>322424</v>
      </c>
      <c r="B4346" t="s">
        <v>20</v>
      </c>
      <c r="C4346">
        <v>2015</v>
      </c>
      <c r="D4346">
        <v>7</v>
      </c>
      <c r="E4346" t="s">
        <v>7</v>
      </c>
      <c r="F4346" t="s">
        <v>7</v>
      </c>
      <c r="G4346" t="s">
        <v>7</v>
      </c>
      <c r="H4346">
        <v>27559.58</v>
      </c>
      <c r="I4346">
        <v>7432.52</v>
      </c>
      <c r="J4346">
        <v>0</v>
      </c>
    </row>
    <row r="4347" spans="1:10" x14ac:dyDescent="0.35">
      <c r="A4347">
        <v>322425</v>
      </c>
      <c r="B4347" t="s">
        <v>20</v>
      </c>
      <c r="C4347">
        <v>2015</v>
      </c>
      <c r="D4347">
        <v>7</v>
      </c>
      <c r="E4347" t="s">
        <v>7</v>
      </c>
      <c r="F4347" t="s">
        <v>7</v>
      </c>
      <c r="G4347" t="s">
        <v>7</v>
      </c>
      <c r="H4347">
        <v>24905.22</v>
      </c>
      <c r="I4347">
        <v>6598.49</v>
      </c>
      <c r="J4347">
        <v>0</v>
      </c>
    </row>
    <row r="4348" spans="1:10" x14ac:dyDescent="0.35">
      <c r="A4348">
        <v>322426</v>
      </c>
      <c r="B4348" t="s">
        <v>20</v>
      </c>
      <c r="C4348">
        <v>2015</v>
      </c>
      <c r="D4348">
        <v>7</v>
      </c>
      <c r="E4348" t="s">
        <v>7</v>
      </c>
      <c r="F4348" t="s">
        <v>7</v>
      </c>
      <c r="G4348" t="s">
        <v>7</v>
      </c>
      <c r="H4348">
        <v>70089.94</v>
      </c>
      <c r="I4348">
        <v>52450.720000000001</v>
      </c>
      <c r="J4348">
        <v>0</v>
      </c>
    </row>
    <row r="4349" spans="1:10" x14ac:dyDescent="0.35">
      <c r="A4349">
        <v>322427</v>
      </c>
      <c r="B4349" t="s">
        <v>20</v>
      </c>
      <c r="C4349">
        <v>2015</v>
      </c>
      <c r="D4349">
        <v>7</v>
      </c>
      <c r="E4349" t="s">
        <v>7</v>
      </c>
      <c r="F4349" t="s">
        <v>7</v>
      </c>
      <c r="G4349" t="s">
        <v>7</v>
      </c>
      <c r="H4349">
        <v>36252.199999999997</v>
      </c>
      <c r="I4349">
        <v>17543.21</v>
      </c>
      <c r="J4349">
        <v>0</v>
      </c>
    </row>
    <row r="4350" spans="1:10" x14ac:dyDescent="0.35">
      <c r="A4350">
        <v>322428</v>
      </c>
      <c r="B4350" t="s">
        <v>20</v>
      </c>
      <c r="C4350">
        <v>2015</v>
      </c>
      <c r="D4350">
        <v>7</v>
      </c>
      <c r="E4350" t="s">
        <v>7</v>
      </c>
      <c r="F4350" t="s">
        <v>7</v>
      </c>
      <c r="G4350" t="s">
        <v>7</v>
      </c>
      <c r="H4350">
        <v>78323.22</v>
      </c>
      <c r="I4350">
        <v>37052.92</v>
      </c>
      <c r="J4350">
        <v>0</v>
      </c>
    </row>
    <row r="4351" spans="1:10" x14ac:dyDescent="0.35">
      <c r="A4351">
        <v>322429</v>
      </c>
      <c r="B4351" t="s">
        <v>20</v>
      </c>
      <c r="C4351">
        <v>2015</v>
      </c>
      <c r="D4351">
        <v>7</v>
      </c>
      <c r="E4351" t="s">
        <v>7</v>
      </c>
      <c r="F4351" t="s">
        <v>7</v>
      </c>
      <c r="G4351" t="s">
        <v>7</v>
      </c>
      <c r="H4351">
        <v>42076.3</v>
      </c>
      <c r="I4351">
        <v>16186.1</v>
      </c>
      <c r="J4351">
        <v>0</v>
      </c>
    </row>
    <row r="4352" spans="1:10" x14ac:dyDescent="0.35">
      <c r="A4352">
        <v>322430</v>
      </c>
      <c r="B4352" t="s">
        <v>20</v>
      </c>
      <c r="C4352">
        <v>2015</v>
      </c>
      <c r="D4352">
        <v>7</v>
      </c>
      <c r="E4352" t="s">
        <v>7</v>
      </c>
      <c r="F4352" t="s">
        <v>7</v>
      </c>
      <c r="G4352" t="s">
        <v>7</v>
      </c>
      <c r="H4352">
        <v>76256.06</v>
      </c>
      <c r="I4352">
        <v>58972.15</v>
      </c>
      <c r="J4352">
        <v>0</v>
      </c>
    </row>
    <row r="4353" spans="1:10" x14ac:dyDescent="0.35">
      <c r="A4353">
        <v>322431</v>
      </c>
      <c r="B4353" t="s">
        <v>20</v>
      </c>
      <c r="C4353">
        <v>2015</v>
      </c>
      <c r="D4353">
        <v>7</v>
      </c>
      <c r="E4353" t="s">
        <v>7</v>
      </c>
      <c r="F4353" t="s">
        <v>7</v>
      </c>
      <c r="G4353" t="s">
        <v>7</v>
      </c>
      <c r="H4353">
        <v>42917.279999999999</v>
      </c>
      <c r="I4353">
        <v>12816.58</v>
      </c>
      <c r="J4353">
        <v>0</v>
      </c>
    </row>
    <row r="4354" spans="1:10" x14ac:dyDescent="0.35">
      <c r="A4354">
        <v>322432</v>
      </c>
      <c r="B4354" t="s">
        <v>20</v>
      </c>
      <c r="C4354">
        <v>2015</v>
      </c>
      <c r="D4354">
        <v>7</v>
      </c>
      <c r="E4354" t="s">
        <v>7</v>
      </c>
      <c r="F4354" t="s">
        <v>7</v>
      </c>
      <c r="G4354" t="s">
        <v>7</v>
      </c>
      <c r="H4354">
        <v>25445.38</v>
      </c>
      <c r="I4354">
        <v>6709.35</v>
      </c>
      <c r="J4354">
        <v>0</v>
      </c>
    </row>
    <row r="4355" spans="1:10" x14ac:dyDescent="0.35">
      <c r="A4355">
        <v>322433</v>
      </c>
      <c r="B4355" t="s">
        <v>20</v>
      </c>
      <c r="C4355">
        <v>2015</v>
      </c>
      <c r="D4355">
        <v>7</v>
      </c>
      <c r="E4355" t="s">
        <v>7</v>
      </c>
      <c r="F4355" t="s">
        <v>7</v>
      </c>
      <c r="G4355" t="s">
        <v>7</v>
      </c>
      <c r="H4355">
        <v>34392.82</v>
      </c>
      <c r="I4355">
        <v>10936.25</v>
      </c>
      <c r="J4355">
        <v>0</v>
      </c>
    </row>
    <row r="4356" spans="1:10" x14ac:dyDescent="0.35">
      <c r="A4356">
        <v>322436</v>
      </c>
      <c r="B4356" t="s">
        <v>20</v>
      </c>
      <c r="C4356">
        <v>2015</v>
      </c>
      <c r="D4356">
        <v>7</v>
      </c>
      <c r="E4356" t="s">
        <v>7</v>
      </c>
      <c r="F4356" t="s">
        <v>7</v>
      </c>
      <c r="G4356" t="s">
        <v>7</v>
      </c>
      <c r="H4356">
        <v>10842.1</v>
      </c>
      <c r="I4356">
        <v>2412.37</v>
      </c>
      <c r="J4356">
        <v>0</v>
      </c>
    </row>
    <row r="4357" spans="1:10" x14ac:dyDescent="0.35">
      <c r="A4357">
        <v>322438</v>
      </c>
      <c r="B4357" t="s">
        <v>20</v>
      </c>
      <c r="C4357">
        <v>2015</v>
      </c>
      <c r="D4357">
        <v>7</v>
      </c>
      <c r="E4357" t="s">
        <v>7</v>
      </c>
      <c r="F4357" t="s">
        <v>7</v>
      </c>
      <c r="G4357" t="s">
        <v>7</v>
      </c>
      <c r="H4357">
        <v>84148.81</v>
      </c>
      <c r="I4357">
        <v>45156.72</v>
      </c>
      <c r="J4357">
        <v>0</v>
      </c>
    </row>
    <row r="4358" spans="1:10" x14ac:dyDescent="0.35">
      <c r="A4358">
        <v>322441</v>
      </c>
      <c r="B4358" t="s">
        <v>20</v>
      </c>
      <c r="C4358">
        <v>2015</v>
      </c>
      <c r="D4358">
        <v>7</v>
      </c>
      <c r="E4358" t="s">
        <v>7</v>
      </c>
      <c r="F4358" t="s">
        <v>7</v>
      </c>
      <c r="G4358" t="s">
        <v>7</v>
      </c>
      <c r="H4358">
        <v>69165.039999999994</v>
      </c>
      <c r="I4358">
        <v>39486.65</v>
      </c>
      <c r="J4358">
        <v>0</v>
      </c>
    </row>
    <row r="4359" spans="1:10" x14ac:dyDescent="0.35">
      <c r="A4359">
        <v>322442</v>
      </c>
      <c r="B4359" t="s">
        <v>20</v>
      </c>
      <c r="C4359">
        <v>2015</v>
      </c>
      <c r="D4359">
        <v>7</v>
      </c>
      <c r="E4359" t="s">
        <v>7</v>
      </c>
      <c r="F4359" t="s">
        <v>7</v>
      </c>
      <c r="G4359" t="s">
        <v>7</v>
      </c>
      <c r="H4359">
        <v>24628.68</v>
      </c>
      <c r="I4359">
        <v>6686.2</v>
      </c>
      <c r="J4359">
        <v>0</v>
      </c>
    </row>
    <row r="4360" spans="1:10" x14ac:dyDescent="0.35">
      <c r="A4360">
        <v>322443</v>
      </c>
      <c r="B4360" t="s">
        <v>20</v>
      </c>
      <c r="C4360">
        <v>2015</v>
      </c>
      <c r="D4360">
        <v>7</v>
      </c>
      <c r="E4360" t="s">
        <v>7</v>
      </c>
      <c r="F4360" t="s">
        <v>7</v>
      </c>
      <c r="G4360" t="s">
        <v>7</v>
      </c>
      <c r="H4360">
        <v>79180.58</v>
      </c>
      <c r="I4360">
        <v>59753.55</v>
      </c>
      <c r="J4360">
        <v>0</v>
      </c>
    </row>
    <row r="4361" spans="1:10" x14ac:dyDescent="0.35">
      <c r="A4361">
        <v>322446</v>
      </c>
      <c r="B4361" t="s">
        <v>20</v>
      </c>
      <c r="C4361">
        <v>2015</v>
      </c>
      <c r="D4361">
        <v>7</v>
      </c>
      <c r="E4361" t="s">
        <v>7</v>
      </c>
      <c r="F4361" t="s">
        <v>7</v>
      </c>
      <c r="G4361" t="s">
        <v>7</v>
      </c>
      <c r="H4361">
        <v>24336.66</v>
      </c>
      <c r="I4361">
        <v>5166.5600000000004</v>
      </c>
      <c r="J4361">
        <v>0</v>
      </c>
    </row>
    <row r="4362" spans="1:10" x14ac:dyDescent="0.35">
      <c r="A4362">
        <v>322447</v>
      </c>
      <c r="B4362" t="s">
        <v>20</v>
      </c>
      <c r="C4362">
        <v>2015</v>
      </c>
      <c r="D4362">
        <v>7</v>
      </c>
      <c r="E4362" t="s">
        <v>7</v>
      </c>
      <c r="F4362" t="s">
        <v>7</v>
      </c>
      <c r="G4362" t="s">
        <v>7</v>
      </c>
      <c r="H4362">
        <v>64496.82</v>
      </c>
      <c r="I4362">
        <v>20506.07</v>
      </c>
      <c r="J4362">
        <v>0</v>
      </c>
    </row>
    <row r="4363" spans="1:10" x14ac:dyDescent="0.35">
      <c r="A4363">
        <v>322449</v>
      </c>
      <c r="B4363" t="s">
        <v>20</v>
      </c>
      <c r="C4363">
        <v>2015</v>
      </c>
      <c r="D4363">
        <v>7</v>
      </c>
      <c r="E4363" t="s">
        <v>7</v>
      </c>
      <c r="F4363" t="s">
        <v>7</v>
      </c>
      <c r="G4363" t="s">
        <v>7</v>
      </c>
      <c r="H4363">
        <v>53678.720000000001</v>
      </c>
      <c r="I4363">
        <v>14899.16</v>
      </c>
      <c r="J4363">
        <v>0</v>
      </c>
    </row>
    <row r="4364" spans="1:10" x14ac:dyDescent="0.35">
      <c r="A4364">
        <v>322452</v>
      </c>
      <c r="B4364" t="s">
        <v>20</v>
      </c>
      <c r="C4364">
        <v>2015</v>
      </c>
      <c r="D4364">
        <v>7</v>
      </c>
      <c r="E4364" t="s">
        <v>7</v>
      </c>
      <c r="F4364" t="s">
        <v>7</v>
      </c>
      <c r="G4364" t="s">
        <v>7</v>
      </c>
      <c r="H4364">
        <v>19690.54</v>
      </c>
      <c r="I4364">
        <v>3155.29</v>
      </c>
      <c r="J4364">
        <v>0</v>
      </c>
    </row>
    <row r="4365" spans="1:10" x14ac:dyDescent="0.35">
      <c r="A4365">
        <v>322454</v>
      </c>
      <c r="B4365" t="s">
        <v>20</v>
      </c>
      <c r="C4365">
        <v>2015</v>
      </c>
      <c r="D4365">
        <v>7</v>
      </c>
      <c r="E4365" t="s">
        <v>7</v>
      </c>
      <c r="F4365" t="s">
        <v>7</v>
      </c>
      <c r="G4365" t="s">
        <v>7</v>
      </c>
      <c r="H4365">
        <v>27650.92</v>
      </c>
      <c r="I4365">
        <v>6859.78</v>
      </c>
      <c r="J4365">
        <v>0</v>
      </c>
    </row>
    <row r="4366" spans="1:10" x14ac:dyDescent="0.35">
      <c r="A4366">
        <v>322456</v>
      </c>
      <c r="B4366" t="s">
        <v>20</v>
      </c>
      <c r="C4366">
        <v>2015</v>
      </c>
      <c r="D4366">
        <v>7</v>
      </c>
      <c r="E4366" t="s">
        <v>7</v>
      </c>
      <c r="F4366" t="s">
        <v>7</v>
      </c>
      <c r="G4366" t="s">
        <v>7</v>
      </c>
      <c r="H4366">
        <v>44717.4</v>
      </c>
      <c r="I4366">
        <v>13899.98</v>
      </c>
      <c r="J4366">
        <v>0</v>
      </c>
    </row>
    <row r="4367" spans="1:10" x14ac:dyDescent="0.35">
      <c r="A4367">
        <v>322457</v>
      </c>
      <c r="B4367" t="s">
        <v>20</v>
      </c>
      <c r="C4367">
        <v>2015</v>
      </c>
      <c r="D4367">
        <v>7</v>
      </c>
      <c r="E4367" t="s">
        <v>7</v>
      </c>
      <c r="F4367" t="s">
        <v>7</v>
      </c>
      <c r="G4367" t="s">
        <v>7</v>
      </c>
      <c r="H4367">
        <v>25208.7</v>
      </c>
      <c r="I4367">
        <v>7480.93</v>
      </c>
      <c r="J4367">
        <v>0</v>
      </c>
    </row>
    <row r="4368" spans="1:10" x14ac:dyDescent="0.35">
      <c r="A4368">
        <v>322458</v>
      </c>
      <c r="B4368" t="s">
        <v>20</v>
      </c>
      <c r="C4368">
        <v>2015</v>
      </c>
      <c r="D4368">
        <v>7</v>
      </c>
      <c r="E4368" t="s">
        <v>7</v>
      </c>
      <c r="F4368" t="s">
        <v>7</v>
      </c>
      <c r="G4368" t="s">
        <v>7</v>
      </c>
      <c r="H4368">
        <v>65539.039999999994</v>
      </c>
      <c r="I4368">
        <v>47207.34</v>
      </c>
      <c r="J4368">
        <v>0</v>
      </c>
    </row>
    <row r="4369" spans="1:10" x14ac:dyDescent="0.35">
      <c r="A4369">
        <v>322461</v>
      </c>
      <c r="B4369" t="s">
        <v>20</v>
      </c>
      <c r="C4369">
        <v>2015</v>
      </c>
      <c r="D4369">
        <v>7</v>
      </c>
      <c r="E4369" t="s">
        <v>7</v>
      </c>
      <c r="F4369" t="s">
        <v>7</v>
      </c>
      <c r="G4369" t="s">
        <v>7</v>
      </c>
      <c r="H4369">
        <v>19848.86</v>
      </c>
      <c r="I4369">
        <v>4552.34</v>
      </c>
      <c r="J4369">
        <v>0</v>
      </c>
    </row>
    <row r="4370" spans="1:10" x14ac:dyDescent="0.35">
      <c r="A4370">
        <v>322463</v>
      </c>
      <c r="B4370" t="s">
        <v>20</v>
      </c>
      <c r="C4370">
        <v>2015</v>
      </c>
      <c r="D4370">
        <v>7</v>
      </c>
      <c r="E4370" t="s">
        <v>7</v>
      </c>
      <c r="F4370" t="s">
        <v>7</v>
      </c>
      <c r="G4370" t="s">
        <v>7</v>
      </c>
      <c r="H4370">
        <v>31134.82</v>
      </c>
      <c r="I4370">
        <v>7948.28</v>
      </c>
      <c r="J4370">
        <v>0</v>
      </c>
    </row>
    <row r="4371" spans="1:10" x14ac:dyDescent="0.35">
      <c r="A4371">
        <v>322464</v>
      </c>
      <c r="B4371" t="s">
        <v>20</v>
      </c>
      <c r="C4371">
        <v>2015</v>
      </c>
      <c r="D4371">
        <v>7</v>
      </c>
      <c r="E4371" t="s">
        <v>7</v>
      </c>
      <c r="F4371" t="s">
        <v>7</v>
      </c>
      <c r="G4371" t="s">
        <v>7</v>
      </c>
      <c r="H4371">
        <v>18934.259999999998</v>
      </c>
      <c r="I4371">
        <v>5623.92</v>
      </c>
      <c r="J4371">
        <v>0</v>
      </c>
    </row>
    <row r="4372" spans="1:10" x14ac:dyDescent="0.35">
      <c r="A4372">
        <v>322465</v>
      </c>
      <c r="B4372" t="s">
        <v>20</v>
      </c>
      <c r="C4372">
        <v>2015</v>
      </c>
      <c r="D4372">
        <v>7</v>
      </c>
      <c r="E4372" t="s">
        <v>7</v>
      </c>
      <c r="F4372" t="s">
        <v>7</v>
      </c>
      <c r="G4372" t="s">
        <v>7</v>
      </c>
      <c r="H4372">
        <v>68414.460000000006</v>
      </c>
      <c r="I4372">
        <v>53819.9</v>
      </c>
      <c r="J4372">
        <v>0</v>
      </c>
    </row>
    <row r="4373" spans="1:10" x14ac:dyDescent="0.35">
      <c r="A4373">
        <v>322466</v>
      </c>
      <c r="B4373" t="s">
        <v>20</v>
      </c>
      <c r="C4373">
        <v>2015</v>
      </c>
      <c r="D4373">
        <v>7</v>
      </c>
      <c r="E4373" t="s">
        <v>7</v>
      </c>
      <c r="F4373" t="s">
        <v>7</v>
      </c>
      <c r="G4373" t="s">
        <v>7</v>
      </c>
      <c r="H4373">
        <v>34857.379999999997</v>
      </c>
      <c r="I4373">
        <v>9817.34</v>
      </c>
      <c r="J4373">
        <v>0</v>
      </c>
    </row>
    <row r="4374" spans="1:10" x14ac:dyDescent="0.35">
      <c r="A4374">
        <v>322469</v>
      </c>
      <c r="B4374" t="s">
        <v>20</v>
      </c>
      <c r="C4374">
        <v>2015</v>
      </c>
      <c r="D4374">
        <v>7</v>
      </c>
      <c r="E4374" t="s">
        <v>7</v>
      </c>
      <c r="F4374" t="s">
        <v>7</v>
      </c>
      <c r="G4374" t="s">
        <v>7</v>
      </c>
      <c r="H4374">
        <v>18973.439999999999</v>
      </c>
      <c r="I4374">
        <v>5866.41</v>
      </c>
      <c r="J4374">
        <v>0</v>
      </c>
    </row>
    <row r="4375" spans="1:10" x14ac:dyDescent="0.35">
      <c r="A4375">
        <v>322470</v>
      </c>
      <c r="B4375" t="s">
        <v>20</v>
      </c>
      <c r="C4375">
        <v>2015</v>
      </c>
      <c r="D4375">
        <v>7</v>
      </c>
      <c r="E4375" t="s">
        <v>7</v>
      </c>
      <c r="F4375" t="s">
        <v>7</v>
      </c>
      <c r="G4375" t="s">
        <v>7</v>
      </c>
      <c r="H4375">
        <v>9036.08</v>
      </c>
      <c r="I4375">
        <v>5743.59</v>
      </c>
      <c r="J4375">
        <v>0</v>
      </c>
    </row>
    <row r="4376" spans="1:10" x14ac:dyDescent="0.35">
      <c r="A4376">
        <v>322473</v>
      </c>
      <c r="B4376" t="s">
        <v>20</v>
      </c>
      <c r="C4376">
        <v>2015</v>
      </c>
      <c r="D4376">
        <v>7</v>
      </c>
      <c r="E4376" t="s">
        <v>7</v>
      </c>
      <c r="F4376" t="s">
        <v>7</v>
      </c>
      <c r="G4376" t="s">
        <v>7</v>
      </c>
      <c r="H4376">
        <v>14096.82</v>
      </c>
      <c r="I4376">
        <v>2841.15</v>
      </c>
      <c r="J4376">
        <v>0</v>
      </c>
    </row>
    <row r="4377" spans="1:10" x14ac:dyDescent="0.35">
      <c r="A4377">
        <v>322474</v>
      </c>
      <c r="B4377" t="s">
        <v>20</v>
      </c>
      <c r="C4377">
        <v>2015</v>
      </c>
      <c r="D4377">
        <v>7</v>
      </c>
      <c r="E4377" t="s">
        <v>7</v>
      </c>
      <c r="F4377" t="s">
        <v>7</v>
      </c>
      <c r="G4377" t="s">
        <v>7</v>
      </c>
      <c r="H4377">
        <v>8555.1200000000008</v>
      </c>
      <c r="I4377">
        <v>2382.7399999999998</v>
      </c>
      <c r="J4377">
        <v>0</v>
      </c>
    </row>
    <row r="4378" spans="1:10" x14ac:dyDescent="0.35">
      <c r="A4378">
        <v>322475</v>
      </c>
      <c r="B4378" t="s">
        <v>20</v>
      </c>
      <c r="C4378">
        <v>2015</v>
      </c>
      <c r="D4378">
        <v>7</v>
      </c>
      <c r="E4378" t="s">
        <v>7</v>
      </c>
      <c r="F4378" t="s">
        <v>7</v>
      </c>
      <c r="G4378" t="s">
        <v>7</v>
      </c>
      <c r="H4378">
        <v>15582.44</v>
      </c>
      <c r="I4378">
        <v>4706.04</v>
      </c>
      <c r="J4378">
        <v>0</v>
      </c>
    </row>
    <row r="4379" spans="1:10" x14ac:dyDescent="0.35">
      <c r="A4379">
        <v>322476</v>
      </c>
      <c r="B4379" t="s">
        <v>20</v>
      </c>
      <c r="C4379">
        <v>2015</v>
      </c>
      <c r="D4379">
        <v>7</v>
      </c>
      <c r="E4379" t="s">
        <v>7</v>
      </c>
      <c r="F4379" t="s">
        <v>7</v>
      </c>
      <c r="G4379" t="s">
        <v>7</v>
      </c>
      <c r="H4379">
        <v>10144.4</v>
      </c>
      <c r="I4379">
        <v>2620.65</v>
      </c>
      <c r="J4379">
        <v>0</v>
      </c>
    </row>
    <row r="4380" spans="1:10" x14ac:dyDescent="0.35">
      <c r="A4380">
        <v>322481</v>
      </c>
      <c r="B4380" t="s">
        <v>20</v>
      </c>
      <c r="C4380">
        <v>2015</v>
      </c>
      <c r="D4380">
        <v>7</v>
      </c>
      <c r="E4380" t="s">
        <v>7</v>
      </c>
      <c r="F4380" t="s">
        <v>7</v>
      </c>
      <c r="G4380" t="s">
        <v>7</v>
      </c>
      <c r="H4380">
        <v>85747.76</v>
      </c>
      <c r="I4380">
        <v>26438.78</v>
      </c>
      <c r="J4380">
        <v>0</v>
      </c>
    </row>
    <row r="4381" spans="1:10" x14ac:dyDescent="0.35">
      <c r="A4381">
        <v>322487</v>
      </c>
      <c r="B4381" t="s">
        <v>20</v>
      </c>
      <c r="C4381">
        <v>2015</v>
      </c>
      <c r="D4381">
        <v>7</v>
      </c>
      <c r="E4381" t="s">
        <v>7</v>
      </c>
      <c r="F4381" t="s">
        <v>7</v>
      </c>
      <c r="G4381" t="s">
        <v>7</v>
      </c>
      <c r="H4381">
        <v>27405.4</v>
      </c>
      <c r="I4381">
        <v>8536.7199999999993</v>
      </c>
      <c r="J4381">
        <v>0</v>
      </c>
    </row>
    <row r="4382" spans="1:10" x14ac:dyDescent="0.35">
      <c r="A4382">
        <v>322488</v>
      </c>
      <c r="B4382" t="s">
        <v>20</v>
      </c>
      <c r="C4382">
        <v>2015</v>
      </c>
      <c r="D4382">
        <v>7</v>
      </c>
      <c r="E4382" t="s">
        <v>7</v>
      </c>
      <c r="F4382" t="s">
        <v>7</v>
      </c>
      <c r="G4382" t="s">
        <v>7</v>
      </c>
      <c r="H4382">
        <v>129790.08</v>
      </c>
      <c r="I4382">
        <v>73352.479999999996</v>
      </c>
      <c r="J4382">
        <v>0</v>
      </c>
    </row>
    <row r="4383" spans="1:10" x14ac:dyDescent="0.35">
      <c r="A4383">
        <v>322491</v>
      </c>
      <c r="B4383" t="s">
        <v>20</v>
      </c>
      <c r="C4383">
        <v>2015</v>
      </c>
      <c r="D4383">
        <v>7</v>
      </c>
      <c r="E4383" t="s">
        <v>7</v>
      </c>
      <c r="F4383" t="s">
        <v>7</v>
      </c>
      <c r="G4383" t="s">
        <v>7</v>
      </c>
      <c r="H4383">
        <v>14615.64</v>
      </c>
      <c r="I4383">
        <v>3244.9</v>
      </c>
      <c r="J4383">
        <v>0</v>
      </c>
    </row>
    <row r="4384" spans="1:10" x14ac:dyDescent="0.35">
      <c r="A4384">
        <v>322492</v>
      </c>
      <c r="B4384" t="s">
        <v>20</v>
      </c>
      <c r="C4384">
        <v>2015</v>
      </c>
      <c r="D4384">
        <v>7</v>
      </c>
      <c r="E4384" t="s">
        <v>7</v>
      </c>
      <c r="F4384" t="s">
        <v>7</v>
      </c>
      <c r="G4384" t="s">
        <v>7</v>
      </c>
      <c r="H4384">
        <v>42222.9</v>
      </c>
      <c r="I4384">
        <v>11553.78</v>
      </c>
      <c r="J4384">
        <v>0</v>
      </c>
    </row>
    <row r="4385" spans="1:10" x14ac:dyDescent="0.35">
      <c r="A4385">
        <v>322493</v>
      </c>
      <c r="B4385" t="s">
        <v>20</v>
      </c>
      <c r="C4385">
        <v>2015</v>
      </c>
      <c r="D4385">
        <v>7</v>
      </c>
      <c r="E4385" t="s">
        <v>7</v>
      </c>
      <c r="F4385" t="s">
        <v>7</v>
      </c>
      <c r="G4385" t="s">
        <v>7</v>
      </c>
      <c r="H4385">
        <v>86399.73</v>
      </c>
      <c r="I4385">
        <v>30360.48</v>
      </c>
      <c r="J4385">
        <v>0</v>
      </c>
    </row>
    <row r="4386" spans="1:10" x14ac:dyDescent="0.35">
      <c r="A4386">
        <v>322496</v>
      </c>
      <c r="B4386" t="s">
        <v>20</v>
      </c>
      <c r="C4386">
        <v>2015</v>
      </c>
      <c r="D4386">
        <v>7</v>
      </c>
      <c r="E4386" t="s">
        <v>7</v>
      </c>
      <c r="F4386" t="s">
        <v>7</v>
      </c>
      <c r="G4386" t="s">
        <v>7</v>
      </c>
      <c r="H4386">
        <v>76407.960000000006</v>
      </c>
      <c r="I4386">
        <v>33482.269999999997</v>
      </c>
      <c r="J4386">
        <v>0</v>
      </c>
    </row>
    <row r="4387" spans="1:10" x14ac:dyDescent="0.35">
      <c r="A4387">
        <v>322497</v>
      </c>
      <c r="B4387" t="s">
        <v>20</v>
      </c>
      <c r="C4387">
        <v>2015</v>
      </c>
      <c r="D4387">
        <v>7</v>
      </c>
      <c r="E4387" t="s">
        <v>7</v>
      </c>
      <c r="F4387" t="s">
        <v>7</v>
      </c>
      <c r="G4387" t="s">
        <v>7</v>
      </c>
      <c r="H4387">
        <v>116696.18</v>
      </c>
      <c r="I4387">
        <v>34869.550000000003</v>
      </c>
      <c r="J4387">
        <v>0</v>
      </c>
    </row>
    <row r="4388" spans="1:10" x14ac:dyDescent="0.35">
      <c r="A4388">
        <v>322498</v>
      </c>
      <c r="B4388" t="s">
        <v>20</v>
      </c>
      <c r="C4388">
        <v>2015</v>
      </c>
      <c r="D4388">
        <v>7</v>
      </c>
      <c r="E4388" t="s">
        <v>7</v>
      </c>
      <c r="F4388" t="s">
        <v>7</v>
      </c>
      <c r="G4388" t="s">
        <v>7</v>
      </c>
      <c r="H4388">
        <v>30168.48</v>
      </c>
      <c r="I4388">
        <v>8790.41</v>
      </c>
      <c r="J4388">
        <v>0</v>
      </c>
    </row>
    <row r="4389" spans="1:10" x14ac:dyDescent="0.35">
      <c r="A4389">
        <v>322499</v>
      </c>
      <c r="B4389" t="s">
        <v>20</v>
      </c>
      <c r="C4389">
        <v>2015</v>
      </c>
      <c r="D4389">
        <v>7</v>
      </c>
      <c r="E4389" t="s">
        <v>7</v>
      </c>
      <c r="F4389" t="s">
        <v>7</v>
      </c>
      <c r="G4389" t="s">
        <v>7</v>
      </c>
      <c r="H4389">
        <v>30652.16</v>
      </c>
      <c r="I4389">
        <v>7286.66</v>
      </c>
      <c r="J4389">
        <v>0</v>
      </c>
    </row>
    <row r="4390" spans="1:10" x14ac:dyDescent="0.35">
      <c r="A4390">
        <v>322501</v>
      </c>
      <c r="B4390" t="s">
        <v>20</v>
      </c>
      <c r="C4390">
        <v>2015</v>
      </c>
      <c r="D4390">
        <v>7</v>
      </c>
      <c r="E4390" t="s">
        <v>7</v>
      </c>
      <c r="F4390" t="s">
        <v>7</v>
      </c>
      <c r="G4390" t="s">
        <v>7</v>
      </c>
      <c r="H4390">
        <v>31815.62</v>
      </c>
      <c r="I4390">
        <v>9624.65</v>
      </c>
      <c r="J4390">
        <v>0</v>
      </c>
    </row>
    <row r="4391" spans="1:10" x14ac:dyDescent="0.35">
      <c r="A4391">
        <v>322502</v>
      </c>
      <c r="B4391" t="s">
        <v>20</v>
      </c>
      <c r="C4391">
        <v>2015</v>
      </c>
      <c r="D4391">
        <v>7</v>
      </c>
      <c r="E4391" t="s">
        <v>7</v>
      </c>
      <c r="F4391" t="s">
        <v>7</v>
      </c>
      <c r="G4391" t="s">
        <v>7</v>
      </c>
      <c r="H4391">
        <v>101792.84</v>
      </c>
      <c r="I4391">
        <v>37357.949999999997</v>
      </c>
      <c r="J4391">
        <v>0</v>
      </c>
    </row>
    <row r="4392" spans="1:10" x14ac:dyDescent="0.35">
      <c r="A4392">
        <v>322503</v>
      </c>
      <c r="B4392" t="s">
        <v>20</v>
      </c>
      <c r="C4392">
        <v>2015</v>
      </c>
      <c r="D4392">
        <v>7</v>
      </c>
      <c r="E4392" t="s">
        <v>7</v>
      </c>
      <c r="F4392" t="s">
        <v>7</v>
      </c>
      <c r="G4392" t="s">
        <v>7</v>
      </c>
      <c r="H4392">
        <v>67440.66</v>
      </c>
      <c r="I4392">
        <v>44360.84</v>
      </c>
      <c r="J4392">
        <v>0</v>
      </c>
    </row>
    <row r="4393" spans="1:10" x14ac:dyDescent="0.35">
      <c r="A4393">
        <v>322505</v>
      </c>
      <c r="B4393" t="s">
        <v>20</v>
      </c>
      <c r="C4393">
        <v>2015</v>
      </c>
      <c r="D4393">
        <v>7</v>
      </c>
      <c r="E4393" t="s">
        <v>7</v>
      </c>
      <c r="F4393" t="s">
        <v>7</v>
      </c>
      <c r="G4393" t="s">
        <v>7</v>
      </c>
      <c r="H4393">
        <v>59942.94</v>
      </c>
      <c r="I4393">
        <v>22690.34</v>
      </c>
      <c r="J4393">
        <v>0</v>
      </c>
    </row>
    <row r="4394" spans="1:10" x14ac:dyDescent="0.35">
      <c r="A4394">
        <v>322507</v>
      </c>
      <c r="B4394" t="s">
        <v>20</v>
      </c>
      <c r="C4394">
        <v>2015</v>
      </c>
      <c r="D4394">
        <v>7</v>
      </c>
      <c r="E4394" t="s">
        <v>7</v>
      </c>
      <c r="F4394" t="s">
        <v>7</v>
      </c>
      <c r="G4394" t="s">
        <v>7</v>
      </c>
      <c r="H4394">
        <v>63433.06</v>
      </c>
      <c r="I4394">
        <v>37850.46</v>
      </c>
      <c r="J4394">
        <v>0</v>
      </c>
    </row>
    <row r="4395" spans="1:10" x14ac:dyDescent="0.35">
      <c r="A4395">
        <v>322508</v>
      </c>
      <c r="B4395" t="s">
        <v>20</v>
      </c>
      <c r="C4395">
        <v>2015</v>
      </c>
      <c r="D4395">
        <v>7</v>
      </c>
      <c r="E4395" t="s">
        <v>7</v>
      </c>
      <c r="F4395" t="s">
        <v>7</v>
      </c>
      <c r="G4395" t="s">
        <v>7</v>
      </c>
      <c r="H4395">
        <v>22462.2</v>
      </c>
      <c r="I4395">
        <v>6944.97</v>
      </c>
      <c r="J4395">
        <v>0</v>
      </c>
    </row>
    <row r="4396" spans="1:10" x14ac:dyDescent="0.35">
      <c r="A4396">
        <v>322509</v>
      </c>
      <c r="B4396" t="s">
        <v>20</v>
      </c>
      <c r="C4396">
        <v>2015</v>
      </c>
      <c r="D4396">
        <v>7</v>
      </c>
      <c r="E4396" t="s">
        <v>7</v>
      </c>
      <c r="F4396" t="s">
        <v>7</v>
      </c>
      <c r="G4396" t="s">
        <v>7</v>
      </c>
      <c r="H4396">
        <v>34589.68</v>
      </c>
      <c r="I4396">
        <v>10650.95</v>
      </c>
      <c r="J4396">
        <v>0</v>
      </c>
    </row>
    <row r="4397" spans="1:10" x14ac:dyDescent="0.35">
      <c r="A4397">
        <v>322512</v>
      </c>
      <c r="B4397" t="s">
        <v>20</v>
      </c>
      <c r="C4397">
        <v>2015</v>
      </c>
      <c r="D4397">
        <v>7</v>
      </c>
      <c r="E4397" t="s">
        <v>7</v>
      </c>
      <c r="F4397" t="s">
        <v>7</v>
      </c>
      <c r="G4397" t="s">
        <v>7</v>
      </c>
      <c r="H4397">
        <v>31240.400000000001</v>
      </c>
      <c r="I4397">
        <v>18543.36</v>
      </c>
      <c r="J4397">
        <v>0</v>
      </c>
    </row>
    <row r="4398" spans="1:10" x14ac:dyDescent="0.35">
      <c r="A4398">
        <v>322513</v>
      </c>
      <c r="B4398" t="s">
        <v>20</v>
      </c>
      <c r="C4398">
        <v>2015</v>
      </c>
      <c r="D4398">
        <v>7</v>
      </c>
      <c r="E4398" t="s">
        <v>7</v>
      </c>
      <c r="F4398" t="s">
        <v>7</v>
      </c>
      <c r="G4398" t="s">
        <v>7</v>
      </c>
      <c r="H4398">
        <v>22687.599999999999</v>
      </c>
      <c r="I4398">
        <v>6133.91</v>
      </c>
      <c r="J4398">
        <v>0</v>
      </c>
    </row>
    <row r="4399" spans="1:10" x14ac:dyDescent="0.35">
      <c r="A4399">
        <v>322514</v>
      </c>
      <c r="B4399" t="s">
        <v>20</v>
      </c>
      <c r="C4399">
        <v>2015</v>
      </c>
      <c r="D4399">
        <v>7</v>
      </c>
      <c r="E4399" t="s">
        <v>7</v>
      </c>
      <c r="F4399" t="s">
        <v>7</v>
      </c>
      <c r="G4399" t="s">
        <v>7</v>
      </c>
      <c r="H4399">
        <v>58976.44</v>
      </c>
      <c r="I4399">
        <v>30384.74</v>
      </c>
      <c r="J4399">
        <v>0</v>
      </c>
    </row>
    <row r="4400" spans="1:10" x14ac:dyDescent="0.35">
      <c r="A4400">
        <v>322515</v>
      </c>
      <c r="B4400" t="s">
        <v>20</v>
      </c>
      <c r="C4400">
        <v>2015</v>
      </c>
      <c r="D4400">
        <v>7</v>
      </c>
      <c r="E4400" t="s">
        <v>7</v>
      </c>
      <c r="F4400" t="s">
        <v>7</v>
      </c>
      <c r="G4400" t="s">
        <v>7</v>
      </c>
      <c r="H4400">
        <v>70285.23</v>
      </c>
      <c r="I4400">
        <v>52076.17</v>
      </c>
      <c r="J4400">
        <v>0</v>
      </c>
    </row>
    <row r="4401" spans="1:10" x14ac:dyDescent="0.35">
      <c r="A4401">
        <v>322516</v>
      </c>
      <c r="B4401" t="s">
        <v>20</v>
      </c>
      <c r="C4401">
        <v>2015</v>
      </c>
      <c r="D4401">
        <v>7</v>
      </c>
      <c r="E4401" t="s">
        <v>7</v>
      </c>
      <c r="F4401" t="s">
        <v>7</v>
      </c>
      <c r="G4401" t="s">
        <v>7</v>
      </c>
      <c r="H4401">
        <v>82900.08</v>
      </c>
      <c r="I4401">
        <v>62887.11</v>
      </c>
      <c r="J4401">
        <v>0</v>
      </c>
    </row>
    <row r="4402" spans="1:10" x14ac:dyDescent="0.35">
      <c r="A4402">
        <v>322517</v>
      </c>
      <c r="B4402" t="s">
        <v>20</v>
      </c>
      <c r="C4402">
        <v>2015</v>
      </c>
      <c r="D4402">
        <v>7</v>
      </c>
      <c r="E4402" t="s">
        <v>7</v>
      </c>
      <c r="F4402" t="s">
        <v>7</v>
      </c>
      <c r="G4402" t="s">
        <v>7</v>
      </c>
      <c r="H4402">
        <v>37519.379999999997</v>
      </c>
      <c r="I4402">
        <v>11600.52</v>
      </c>
      <c r="J4402">
        <v>0</v>
      </c>
    </row>
    <row r="4403" spans="1:10" x14ac:dyDescent="0.35">
      <c r="A4403">
        <v>322518</v>
      </c>
      <c r="B4403" t="s">
        <v>20</v>
      </c>
      <c r="C4403">
        <v>2015</v>
      </c>
      <c r="D4403">
        <v>7</v>
      </c>
      <c r="E4403" t="s">
        <v>7</v>
      </c>
      <c r="F4403" t="s">
        <v>7</v>
      </c>
      <c r="G4403" t="s">
        <v>7</v>
      </c>
      <c r="H4403">
        <v>60877.1</v>
      </c>
      <c r="I4403">
        <v>42228.86</v>
      </c>
      <c r="J4403">
        <v>0</v>
      </c>
    </row>
    <row r="4404" spans="1:10" x14ac:dyDescent="0.35">
      <c r="A4404">
        <v>322519</v>
      </c>
      <c r="B4404" t="s">
        <v>20</v>
      </c>
      <c r="C4404">
        <v>2015</v>
      </c>
      <c r="D4404">
        <v>7</v>
      </c>
      <c r="E4404" t="s">
        <v>7</v>
      </c>
      <c r="F4404" t="s">
        <v>7</v>
      </c>
      <c r="G4404" t="s">
        <v>7</v>
      </c>
      <c r="H4404">
        <v>76668.100000000006</v>
      </c>
      <c r="I4404">
        <v>23141.89</v>
      </c>
      <c r="J4404">
        <v>0</v>
      </c>
    </row>
    <row r="4405" spans="1:10" x14ac:dyDescent="0.35">
      <c r="A4405">
        <v>322520</v>
      </c>
      <c r="B4405" t="s">
        <v>20</v>
      </c>
      <c r="C4405">
        <v>2015</v>
      </c>
      <c r="D4405">
        <v>7</v>
      </c>
      <c r="E4405" t="s">
        <v>7</v>
      </c>
      <c r="F4405" t="s">
        <v>7</v>
      </c>
      <c r="G4405" t="s">
        <v>7</v>
      </c>
      <c r="H4405">
        <v>17050.78</v>
      </c>
      <c r="I4405">
        <v>4119.04</v>
      </c>
      <c r="J4405">
        <v>0</v>
      </c>
    </row>
    <row r="4406" spans="1:10" x14ac:dyDescent="0.35">
      <c r="A4406">
        <v>322522</v>
      </c>
      <c r="B4406" t="s">
        <v>20</v>
      </c>
      <c r="C4406">
        <v>2015</v>
      </c>
      <c r="D4406">
        <v>7</v>
      </c>
      <c r="E4406" t="s">
        <v>7</v>
      </c>
      <c r="F4406" t="s">
        <v>7</v>
      </c>
      <c r="G4406" t="s">
        <v>7</v>
      </c>
      <c r="H4406">
        <v>153201.79</v>
      </c>
      <c r="I4406">
        <v>133079.82999999999</v>
      </c>
      <c r="J4406">
        <v>0</v>
      </c>
    </row>
    <row r="4407" spans="1:10" x14ac:dyDescent="0.35">
      <c r="A4407">
        <v>322525</v>
      </c>
      <c r="B4407" t="s">
        <v>20</v>
      </c>
      <c r="C4407">
        <v>2015</v>
      </c>
      <c r="D4407">
        <v>7</v>
      </c>
      <c r="E4407" t="s">
        <v>7</v>
      </c>
      <c r="F4407" t="s">
        <v>7</v>
      </c>
      <c r="G4407" t="s">
        <v>7</v>
      </c>
      <c r="H4407">
        <v>53844.3</v>
      </c>
      <c r="I4407">
        <v>16802.900000000001</v>
      </c>
      <c r="J4407">
        <v>0</v>
      </c>
    </row>
    <row r="4408" spans="1:10" x14ac:dyDescent="0.35">
      <c r="A4408">
        <v>322526</v>
      </c>
      <c r="B4408" t="s">
        <v>20</v>
      </c>
      <c r="C4408">
        <v>2015</v>
      </c>
      <c r="D4408">
        <v>7</v>
      </c>
      <c r="E4408" t="s">
        <v>7</v>
      </c>
      <c r="F4408" t="s">
        <v>7</v>
      </c>
      <c r="G4408" t="s">
        <v>7</v>
      </c>
      <c r="H4408">
        <v>10133.94</v>
      </c>
      <c r="I4408">
        <v>2841.84</v>
      </c>
      <c r="J4408">
        <v>0</v>
      </c>
    </row>
    <row r="4409" spans="1:10" x14ac:dyDescent="0.35">
      <c r="A4409">
        <v>322527</v>
      </c>
      <c r="B4409" t="s">
        <v>20</v>
      </c>
      <c r="C4409">
        <v>2015</v>
      </c>
      <c r="D4409">
        <v>7</v>
      </c>
      <c r="E4409" t="s">
        <v>7</v>
      </c>
      <c r="F4409" t="s">
        <v>7</v>
      </c>
      <c r="G4409" t="s">
        <v>7</v>
      </c>
      <c r="H4409">
        <v>66875.899999999994</v>
      </c>
      <c r="I4409">
        <v>47010.39</v>
      </c>
      <c r="J4409">
        <v>0</v>
      </c>
    </row>
    <row r="4410" spans="1:10" x14ac:dyDescent="0.35">
      <c r="A4410">
        <v>322528</v>
      </c>
      <c r="B4410" t="s">
        <v>20</v>
      </c>
      <c r="C4410">
        <v>2015</v>
      </c>
      <c r="D4410">
        <v>7</v>
      </c>
      <c r="E4410" t="s">
        <v>7</v>
      </c>
      <c r="F4410" t="s">
        <v>7</v>
      </c>
      <c r="G4410" t="s">
        <v>7</v>
      </c>
      <c r="H4410">
        <v>85695.96</v>
      </c>
      <c r="I4410">
        <v>62040.2</v>
      </c>
      <c r="J4410">
        <v>0</v>
      </c>
    </row>
    <row r="4411" spans="1:10" x14ac:dyDescent="0.35">
      <c r="A4411">
        <v>322529</v>
      </c>
      <c r="B4411" t="s">
        <v>20</v>
      </c>
      <c r="C4411">
        <v>2015</v>
      </c>
      <c r="D4411">
        <v>7</v>
      </c>
      <c r="E4411" t="s">
        <v>7</v>
      </c>
      <c r="F4411" t="s">
        <v>7</v>
      </c>
      <c r="G4411" t="s">
        <v>7</v>
      </c>
      <c r="H4411">
        <v>157086.04</v>
      </c>
      <c r="I4411">
        <v>72693.14</v>
      </c>
      <c r="J4411">
        <v>0</v>
      </c>
    </row>
    <row r="4412" spans="1:10" x14ac:dyDescent="0.35">
      <c r="A4412">
        <v>322538</v>
      </c>
      <c r="B4412" t="s">
        <v>20</v>
      </c>
      <c r="C4412">
        <v>2015</v>
      </c>
      <c r="D4412">
        <v>7</v>
      </c>
      <c r="E4412" t="s">
        <v>7</v>
      </c>
      <c r="F4412" t="s">
        <v>7</v>
      </c>
      <c r="G4412" t="s">
        <v>7</v>
      </c>
      <c r="H4412">
        <v>26030.74</v>
      </c>
      <c r="I4412">
        <v>7188.8</v>
      </c>
      <c r="J4412">
        <v>0</v>
      </c>
    </row>
    <row r="4413" spans="1:10" x14ac:dyDescent="0.35">
      <c r="A4413">
        <v>322539</v>
      </c>
      <c r="B4413" t="s">
        <v>20</v>
      </c>
      <c r="C4413">
        <v>2015</v>
      </c>
      <c r="D4413">
        <v>7</v>
      </c>
      <c r="E4413" t="s">
        <v>7</v>
      </c>
      <c r="F4413" t="s">
        <v>7</v>
      </c>
      <c r="G4413" t="s">
        <v>7</v>
      </c>
      <c r="H4413">
        <v>65562.28</v>
      </c>
      <c r="I4413">
        <v>46813.68</v>
      </c>
      <c r="J4413">
        <v>0</v>
      </c>
    </row>
    <row r="4414" spans="1:10" x14ac:dyDescent="0.35">
      <c r="A4414">
        <v>322540</v>
      </c>
      <c r="B4414" t="s">
        <v>20</v>
      </c>
      <c r="C4414">
        <v>2015</v>
      </c>
      <c r="D4414">
        <v>7</v>
      </c>
      <c r="E4414" t="s">
        <v>7</v>
      </c>
      <c r="F4414" t="s">
        <v>7</v>
      </c>
      <c r="G4414" t="s">
        <v>7</v>
      </c>
      <c r="H4414">
        <v>69619.44</v>
      </c>
      <c r="I4414">
        <v>41896.33</v>
      </c>
      <c r="J4414">
        <v>0</v>
      </c>
    </row>
    <row r="4415" spans="1:10" x14ac:dyDescent="0.35">
      <c r="A4415">
        <v>322542</v>
      </c>
      <c r="B4415" t="s">
        <v>20</v>
      </c>
      <c r="C4415">
        <v>2015</v>
      </c>
      <c r="D4415">
        <v>7</v>
      </c>
      <c r="E4415" t="s">
        <v>7</v>
      </c>
      <c r="F4415" t="s">
        <v>7</v>
      </c>
      <c r="G4415" t="s">
        <v>7</v>
      </c>
      <c r="H4415">
        <v>44245.78</v>
      </c>
      <c r="I4415">
        <v>11794.67</v>
      </c>
      <c r="J4415">
        <v>0</v>
      </c>
    </row>
    <row r="4416" spans="1:10" x14ac:dyDescent="0.35">
      <c r="A4416">
        <v>322543</v>
      </c>
      <c r="B4416" t="s">
        <v>20</v>
      </c>
      <c r="C4416">
        <v>2015</v>
      </c>
      <c r="D4416">
        <v>7</v>
      </c>
      <c r="E4416" t="s">
        <v>7</v>
      </c>
      <c r="F4416" t="s">
        <v>7</v>
      </c>
      <c r="G4416" t="s">
        <v>7</v>
      </c>
      <c r="H4416">
        <v>65577.259999999995</v>
      </c>
      <c r="I4416">
        <v>43791.03</v>
      </c>
      <c r="J4416">
        <v>0</v>
      </c>
    </row>
    <row r="4417" spans="1:10" x14ac:dyDescent="0.35">
      <c r="A4417">
        <v>322545</v>
      </c>
      <c r="B4417" t="s">
        <v>20</v>
      </c>
      <c r="C4417">
        <v>2015</v>
      </c>
      <c r="D4417">
        <v>7</v>
      </c>
      <c r="E4417" t="s">
        <v>7</v>
      </c>
      <c r="F4417" t="s">
        <v>7</v>
      </c>
      <c r="G4417" t="s">
        <v>7</v>
      </c>
      <c r="H4417">
        <v>75369.62</v>
      </c>
      <c r="I4417">
        <v>24632.07</v>
      </c>
      <c r="J4417">
        <v>0</v>
      </c>
    </row>
    <row r="4418" spans="1:10" x14ac:dyDescent="0.35">
      <c r="A4418">
        <v>322546</v>
      </c>
      <c r="B4418" t="s">
        <v>20</v>
      </c>
      <c r="C4418">
        <v>2015</v>
      </c>
      <c r="D4418">
        <v>7</v>
      </c>
      <c r="E4418" t="s">
        <v>7</v>
      </c>
      <c r="F4418" t="s">
        <v>7</v>
      </c>
      <c r="G4418" t="s">
        <v>7</v>
      </c>
      <c r="H4418">
        <v>20171.419999999998</v>
      </c>
      <c r="I4418">
        <v>6232.8</v>
      </c>
      <c r="J4418">
        <v>0</v>
      </c>
    </row>
    <row r="4419" spans="1:10" x14ac:dyDescent="0.35">
      <c r="A4419">
        <v>322547</v>
      </c>
      <c r="B4419" t="s">
        <v>20</v>
      </c>
      <c r="C4419">
        <v>2015</v>
      </c>
      <c r="D4419">
        <v>7</v>
      </c>
      <c r="E4419" t="s">
        <v>7</v>
      </c>
      <c r="F4419" t="s">
        <v>7</v>
      </c>
      <c r="G4419" t="s">
        <v>7</v>
      </c>
      <c r="H4419">
        <v>13202.44</v>
      </c>
      <c r="I4419">
        <v>3945.05</v>
      </c>
      <c r="J4419">
        <v>0</v>
      </c>
    </row>
    <row r="4420" spans="1:10" x14ac:dyDescent="0.35">
      <c r="A4420">
        <v>322549</v>
      </c>
      <c r="B4420" t="s">
        <v>20</v>
      </c>
      <c r="C4420">
        <v>2015</v>
      </c>
      <c r="D4420">
        <v>7</v>
      </c>
      <c r="E4420" t="s">
        <v>7</v>
      </c>
      <c r="F4420" t="s">
        <v>7</v>
      </c>
      <c r="G4420" t="s">
        <v>7</v>
      </c>
      <c r="H4420">
        <v>27428.38</v>
      </c>
      <c r="I4420">
        <v>6609.79</v>
      </c>
      <c r="J4420">
        <v>0</v>
      </c>
    </row>
    <row r="4421" spans="1:10" x14ac:dyDescent="0.35">
      <c r="A4421">
        <v>322551</v>
      </c>
      <c r="B4421" t="s">
        <v>20</v>
      </c>
      <c r="C4421">
        <v>2015</v>
      </c>
      <c r="D4421">
        <v>7</v>
      </c>
      <c r="E4421" t="s">
        <v>7</v>
      </c>
      <c r="F4421" t="s">
        <v>7</v>
      </c>
      <c r="G4421" t="s">
        <v>7</v>
      </c>
      <c r="H4421">
        <v>34018.480000000003</v>
      </c>
      <c r="I4421">
        <v>13798.99</v>
      </c>
      <c r="J4421">
        <v>0</v>
      </c>
    </row>
    <row r="4422" spans="1:10" x14ac:dyDescent="0.35">
      <c r="A4422">
        <v>322552</v>
      </c>
      <c r="B4422" t="s">
        <v>20</v>
      </c>
      <c r="C4422">
        <v>2015</v>
      </c>
      <c r="D4422">
        <v>7</v>
      </c>
      <c r="E4422" t="s">
        <v>7</v>
      </c>
      <c r="F4422" t="s">
        <v>7</v>
      </c>
      <c r="G4422" t="s">
        <v>7</v>
      </c>
      <c r="H4422">
        <v>17468.580000000002</v>
      </c>
      <c r="I4422">
        <v>8067.58</v>
      </c>
      <c r="J4422">
        <v>0</v>
      </c>
    </row>
    <row r="4423" spans="1:10" x14ac:dyDescent="0.35">
      <c r="A4423">
        <v>322553</v>
      </c>
      <c r="B4423" t="s">
        <v>20</v>
      </c>
      <c r="C4423">
        <v>2015</v>
      </c>
      <c r="D4423">
        <v>7</v>
      </c>
      <c r="E4423" t="s">
        <v>7</v>
      </c>
      <c r="F4423" t="s">
        <v>7</v>
      </c>
      <c r="G4423" t="s">
        <v>7</v>
      </c>
      <c r="H4423">
        <v>26173.439999999999</v>
      </c>
      <c r="I4423">
        <v>7700.03</v>
      </c>
      <c r="J4423">
        <v>0</v>
      </c>
    </row>
    <row r="4424" spans="1:10" x14ac:dyDescent="0.35">
      <c r="A4424">
        <v>322555</v>
      </c>
      <c r="B4424" t="s">
        <v>20</v>
      </c>
      <c r="C4424">
        <v>2015</v>
      </c>
      <c r="D4424">
        <v>7</v>
      </c>
      <c r="E4424" t="s">
        <v>7</v>
      </c>
      <c r="F4424" t="s">
        <v>7</v>
      </c>
      <c r="G4424" t="s">
        <v>7</v>
      </c>
      <c r="H4424">
        <v>38937.26</v>
      </c>
      <c r="I4424">
        <v>10620.12</v>
      </c>
      <c r="J4424">
        <v>0</v>
      </c>
    </row>
    <row r="4425" spans="1:10" x14ac:dyDescent="0.35">
      <c r="A4425">
        <v>322556</v>
      </c>
      <c r="B4425" t="s">
        <v>20</v>
      </c>
      <c r="C4425">
        <v>2015</v>
      </c>
      <c r="D4425">
        <v>7</v>
      </c>
      <c r="E4425" t="s">
        <v>7</v>
      </c>
      <c r="F4425" t="s">
        <v>7</v>
      </c>
      <c r="G4425" t="s">
        <v>7</v>
      </c>
      <c r="H4425">
        <v>16152.88</v>
      </c>
      <c r="I4425">
        <v>3256.95</v>
      </c>
      <c r="J4425">
        <v>0</v>
      </c>
    </row>
    <row r="4426" spans="1:10" x14ac:dyDescent="0.35">
      <c r="A4426">
        <v>322559</v>
      </c>
      <c r="B4426" t="s">
        <v>20</v>
      </c>
      <c r="C4426">
        <v>2015</v>
      </c>
      <c r="D4426">
        <v>7</v>
      </c>
      <c r="E4426" t="s">
        <v>7</v>
      </c>
      <c r="F4426" t="s">
        <v>7</v>
      </c>
      <c r="G4426" t="s">
        <v>7</v>
      </c>
      <c r="H4426">
        <v>57284.76</v>
      </c>
      <c r="I4426">
        <v>41998.1</v>
      </c>
      <c r="J4426">
        <v>0</v>
      </c>
    </row>
    <row r="4427" spans="1:10" x14ac:dyDescent="0.35">
      <c r="A4427">
        <v>322560</v>
      </c>
      <c r="B4427" t="s">
        <v>20</v>
      </c>
      <c r="C4427">
        <v>2015</v>
      </c>
      <c r="D4427">
        <v>7</v>
      </c>
      <c r="E4427" t="s">
        <v>7</v>
      </c>
      <c r="F4427" t="s">
        <v>7</v>
      </c>
      <c r="G4427" t="s">
        <v>7</v>
      </c>
      <c r="H4427">
        <v>15534.36</v>
      </c>
      <c r="I4427">
        <v>4505.21</v>
      </c>
      <c r="J4427">
        <v>0</v>
      </c>
    </row>
    <row r="4428" spans="1:10" x14ac:dyDescent="0.35">
      <c r="A4428">
        <v>322561</v>
      </c>
      <c r="B4428" t="s">
        <v>20</v>
      </c>
      <c r="C4428">
        <v>2015</v>
      </c>
      <c r="D4428">
        <v>7</v>
      </c>
      <c r="E4428" t="s">
        <v>7</v>
      </c>
      <c r="F4428" t="s">
        <v>7</v>
      </c>
      <c r="G4428" t="s">
        <v>7</v>
      </c>
      <c r="H4428">
        <v>60321.48</v>
      </c>
      <c r="I4428">
        <v>42056.78</v>
      </c>
      <c r="J4428">
        <v>0</v>
      </c>
    </row>
    <row r="4429" spans="1:10" x14ac:dyDescent="0.35">
      <c r="A4429">
        <v>322564</v>
      </c>
      <c r="B4429" t="s">
        <v>20</v>
      </c>
      <c r="C4429">
        <v>2015</v>
      </c>
      <c r="D4429">
        <v>7</v>
      </c>
      <c r="E4429" t="s">
        <v>7</v>
      </c>
      <c r="F4429" t="s">
        <v>7</v>
      </c>
      <c r="G4429" t="s">
        <v>7</v>
      </c>
      <c r="H4429">
        <v>16275.18</v>
      </c>
      <c r="I4429">
        <v>4139.18</v>
      </c>
      <c r="J4429">
        <v>0</v>
      </c>
    </row>
    <row r="4430" spans="1:10" x14ac:dyDescent="0.35">
      <c r="A4430">
        <v>322565</v>
      </c>
      <c r="B4430" t="s">
        <v>20</v>
      </c>
      <c r="C4430">
        <v>2015</v>
      </c>
      <c r="D4430">
        <v>7</v>
      </c>
      <c r="E4430" t="s">
        <v>7</v>
      </c>
      <c r="F4430" t="s">
        <v>7</v>
      </c>
      <c r="G4430" t="s">
        <v>7</v>
      </c>
      <c r="H4430">
        <v>34479.08</v>
      </c>
      <c r="I4430">
        <v>9418.23</v>
      </c>
      <c r="J4430">
        <v>0</v>
      </c>
    </row>
    <row r="4431" spans="1:10" x14ac:dyDescent="0.35">
      <c r="A4431">
        <v>322567</v>
      </c>
      <c r="B4431" t="s">
        <v>20</v>
      </c>
      <c r="C4431">
        <v>2015</v>
      </c>
      <c r="D4431">
        <v>7</v>
      </c>
      <c r="E4431" t="s">
        <v>7</v>
      </c>
      <c r="F4431" t="s">
        <v>7</v>
      </c>
      <c r="G4431" t="s">
        <v>7</v>
      </c>
      <c r="H4431">
        <v>52091.64</v>
      </c>
      <c r="I4431">
        <v>13067.79</v>
      </c>
      <c r="J4431">
        <v>0</v>
      </c>
    </row>
    <row r="4432" spans="1:10" x14ac:dyDescent="0.35">
      <c r="A4432">
        <v>322569</v>
      </c>
      <c r="B4432" t="s">
        <v>20</v>
      </c>
      <c r="C4432">
        <v>2015</v>
      </c>
      <c r="D4432">
        <v>7</v>
      </c>
      <c r="E4432" t="s">
        <v>7</v>
      </c>
      <c r="F4432" t="s">
        <v>7</v>
      </c>
      <c r="G4432" t="s">
        <v>7</v>
      </c>
      <c r="H4432">
        <v>23681.82</v>
      </c>
      <c r="I4432">
        <v>6022.07</v>
      </c>
      <c r="J4432">
        <v>0</v>
      </c>
    </row>
    <row r="4433" spans="1:10" x14ac:dyDescent="0.35">
      <c r="A4433">
        <v>322571</v>
      </c>
      <c r="B4433" t="s">
        <v>20</v>
      </c>
      <c r="C4433">
        <v>2015</v>
      </c>
      <c r="D4433">
        <v>7</v>
      </c>
      <c r="E4433" t="s">
        <v>7</v>
      </c>
      <c r="F4433" t="s">
        <v>7</v>
      </c>
      <c r="G4433" t="s">
        <v>7</v>
      </c>
      <c r="H4433">
        <v>61089.74</v>
      </c>
      <c r="I4433">
        <v>42349.64</v>
      </c>
      <c r="J4433">
        <v>0</v>
      </c>
    </row>
    <row r="4434" spans="1:10" x14ac:dyDescent="0.35">
      <c r="A4434">
        <v>322573</v>
      </c>
      <c r="B4434" t="s">
        <v>20</v>
      </c>
      <c r="C4434">
        <v>2015</v>
      </c>
      <c r="D4434">
        <v>7</v>
      </c>
      <c r="E4434" t="s">
        <v>7</v>
      </c>
      <c r="F4434" t="s">
        <v>7</v>
      </c>
      <c r="G4434" t="s">
        <v>7</v>
      </c>
      <c r="H4434">
        <v>19188.16</v>
      </c>
      <c r="I4434">
        <v>6139.65</v>
      </c>
      <c r="J4434">
        <v>0</v>
      </c>
    </row>
    <row r="4435" spans="1:10" x14ac:dyDescent="0.35">
      <c r="A4435">
        <v>322574</v>
      </c>
      <c r="B4435" t="s">
        <v>20</v>
      </c>
      <c r="C4435">
        <v>2015</v>
      </c>
      <c r="D4435">
        <v>7</v>
      </c>
      <c r="E4435" t="s">
        <v>7</v>
      </c>
      <c r="F4435" t="s">
        <v>7</v>
      </c>
      <c r="G4435" t="s">
        <v>7</v>
      </c>
      <c r="H4435">
        <v>9430.16</v>
      </c>
      <c r="I4435">
        <v>2507.86</v>
      </c>
      <c r="J4435">
        <v>0</v>
      </c>
    </row>
    <row r="4436" spans="1:10" x14ac:dyDescent="0.35">
      <c r="A4436">
        <v>322575</v>
      </c>
      <c r="B4436" t="s">
        <v>20</v>
      </c>
      <c r="C4436">
        <v>2015</v>
      </c>
      <c r="D4436">
        <v>7</v>
      </c>
      <c r="E4436" t="s">
        <v>7</v>
      </c>
      <c r="F4436" t="s">
        <v>7</v>
      </c>
      <c r="G4436" t="s">
        <v>7</v>
      </c>
      <c r="H4436">
        <v>19978.12</v>
      </c>
      <c r="I4436">
        <v>6039.31</v>
      </c>
      <c r="J4436">
        <v>0</v>
      </c>
    </row>
    <row r="4437" spans="1:10" x14ac:dyDescent="0.35">
      <c r="A4437">
        <v>322576</v>
      </c>
      <c r="B4437" t="s">
        <v>20</v>
      </c>
      <c r="C4437">
        <v>2015</v>
      </c>
      <c r="D4437">
        <v>7</v>
      </c>
      <c r="E4437" t="s">
        <v>7</v>
      </c>
      <c r="F4437" t="s">
        <v>7</v>
      </c>
      <c r="G4437" t="s">
        <v>7</v>
      </c>
      <c r="H4437">
        <v>45024.58</v>
      </c>
      <c r="I4437">
        <v>9043.92</v>
      </c>
      <c r="J4437">
        <v>0</v>
      </c>
    </row>
    <row r="4438" spans="1:10" x14ac:dyDescent="0.35">
      <c r="A4438">
        <v>322581</v>
      </c>
      <c r="B4438" t="s">
        <v>20</v>
      </c>
      <c r="C4438">
        <v>2015</v>
      </c>
      <c r="D4438">
        <v>7</v>
      </c>
      <c r="E4438" t="s">
        <v>7</v>
      </c>
      <c r="F4438" t="s">
        <v>7</v>
      </c>
      <c r="G4438" t="s">
        <v>7</v>
      </c>
      <c r="H4438">
        <v>21037.56</v>
      </c>
      <c r="I4438">
        <v>6438.35</v>
      </c>
      <c r="J4438">
        <v>0</v>
      </c>
    </row>
    <row r="4439" spans="1:10" x14ac:dyDescent="0.35">
      <c r="A4439">
        <v>322582</v>
      </c>
      <c r="B4439" t="s">
        <v>20</v>
      </c>
      <c r="C4439">
        <v>2015</v>
      </c>
      <c r="D4439">
        <v>7</v>
      </c>
      <c r="E4439" t="s">
        <v>7</v>
      </c>
      <c r="F4439" t="s">
        <v>7</v>
      </c>
      <c r="G4439" t="s">
        <v>7</v>
      </c>
      <c r="H4439">
        <v>46263.74</v>
      </c>
      <c r="I4439">
        <v>13462.57</v>
      </c>
      <c r="J4439">
        <v>0</v>
      </c>
    </row>
    <row r="4440" spans="1:10" x14ac:dyDescent="0.35">
      <c r="A4440">
        <v>322584</v>
      </c>
      <c r="B4440" t="s">
        <v>20</v>
      </c>
      <c r="C4440">
        <v>2015</v>
      </c>
      <c r="D4440">
        <v>7</v>
      </c>
      <c r="E4440" t="s">
        <v>7</v>
      </c>
      <c r="F4440" t="s">
        <v>7</v>
      </c>
      <c r="G4440" t="s">
        <v>7</v>
      </c>
      <c r="H4440">
        <v>20030.68</v>
      </c>
      <c r="I4440">
        <v>6128.92</v>
      </c>
      <c r="J4440">
        <v>0</v>
      </c>
    </row>
    <row r="4441" spans="1:10" x14ac:dyDescent="0.35">
      <c r="A4441">
        <v>322587</v>
      </c>
      <c r="B4441" t="s">
        <v>20</v>
      </c>
      <c r="C4441">
        <v>2015</v>
      </c>
      <c r="D4441">
        <v>7</v>
      </c>
      <c r="E4441" t="s">
        <v>7</v>
      </c>
      <c r="F4441" t="s">
        <v>7</v>
      </c>
      <c r="G4441" t="s">
        <v>7</v>
      </c>
      <c r="H4441">
        <v>60586.1</v>
      </c>
      <c r="I4441">
        <v>42539.49</v>
      </c>
      <c r="J4441">
        <v>0</v>
      </c>
    </row>
    <row r="4442" spans="1:10" x14ac:dyDescent="0.35">
      <c r="A4442">
        <v>322588</v>
      </c>
      <c r="B4442" t="s">
        <v>20</v>
      </c>
      <c r="C4442">
        <v>2015</v>
      </c>
      <c r="D4442">
        <v>7</v>
      </c>
      <c r="E4442" t="s">
        <v>7</v>
      </c>
      <c r="F4442" t="s">
        <v>7</v>
      </c>
      <c r="G4442" t="s">
        <v>7</v>
      </c>
      <c r="H4442">
        <v>21039.360000000001</v>
      </c>
      <c r="I4442">
        <v>6281.54</v>
      </c>
      <c r="J4442">
        <v>0</v>
      </c>
    </row>
    <row r="4443" spans="1:10" x14ac:dyDescent="0.35">
      <c r="A4443">
        <v>322589</v>
      </c>
      <c r="B4443" t="s">
        <v>20</v>
      </c>
      <c r="C4443">
        <v>2015</v>
      </c>
      <c r="D4443">
        <v>7</v>
      </c>
      <c r="E4443" t="s">
        <v>7</v>
      </c>
      <c r="F4443" t="s">
        <v>7</v>
      </c>
      <c r="G4443" t="s">
        <v>7</v>
      </c>
      <c r="H4443">
        <v>6538.88</v>
      </c>
      <c r="I4443">
        <v>1936.04</v>
      </c>
      <c r="J4443">
        <v>0</v>
      </c>
    </row>
    <row r="4444" spans="1:10" x14ac:dyDescent="0.35">
      <c r="A4444">
        <v>322590</v>
      </c>
      <c r="B4444" t="s">
        <v>20</v>
      </c>
      <c r="C4444">
        <v>2015</v>
      </c>
      <c r="D4444">
        <v>7</v>
      </c>
      <c r="E4444" t="s">
        <v>7</v>
      </c>
      <c r="F4444" t="s">
        <v>7</v>
      </c>
      <c r="G4444" t="s">
        <v>7</v>
      </c>
      <c r="H4444">
        <v>13512.42</v>
      </c>
      <c r="I4444">
        <v>4043.8</v>
      </c>
      <c r="J4444">
        <v>0</v>
      </c>
    </row>
    <row r="4445" spans="1:10" x14ac:dyDescent="0.35">
      <c r="A4445">
        <v>322592</v>
      </c>
      <c r="B4445" t="s">
        <v>20</v>
      </c>
      <c r="C4445">
        <v>2015</v>
      </c>
      <c r="D4445">
        <v>7</v>
      </c>
      <c r="E4445" t="s">
        <v>7</v>
      </c>
      <c r="F4445" t="s">
        <v>7</v>
      </c>
      <c r="G4445" t="s">
        <v>7</v>
      </c>
      <c r="H4445">
        <v>72705.240000000005</v>
      </c>
      <c r="I4445">
        <v>24409.86</v>
      </c>
      <c r="J4445">
        <v>0</v>
      </c>
    </row>
    <row r="4446" spans="1:10" x14ac:dyDescent="0.35">
      <c r="A4446">
        <v>322593</v>
      </c>
      <c r="B4446" t="s">
        <v>20</v>
      </c>
      <c r="C4446">
        <v>2015</v>
      </c>
      <c r="D4446">
        <v>7</v>
      </c>
      <c r="E4446" t="s">
        <v>7</v>
      </c>
      <c r="F4446" t="s">
        <v>7</v>
      </c>
      <c r="G4446" t="s">
        <v>7</v>
      </c>
      <c r="H4446">
        <v>76785.2</v>
      </c>
      <c r="I4446">
        <v>60488.06</v>
      </c>
      <c r="J4446">
        <v>0</v>
      </c>
    </row>
    <row r="4447" spans="1:10" x14ac:dyDescent="0.35">
      <c r="A4447">
        <v>322594</v>
      </c>
      <c r="B4447" t="s">
        <v>20</v>
      </c>
      <c r="C4447">
        <v>2015</v>
      </c>
      <c r="D4447">
        <v>7</v>
      </c>
      <c r="E4447" t="s">
        <v>7</v>
      </c>
      <c r="F4447" t="s">
        <v>7</v>
      </c>
      <c r="G4447" t="s">
        <v>7</v>
      </c>
      <c r="H4447">
        <v>10168.82</v>
      </c>
      <c r="I4447">
        <v>2744.45</v>
      </c>
      <c r="J4447">
        <v>0</v>
      </c>
    </row>
    <row r="4448" spans="1:10" x14ac:dyDescent="0.35">
      <c r="A4448">
        <v>322595</v>
      </c>
      <c r="B4448" t="s">
        <v>20</v>
      </c>
      <c r="C4448">
        <v>2015</v>
      </c>
      <c r="D4448">
        <v>7</v>
      </c>
      <c r="E4448" t="s">
        <v>7</v>
      </c>
      <c r="F4448" t="s">
        <v>7</v>
      </c>
      <c r="G4448" t="s">
        <v>7</v>
      </c>
      <c r="H4448">
        <v>17737.5</v>
      </c>
      <c r="I4448">
        <v>5128.05</v>
      </c>
      <c r="J4448">
        <v>0</v>
      </c>
    </row>
    <row r="4449" spans="1:10" x14ac:dyDescent="0.35">
      <c r="A4449">
        <v>322596</v>
      </c>
      <c r="B4449" t="s">
        <v>20</v>
      </c>
      <c r="C4449">
        <v>2015</v>
      </c>
      <c r="D4449">
        <v>7</v>
      </c>
      <c r="E4449" t="s">
        <v>7</v>
      </c>
      <c r="F4449" t="s">
        <v>7</v>
      </c>
      <c r="G4449" t="s">
        <v>7</v>
      </c>
      <c r="H4449">
        <v>29128.82</v>
      </c>
      <c r="I4449">
        <v>9291.91</v>
      </c>
      <c r="J4449">
        <v>0</v>
      </c>
    </row>
    <row r="4450" spans="1:10" x14ac:dyDescent="0.35">
      <c r="A4450">
        <v>322597</v>
      </c>
      <c r="B4450" t="s">
        <v>20</v>
      </c>
      <c r="C4450">
        <v>2015</v>
      </c>
      <c r="D4450">
        <v>7</v>
      </c>
      <c r="E4450" t="s">
        <v>7</v>
      </c>
      <c r="F4450" t="s">
        <v>7</v>
      </c>
      <c r="G4450" t="s">
        <v>7</v>
      </c>
      <c r="H4450">
        <v>73835.89</v>
      </c>
      <c r="I4450">
        <v>48348.54</v>
      </c>
      <c r="J4450">
        <v>0</v>
      </c>
    </row>
    <row r="4451" spans="1:10" x14ac:dyDescent="0.35">
      <c r="A4451">
        <v>322598</v>
      </c>
      <c r="B4451" t="s">
        <v>20</v>
      </c>
      <c r="C4451">
        <v>2015</v>
      </c>
      <c r="D4451">
        <v>7</v>
      </c>
      <c r="E4451" t="s">
        <v>7</v>
      </c>
      <c r="F4451" t="s">
        <v>7</v>
      </c>
      <c r="G4451" t="s">
        <v>7</v>
      </c>
      <c r="H4451">
        <v>77900.58</v>
      </c>
      <c r="I4451">
        <v>55412.5</v>
      </c>
      <c r="J4451">
        <v>0</v>
      </c>
    </row>
    <row r="4452" spans="1:10" x14ac:dyDescent="0.35">
      <c r="A4452">
        <v>322600</v>
      </c>
      <c r="B4452" t="s">
        <v>20</v>
      </c>
      <c r="C4452">
        <v>2015</v>
      </c>
      <c r="D4452">
        <v>7</v>
      </c>
      <c r="E4452" t="s">
        <v>7</v>
      </c>
      <c r="F4452" t="s">
        <v>7</v>
      </c>
      <c r="G4452" t="s">
        <v>7</v>
      </c>
      <c r="H4452">
        <v>64708.480000000003</v>
      </c>
      <c r="I4452">
        <v>46584.78</v>
      </c>
      <c r="J4452">
        <v>0</v>
      </c>
    </row>
    <row r="4453" spans="1:10" x14ac:dyDescent="0.35">
      <c r="A4453">
        <v>322601</v>
      </c>
      <c r="B4453" t="s">
        <v>20</v>
      </c>
      <c r="C4453">
        <v>2015</v>
      </c>
      <c r="D4453">
        <v>7</v>
      </c>
      <c r="E4453" t="s">
        <v>7</v>
      </c>
      <c r="F4453" t="s">
        <v>7</v>
      </c>
      <c r="G4453" t="s">
        <v>7</v>
      </c>
      <c r="H4453">
        <v>36473.339999999997</v>
      </c>
      <c r="I4453">
        <v>17534.77</v>
      </c>
      <c r="J4453">
        <v>0</v>
      </c>
    </row>
    <row r="4454" spans="1:10" x14ac:dyDescent="0.35">
      <c r="A4454">
        <v>322602</v>
      </c>
      <c r="B4454" t="s">
        <v>20</v>
      </c>
      <c r="C4454">
        <v>2015</v>
      </c>
      <c r="D4454">
        <v>7</v>
      </c>
      <c r="E4454" t="s">
        <v>7</v>
      </c>
      <c r="F4454" t="s">
        <v>7</v>
      </c>
      <c r="G4454" t="s">
        <v>7</v>
      </c>
      <c r="H4454">
        <v>35255.980000000003</v>
      </c>
      <c r="I4454">
        <v>9812.4699999999993</v>
      </c>
      <c r="J4454">
        <v>0</v>
      </c>
    </row>
    <row r="4455" spans="1:10" x14ac:dyDescent="0.35">
      <c r="A4455">
        <v>322603</v>
      </c>
      <c r="B4455" t="s">
        <v>20</v>
      </c>
      <c r="C4455">
        <v>2015</v>
      </c>
      <c r="D4455">
        <v>7</v>
      </c>
      <c r="E4455" t="s">
        <v>7</v>
      </c>
      <c r="F4455" t="s">
        <v>7</v>
      </c>
      <c r="G4455" t="s">
        <v>7</v>
      </c>
      <c r="H4455">
        <v>16695.86</v>
      </c>
      <c r="I4455">
        <v>5018.33</v>
      </c>
      <c r="J4455">
        <v>0</v>
      </c>
    </row>
    <row r="4456" spans="1:10" x14ac:dyDescent="0.35">
      <c r="A4456">
        <v>322604</v>
      </c>
      <c r="B4456" t="s">
        <v>20</v>
      </c>
      <c r="C4456">
        <v>2015</v>
      </c>
      <c r="D4456">
        <v>7</v>
      </c>
      <c r="E4456" t="s">
        <v>7</v>
      </c>
      <c r="F4456" t="s">
        <v>7</v>
      </c>
      <c r="G4456" t="s">
        <v>7</v>
      </c>
      <c r="H4456">
        <v>56889.66</v>
      </c>
      <c r="I4456">
        <v>13794.71</v>
      </c>
      <c r="J4456">
        <v>0</v>
      </c>
    </row>
    <row r="4457" spans="1:10" x14ac:dyDescent="0.35">
      <c r="A4457">
        <v>322605</v>
      </c>
      <c r="B4457" t="s">
        <v>20</v>
      </c>
      <c r="C4457">
        <v>2015</v>
      </c>
      <c r="D4457">
        <v>7</v>
      </c>
      <c r="E4457" t="s">
        <v>7</v>
      </c>
      <c r="F4457" t="s">
        <v>7</v>
      </c>
      <c r="G4457" t="s">
        <v>7</v>
      </c>
      <c r="H4457">
        <v>13170.22</v>
      </c>
      <c r="I4457">
        <v>2831.49</v>
      </c>
      <c r="J4457">
        <v>0</v>
      </c>
    </row>
    <row r="4458" spans="1:10" x14ac:dyDescent="0.35">
      <c r="A4458">
        <v>322608</v>
      </c>
      <c r="B4458" t="s">
        <v>20</v>
      </c>
      <c r="C4458">
        <v>2015</v>
      </c>
      <c r="D4458">
        <v>7</v>
      </c>
      <c r="E4458" t="s">
        <v>7</v>
      </c>
      <c r="F4458" t="s">
        <v>7</v>
      </c>
      <c r="G4458" t="s">
        <v>7</v>
      </c>
      <c r="H4458">
        <v>21629.86</v>
      </c>
      <c r="I4458">
        <v>6327.62</v>
      </c>
      <c r="J4458">
        <v>0</v>
      </c>
    </row>
    <row r="4459" spans="1:10" x14ac:dyDescent="0.35">
      <c r="A4459">
        <v>322613</v>
      </c>
      <c r="B4459" t="s">
        <v>20</v>
      </c>
      <c r="C4459">
        <v>2015</v>
      </c>
      <c r="D4459">
        <v>7</v>
      </c>
      <c r="E4459" t="s">
        <v>7</v>
      </c>
      <c r="F4459" t="s">
        <v>7</v>
      </c>
      <c r="G4459" t="s">
        <v>7</v>
      </c>
      <c r="H4459">
        <v>31541.34</v>
      </c>
      <c r="I4459">
        <v>8409.67</v>
      </c>
      <c r="J4459">
        <v>0</v>
      </c>
    </row>
    <row r="4460" spans="1:10" x14ac:dyDescent="0.35">
      <c r="A4460">
        <v>322614</v>
      </c>
      <c r="B4460" t="s">
        <v>20</v>
      </c>
      <c r="C4460">
        <v>2015</v>
      </c>
      <c r="D4460">
        <v>7</v>
      </c>
      <c r="E4460" t="s">
        <v>7</v>
      </c>
      <c r="F4460" t="s">
        <v>7</v>
      </c>
      <c r="G4460" t="s">
        <v>7</v>
      </c>
      <c r="H4460">
        <v>31852.18</v>
      </c>
      <c r="I4460">
        <v>9889.0300000000007</v>
      </c>
      <c r="J4460">
        <v>0</v>
      </c>
    </row>
    <row r="4461" spans="1:10" x14ac:dyDescent="0.35">
      <c r="A4461">
        <v>322616</v>
      </c>
      <c r="B4461" t="s">
        <v>20</v>
      </c>
      <c r="C4461">
        <v>2015</v>
      </c>
      <c r="D4461">
        <v>7</v>
      </c>
      <c r="E4461" t="s">
        <v>7</v>
      </c>
      <c r="F4461" t="s">
        <v>7</v>
      </c>
      <c r="G4461" t="s">
        <v>7</v>
      </c>
      <c r="H4461">
        <v>21867.48</v>
      </c>
      <c r="I4461">
        <v>6646.88</v>
      </c>
      <c r="J4461">
        <v>0</v>
      </c>
    </row>
    <row r="4462" spans="1:10" x14ac:dyDescent="0.35">
      <c r="A4462">
        <v>322618</v>
      </c>
      <c r="B4462" t="s">
        <v>20</v>
      </c>
      <c r="C4462">
        <v>2015</v>
      </c>
      <c r="D4462">
        <v>7</v>
      </c>
      <c r="E4462" t="s">
        <v>7</v>
      </c>
      <c r="F4462" t="s">
        <v>7</v>
      </c>
      <c r="G4462" t="s">
        <v>7</v>
      </c>
      <c r="H4462">
        <v>27608.92</v>
      </c>
      <c r="I4462">
        <v>8503.68</v>
      </c>
      <c r="J4462">
        <v>0</v>
      </c>
    </row>
    <row r="4463" spans="1:10" x14ac:dyDescent="0.35">
      <c r="A4463">
        <v>322619</v>
      </c>
      <c r="B4463" t="s">
        <v>20</v>
      </c>
      <c r="C4463">
        <v>2015</v>
      </c>
      <c r="D4463">
        <v>7</v>
      </c>
      <c r="E4463" t="s">
        <v>7</v>
      </c>
      <c r="F4463" t="s">
        <v>7</v>
      </c>
      <c r="G4463" t="s">
        <v>7</v>
      </c>
      <c r="H4463">
        <v>61818.080000000002</v>
      </c>
      <c r="I4463">
        <v>42409.24</v>
      </c>
      <c r="J4463">
        <v>0</v>
      </c>
    </row>
    <row r="4464" spans="1:10" x14ac:dyDescent="0.35">
      <c r="A4464">
        <v>322623</v>
      </c>
      <c r="B4464" t="s">
        <v>20</v>
      </c>
      <c r="C4464">
        <v>2015</v>
      </c>
      <c r="D4464">
        <v>7</v>
      </c>
      <c r="E4464" t="s">
        <v>7</v>
      </c>
      <c r="F4464" t="s">
        <v>7</v>
      </c>
      <c r="G4464" t="s">
        <v>7</v>
      </c>
      <c r="H4464">
        <v>19958.84</v>
      </c>
      <c r="I4464">
        <v>6236.89</v>
      </c>
      <c r="J4464">
        <v>0</v>
      </c>
    </row>
    <row r="4465" spans="1:10" x14ac:dyDescent="0.35">
      <c r="A4465">
        <v>322626</v>
      </c>
      <c r="B4465" t="s">
        <v>20</v>
      </c>
      <c r="C4465">
        <v>2015</v>
      </c>
      <c r="D4465">
        <v>7</v>
      </c>
      <c r="E4465" t="s">
        <v>7</v>
      </c>
      <c r="F4465" t="s">
        <v>7</v>
      </c>
      <c r="G4465" t="s">
        <v>7</v>
      </c>
      <c r="H4465">
        <v>16025.2</v>
      </c>
      <c r="I4465">
        <v>2883.27</v>
      </c>
      <c r="J4465">
        <v>0</v>
      </c>
    </row>
    <row r="4466" spans="1:10" x14ac:dyDescent="0.35">
      <c r="A4466">
        <v>322629</v>
      </c>
      <c r="B4466" t="s">
        <v>20</v>
      </c>
      <c r="C4466">
        <v>2015</v>
      </c>
      <c r="D4466">
        <v>7</v>
      </c>
      <c r="E4466" t="s">
        <v>7</v>
      </c>
      <c r="F4466" t="s">
        <v>7</v>
      </c>
      <c r="G4466" t="s">
        <v>7</v>
      </c>
      <c r="H4466">
        <v>25817.38</v>
      </c>
      <c r="I4466">
        <v>7439.47</v>
      </c>
      <c r="J4466">
        <v>0</v>
      </c>
    </row>
    <row r="4467" spans="1:10" x14ac:dyDescent="0.35">
      <c r="A4467">
        <v>322630</v>
      </c>
      <c r="B4467" t="s">
        <v>20</v>
      </c>
      <c r="C4467">
        <v>2015</v>
      </c>
      <c r="D4467">
        <v>7</v>
      </c>
      <c r="E4467" t="s">
        <v>7</v>
      </c>
      <c r="F4467" t="s">
        <v>7</v>
      </c>
      <c r="G4467" t="s">
        <v>7</v>
      </c>
      <c r="H4467">
        <v>59884.08</v>
      </c>
      <c r="I4467">
        <v>41978</v>
      </c>
      <c r="J4467">
        <v>0</v>
      </c>
    </row>
    <row r="4468" spans="1:10" x14ac:dyDescent="0.35">
      <c r="A4468">
        <v>322634</v>
      </c>
      <c r="B4468" t="s">
        <v>20</v>
      </c>
      <c r="C4468">
        <v>2015</v>
      </c>
      <c r="D4468">
        <v>7</v>
      </c>
      <c r="E4468" t="s">
        <v>7</v>
      </c>
      <c r="F4468" t="s">
        <v>7</v>
      </c>
      <c r="G4468" t="s">
        <v>7</v>
      </c>
      <c r="H4468">
        <v>34813.96</v>
      </c>
      <c r="I4468">
        <v>8239.1200000000008</v>
      </c>
      <c r="J4468">
        <v>0</v>
      </c>
    </row>
    <row r="4469" spans="1:10" x14ac:dyDescent="0.35">
      <c r="A4469">
        <v>322637</v>
      </c>
      <c r="B4469" t="s">
        <v>20</v>
      </c>
      <c r="C4469">
        <v>2015</v>
      </c>
      <c r="D4469">
        <v>7</v>
      </c>
      <c r="E4469" t="s">
        <v>7</v>
      </c>
      <c r="F4469" t="s">
        <v>7</v>
      </c>
      <c r="G4469" t="s">
        <v>7</v>
      </c>
      <c r="H4469">
        <v>98715.23</v>
      </c>
      <c r="I4469">
        <v>86457.39</v>
      </c>
      <c r="J4469">
        <v>0</v>
      </c>
    </row>
    <row r="4470" spans="1:10" x14ac:dyDescent="0.35">
      <c r="A4470">
        <v>322639</v>
      </c>
      <c r="B4470" t="s">
        <v>20</v>
      </c>
      <c r="C4470">
        <v>2015</v>
      </c>
      <c r="D4470">
        <v>7</v>
      </c>
      <c r="E4470" t="s">
        <v>7</v>
      </c>
      <c r="F4470" t="s">
        <v>7</v>
      </c>
      <c r="G4470" t="s">
        <v>7</v>
      </c>
      <c r="H4470">
        <v>66218.460000000006</v>
      </c>
      <c r="I4470">
        <v>47397.5</v>
      </c>
      <c r="J4470">
        <v>0</v>
      </c>
    </row>
    <row r="4471" spans="1:10" x14ac:dyDescent="0.35">
      <c r="A4471">
        <v>322640</v>
      </c>
      <c r="B4471" t="s">
        <v>20</v>
      </c>
      <c r="C4471">
        <v>2015</v>
      </c>
      <c r="D4471">
        <v>7</v>
      </c>
      <c r="E4471" t="s">
        <v>7</v>
      </c>
      <c r="F4471" t="s">
        <v>7</v>
      </c>
      <c r="G4471" t="s">
        <v>7</v>
      </c>
      <c r="H4471">
        <v>16288.02</v>
      </c>
      <c r="I4471">
        <v>4493.51</v>
      </c>
      <c r="J4471">
        <v>0</v>
      </c>
    </row>
    <row r="4472" spans="1:10" x14ac:dyDescent="0.35">
      <c r="A4472">
        <v>322641</v>
      </c>
      <c r="B4472" t="s">
        <v>20</v>
      </c>
      <c r="C4472">
        <v>2015</v>
      </c>
      <c r="D4472">
        <v>7</v>
      </c>
      <c r="E4472" t="s">
        <v>7</v>
      </c>
      <c r="F4472" t="s">
        <v>7</v>
      </c>
      <c r="G4472" t="s">
        <v>7</v>
      </c>
      <c r="H4472">
        <v>25331.84</v>
      </c>
      <c r="I4472">
        <v>5333.89</v>
      </c>
      <c r="J4472">
        <v>0</v>
      </c>
    </row>
    <row r="4473" spans="1:10" x14ac:dyDescent="0.35">
      <c r="A4473">
        <v>322642</v>
      </c>
      <c r="B4473" t="s">
        <v>20</v>
      </c>
      <c r="C4473">
        <v>2015</v>
      </c>
      <c r="D4473">
        <v>7</v>
      </c>
      <c r="E4473" t="s">
        <v>7</v>
      </c>
      <c r="F4473" t="s">
        <v>7</v>
      </c>
      <c r="G4473" t="s">
        <v>7</v>
      </c>
      <c r="H4473">
        <v>30354.54</v>
      </c>
      <c r="I4473">
        <v>8551.32</v>
      </c>
      <c r="J4473">
        <v>0</v>
      </c>
    </row>
    <row r="4474" spans="1:10" x14ac:dyDescent="0.35">
      <c r="A4474">
        <v>322644</v>
      </c>
      <c r="B4474" t="s">
        <v>20</v>
      </c>
      <c r="C4474">
        <v>2015</v>
      </c>
      <c r="D4474">
        <v>7</v>
      </c>
      <c r="E4474" t="s">
        <v>7</v>
      </c>
      <c r="F4474" t="s">
        <v>7</v>
      </c>
      <c r="G4474" t="s">
        <v>7</v>
      </c>
      <c r="H4474">
        <v>23930.639999999999</v>
      </c>
      <c r="I4474">
        <v>6880.95</v>
      </c>
      <c r="J4474">
        <v>0</v>
      </c>
    </row>
    <row r="4475" spans="1:10" x14ac:dyDescent="0.35">
      <c r="A4475">
        <v>322645</v>
      </c>
      <c r="B4475" t="s">
        <v>20</v>
      </c>
      <c r="C4475">
        <v>2015</v>
      </c>
      <c r="D4475">
        <v>7</v>
      </c>
      <c r="E4475" t="s">
        <v>7</v>
      </c>
      <c r="F4475" t="s">
        <v>7</v>
      </c>
      <c r="G4475" t="s">
        <v>7</v>
      </c>
      <c r="H4475">
        <v>77148.84</v>
      </c>
      <c r="I4475">
        <v>59110.33</v>
      </c>
      <c r="J4475">
        <v>0</v>
      </c>
    </row>
    <row r="4476" spans="1:10" x14ac:dyDescent="0.35">
      <c r="A4476">
        <v>322646</v>
      </c>
      <c r="B4476" t="s">
        <v>20</v>
      </c>
      <c r="C4476">
        <v>2015</v>
      </c>
      <c r="D4476">
        <v>7</v>
      </c>
      <c r="E4476" t="s">
        <v>7</v>
      </c>
      <c r="F4476" t="s">
        <v>7</v>
      </c>
      <c r="G4476" t="s">
        <v>7</v>
      </c>
      <c r="H4476">
        <v>15181.28</v>
      </c>
      <c r="I4476">
        <v>4790.96</v>
      </c>
      <c r="J4476">
        <v>0</v>
      </c>
    </row>
    <row r="4477" spans="1:10" x14ac:dyDescent="0.35">
      <c r="A4477">
        <v>322649</v>
      </c>
      <c r="B4477" t="s">
        <v>20</v>
      </c>
      <c r="C4477">
        <v>2015</v>
      </c>
      <c r="D4477">
        <v>7</v>
      </c>
      <c r="E4477" t="s">
        <v>7</v>
      </c>
      <c r="F4477" t="s">
        <v>7</v>
      </c>
      <c r="G4477" t="s">
        <v>7</v>
      </c>
      <c r="H4477">
        <v>26223.46</v>
      </c>
      <c r="I4477">
        <v>6912.61</v>
      </c>
      <c r="J4477">
        <v>0</v>
      </c>
    </row>
    <row r="4478" spans="1:10" x14ac:dyDescent="0.35">
      <c r="A4478">
        <v>322650</v>
      </c>
      <c r="B4478" t="s">
        <v>20</v>
      </c>
      <c r="C4478">
        <v>2015</v>
      </c>
      <c r="D4478">
        <v>7</v>
      </c>
      <c r="E4478" t="s">
        <v>7</v>
      </c>
      <c r="F4478" t="s">
        <v>7</v>
      </c>
      <c r="G4478" t="s">
        <v>7</v>
      </c>
      <c r="H4478">
        <v>20111.02</v>
      </c>
      <c r="I4478">
        <v>5011.87</v>
      </c>
      <c r="J4478">
        <v>0</v>
      </c>
    </row>
    <row r="4479" spans="1:10" x14ac:dyDescent="0.35">
      <c r="A4479">
        <v>322652</v>
      </c>
      <c r="B4479" t="s">
        <v>20</v>
      </c>
      <c r="C4479">
        <v>2015</v>
      </c>
      <c r="D4479">
        <v>7</v>
      </c>
      <c r="E4479" t="s">
        <v>7</v>
      </c>
      <c r="F4479" t="s">
        <v>7</v>
      </c>
      <c r="G4479" t="s">
        <v>7</v>
      </c>
      <c r="H4479">
        <v>35547.82</v>
      </c>
      <c r="I4479">
        <v>9159.0400000000009</v>
      </c>
      <c r="J4479">
        <v>0</v>
      </c>
    </row>
    <row r="4480" spans="1:10" x14ac:dyDescent="0.35">
      <c r="A4480">
        <v>322654</v>
      </c>
      <c r="B4480" t="s">
        <v>20</v>
      </c>
      <c r="C4480">
        <v>2015</v>
      </c>
      <c r="D4480">
        <v>7</v>
      </c>
      <c r="E4480" t="s">
        <v>7</v>
      </c>
      <c r="F4480" t="s">
        <v>7</v>
      </c>
      <c r="G4480" t="s">
        <v>7</v>
      </c>
      <c r="H4480">
        <v>4731.82</v>
      </c>
      <c r="I4480">
        <v>1632.15</v>
      </c>
      <c r="J4480">
        <v>0</v>
      </c>
    </row>
    <row r="4481" spans="1:10" x14ac:dyDescent="0.35">
      <c r="A4481">
        <v>322655</v>
      </c>
      <c r="B4481" t="s">
        <v>20</v>
      </c>
      <c r="C4481">
        <v>2015</v>
      </c>
      <c r="D4481">
        <v>7</v>
      </c>
      <c r="E4481" t="s">
        <v>7</v>
      </c>
      <c r="F4481" t="s">
        <v>7</v>
      </c>
      <c r="G4481" t="s">
        <v>7</v>
      </c>
      <c r="H4481">
        <v>20186.900000000001</v>
      </c>
      <c r="I4481">
        <v>5899.01</v>
      </c>
      <c r="J4481">
        <v>0</v>
      </c>
    </row>
    <row r="4482" spans="1:10" x14ac:dyDescent="0.35">
      <c r="A4482">
        <v>322658</v>
      </c>
      <c r="B4482" t="s">
        <v>20</v>
      </c>
      <c r="C4482">
        <v>2015</v>
      </c>
      <c r="D4482">
        <v>7</v>
      </c>
      <c r="E4482" t="s">
        <v>7</v>
      </c>
      <c r="F4482" t="s">
        <v>7</v>
      </c>
      <c r="G4482" t="s">
        <v>7</v>
      </c>
      <c r="H4482">
        <v>66792.34</v>
      </c>
      <c r="I4482">
        <v>51166.22</v>
      </c>
      <c r="J4482">
        <v>0</v>
      </c>
    </row>
    <row r="4483" spans="1:10" x14ac:dyDescent="0.35">
      <c r="A4483">
        <v>322660</v>
      </c>
      <c r="B4483" t="s">
        <v>20</v>
      </c>
      <c r="C4483">
        <v>2015</v>
      </c>
      <c r="D4483">
        <v>7</v>
      </c>
      <c r="E4483" t="s">
        <v>7</v>
      </c>
      <c r="F4483" t="s">
        <v>7</v>
      </c>
      <c r="G4483" t="s">
        <v>7</v>
      </c>
      <c r="H4483">
        <v>47796.160000000003</v>
      </c>
      <c r="I4483">
        <v>23517.21</v>
      </c>
      <c r="J4483">
        <v>0</v>
      </c>
    </row>
    <row r="4484" spans="1:10" x14ac:dyDescent="0.35">
      <c r="A4484">
        <v>322663</v>
      </c>
      <c r="B4484" t="s">
        <v>20</v>
      </c>
      <c r="C4484">
        <v>2015</v>
      </c>
      <c r="D4484">
        <v>7</v>
      </c>
      <c r="E4484" t="s">
        <v>7</v>
      </c>
      <c r="F4484" t="s">
        <v>7</v>
      </c>
      <c r="G4484" t="s">
        <v>7</v>
      </c>
      <c r="H4484">
        <v>71343.3</v>
      </c>
      <c r="I4484">
        <v>20252.14</v>
      </c>
      <c r="J4484">
        <v>0</v>
      </c>
    </row>
    <row r="4485" spans="1:10" x14ac:dyDescent="0.35">
      <c r="A4485">
        <v>322666</v>
      </c>
      <c r="B4485" t="s">
        <v>20</v>
      </c>
      <c r="C4485">
        <v>2015</v>
      </c>
      <c r="D4485">
        <v>7</v>
      </c>
      <c r="E4485" t="s">
        <v>7</v>
      </c>
      <c r="F4485" t="s">
        <v>7</v>
      </c>
      <c r="G4485" t="s">
        <v>7</v>
      </c>
      <c r="H4485">
        <v>69159.679999999993</v>
      </c>
      <c r="I4485">
        <v>46358.11</v>
      </c>
      <c r="J4485">
        <v>0</v>
      </c>
    </row>
    <row r="4486" spans="1:10" x14ac:dyDescent="0.35">
      <c r="A4486">
        <v>322667</v>
      </c>
      <c r="B4486" t="s">
        <v>20</v>
      </c>
      <c r="C4486">
        <v>2015</v>
      </c>
      <c r="D4486">
        <v>7</v>
      </c>
      <c r="E4486" t="s">
        <v>7</v>
      </c>
      <c r="F4486" t="s">
        <v>7</v>
      </c>
      <c r="G4486" t="s">
        <v>7</v>
      </c>
      <c r="H4486">
        <v>26464.560000000001</v>
      </c>
      <c r="I4486">
        <v>7211.06</v>
      </c>
      <c r="J4486">
        <v>0</v>
      </c>
    </row>
    <row r="4487" spans="1:10" x14ac:dyDescent="0.35">
      <c r="A4487">
        <v>322668</v>
      </c>
      <c r="B4487" t="s">
        <v>20</v>
      </c>
      <c r="C4487">
        <v>2015</v>
      </c>
      <c r="D4487">
        <v>7</v>
      </c>
      <c r="E4487" t="s">
        <v>7</v>
      </c>
      <c r="F4487" t="s">
        <v>7</v>
      </c>
      <c r="G4487" t="s">
        <v>7</v>
      </c>
      <c r="H4487">
        <v>28977.58</v>
      </c>
      <c r="I4487">
        <v>9819.09</v>
      </c>
      <c r="J4487">
        <v>0</v>
      </c>
    </row>
    <row r="4488" spans="1:10" x14ac:dyDescent="0.35">
      <c r="A4488">
        <v>322671</v>
      </c>
      <c r="B4488" t="s">
        <v>20</v>
      </c>
      <c r="C4488">
        <v>2015</v>
      </c>
      <c r="D4488">
        <v>7</v>
      </c>
      <c r="E4488" t="s">
        <v>7</v>
      </c>
      <c r="F4488" t="s">
        <v>7</v>
      </c>
      <c r="G4488" t="s">
        <v>7</v>
      </c>
      <c r="H4488">
        <v>31763.06</v>
      </c>
      <c r="I4488">
        <v>13249.07</v>
      </c>
      <c r="J4488">
        <v>0</v>
      </c>
    </row>
    <row r="4489" spans="1:10" x14ac:dyDescent="0.35">
      <c r="A4489">
        <v>322674</v>
      </c>
      <c r="B4489" t="s">
        <v>20</v>
      </c>
      <c r="C4489">
        <v>2015</v>
      </c>
      <c r="D4489">
        <v>7</v>
      </c>
      <c r="E4489" t="s">
        <v>7</v>
      </c>
      <c r="F4489" t="s">
        <v>7</v>
      </c>
      <c r="G4489" t="s">
        <v>7</v>
      </c>
      <c r="H4489">
        <v>20691.62</v>
      </c>
      <c r="I4489">
        <v>3428.99</v>
      </c>
      <c r="J4489">
        <v>0</v>
      </c>
    </row>
    <row r="4490" spans="1:10" x14ac:dyDescent="0.35">
      <c r="A4490">
        <v>322675</v>
      </c>
      <c r="B4490" t="s">
        <v>20</v>
      </c>
      <c r="C4490">
        <v>2015</v>
      </c>
      <c r="D4490">
        <v>7</v>
      </c>
      <c r="E4490" t="s">
        <v>7</v>
      </c>
      <c r="F4490" t="s">
        <v>7</v>
      </c>
      <c r="G4490" t="s">
        <v>7</v>
      </c>
      <c r="H4490">
        <v>14467.42</v>
      </c>
      <c r="I4490">
        <v>3444.01</v>
      </c>
      <c r="J4490">
        <v>0</v>
      </c>
    </row>
    <row r="4491" spans="1:10" x14ac:dyDescent="0.35">
      <c r="A4491">
        <v>322676</v>
      </c>
      <c r="B4491" t="s">
        <v>20</v>
      </c>
      <c r="C4491">
        <v>2015</v>
      </c>
      <c r="D4491">
        <v>7</v>
      </c>
      <c r="E4491" t="s">
        <v>7</v>
      </c>
      <c r="F4491" t="s">
        <v>7</v>
      </c>
      <c r="G4491" t="s">
        <v>7</v>
      </c>
      <c r="H4491">
        <v>45797.4</v>
      </c>
      <c r="I4491">
        <v>14544.11</v>
      </c>
      <c r="J4491">
        <v>0</v>
      </c>
    </row>
    <row r="4492" spans="1:10" x14ac:dyDescent="0.35">
      <c r="A4492">
        <v>322678</v>
      </c>
      <c r="B4492" t="s">
        <v>20</v>
      </c>
      <c r="C4492">
        <v>2015</v>
      </c>
      <c r="D4492">
        <v>7</v>
      </c>
      <c r="E4492" t="s">
        <v>7</v>
      </c>
      <c r="F4492" t="s">
        <v>7</v>
      </c>
      <c r="G4492" t="s">
        <v>7</v>
      </c>
      <c r="H4492">
        <v>75519.679999999993</v>
      </c>
      <c r="I4492">
        <v>58760.56</v>
      </c>
      <c r="J4492">
        <v>0</v>
      </c>
    </row>
    <row r="4493" spans="1:10" x14ac:dyDescent="0.35">
      <c r="A4493">
        <v>322680</v>
      </c>
      <c r="B4493" t="s">
        <v>20</v>
      </c>
      <c r="C4493">
        <v>2015</v>
      </c>
      <c r="D4493">
        <v>7</v>
      </c>
      <c r="E4493" t="s">
        <v>7</v>
      </c>
      <c r="F4493" t="s">
        <v>7</v>
      </c>
      <c r="G4493" t="s">
        <v>7</v>
      </c>
      <c r="H4493">
        <v>25276.799999999999</v>
      </c>
      <c r="I4493">
        <v>7339.83</v>
      </c>
      <c r="J4493">
        <v>0</v>
      </c>
    </row>
    <row r="4494" spans="1:10" x14ac:dyDescent="0.35">
      <c r="A4494">
        <v>322681</v>
      </c>
      <c r="B4494" t="s">
        <v>20</v>
      </c>
      <c r="C4494">
        <v>2015</v>
      </c>
      <c r="D4494">
        <v>7</v>
      </c>
      <c r="E4494" t="s">
        <v>7</v>
      </c>
      <c r="F4494" t="s">
        <v>7</v>
      </c>
      <c r="G4494" t="s">
        <v>7</v>
      </c>
      <c r="H4494">
        <v>192521.72</v>
      </c>
      <c r="I4494">
        <v>102292.4</v>
      </c>
      <c r="J4494">
        <v>0</v>
      </c>
    </row>
    <row r="4495" spans="1:10" x14ac:dyDescent="0.35">
      <c r="A4495">
        <v>322682</v>
      </c>
      <c r="B4495" t="s">
        <v>20</v>
      </c>
      <c r="C4495">
        <v>2015</v>
      </c>
      <c r="D4495">
        <v>7</v>
      </c>
      <c r="E4495" t="s">
        <v>7</v>
      </c>
      <c r="F4495" t="s">
        <v>7</v>
      </c>
      <c r="G4495" t="s">
        <v>7</v>
      </c>
      <c r="H4495">
        <v>53379.14</v>
      </c>
      <c r="I4495">
        <v>16995.439999999999</v>
      </c>
      <c r="J4495">
        <v>0</v>
      </c>
    </row>
    <row r="4496" spans="1:10" x14ac:dyDescent="0.35">
      <c r="A4496">
        <v>322683</v>
      </c>
      <c r="B4496" t="s">
        <v>20</v>
      </c>
      <c r="C4496">
        <v>2015</v>
      </c>
      <c r="D4496">
        <v>7</v>
      </c>
      <c r="E4496" t="s">
        <v>7</v>
      </c>
      <c r="F4496" t="s">
        <v>7</v>
      </c>
      <c r="G4496" t="s">
        <v>7</v>
      </c>
      <c r="H4496">
        <v>29196.94</v>
      </c>
      <c r="I4496">
        <v>7906.53</v>
      </c>
      <c r="J4496">
        <v>0</v>
      </c>
    </row>
    <row r="4497" spans="1:10" x14ac:dyDescent="0.35">
      <c r="A4497">
        <v>322685</v>
      </c>
      <c r="B4497" t="s">
        <v>20</v>
      </c>
      <c r="C4497">
        <v>2015</v>
      </c>
      <c r="D4497">
        <v>7</v>
      </c>
      <c r="E4497" t="s">
        <v>7</v>
      </c>
      <c r="F4497" t="s">
        <v>7</v>
      </c>
      <c r="G4497" t="s">
        <v>7</v>
      </c>
      <c r="H4497">
        <v>34955.82</v>
      </c>
      <c r="I4497">
        <v>9600.56</v>
      </c>
      <c r="J4497">
        <v>0</v>
      </c>
    </row>
    <row r="4498" spans="1:10" x14ac:dyDescent="0.35">
      <c r="A4498">
        <v>322686</v>
      </c>
      <c r="B4498" t="s">
        <v>20</v>
      </c>
      <c r="C4498">
        <v>2015</v>
      </c>
      <c r="D4498">
        <v>7</v>
      </c>
      <c r="E4498" t="s">
        <v>7</v>
      </c>
      <c r="F4498" t="s">
        <v>7</v>
      </c>
      <c r="G4498" t="s">
        <v>7</v>
      </c>
      <c r="H4498">
        <v>106290.1</v>
      </c>
      <c r="I4498">
        <v>46518.62</v>
      </c>
      <c r="J4498">
        <v>0</v>
      </c>
    </row>
    <row r="4499" spans="1:10" x14ac:dyDescent="0.35">
      <c r="A4499">
        <v>322688</v>
      </c>
      <c r="B4499" t="s">
        <v>20</v>
      </c>
      <c r="C4499">
        <v>2015</v>
      </c>
      <c r="D4499">
        <v>7</v>
      </c>
      <c r="E4499" t="s">
        <v>7</v>
      </c>
      <c r="F4499" t="s">
        <v>7</v>
      </c>
      <c r="G4499" t="s">
        <v>7</v>
      </c>
      <c r="H4499">
        <v>36767.5</v>
      </c>
      <c r="I4499">
        <v>16416.71</v>
      </c>
      <c r="J4499">
        <v>0</v>
      </c>
    </row>
    <row r="4500" spans="1:10" x14ac:dyDescent="0.35">
      <c r="A4500">
        <v>322692</v>
      </c>
      <c r="B4500" t="s">
        <v>20</v>
      </c>
      <c r="C4500">
        <v>2015</v>
      </c>
      <c r="D4500">
        <v>7</v>
      </c>
      <c r="E4500" t="s">
        <v>7</v>
      </c>
      <c r="F4500" t="s">
        <v>7</v>
      </c>
      <c r="G4500" t="s">
        <v>7</v>
      </c>
      <c r="H4500">
        <v>40234.129999999997</v>
      </c>
      <c r="I4500">
        <v>20506.330000000002</v>
      </c>
      <c r="J4500">
        <v>0</v>
      </c>
    </row>
    <row r="4501" spans="1:10" x14ac:dyDescent="0.35">
      <c r="A4501">
        <v>322693</v>
      </c>
      <c r="B4501" t="s">
        <v>20</v>
      </c>
      <c r="C4501">
        <v>2015</v>
      </c>
      <c r="D4501">
        <v>7</v>
      </c>
      <c r="E4501" t="s">
        <v>7</v>
      </c>
      <c r="F4501" t="s">
        <v>7</v>
      </c>
      <c r="G4501" t="s">
        <v>7</v>
      </c>
      <c r="H4501">
        <v>20319.34</v>
      </c>
      <c r="I4501">
        <v>5347.8</v>
      </c>
      <c r="J4501">
        <v>0</v>
      </c>
    </row>
    <row r="4502" spans="1:10" x14ac:dyDescent="0.35">
      <c r="A4502">
        <v>322694</v>
      </c>
      <c r="B4502" t="s">
        <v>20</v>
      </c>
      <c r="C4502">
        <v>2015</v>
      </c>
      <c r="D4502">
        <v>7</v>
      </c>
      <c r="E4502" t="s">
        <v>7</v>
      </c>
      <c r="F4502" t="s">
        <v>7</v>
      </c>
      <c r="G4502" t="s">
        <v>7</v>
      </c>
      <c r="H4502">
        <v>68119.360000000001</v>
      </c>
      <c r="I4502">
        <v>49210.81</v>
      </c>
      <c r="J4502">
        <v>0</v>
      </c>
    </row>
    <row r="4503" spans="1:10" x14ac:dyDescent="0.35">
      <c r="A4503">
        <v>322696</v>
      </c>
      <c r="B4503" t="s">
        <v>20</v>
      </c>
      <c r="C4503">
        <v>2015</v>
      </c>
      <c r="D4503">
        <v>7</v>
      </c>
      <c r="E4503" t="s">
        <v>7</v>
      </c>
      <c r="F4503" t="s">
        <v>7</v>
      </c>
      <c r="G4503" t="s">
        <v>7</v>
      </c>
      <c r="H4503">
        <v>10487.1</v>
      </c>
      <c r="I4503">
        <v>2742.24</v>
      </c>
      <c r="J4503">
        <v>0</v>
      </c>
    </row>
    <row r="4504" spans="1:10" x14ac:dyDescent="0.35">
      <c r="A4504">
        <v>322697</v>
      </c>
      <c r="B4504" t="s">
        <v>20</v>
      </c>
      <c r="C4504">
        <v>2015</v>
      </c>
      <c r="D4504">
        <v>7</v>
      </c>
      <c r="E4504" t="s">
        <v>7</v>
      </c>
      <c r="F4504" t="s">
        <v>7</v>
      </c>
      <c r="G4504" t="s">
        <v>7</v>
      </c>
      <c r="H4504">
        <v>18984.68</v>
      </c>
      <c r="I4504">
        <v>5452.39</v>
      </c>
      <c r="J4504">
        <v>0</v>
      </c>
    </row>
    <row r="4505" spans="1:10" x14ac:dyDescent="0.35">
      <c r="A4505">
        <v>322700</v>
      </c>
      <c r="B4505" t="s">
        <v>20</v>
      </c>
      <c r="C4505">
        <v>2015</v>
      </c>
      <c r="D4505">
        <v>7</v>
      </c>
      <c r="E4505" t="s">
        <v>7</v>
      </c>
      <c r="F4505" t="s">
        <v>7</v>
      </c>
      <c r="G4505" t="s">
        <v>7</v>
      </c>
      <c r="H4505">
        <v>20939.36</v>
      </c>
      <c r="I4505">
        <v>8190.45</v>
      </c>
      <c r="J4505">
        <v>0</v>
      </c>
    </row>
    <row r="4506" spans="1:10" x14ac:dyDescent="0.35">
      <c r="A4506">
        <v>322701</v>
      </c>
      <c r="B4506" t="s">
        <v>20</v>
      </c>
      <c r="C4506">
        <v>2015</v>
      </c>
      <c r="D4506">
        <v>7</v>
      </c>
      <c r="E4506" t="s">
        <v>7</v>
      </c>
      <c r="F4506" t="s">
        <v>7</v>
      </c>
      <c r="G4506" t="s">
        <v>7</v>
      </c>
      <c r="H4506">
        <v>77480.44</v>
      </c>
      <c r="I4506">
        <v>59252.480000000003</v>
      </c>
      <c r="J4506">
        <v>0</v>
      </c>
    </row>
    <row r="4507" spans="1:10" x14ac:dyDescent="0.35">
      <c r="A4507">
        <v>322702</v>
      </c>
      <c r="B4507" t="s">
        <v>20</v>
      </c>
      <c r="C4507">
        <v>2015</v>
      </c>
      <c r="D4507">
        <v>7</v>
      </c>
      <c r="E4507" t="s">
        <v>7</v>
      </c>
      <c r="F4507" t="s">
        <v>7</v>
      </c>
      <c r="G4507" t="s">
        <v>7</v>
      </c>
      <c r="H4507">
        <v>22531.9</v>
      </c>
      <c r="I4507">
        <v>6190.35</v>
      </c>
      <c r="J4507">
        <v>0</v>
      </c>
    </row>
    <row r="4508" spans="1:10" x14ac:dyDescent="0.35">
      <c r="A4508">
        <v>322704</v>
      </c>
      <c r="B4508" t="s">
        <v>20</v>
      </c>
      <c r="C4508">
        <v>2015</v>
      </c>
      <c r="D4508">
        <v>7</v>
      </c>
      <c r="E4508" t="s">
        <v>7</v>
      </c>
      <c r="F4508" t="s">
        <v>7</v>
      </c>
      <c r="G4508" t="s">
        <v>7</v>
      </c>
      <c r="H4508">
        <v>24243.919999999998</v>
      </c>
      <c r="I4508">
        <v>16655.16</v>
      </c>
      <c r="J4508">
        <v>0</v>
      </c>
    </row>
    <row r="4509" spans="1:10" x14ac:dyDescent="0.35">
      <c r="A4509">
        <v>322706</v>
      </c>
      <c r="B4509" t="s">
        <v>20</v>
      </c>
      <c r="C4509">
        <v>2015</v>
      </c>
      <c r="D4509">
        <v>7</v>
      </c>
      <c r="E4509" t="s">
        <v>7</v>
      </c>
      <c r="F4509" t="s">
        <v>7</v>
      </c>
      <c r="G4509" t="s">
        <v>7</v>
      </c>
      <c r="H4509">
        <v>27213.98</v>
      </c>
      <c r="I4509">
        <v>7798.45</v>
      </c>
      <c r="J4509">
        <v>0</v>
      </c>
    </row>
    <row r="4510" spans="1:10" x14ac:dyDescent="0.35">
      <c r="A4510">
        <v>322707</v>
      </c>
      <c r="B4510" t="s">
        <v>20</v>
      </c>
      <c r="C4510">
        <v>2015</v>
      </c>
      <c r="D4510">
        <v>7</v>
      </c>
      <c r="E4510" t="s">
        <v>7</v>
      </c>
      <c r="F4510" t="s">
        <v>7</v>
      </c>
      <c r="G4510" t="s">
        <v>7</v>
      </c>
      <c r="H4510">
        <v>32197.48</v>
      </c>
      <c r="I4510">
        <v>9886.4599999999991</v>
      </c>
      <c r="J4510">
        <v>0</v>
      </c>
    </row>
    <row r="4511" spans="1:10" x14ac:dyDescent="0.35">
      <c r="A4511">
        <v>322708</v>
      </c>
      <c r="B4511" t="s">
        <v>20</v>
      </c>
      <c r="C4511">
        <v>2015</v>
      </c>
      <c r="D4511">
        <v>7</v>
      </c>
      <c r="E4511" t="s">
        <v>7</v>
      </c>
      <c r="F4511" t="s">
        <v>7</v>
      </c>
      <c r="G4511" t="s">
        <v>7</v>
      </c>
      <c r="H4511">
        <v>19777.740000000002</v>
      </c>
      <c r="I4511">
        <v>5174.67</v>
      </c>
      <c r="J4511">
        <v>0</v>
      </c>
    </row>
    <row r="4512" spans="1:10" x14ac:dyDescent="0.35">
      <c r="A4512">
        <v>322709</v>
      </c>
      <c r="B4512" t="s">
        <v>20</v>
      </c>
      <c r="C4512">
        <v>2015</v>
      </c>
      <c r="D4512">
        <v>7</v>
      </c>
      <c r="E4512" t="s">
        <v>7</v>
      </c>
      <c r="F4512" t="s">
        <v>7</v>
      </c>
      <c r="G4512" t="s">
        <v>7</v>
      </c>
      <c r="H4512">
        <v>109810.5</v>
      </c>
      <c r="I4512">
        <v>43027.47</v>
      </c>
      <c r="J4512">
        <v>0</v>
      </c>
    </row>
    <row r="4513" spans="1:10" x14ac:dyDescent="0.35">
      <c r="A4513">
        <v>322710</v>
      </c>
      <c r="B4513" t="s">
        <v>20</v>
      </c>
      <c r="C4513">
        <v>2015</v>
      </c>
      <c r="D4513">
        <v>7</v>
      </c>
      <c r="E4513" t="s">
        <v>7</v>
      </c>
      <c r="F4513" t="s">
        <v>7</v>
      </c>
      <c r="G4513" t="s">
        <v>7</v>
      </c>
      <c r="H4513">
        <v>62764.82</v>
      </c>
      <c r="I4513">
        <v>46043.95</v>
      </c>
      <c r="J4513">
        <v>0</v>
      </c>
    </row>
    <row r="4514" spans="1:10" x14ac:dyDescent="0.35">
      <c r="A4514">
        <v>322712</v>
      </c>
      <c r="B4514" t="s">
        <v>20</v>
      </c>
      <c r="C4514">
        <v>2015</v>
      </c>
      <c r="D4514">
        <v>7</v>
      </c>
      <c r="E4514" t="s">
        <v>7</v>
      </c>
      <c r="F4514" t="s">
        <v>7</v>
      </c>
      <c r="G4514" t="s">
        <v>7</v>
      </c>
      <c r="H4514">
        <v>34880.22</v>
      </c>
      <c r="I4514">
        <v>9764.77</v>
      </c>
      <c r="J4514">
        <v>0</v>
      </c>
    </row>
    <row r="4515" spans="1:10" x14ac:dyDescent="0.35">
      <c r="A4515">
        <v>322713</v>
      </c>
      <c r="B4515" t="s">
        <v>20</v>
      </c>
      <c r="C4515">
        <v>2015</v>
      </c>
      <c r="D4515">
        <v>7</v>
      </c>
      <c r="E4515" t="s">
        <v>7</v>
      </c>
      <c r="F4515" t="s">
        <v>7</v>
      </c>
      <c r="G4515" t="s">
        <v>7</v>
      </c>
      <c r="H4515">
        <v>62000.42</v>
      </c>
      <c r="I4515">
        <v>24694.81</v>
      </c>
      <c r="J4515">
        <v>0</v>
      </c>
    </row>
    <row r="4516" spans="1:10" x14ac:dyDescent="0.35">
      <c r="A4516">
        <v>322715</v>
      </c>
      <c r="B4516" t="s">
        <v>20</v>
      </c>
      <c r="C4516">
        <v>2015</v>
      </c>
      <c r="D4516">
        <v>7</v>
      </c>
      <c r="E4516" t="s">
        <v>7</v>
      </c>
      <c r="F4516" t="s">
        <v>7</v>
      </c>
      <c r="G4516" t="s">
        <v>7</v>
      </c>
      <c r="H4516">
        <v>23802.9</v>
      </c>
      <c r="I4516">
        <v>4739.13</v>
      </c>
      <c r="J4516">
        <v>0</v>
      </c>
    </row>
    <row r="4517" spans="1:10" x14ac:dyDescent="0.35">
      <c r="A4517">
        <v>322716</v>
      </c>
      <c r="B4517" t="s">
        <v>20</v>
      </c>
      <c r="C4517">
        <v>2015</v>
      </c>
      <c r="D4517">
        <v>7</v>
      </c>
      <c r="E4517" t="s">
        <v>7</v>
      </c>
      <c r="F4517" t="s">
        <v>7</v>
      </c>
      <c r="G4517" t="s">
        <v>7</v>
      </c>
      <c r="H4517">
        <v>32644.46</v>
      </c>
      <c r="I4517">
        <v>7277.48</v>
      </c>
      <c r="J4517">
        <v>0</v>
      </c>
    </row>
    <row r="4518" spans="1:10" x14ac:dyDescent="0.35">
      <c r="A4518">
        <v>322717</v>
      </c>
      <c r="B4518" t="s">
        <v>20</v>
      </c>
      <c r="C4518">
        <v>2015</v>
      </c>
      <c r="D4518">
        <v>7</v>
      </c>
      <c r="E4518" t="s">
        <v>7</v>
      </c>
      <c r="F4518" t="s">
        <v>7</v>
      </c>
      <c r="G4518" t="s">
        <v>7</v>
      </c>
      <c r="H4518">
        <v>18604.98</v>
      </c>
      <c r="I4518">
        <v>4592.16</v>
      </c>
      <c r="J4518">
        <v>0</v>
      </c>
    </row>
    <row r="4519" spans="1:10" x14ac:dyDescent="0.35">
      <c r="A4519">
        <v>322718</v>
      </c>
      <c r="B4519" t="s">
        <v>20</v>
      </c>
      <c r="C4519">
        <v>2015</v>
      </c>
      <c r="D4519">
        <v>7</v>
      </c>
      <c r="E4519" t="s">
        <v>7</v>
      </c>
      <c r="F4519" t="s">
        <v>7</v>
      </c>
      <c r="G4519" t="s">
        <v>7</v>
      </c>
      <c r="H4519">
        <v>127673.02</v>
      </c>
      <c r="I4519">
        <v>56341</v>
      </c>
      <c r="J4519">
        <v>0</v>
      </c>
    </row>
    <row r="4520" spans="1:10" x14ac:dyDescent="0.35">
      <c r="A4520">
        <v>322719</v>
      </c>
      <c r="B4520" t="s">
        <v>20</v>
      </c>
      <c r="C4520">
        <v>2015</v>
      </c>
      <c r="D4520">
        <v>7</v>
      </c>
      <c r="E4520" t="s">
        <v>7</v>
      </c>
      <c r="F4520" t="s">
        <v>7</v>
      </c>
      <c r="G4520" t="s">
        <v>7</v>
      </c>
      <c r="H4520">
        <v>63747.14</v>
      </c>
      <c r="I4520">
        <v>47042.75</v>
      </c>
      <c r="J4520">
        <v>0</v>
      </c>
    </row>
    <row r="4521" spans="1:10" x14ac:dyDescent="0.35">
      <c r="A4521">
        <v>322720</v>
      </c>
      <c r="B4521" t="s">
        <v>20</v>
      </c>
      <c r="C4521">
        <v>2015</v>
      </c>
      <c r="D4521">
        <v>7</v>
      </c>
      <c r="E4521" t="s">
        <v>7</v>
      </c>
      <c r="F4521" t="s">
        <v>7</v>
      </c>
      <c r="G4521" t="s">
        <v>7</v>
      </c>
      <c r="H4521">
        <v>22474.66</v>
      </c>
      <c r="I4521">
        <v>7888.25</v>
      </c>
      <c r="J4521">
        <v>0</v>
      </c>
    </row>
    <row r="4522" spans="1:10" x14ac:dyDescent="0.35">
      <c r="A4522">
        <v>322721</v>
      </c>
      <c r="B4522" t="s">
        <v>20</v>
      </c>
      <c r="C4522">
        <v>2015</v>
      </c>
      <c r="D4522">
        <v>7</v>
      </c>
      <c r="E4522" t="s">
        <v>7</v>
      </c>
      <c r="F4522" t="s">
        <v>7</v>
      </c>
      <c r="G4522" t="s">
        <v>7</v>
      </c>
      <c r="H4522">
        <v>73958.64</v>
      </c>
      <c r="I4522">
        <v>21781.83</v>
      </c>
      <c r="J4522">
        <v>0</v>
      </c>
    </row>
    <row r="4523" spans="1:10" x14ac:dyDescent="0.35">
      <c r="A4523">
        <v>322722</v>
      </c>
      <c r="B4523" t="s">
        <v>20</v>
      </c>
      <c r="C4523">
        <v>2015</v>
      </c>
      <c r="D4523">
        <v>7</v>
      </c>
      <c r="E4523" t="s">
        <v>7</v>
      </c>
      <c r="F4523" t="s">
        <v>7</v>
      </c>
      <c r="G4523" t="s">
        <v>7</v>
      </c>
      <c r="H4523">
        <v>52495.34</v>
      </c>
      <c r="I4523">
        <v>15633.66</v>
      </c>
      <c r="J4523">
        <v>0</v>
      </c>
    </row>
    <row r="4524" spans="1:10" x14ac:dyDescent="0.35">
      <c r="A4524">
        <v>322724</v>
      </c>
      <c r="B4524" t="s">
        <v>20</v>
      </c>
      <c r="C4524">
        <v>2015</v>
      </c>
      <c r="D4524">
        <v>7</v>
      </c>
      <c r="E4524" t="s">
        <v>7</v>
      </c>
      <c r="F4524" t="s">
        <v>7</v>
      </c>
      <c r="G4524" t="s">
        <v>7</v>
      </c>
      <c r="H4524">
        <v>230042.44</v>
      </c>
      <c r="I4524">
        <v>138578.41</v>
      </c>
      <c r="J4524">
        <v>0</v>
      </c>
    </row>
    <row r="4525" spans="1:10" x14ac:dyDescent="0.35">
      <c r="A4525">
        <v>322727</v>
      </c>
      <c r="B4525" t="s">
        <v>20</v>
      </c>
      <c r="C4525">
        <v>2015</v>
      </c>
      <c r="D4525">
        <v>7</v>
      </c>
      <c r="E4525" t="s">
        <v>7</v>
      </c>
      <c r="F4525" t="s">
        <v>7</v>
      </c>
      <c r="G4525" t="s">
        <v>7</v>
      </c>
      <c r="H4525">
        <v>64955.38</v>
      </c>
      <c r="I4525">
        <v>18714.02</v>
      </c>
      <c r="J4525">
        <v>0</v>
      </c>
    </row>
    <row r="4526" spans="1:10" x14ac:dyDescent="0.35">
      <c r="A4526">
        <v>322728</v>
      </c>
      <c r="B4526" t="s">
        <v>20</v>
      </c>
      <c r="C4526">
        <v>2015</v>
      </c>
      <c r="D4526">
        <v>7</v>
      </c>
      <c r="E4526" t="s">
        <v>7</v>
      </c>
      <c r="F4526" t="s">
        <v>7</v>
      </c>
      <c r="G4526" t="s">
        <v>7</v>
      </c>
      <c r="H4526">
        <v>29105.919999999998</v>
      </c>
      <c r="I4526">
        <v>6559.88</v>
      </c>
      <c r="J4526">
        <v>0</v>
      </c>
    </row>
    <row r="4527" spans="1:10" x14ac:dyDescent="0.35">
      <c r="A4527">
        <v>322730</v>
      </c>
      <c r="B4527" t="s">
        <v>20</v>
      </c>
      <c r="C4527">
        <v>2015</v>
      </c>
      <c r="D4527">
        <v>7</v>
      </c>
      <c r="E4527" t="s">
        <v>7</v>
      </c>
      <c r="F4527" t="s">
        <v>7</v>
      </c>
      <c r="G4527" t="s">
        <v>7</v>
      </c>
      <c r="H4527">
        <v>32037.16</v>
      </c>
      <c r="I4527">
        <v>9961.2099999999991</v>
      </c>
      <c r="J4527">
        <v>0</v>
      </c>
    </row>
    <row r="4528" spans="1:10" x14ac:dyDescent="0.35">
      <c r="A4528">
        <v>322731</v>
      </c>
      <c r="B4528" t="s">
        <v>20</v>
      </c>
      <c r="C4528">
        <v>2015</v>
      </c>
      <c r="D4528">
        <v>7</v>
      </c>
      <c r="E4528" t="s">
        <v>7</v>
      </c>
      <c r="F4528" t="s">
        <v>7</v>
      </c>
      <c r="G4528" t="s">
        <v>7</v>
      </c>
      <c r="H4528">
        <v>60352.52</v>
      </c>
      <c r="I4528">
        <v>17467.099999999999</v>
      </c>
      <c r="J4528">
        <v>0</v>
      </c>
    </row>
    <row r="4529" spans="1:10" x14ac:dyDescent="0.35">
      <c r="A4529">
        <v>322734</v>
      </c>
      <c r="B4529" t="s">
        <v>20</v>
      </c>
      <c r="C4529">
        <v>2015</v>
      </c>
      <c r="D4529">
        <v>7</v>
      </c>
      <c r="E4529" t="s">
        <v>7</v>
      </c>
      <c r="F4529" t="s">
        <v>7</v>
      </c>
      <c r="G4529" t="s">
        <v>7</v>
      </c>
      <c r="H4529">
        <v>37788.959999999999</v>
      </c>
      <c r="I4529">
        <v>12126.87</v>
      </c>
      <c r="J4529">
        <v>0</v>
      </c>
    </row>
    <row r="4530" spans="1:10" x14ac:dyDescent="0.35">
      <c r="A4530">
        <v>322736</v>
      </c>
      <c r="B4530" t="s">
        <v>20</v>
      </c>
      <c r="C4530">
        <v>2015</v>
      </c>
      <c r="D4530">
        <v>7</v>
      </c>
      <c r="E4530" t="s">
        <v>7</v>
      </c>
      <c r="F4530" t="s">
        <v>7</v>
      </c>
      <c r="G4530" t="s">
        <v>7</v>
      </c>
      <c r="H4530">
        <v>43466.07</v>
      </c>
      <c r="I4530">
        <v>21314.31</v>
      </c>
      <c r="J4530">
        <v>0</v>
      </c>
    </row>
    <row r="4531" spans="1:10" x14ac:dyDescent="0.35">
      <c r="A4531">
        <v>322738</v>
      </c>
      <c r="B4531" t="s">
        <v>20</v>
      </c>
      <c r="C4531">
        <v>2015</v>
      </c>
      <c r="D4531">
        <v>7</v>
      </c>
      <c r="E4531" t="s">
        <v>7</v>
      </c>
      <c r="F4531" t="s">
        <v>7</v>
      </c>
      <c r="G4531" t="s">
        <v>7</v>
      </c>
      <c r="H4531">
        <v>27068.86</v>
      </c>
      <c r="I4531">
        <v>8040.78</v>
      </c>
      <c r="J4531">
        <v>0</v>
      </c>
    </row>
    <row r="4532" spans="1:10" x14ac:dyDescent="0.35">
      <c r="A4532">
        <v>322741</v>
      </c>
      <c r="B4532" t="s">
        <v>20</v>
      </c>
      <c r="C4532">
        <v>2015</v>
      </c>
      <c r="D4532">
        <v>7</v>
      </c>
      <c r="E4532" t="s">
        <v>7</v>
      </c>
      <c r="F4532" t="s">
        <v>7</v>
      </c>
      <c r="G4532" t="s">
        <v>7</v>
      </c>
      <c r="H4532">
        <v>9877.98</v>
      </c>
      <c r="I4532">
        <v>2332.7600000000002</v>
      </c>
      <c r="J4532">
        <v>0</v>
      </c>
    </row>
    <row r="4533" spans="1:10" x14ac:dyDescent="0.35">
      <c r="A4533">
        <v>322742</v>
      </c>
      <c r="B4533" t="s">
        <v>20</v>
      </c>
      <c r="C4533">
        <v>2015</v>
      </c>
      <c r="D4533">
        <v>7</v>
      </c>
      <c r="E4533" t="s">
        <v>7</v>
      </c>
      <c r="F4533" t="s">
        <v>7</v>
      </c>
      <c r="G4533" t="s">
        <v>7</v>
      </c>
      <c r="H4533">
        <v>33296.92</v>
      </c>
      <c r="I4533">
        <v>8983.64</v>
      </c>
      <c r="J4533">
        <v>0</v>
      </c>
    </row>
    <row r="4534" spans="1:10" x14ac:dyDescent="0.35">
      <c r="A4534">
        <v>322743</v>
      </c>
      <c r="B4534" t="s">
        <v>20</v>
      </c>
      <c r="C4534">
        <v>2015</v>
      </c>
      <c r="D4534">
        <v>7</v>
      </c>
      <c r="E4534" t="s">
        <v>7</v>
      </c>
      <c r="F4534" t="s">
        <v>7</v>
      </c>
      <c r="G4534" t="s">
        <v>7</v>
      </c>
      <c r="H4534">
        <v>30162.16</v>
      </c>
      <c r="I4534">
        <v>8658.75</v>
      </c>
      <c r="J4534">
        <v>0</v>
      </c>
    </row>
    <row r="4535" spans="1:10" x14ac:dyDescent="0.35">
      <c r="A4535">
        <v>322744</v>
      </c>
      <c r="B4535" t="s">
        <v>20</v>
      </c>
      <c r="C4535">
        <v>2015</v>
      </c>
      <c r="D4535">
        <v>7</v>
      </c>
      <c r="E4535" t="s">
        <v>7</v>
      </c>
      <c r="F4535" t="s">
        <v>7</v>
      </c>
      <c r="G4535" t="s">
        <v>7</v>
      </c>
      <c r="H4535">
        <v>20626.12</v>
      </c>
      <c r="I4535">
        <v>5626.41</v>
      </c>
      <c r="J4535">
        <v>0</v>
      </c>
    </row>
    <row r="4536" spans="1:10" x14ac:dyDescent="0.35">
      <c r="A4536">
        <v>322745</v>
      </c>
      <c r="B4536" t="s">
        <v>20</v>
      </c>
      <c r="C4536">
        <v>2015</v>
      </c>
      <c r="D4536">
        <v>7</v>
      </c>
      <c r="E4536" t="s">
        <v>7</v>
      </c>
      <c r="F4536" t="s">
        <v>7</v>
      </c>
      <c r="G4536" t="s">
        <v>7</v>
      </c>
      <c r="H4536">
        <v>157757.06</v>
      </c>
      <c r="I4536">
        <v>65297.66</v>
      </c>
      <c r="J4536">
        <v>0</v>
      </c>
    </row>
    <row r="4537" spans="1:10" x14ac:dyDescent="0.35">
      <c r="A4537">
        <v>322746</v>
      </c>
      <c r="B4537" t="s">
        <v>20</v>
      </c>
      <c r="C4537">
        <v>2015</v>
      </c>
      <c r="D4537">
        <v>7</v>
      </c>
      <c r="E4537" t="s">
        <v>7</v>
      </c>
      <c r="F4537" t="s">
        <v>7</v>
      </c>
      <c r="G4537" t="s">
        <v>7</v>
      </c>
      <c r="H4537">
        <v>12355.22</v>
      </c>
      <c r="I4537">
        <v>2730.18</v>
      </c>
      <c r="J4537">
        <v>0</v>
      </c>
    </row>
    <row r="4538" spans="1:10" x14ac:dyDescent="0.35">
      <c r="A4538">
        <v>322748</v>
      </c>
      <c r="B4538" t="s">
        <v>20</v>
      </c>
      <c r="C4538">
        <v>2015</v>
      </c>
      <c r="D4538">
        <v>7</v>
      </c>
      <c r="E4538" t="s">
        <v>7</v>
      </c>
      <c r="F4538" t="s">
        <v>7</v>
      </c>
      <c r="G4538" t="s">
        <v>7</v>
      </c>
      <c r="H4538">
        <v>64477.919999999998</v>
      </c>
      <c r="I4538">
        <v>47184.22</v>
      </c>
      <c r="J4538">
        <v>0</v>
      </c>
    </row>
    <row r="4539" spans="1:10" x14ac:dyDescent="0.35">
      <c r="A4539">
        <v>322751</v>
      </c>
      <c r="B4539" t="s">
        <v>20</v>
      </c>
      <c r="C4539">
        <v>2015</v>
      </c>
      <c r="D4539">
        <v>7</v>
      </c>
      <c r="E4539" t="s">
        <v>7</v>
      </c>
      <c r="F4539" t="s">
        <v>7</v>
      </c>
      <c r="G4539" t="s">
        <v>7</v>
      </c>
      <c r="H4539">
        <v>64483.24</v>
      </c>
      <c r="I4539">
        <v>33774.29</v>
      </c>
      <c r="J4539">
        <v>0</v>
      </c>
    </row>
    <row r="4540" spans="1:10" x14ac:dyDescent="0.35">
      <c r="A4540">
        <v>322752</v>
      </c>
      <c r="B4540" t="s">
        <v>20</v>
      </c>
      <c r="C4540">
        <v>2015</v>
      </c>
      <c r="D4540">
        <v>7</v>
      </c>
      <c r="E4540" t="s">
        <v>7</v>
      </c>
      <c r="F4540" t="s">
        <v>7</v>
      </c>
      <c r="G4540" t="s">
        <v>7</v>
      </c>
      <c r="H4540">
        <v>38528.78</v>
      </c>
      <c r="I4540">
        <v>10718.45</v>
      </c>
      <c r="J4540">
        <v>0</v>
      </c>
    </row>
    <row r="4541" spans="1:10" x14ac:dyDescent="0.35">
      <c r="A4541">
        <v>322753</v>
      </c>
      <c r="B4541" t="s">
        <v>20</v>
      </c>
      <c r="C4541">
        <v>2015</v>
      </c>
      <c r="D4541">
        <v>7</v>
      </c>
      <c r="E4541" t="s">
        <v>7</v>
      </c>
      <c r="F4541" t="s">
        <v>7</v>
      </c>
      <c r="G4541" t="s">
        <v>7</v>
      </c>
      <c r="H4541">
        <v>33740.120000000003</v>
      </c>
      <c r="I4541">
        <v>9472.66</v>
      </c>
      <c r="J4541">
        <v>0</v>
      </c>
    </row>
    <row r="4542" spans="1:10" x14ac:dyDescent="0.35">
      <c r="A4542">
        <v>322755</v>
      </c>
      <c r="B4542" t="s">
        <v>20</v>
      </c>
      <c r="C4542">
        <v>2015</v>
      </c>
      <c r="D4542">
        <v>7</v>
      </c>
      <c r="E4542" t="s">
        <v>7</v>
      </c>
      <c r="F4542" t="s">
        <v>7</v>
      </c>
      <c r="G4542" t="s">
        <v>7</v>
      </c>
      <c r="H4542">
        <v>101164.62</v>
      </c>
      <c r="I4542">
        <v>84176.03</v>
      </c>
      <c r="J4542">
        <v>0</v>
      </c>
    </row>
    <row r="4543" spans="1:10" x14ac:dyDescent="0.35">
      <c r="A4543">
        <v>322756</v>
      </c>
      <c r="B4543" t="s">
        <v>20</v>
      </c>
      <c r="C4543">
        <v>2015</v>
      </c>
      <c r="D4543">
        <v>7</v>
      </c>
      <c r="E4543" t="s">
        <v>7</v>
      </c>
      <c r="F4543" t="s">
        <v>7</v>
      </c>
      <c r="G4543" t="s">
        <v>7</v>
      </c>
      <c r="H4543">
        <v>40176.9</v>
      </c>
      <c r="I4543">
        <v>12396.12</v>
      </c>
      <c r="J4543">
        <v>0</v>
      </c>
    </row>
    <row r="4544" spans="1:10" x14ac:dyDescent="0.35">
      <c r="A4544">
        <v>322757</v>
      </c>
      <c r="B4544" t="s">
        <v>20</v>
      </c>
      <c r="C4544">
        <v>2015</v>
      </c>
      <c r="D4544">
        <v>7</v>
      </c>
      <c r="E4544" t="s">
        <v>7</v>
      </c>
      <c r="F4544" t="s">
        <v>7</v>
      </c>
      <c r="G4544" t="s">
        <v>7</v>
      </c>
      <c r="H4544">
        <v>124844.66</v>
      </c>
      <c r="I4544">
        <v>53504.38</v>
      </c>
      <c r="J4544">
        <v>0</v>
      </c>
    </row>
    <row r="4545" spans="1:10" x14ac:dyDescent="0.35">
      <c r="A4545">
        <v>322758</v>
      </c>
      <c r="B4545" t="s">
        <v>20</v>
      </c>
      <c r="C4545">
        <v>2015</v>
      </c>
      <c r="D4545">
        <v>7</v>
      </c>
      <c r="E4545" t="s">
        <v>7</v>
      </c>
      <c r="F4545" t="s">
        <v>7</v>
      </c>
      <c r="G4545" t="s">
        <v>7</v>
      </c>
      <c r="H4545">
        <v>33797.120000000003</v>
      </c>
      <c r="I4545">
        <v>8967.9500000000007</v>
      </c>
      <c r="J4545">
        <v>0</v>
      </c>
    </row>
    <row r="4546" spans="1:10" x14ac:dyDescent="0.35">
      <c r="A4546">
        <v>322760</v>
      </c>
      <c r="B4546" t="s">
        <v>20</v>
      </c>
      <c r="C4546">
        <v>2015</v>
      </c>
      <c r="D4546">
        <v>7</v>
      </c>
      <c r="E4546" t="s">
        <v>7</v>
      </c>
      <c r="F4546" t="s">
        <v>7</v>
      </c>
      <c r="G4546" t="s">
        <v>7</v>
      </c>
      <c r="H4546">
        <v>11515.66</v>
      </c>
      <c r="I4546">
        <v>2541.2199999999998</v>
      </c>
      <c r="J4546">
        <v>0</v>
      </c>
    </row>
    <row r="4547" spans="1:10" x14ac:dyDescent="0.35">
      <c r="A4547">
        <v>322761</v>
      </c>
      <c r="B4547" t="s">
        <v>20</v>
      </c>
      <c r="C4547">
        <v>2015</v>
      </c>
      <c r="D4547">
        <v>7</v>
      </c>
      <c r="E4547" t="s">
        <v>7</v>
      </c>
      <c r="F4547" t="s">
        <v>7</v>
      </c>
      <c r="G4547" t="s">
        <v>7</v>
      </c>
      <c r="H4547">
        <v>16826.64</v>
      </c>
      <c r="I4547">
        <v>3003.57</v>
      </c>
      <c r="J4547">
        <v>0</v>
      </c>
    </row>
    <row r="4548" spans="1:10" x14ac:dyDescent="0.35">
      <c r="A4548">
        <v>322762</v>
      </c>
      <c r="B4548" t="s">
        <v>20</v>
      </c>
      <c r="C4548">
        <v>2015</v>
      </c>
      <c r="D4548">
        <v>7</v>
      </c>
      <c r="E4548" t="s">
        <v>7</v>
      </c>
      <c r="F4548" t="s">
        <v>7</v>
      </c>
      <c r="G4548" t="s">
        <v>7</v>
      </c>
      <c r="H4548">
        <v>11733.44</v>
      </c>
      <c r="I4548">
        <v>6293.24</v>
      </c>
      <c r="J4548">
        <v>0</v>
      </c>
    </row>
    <row r="4549" spans="1:10" x14ac:dyDescent="0.35">
      <c r="A4549">
        <v>322764</v>
      </c>
      <c r="B4549" t="s">
        <v>20</v>
      </c>
      <c r="C4549">
        <v>2015</v>
      </c>
      <c r="D4549">
        <v>7</v>
      </c>
      <c r="E4549" t="s">
        <v>7</v>
      </c>
      <c r="F4549" t="s">
        <v>7</v>
      </c>
      <c r="G4549" t="s">
        <v>7</v>
      </c>
      <c r="H4549">
        <v>74789.42</v>
      </c>
      <c r="I4549">
        <v>54500.12</v>
      </c>
      <c r="J4549">
        <v>0</v>
      </c>
    </row>
    <row r="4550" spans="1:10" x14ac:dyDescent="0.35">
      <c r="A4550">
        <v>322765</v>
      </c>
      <c r="B4550" t="s">
        <v>20</v>
      </c>
      <c r="C4550">
        <v>2015</v>
      </c>
      <c r="D4550">
        <v>7</v>
      </c>
      <c r="E4550" t="s">
        <v>7</v>
      </c>
      <c r="F4550" t="s">
        <v>7</v>
      </c>
      <c r="G4550" t="s">
        <v>7</v>
      </c>
      <c r="H4550">
        <v>115307.02</v>
      </c>
      <c r="I4550">
        <v>48195.7</v>
      </c>
      <c r="J4550">
        <v>0</v>
      </c>
    </row>
    <row r="4551" spans="1:10" x14ac:dyDescent="0.35">
      <c r="A4551">
        <v>322766</v>
      </c>
      <c r="B4551" t="s">
        <v>20</v>
      </c>
      <c r="C4551">
        <v>2015</v>
      </c>
      <c r="D4551">
        <v>7</v>
      </c>
      <c r="E4551" t="s">
        <v>7</v>
      </c>
      <c r="F4551" t="s">
        <v>7</v>
      </c>
      <c r="G4551" t="s">
        <v>7</v>
      </c>
      <c r="H4551">
        <v>37759.879999999997</v>
      </c>
      <c r="I4551">
        <v>10589.66</v>
      </c>
      <c r="J4551">
        <v>0</v>
      </c>
    </row>
    <row r="4552" spans="1:10" x14ac:dyDescent="0.35">
      <c r="A4552">
        <v>322768</v>
      </c>
      <c r="B4552" t="s">
        <v>20</v>
      </c>
      <c r="C4552">
        <v>2015</v>
      </c>
      <c r="D4552">
        <v>7</v>
      </c>
      <c r="E4552" t="s">
        <v>7</v>
      </c>
      <c r="F4552" t="s">
        <v>7</v>
      </c>
      <c r="G4552" t="s">
        <v>7</v>
      </c>
      <c r="H4552">
        <v>25823.18</v>
      </c>
      <c r="I4552">
        <v>6743.13</v>
      </c>
      <c r="J4552">
        <v>0</v>
      </c>
    </row>
    <row r="4553" spans="1:10" x14ac:dyDescent="0.35">
      <c r="A4553">
        <v>322769</v>
      </c>
      <c r="B4553" t="s">
        <v>20</v>
      </c>
      <c r="C4553">
        <v>2015</v>
      </c>
      <c r="D4553">
        <v>7</v>
      </c>
      <c r="E4553" t="s">
        <v>7</v>
      </c>
      <c r="F4553" t="s">
        <v>7</v>
      </c>
      <c r="G4553" t="s">
        <v>7</v>
      </c>
      <c r="H4553">
        <v>54396.84</v>
      </c>
      <c r="I4553">
        <v>27657.32</v>
      </c>
      <c r="J4553">
        <v>0</v>
      </c>
    </row>
    <row r="4554" spans="1:10" x14ac:dyDescent="0.35">
      <c r="A4554">
        <v>322773</v>
      </c>
      <c r="B4554" t="s">
        <v>20</v>
      </c>
      <c r="C4554">
        <v>2015</v>
      </c>
      <c r="D4554">
        <v>7</v>
      </c>
      <c r="E4554" t="s">
        <v>7</v>
      </c>
      <c r="F4554" t="s">
        <v>7</v>
      </c>
      <c r="G4554" t="s">
        <v>7</v>
      </c>
      <c r="H4554">
        <v>104438.09</v>
      </c>
      <c r="I4554">
        <v>60320.85</v>
      </c>
      <c r="J4554">
        <v>0</v>
      </c>
    </row>
    <row r="4555" spans="1:10" x14ac:dyDescent="0.35">
      <c r="A4555">
        <v>322775</v>
      </c>
      <c r="B4555" t="s">
        <v>20</v>
      </c>
      <c r="C4555">
        <v>2015</v>
      </c>
      <c r="D4555">
        <v>7</v>
      </c>
      <c r="E4555" t="s">
        <v>7</v>
      </c>
      <c r="F4555" t="s">
        <v>7</v>
      </c>
      <c r="G4555" t="s">
        <v>7</v>
      </c>
      <c r="H4555">
        <v>50576.959999999999</v>
      </c>
      <c r="I4555">
        <v>16202.73</v>
      </c>
      <c r="J4555">
        <v>0</v>
      </c>
    </row>
    <row r="4556" spans="1:10" x14ac:dyDescent="0.35">
      <c r="A4556">
        <v>322776</v>
      </c>
      <c r="B4556" t="s">
        <v>20</v>
      </c>
      <c r="C4556">
        <v>2015</v>
      </c>
      <c r="D4556">
        <v>7</v>
      </c>
      <c r="E4556" t="s">
        <v>7</v>
      </c>
      <c r="F4556" t="s">
        <v>7</v>
      </c>
      <c r="G4556" t="s">
        <v>7</v>
      </c>
      <c r="H4556">
        <v>77247.600000000006</v>
      </c>
      <c r="I4556">
        <v>58963.89</v>
      </c>
      <c r="J4556">
        <v>0</v>
      </c>
    </row>
    <row r="4557" spans="1:10" x14ac:dyDescent="0.35">
      <c r="A4557">
        <v>322777</v>
      </c>
      <c r="B4557" t="s">
        <v>20</v>
      </c>
      <c r="C4557">
        <v>2015</v>
      </c>
      <c r="D4557">
        <v>7</v>
      </c>
      <c r="E4557" t="s">
        <v>7</v>
      </c>
      <c r="F4557" t="s">
        <v>7</v>
      </c>
      <c r="G4557" t="s">
        <v>7</v>
      </c>
      <c r="H4557">
        <v>24069.02</v>
      </c>
      <c r="I4557">
        <v>6897.3</v>
      </c>
      <c r="J4557">
        <v>0</v>
      </c>
    </row>
    <row r="4558" spans="1:10" x14ac:dyDescent="0.35">
      <c r="A4558">
        <v>322779</v>
      </c>
      <c r="B4558" t="s">
        <v>20</v>
      </c>
      <c r="C4558">
        <v>2015</v>
      </c>
      <c r="D4558">
        <v>7</v>
      </c>
      <c r="E4558" t="s">
        <v>7</v>
      </c>
      <c r="F4558" t="s">
        <v>7</v>
      </c>
      <c r="G4558" t="s">
        <v>7</v>
      </c>
      <c r="H4558">
        <v>15277.52</v>
      </c>
      <c r="I4558">
        <v>4490.75</v>
      </c>
      <c r="J4558">
        <v>0</v>
      </c>
    </row>
    <row r="4559" spans="1:10" x14ac:dyDescent="0.35">
      <c r="A4559">
        <v>322780</v>
      </c>
      <c r="B4559" t="s">
        <v>20</v>
      </c>
      <c r="C4559">
        <v>2015</v>
      </c>
      <c r="D4559">
        <v>7</v>
      </c>
      <c r="E4559" t="s">
        <v>7</v>
      </c>
      <c r="F4559" t="s">
        <v>7</v>
      </c>
      <c r="G4559" t="s">
        <v>7</v>
      </c>
      <c r="H4559">
        <v>24870.9</v>
      </c>
      <c r="I4559">
        <v>10157.89</v>
      </c>
      <c r="J4559">
        <v>0</v>
      </c>
    </row>
    <row r="4560" spans="1:10" x14ac:dyDescent="0.35">
      <c r="A4560">
        <v>322781</v>
      </c>
      <c r="B4560" t="s">
        <v>20</v>
      </c>
      <c r="C4560">
        <v>2015</v>
      </c>
      <c r="D4560">
        <v>7</v>
      </c>
      <c r="E4560" t="s">
        <v>7</v>
      </c>
      <c r="F4560" t="s">
        <v>7</v>
      </c>
      <c r="G4560" t="s">
        <v>7</v>
      </c>
      <c r="H4560">
        <v>20826.080000000002</v>
      </c>
      <c r="I4560">
        <v>5440.88</v>
      </c>
      <c r="J4560">
        <v>0</v>
      </c>
    </row>
    <row r="4561" spans="1:10" x14ac:dyDescent="0.35">
      <c r="A4561">
        <v>322783</v>
      </c>
      <c r="B4561" t="s">
        <v>20</v>
      </c>
      <c r="C4561">
        <v>2015</v>
      </c>
      <c r="D4561">
        <v>7</v>
      </c>
      <c r="E4561" t="s">
        <v>7</v>
      </c>
      <c r="F4561" t="s">
        <v>7</v>
      </c>
      <c r="G4561" t="s">
        <v>7</v>
      </c>
      <c r="H4561">
        <v>19525.12</v>
      </c>
      <c r="I4561">
        <v>10401.74</v>
      </c>
      <c r="J4561">
        <v>0</v>
      </c>
    </row>
    <row r="4562" spans="1:10" x14ac:dyDescent="0.35">
      <c r="A4562">
        <v>322790</v>
      </c>
      <c r="B4562" t="s">
        <v>20</v>
      </c>
      <c r="C4562">
        <v>2015</v>
      </c>
      <c r="D4562">
        <v>7</v>
      </c>
      <c r="E4562" t="s">
        <v>7</v>
      </c>
      <c r="F4562" t="s">
        <v>7</v>
      </c>
      <c r="G4562" t="s">
        <v>7</v>
      </c>
      <c r="H4562">
        <v>31315.14</v>
      </c>
      <c r="I4562">
        <v>8534.08</v>
      </c>
      <c r="J4562">
        <v>0</v>
      </c>
    </row>
    <row r="4563" spans="1:10" x14ac:dyDescent="0.35">
      <c r="A4563">
        <v>322791</v>
      </c>
      <c r="B4563" t="s">
        <v>20</v>
      </c>
      <c r="C4563">
        <v>2015</v>
      </c>
      <c r="D4563">
        <v>7</v>
      </c>
      <c r="E4563" t="s">
        <v>7</v>
      </c>
      <c r="F4563" t="s">
        <v>7</v>
      </c>
      <c r="G4563" t="s">
        <v>7</v>
      </c>
      <c r="H4563">
        <v>26437.88</v>
      </c>
      <c r="I4563">
        <v>7614.35</v>
      </c>
      <c r="J4563">
        <v>0</v>
      </c>
    </row>
    <row r="4564" spans="1:10" x14ac:dyDescent="0.35">
      <c r="A4564">
        <v>322792</v>
      </c>
      <c r="B4564" t="s">
        <v>20</v>
      </c>
      <c r="C4564">
        <v>2015</v>
      </c>
      <c r="D4564">
        <v>7</v>
      </c>
      <c r="E4564" t="s">
        <v>7</v>
      </c>
      <c r="F4564" t="s">
        <v>7</v>
      </c>
      <c r="G4564" t="s">
        <v>7</v>
      </c>
      <c r="H4564">
        <v>29243.98</v>
      </c>
      <c r="I4564">
        <v>9042.64</v>
      </c>
      <c r="J4564">
        <v>0</v>
      </c>
    </row>
    <row r="4565" spans="1:10" x14ac:dyDescent="0.35">
      <c r="A4565">
        <v>322793</v>
      </c>
      <c r="B4565" t="s">
        <v>20</v>
      </c>
      <c r="C4565">
        <v>2015</v>
      </c>
      <c r="D4565">
        <v>7</v>
      </c>
      <c r="E4565" t="s">
        <v>7</v>
      </c>
      <c r="F4565" t="s">
        <v>7</v>
      </c>
      <c r="G4565" t="s">
        <v>7</v>
      </c>
      <c r="H4565">
        <v>96667.78</v>
      </c>
      <c r="I4565">
        <v>49518.69</v>
      </c>
      <c r="J4565">
        <v>0</v>
      </c>
    </row>
    <row r="4566" spans="1:10" x14ac:dyDescent="0.35">
      <c r="A4566">
        <v>322794</v>
      </c>
      <c r="B4566" t="s">
        <v>20</v>
      </c>
      <c r="C4566">
        <v>2015</v>
      </c>
      <c r="D4566">
        <v>7</v>
      </c>
      <c r="E4566" t="s">
        <v>7</v>
      </c>
      <c r="F4566" t="s">
        <v>7</v>
      </c>
      <c r="G4566" t="s">
        <v>7</v>
      </c>
      <c r="H4566">
        <v>70092.38</v>
      </c>
      <c r="I4566">
        <v>54298.99</v>
      </c>
      <c r="J4566">
        <v>0</v>
      </c>
    </row>
    <row r="4567" spans="1:10" x14ac:dyDescent="0.35">
      <c r="A4567">
        <v>322795</v>
      </c>
      <c r="B4567" t="s">
        <v>20</v>
      </c>
      <c r="C4567">
        <v>2015</v>
      </c>
      <c r="D4567">
        <v>7</v>
      </c>
      <c r="E4567" t="s">
        <v>7</v>
      </c>
      <c r="F4567" t="s">
        <v>7</v>
      </c>
      <c r="G4567" t="s">
        <v>7</v>
      </c>
      <c r="H4567">
        <v>13193.2</v>
      </c>
      <c r="I4567">
        <v>3943.65</v>
      </c>
      <c r="J4567">
        <v>0</v>
      </c>
    </row>
    <row r="4568" spans="1:10" x14ac:dyDescent="0.35">
      <c r="A4568">
        <v>322796</v>
      </c>
      <c r="B4568" t="s">
        <v>20</v>
      </c>
      <c r="C4568">
        <v>2015</v>
      </c>
      <c r="D4568">
        <v>7</v>
      </c>
      <c r="E4568" t="s">
        <v>7</v>
      </c>
      <c r="F4568" t="s">
        <v>7</v>
      </c>
      <c r="G4568" t="s">
        <v>7</v>
      </c>
      <c r="H4568">
        <v>15874.84</v>
      </c>
      <c r="I4568">
        <v>4212.92</v>
      </c>
      <c r="J4568">
        <v>0</v>
      </c>
    </row>
    <row r="4569" spans="1:10" x14ac:dyDescent="0.35">
      <c r="A4569">
        <v>322798</v>
      </c>
      <c r="B4569" t="s">
        <v>20</v>
      </c>
      <c r="C4569">
        <v>2015</v>
      </c>
      <c r="D4569">
        <v>7</v>
      </c>
      <c r="E4569" t="s">
        <v>7</v>
      </c>
      <c r="F4569" t="s">
        <v>7</v>
      </c>
      <c r="G4569" t="s">
        <v>7</v>
      </c>
      <c r="H4569">
        <v>24138.44</v>
      </c>
      <c r="I4569">
        <v>6447.76</v>
      </c>
      <c r="J4569">
        <v>0</v>
      </c>
    </row>
    <row r="4570" spans="1:10" x14ac:dyDescent="0.35">
      <c r="A4570">
        <v>322800</v>
      </c>
      <c r="B4570" t="s">
        <v>20</v>
      </c>
      <c r="C4570">
        <v>2015</v>
      </c>
      <c r="D4570">
        <v>7</v>
      </c>
      <c r="E4570" t="s">
        <v>7</v>
      </c>
      <c r="F4570" t="s">
        <v>7</v>
      </c>
      <c r="G4570" t="s">
        <v>7</v>
      </c>
      <c r="H4570">
        <v>65430.86</v>
      </c>
      <c r="I4570">
        <v>46873.7</v>
      </c>
      <c r="J4570">
        <v>0</v>
      </c>
    </row>
    <row r="4571" spans="1:10" x14ac:dyDescent="0.35">
      <c r="A4571">
        <v>322801</v>
      </c>
      <c r="B4571" t="s">
        <v>20</v>
      </c>
      <c r="C4571">
        <v>2015</v>
      </c>
      <c r="D4571">
        <v>7</v>
      </c>
      <c r="E4571" t="s">
        <v>7</v>
      </c>
      <c r="F4571" t="s">
        <v>7</v>
      </c>
      <c r="G4571" t="s">
        <v>7</v>
      </c>
      <c r="H4571">
        <v>10172.799999999999</v>
      </c>
      <c r="I4571">
        <v>2776</v>
      </c>
      <c r="J4571">
        <v>0</v>
      </c>
    </row>
    <row r="4572" spans="1:10" x14ac:dyDescent="0.35">
      <c r="A4572">
        <v>322802</v>
      </c>
      <c r="B4572" t="s">
        <v>20</v>
      </c>
      <c r="C4572">
        <v>2015</v>
      </c>
      <c r="D4572">
        <v>7</v>
      </c>
      <c r="E4572" t="s">
        <v>7</v>
      </c>
      <c r="F4572" t="s">
        <v>7</v>
      </c>
      <c r="G4572" t="s">
        <v>7</v>
      </c>
      <c r="H4572">
        <v>11938.68</v>
      </c>
      <c r="I4572">
        <v>3285.23</v>
      </c>
      <c r="J4572">
        <v>0</v>
      </c>
    </row>
    <row r="4573" spans="1:10" x14ac:dyDescent="0.35">
      <c r="A4573">
        <v>322803</v>
      </c>
      <c r="B4573" t="s">
        <v>20</v>
      </c>
      <c r="C4573">
        <v>2015</v>
      </c>
      <c r="D4573">
        <v>7</v>
      </c>
      <c r="E4573" t="s">
        <v>7</v>
      </c>
      <c r="F4573" t="s">
        <v>7</v>
      </c>
      <c r="G4573" t="s">
        <v>7</v>
      </c>
      <c r="H4573">
        <v>22900.12</v>
      </c>
      <c r="I4573">
        <v>6287.1</v>
      </c>
      <c r="J4573">
        <v>0</v>
      </c>
    </row>
    <row r="4574" spans="1:10" x14ac:dyDescent="0.35">
      <c r="A4574">
        <v>322804</v>
      </c>
      <c r="B4574" t="s">
        <v>20</v>
      </c>
      <c r="C4574">
        <v>2015</v>
      </c>
      <c r="D4574">
        <v>7</v>
      </c>
      <c r="E4574" t="s">
        <v>7</v>
      </c>
      <c r="F4574" t="s">
        <v>7</v>
      </c>
      <c r="G4574" t="s">
        <v>7</v>
      </c>
      <c r="H4574">
        <v>41896.9</v>
      </c>
      <c r="I4574">
        <v>13508.97</v>
      </c>
      <c r="J4574">
        <v>0</v>
      </c>
    </row>
    <row r="4575" spans="1:10" x14ac:dyDescent="0.35">
      <c r="A4575">
        <v>322805</v>
      </c>
      <c r="B4575" t="s">
        <v>20</v>
      </c>
      <c r="C4575">
        <v>2015</v>
      </c>
      <c r="D4575">
        <v>7</v>
      </c>
      <c r="E4575" t="s">
        <v>7</v>
      </c>
      <c r="F4575" t="s">
        <v>7</v>
      </c>
      <c r="G4575" t="s">
        <v>7</v>
      </c>
      <c r="H4575">
        <v>32606.82</v>
      </c>
      <c r="I4575">
        <v>7036.88</v>
      </c>
      <c r="J4575">
        <v>0</v>
      </c>
    </row>
    <row r="4576" spans="1:10" x14ac:dyDescent="0.35">
      <c r="A4576">
        <v>322807</v>
      </c>
      <c r="B4576" t="s">
        <v>20</v>
      </c>
      <c r="C4576">
        <v>2015</v>
      </c>
      <c r="D4576">
        <v>7</v>
      </c>
      <c r="E4576" t="s">
        <v>7</v>
      </c>
      <c r="F4576" t="s">
        <v>7</v>
      </c>
      <c r="G4576" t="s">
        <v>7</v>
      </c>
      <c r="H4576">
        <v>87286.52</v>
      </c>
      <c r="I4576">
        <v>32233.55</v>
      </c>
      <c r="J4576">
        <v>0</v>
      </c>
    </row>
    <row r="4577" spans="1:10" x14ac:dyDescent="0.35">
      <c r="A4577">
        <v>322808</v>
      </c>
      <c r="B4577" t="s">
        <v>20</v>
      </c>
      <c r="C4577">
        <v>2015</v>
      </c>
      <c r="D4577">
        <v>7</v>
      </c>
      <c r="E4577" t="s">
        <v>7</v>
      </c>
      <c r="F4577" t="s">
        <v>7</v>
      </c>
      <c r="G4577" t="s">
        <v>7</v>
      </c>
      <c r="H4577">
        <v>46920.26</v>
      </c>
      <c r="I4577">
        <v>13277.32</v>
      </c>
      <c r="J4577">
        <v>0</v>
      </c>
    </row>
    <row r="4578" spans="1:10" x14ac:dyDescent="0.35">
      <c r="A4578">
        <v>322809</v>
      </c>
      <c r="B4578" t="s">
        <v>20</v>
      </c>
      <c r="C4578">
        <v>2015</v>
      </c>
      <c r="D4578">
        <v>7</v>
      </c>
      <c r="E4578" t="s">
        <v>7</v>
      </c>
      <c r="F4578" t="s">
        <v>7</v>
      </c>
      <c r="G4578" t="s">
        <v>7</v>
      </c>
      <c r="H4578">
        <v>29307.4</v>
      </c>
      <c r="I4578">
        <v>7858.02</v>
      </c>
      <c r="J4578">
        <v>0</v>
      </c>
    </row>
    <row r="4579" spans="1:10" x14ac:dyDescent="0.35">
      <c r="A4579">
        <v>322810</v>
      </c>
      <c r="B4579" t="s">
        <v>20</v>
      </c>
      <c r="C4579">
        <v>2015</v>
      </c>
      <c r="D4579">
        <v>7</v>
      </c>
      <c r="E4579" t="s">
        <v>7</v>
      </c>
      <c r="F4579" t="s">
        <v>7</v>
      </c>
      <c r="G4579" t="s">
        <v>7</v>
      </c>
      <c r="H4579">
        <v>40393.82</v>
      </c>
      <c r="I4579">
        <v>11855.91</v>
      </c>
      <c r="J4579">
        <v>0</v>
      </c>
    </row>
    <row r="4580" spans="1:10" x14ac:dyDescent="0.35">
      <c r="A4580">
        <v>322812</v>
      </c>
      <c r="B4580" t="s">
        <v>20</v>
      </c>
      <c r="C4580">
        <v>2015</v>
      </c>
      <c r="D4580">
        <v>7</v>
      </c>
      <c r="E4580" t="s">
        <v>7</v>
      </c>
      <c r="F4580" t="s">
        <v>7</v>
      </c>
      <c r="G4580" t="s">
        <v>7</v>
      </c>
      <c r="H4580">
        <v>64185.62</v>
      </c>
      <c r="I4580">
        <v>46428.97</v>
      </c>
      <c r="J4580">
        <v>0</v>
      </c>
    </row>
    <row r="4581" spans="1:10" x14ac:dyDescent="0.35">
      <c r="A4581">
        <v>322813</v>
      </c>
      <c r="B4581" t="s">
        <v>20</v>
      </c>
      <c r="C4581">
        <v>2015</v>
      </c>
      <c r="D4581">
        <v>7</v>
      </c>
      <c r="E4581" t="s">
        <v>7</v>
      </c>
      <c r="F4581" t="s">
        <v>7</v>
      </c>
      <c r="G4581" t="s">
        <v>7</v>
      </c>
      <c r="H4581">
        <v>34650.339999999997</v>
      </c>
      <c r="I4581">
        <v>8499.2999999999993</v>
      </c>
      <c r="J4581">
        <v>0</v>
      </c>
    </row>
    <row r="4582" spans="1:10" x14ac:dyDescent="0.35">
      <c r="A4582">
        <v>322818</v>
      </c>
      <c r="B4582" t="s">
        <v>20</v>
      </c>
      <c r="C4582">
        <v>2015</v>
      </c>
      <c r="D4582">
        <v>7</v>
      </c>
      <c r="E4582" t="s">
        <v>7</v>
      </c>
      <c r="F4582" t="s">
        <v>7</v>
      </c>
      <c r="G4582" t="s">
        <v>7</v>
      </c>
      <c r="H4582">
        <v>23458.18</v>
      </c>
      <c r="I4582">
        <v>5297.13</v>
      </c>
      <c r="J4582">
        <v>0</v>
      </c>
    </row>
    <row r="4583" spans="1:10" x14ac:dyDescent="0.35">
      <c r="A4583">
        <v>322822</v>
      </c>
      <c r="B4583" t="s">
        <v>20</v>
      </c>
      <c r="C4583">
        <v>2015</v>
      </c>
      <c r="D4583">
        <v>7</v>
      </c>
      <c r="E4583" t="s">
        <v>7</v>
      </c>
      <c r="F4583" t="s">
        <v>7</v>
      </c>
      <c r="G4583" t="s">
        <v>7</v>
      </c>
      <c r="H4583">
        <v>23844.46</v>
      </c>
      <c r="I4583">
        <v>6694.79</v>
      </c>
      <c r="J4583">
        <v>0</v>
      </c>
    </row>
    <row r="4584" spans="1:10" x14ac:dyDescent="0.35">
      <c r="A4584">
        <v>322824</v>
      </c>
      <c r="B4584" t="s">
        <v>20</v>
      </c>
      <c r="C4584">
        <v>2015</v>
      </c>
      <c r="D4584">
        <v>7</v>
      </c>
      <c r="E4584" t="s">
        <v>7</v>
      </c>
      <c r="F4584" t="s">
        <v>7</v>
      </c>
      <c r="G4584" t="s">
        <v>7</v>
      </c>
      <c r="H4584">
        <v>13078.9</v>
      </c>
      <c r="I4584">
        <v>3213.1</v>
      </c>
      <c r="J4584">
        <v>0</v>
      </c>
    </row>
    <row r="4585" spans="1:10" x14ac:dyDescent="0.35">
      <c r="A4585">
        <v>322825</v>
      </c>
      <c r="B4585" t="s">
        <v>20</v>
      </c>
      <c r="C4585">
        <v>2015</v>
      </c>
      <c r="D4585">
        <v>7</v>
      </c>
      <c r="E4585" t="s">
        <v>7</v>
      </c>
      <c r="F4585" t="s">
        <v>7</v>
      </c>
      <c r="G4585" t="s">
        <v>7</v>
      </c>
      <c r="H4585">
        <v>36126.58</v>
      </c>
      <c r="I4585">
        <v>10679.03</v>
      </c>
      <c r="J4585">
        <v>0</v>
      </c>
    </row>
    <row r="4586" spans="1:10" x14ac:dyDescent="0.35">
      <c r="A4586">
        <v>322827</v>
      </c>
      <c r="B4586" t="s">
        <v>20</v>
      </c>
      <c r="C4586">
        <v>2015</v>
      </c>
      <c r="D4586">
        <v>7</v>
      </c>
      <c r="E4586" t="s">
        <v>7</v>
      </c>
      <c r="F4586" t="s">
        <v>7</v>
      </c>
      <c r="G4586" t="s">
        <v>7</v>
      </c>
      <c r="H4586">
        <v>30703.24</v>
      </c>
      <c r="I4586">
        <v>18935.669999999998</v>
      </c>
      <c r="J4586">
        <v>0</v>
      </c>
    </row>
    <row r="4587" spans="1:10" x14ac:dyDescent="0.35">
      <c r="A4587">
        <v>322828</v>
      </c>
      <c r="B4587" t="s">
        <v>20</v>
      </c>
      <c r="C4587">
        <v>2015</v>
      </c>
      <c r="D4587">
        <v>7</v>
      </c>
      <c r="E4587" t="s">
        <v>7</v>
      </c>
      <c r="F4587" t="s">
        <v>7</v>
      </c>
      <c r="G4587" t="s">
        <v>7</v>
      </c>
      <c r="H4587">
        <v>65312.36</v>
      </c>
      <c r="I4587">
        <v>46881.42</v>
      </c>
      <c r="J4587">
        <v>0</v>
      </c>
    </row>
    <row r="4588" spans="1:10" x14ac:dyDescent="0.35">
      <c r="A4588">
        <v>322831</v>
      </c>
      <c r="B4588" t="s">
        <v>20</v>
      </c>
      <c r="C4588">
        <v>2015</v>
      </c>
      <c r="D4588">
        <v>7</v>
      </c>
      <c r="E4588" t="s">
        <v>7</v>
      </c>
      <c r="F4588" t="s">
        <v>7</v>
      </c>
      <c r="G4588" t="s">
        <v>7</v>
      </c>
      <c r="H4588">
        <v>72459.710000000006</v>
      </c>
      <c r="I4588">
        <v>42289.65</v>
      </c>
      <c r="J4588">
        <v>0</v>
      </c>
    </row>
    <row r="4589" spans="1:10" x14ac:dyDescent="0.35">
      <c r="A4589">
        <v>322832</v>
      </c>
      <c r="B4589" t="s">
        <v>20</v>
      </c>
      <c r="C4589">
        <v>2015</v>
      </c>
      <c r="D4589">
        <v>7</v>
      </c>
      <c r="E4589" t="s">
        <v>7</v>
      </c>
      <c r="F4589" t="s">
        <v>7</v>
      </c>
      <c r="G4589" t="s">
        <v>7</v>
      </c>
      <c r="H4589">
        <v>80866.539999999994</v>
      </c>
      <c r="I4589">
        <v>55177.52</v>
      </c>
      <c r="J4589">
        <v>0</v>
      </c>
    </row>
    <row r="4590" spans="1:10" x14ac:dyDescent="0.35">
      <c r="A4590">
        <v>322833</v>
      </c>
      <c r="B4590" t="s">
        <v>20</v>
      </c>
      <c r="C4590">
        <v>2015</v>
      </c>
      <c r="D4590">
        <v>7</v>
      </c>
      <c r="E4590" t="s">
        <v>7</v>
      </c>
      <c r="F4590" t="s">
        <v>7</v>
      </c>
      <c r="G4590" t="s">
        <v>7</v>
      </c>
      <c r="H4590">
        <v>8582.58</v>
      </c>
      <c r="I4590">
        <v>2340.0100000000002</v>
      </c>
      <c r="J4590">
        <v>0</v>
      </c>
    </row>
    <row r="4591" spans="1:10" x14ac:dyDescent="0.35">
      <c r="A4591">
        <v>322834</v>
      </c>
      <c r="B4591" t="s">
        <v>20</v>
      </c>
      <c r="C4591">
        <v>2015</v>
      </c>
      <c r="D4591">
        <v>7</v>
      </c>
      <c r="E4591" t="s">
        <v>7</v>
      </c>
      <c r="F4591" t="s">
        <v>7</v>
      </c>
      <c r="G4591" t="s">
        <v>7</v>
      </c>
      <c r="H4591">
        <v>27773.74</v>
      </c>
      <c r="I4591">
        <v>6603.4</v>
      </c>
      <c r="J4591">
        <v>0</v>
      </c>
    </row>
    <row r="4592" spans="1:10" x14ac:dyDescent="0.35">
      <c r="A4592">
        <v>322835</v>
      </c>
      <c r="B4592" t="s">
        <v>20</v>
      </c>
      <c r="C4592">
        <v>2015</v>
      </c>
      <c r="D4592">
        <v>7</v>
      </c>
      <c r="E4592" t="s">
        <v>7</v>
      </c>
      <c r="F4592" t="s">
        <v>7</v>
      </c>
      <c r="G4592" t="s">
        <v>7</v>
      </c>
      <c r="H4592">
        <v>38392.54</v>
      </c>
      <c r="I4592">
        <v>11739.31</v>
      </c>
      <c r="J4592">
        <v>0</v>
      </c>
    </row>
    <row r="4593" spans="1:10" x14ac:dyDescent="0.35">
      <c r="A4593">
        <v>322836</v>
      </c>
      <c r="B4593" t="s">
        <v>20</v>
      </c>
      <c r="C4593">
        <v>2015</v>
      </c>
      <c r="D4593">
        <v>7</v>
      </c>
      <c r="E4593" t="s">
        <v>7</v>
      </c>
      <c r="F4593" t="s">
        <v>7</v>
      </c>
      <c r="G4593" t="s">
        <v>7</v>
      </c>
      <c r="H4593">
        <v>74941.039999999994</v>
      </c>
      <c r="I4593">
        <v>52519.57</v>
      </c>
      <c r="J4593">
        <v>0</v>
      </c>
    </row>
    <row r="4594" spans="1:10" x14ac:dyDescent="0.35">
      <c r="A4594">
        <v>322838</v>
      </c>
      <c r="B4594" t="s">
        <v>20</v>
      </c>
      <c r="C4594">
        <v>2015</v>
      </c>
      <c r="D4594">
        <v>7</v>
      </c>
      <c r="E4594" t="s">
        <v>7</v>
      </c>
      <c r="F4594" t="s">
        <v>7</v>
      </c>
      <c r="G4594" t="s">
        <v>7</v>
      </c>
      <c r="H4594">
        <v>33105.68</v>
      </c>
      <c r="I4594">
        <v>9164.65</v>
      </c>
      <c r="J4594">
        <v>0</v>
      </c>
    </row>
    <row r="4595" spans="1:10" x14ac:dyDescent="0.35">
      <c r="A4595">
        <v>322840</v>
      </c>
      <c r="B4595" t="s">
        <v>20</v>
      </c>
      <c r="C4595">
        <v>2015</v>
      </c>
      <c r="D4595">
        <v>7</v>
      </c>
      <c r="E4595" t="s">
        <v>7</v>
      </c>
      <c r="F4595" t="s">
        <v>7</v>
      </c>
      <c r="G4595" t="s">
        <v>7</v>
      </c>
      <c r="H4595">
        <v>36496.620000000003</v>
      </c>
      <c r="I4595">
        <v>11227.03</v>
      </c>
      <c r="J4595">
        <v>0</v>
      </c>
    </row>
    <row r="4596" spans="1:10" x14ac:dyDescent="0.35">
      <c r="A4596">
        <v>322841</v>
      </c>
      <c r="B4596" t="s">
        <v>20</v>
      </c>
      <c r="C4596">
        <v>2015</v>
      </c>
      <c r="D4596">
        <v>7</v>
      </c>
      <c r="E4596" t="s">
        <v>7</v>
      </c>
      <c r="F4596" t="s">
        <v>7</v>
      </c>
      <c r="G4596" t="s">
        <v>7</v>
      </c>
      <c r="H4596">
        <v>75713.42</v>
      </c>
      <c r="I4596">
        <v>58876.18</v>
      </c>
      <c r="J4596">
        <v>0</v>
      </c>
    </row>
    <row r="4597" spans="1:10" x14ac:dyDescent="0.35">
      <c r="A4597">
        <v>322843</v>
      </c>
      <c r="B4597" t="s">
        <v>20</v>
      </c>
      <c r="C4597">
        <v>2015</v>
      </c>
      <c r="D4597">
        <v>7</v>
      </c>
      <c r="E4597" t="s">
        <v>7</v>
      </c>
      <c r="F4597" t="s">
        <v>7</v>
      </c>
      <c r="G4597" t="s">
        <v>7</v>
      </c>
      <c r="H4597">
        <v>70780.100000000006</v>
      </c>
      <c r="I4597">
        <v>36487.53</v>
      </c>
      <c r="J4597">
        <v>0</v>
      </c>
    </row>
    <row r="4598" spans="1:10" x14ac:dyDescent="0.35">
      <c r="A4598">
        <v>322844</v>
      </c>
      <c r="B4598" t="s">
        <v>20</v>
      </c>
      <c r="C4598">
        <v>2015</v>
      </c>
      <c r="D4598">
        <v>7</v>
      </c>
      <c r="E4598" t="s">
        <v>7</v>
      </c>
      <c r="F4598" t="s">
        <v>7</v>
      </c>
      <c r="G4598" t="s">
        <v>7</v>
      </c>
      <c r="H4598">
        <v>47618.68</v>
      </c>
      <c r="I4598">
        <v>14873.39</v>
      </c>
      <c r="J4598">
        <v>0</v>
      </c>
    </row>
    <row r="4599" spans="1:10" x14ac:dyDescent="0.35">
      <c r="A4599">
        <v>322845</v>
      </c>
      <c r="B4599" t="s">
        <v>20</v>
      </c>
      <c r="C4599">
        <v>2015</v>
      </c>
      <c r="D4599">
        <v>7</v>
      </c>
      <c r="E4599" t="s">
        <v>7</v>
      </c>
      <c r="F4599" t="s">
        <v>7</v>
      </c>
      <c r="G4599" t="s">
        <v>7</v>
      </c>
      <c r="H4599">
        <v>34853.199999999997</v>
      </c>
      <c r="I4599">
        <v>16550.349999999999</v>
      </c>
      <c r="J4599">
        <v>0</v>
      </c>
    </row>
    <row r="4600" spans="1:10" x14ac:dyDescent="0.35">
      <c r="A4600">
        <v>322846</v>
      </c>
      <c r="B4600" t="s">
        <v>20</v>
      </c>
      <c r="C4600">
        <v>2015</v>
      </c>
      <c r="D4600">
        <v>7</v>
      </c>
      <c r="E4600" t="s">
        <v>7</v>
      </c>
      <c r="F4600" t="s">
        <v>7</v>
      </c>
      <c r="G4600" t="s">
        <v>7</v>
      </c>
      <c r="H4600">
        <v>21732.7</v>
      </c>
      <c r="I4600">
        <v>6159</v>
      </c>
      <c r="J4600">
        <v>0</v>
      </c>
    </row>
    <row r="4601" spans="1:10" x14ac:dyDescent="0.35">
      <c r="A4601">
        <v>322847</v>
      </c>
      <c r="B4601" t="s">
        <v>20</v>
      </c>
      <c r="C4601">
        <v>2015</v>
      </c>
      <c r="D4601">
        <v>7</v>
      </c>
      <c r="E4601" t="s">
        <v>7</v>
      </c>
      <c r="F4601" t="s">
        <v>7</v>
      </c>
      <c r="G4601" t="s">
        <v>7</v>
      </c>
      <c r="H4601">
        <v>47668.42</v>
      </c>
      <c r="I4601">
        <v>14026.71</v>
      </c>
      <c r="J4601">
        <v>0</v>
      </c>
    </row>
    <row r="4602" spans="1:10" x14ac:dyDescent="0.35">
      <c r="A4602">
        <v>322849</v>
      </c>
      <c r="B4602" t="s">
        <v>20</v>
      </c>
      <c r="C4602">
        <v>2015</v>
      </c>
      <c r="D4602">
        <v>7</v>
      </c>
      <c r="E4602" t="s">
        <v>7</v>
      </c>
      <c r="F4602" t="s">
        <v>7</v>
      </c>
      <c r="G4602" t="s">
        <v>7</v>
      </c>
      <c r="H4602">
        <v>30242.16</v>
      </c>
      <c r="I4602">
        <v>9335.44</v>
      </c>
      <c r="J4602">
        <v>0</v>
      </c>
    </row>
    <row r="4603" spans="1:10" x14ac:dyDescent="0.35">
      <c r="A4603">
        <v>322850</v>
      </c>
      <c r="B4603" t="s">
        <v>20</v>
      </c>
      <c r="C4603">
        <v>2015</v>
      </c>
      <c r="D4603">
        <v>7</v>
      </c>
      <c r="E4603" t="s">
        <v>7</v>
      </c>
      <c r="F4603" t="s">
        <v>7</v>
      </c>
      <c r="G4603" t="s">
        <v>7</v>
      </c>
      <c r="H4603">
        <v>13935</v>
      </c>
      <c r="I4603">
        <v>2954.91</v>
      </c>
      <c r="J4603">
        <v>0</v>
      </c>
    </row>
    <row r="4604" spans="1:10" x14ac:dyDescent="0.35">
      <c r="A4604">
        <v>322851</v>
      </c>
      <c r="B4604" t="s">
        <v>20</v>
      </c>
      <c r="C4604">
        <v>2015</v>
      </c>
      <c r="D4604">
        <v>7</v>
      </c>
      <c r="E4604" t="s">
        <v>7</v>
      </c>
      <c r="F4604" t="s">
        <v>7</v>
      </c>
      <c r="G4604" t="s">
        <v>7</v>
      </c>
      <c r="H4604">
        <v>11002.2</v>
      </c>
      <c r="I4604">
        <v>2621.79</v>
      </c>
      <c r="J4604">
        <v>0</v>
      </c>
    </row>
    <row r="4605" spans="1:10" x14ac:dyDescent="0.35">
      <c r="A4605">
        <v>322853</v>
      </c>
      <c r="B4605" t="s">
        <v>20</v>
      </c>
      <c r="C4605">
        <v>2015</v>
      </c>
      <c r="D4605">
        <v>7</v>
      </c>
      <c r="E4605" t="s">
        <v>7</v>
      </c>
      <c r="F4605" t="s">
        <v>7</v>
      </c>
      <c r="G4605" t="s">
        <v>7</v>
      </c>
      <c r="H4605">
        <v>38066.46</v>
      </c>
      <c r="I4605">
        <v>11785.05</v>
      </c>
      <c r="J4605">
        <v>0</v>
      </c>
    </row>
    <row r="4606" spans="1:10" x14ac:dyDescent="0.35">
      <c r="A4606">
        <v>322854</v>
      </c>
      <c r="B4606" t="s">
        <v>20</v>
      </c>
      <c r="C4606">
        <v>2015</v>
      </c>
      <c r="D4606">
        <v>7</v>
      </c>
      <c r="E4606" t="s">
        <v>7</v>
      </c>
      <c r="F4606" t="s">
        <v>7</v>
      </c>
      <c r="G4606" t="s">
        <v>7</v>
      </c>
      <c r="H4606">
        <v>11298.28</v>
      </c>
      <c r="I4606">
        <v>2531.8000000000002</v>
      </c>
      <c r="J4606">
        <v>0</v>
      </c>
    </row>
    <row r="4607" spans="1:10" x14ac:dyDescent="0.35">
      <c r="A4607">
        <v>322855</v>
      </c>
      <c r="B4607" t="s">
        <v>20</v>
      </c>
      <c r="C4607">
        <v>2015</v>
      </c>
      <c r="D4607">
        <v>7</v>
      </c>
      <c r="E4607" t="s">
        <v>7</v>
      </c>
      <c r="F4607" t="s">
        <v>7</v>
      </c>
      <c r="G4607" t="s">
        <v>7</v>
      </c>
      <c r="H4607">
        <v>65991.100000000006</v>
      </c>
      <c r="I4607">
        <v>48375.7</v>
      </c>
      <c r="J4607">
        <v>0</v>
      </c>
    </row>
    <row r="4608" spans="1:10" x14ac:dyDescent="0.35">
      <c r="A4608">
        <v>322856</v>
      </c>
      <c r="B4608" t="s">
        <v>20</v>
      </c>
      <c r="C4608">
        <v>2015</v>
      </c>
      <c r="D4608">
        <v>7</v>
      </c>
      <c r="E4608" t="s">
        <v>7</v>
      </c>
      <c r="F4608" t="s">
        <v>7</v>
      </c>
      <c r="G4608" t="s">
        <v>7</v>
      </c>
      <c r="H4608">
        <v>26636</v>
      </c>
      <c r="I4608">
        <v>8036.83</v>
      </c>
      <c r="J4608">
        <v>0</v>
      </c>
    </row>
    <row r="4609" spans="1:10" x14ac:dyDescent="0.35">
      <c r="A4609">
        <v>322858</v>
      </c>
      <c r="B4609" t="s">
        <v>20</v>
      </c>
      <c r="C4609">
        <v>2015</v>
      </c>
      <c r="D4609">
        <v>7</v>
      </c>
      <c r="E4609" t="s">
        <v>7</v>
      </c>
      <c r="F4609" t="s">
        <v>7</v>
      </c>
      <c r="G4609" t="s">
        <v>7</v>
      </c>
      <c r="H4609">
        <v>18729.88</v>
      </c>
      <c r="I4609">
        <v>5767.6</v>
      </c>
      <c r="J4609">
        <v>0</v>
      </c>
    </row>
    <row r="4610" spans="1:10" x14ac:dyDescent="0.35">
      <c r="A4610">
        <v>322860</v>
      </c>
      <c r="B4610" t="s">
        <v>20</v>
      </c>
      <c r="C4610">
        <v>2015</v>
      </c>
      <c r="D4610">
        <v>7</v>
      </c>
      <c r="E4610" t="s">
        <v>7</v>
      </c>
      <c r="F4610" t="s">
        <v>7</v>
      </c>
      <c r="G4610" t="s">
        <v>7</v>
      </c>
      <c r="H4610">
        <v>25634.36</v>
      </c>
      <c r="I4610">
        <v>5943.56</v>
      </c>
      <c r="J4610">
        <v>0</v>
      </c>
    </row>
    <row r="4611" spans="1:10" x14ac:dyDescent="0.35">
      <c r="A4611">
        <v>322862</v>
      </c>
      <c r="B4611" t="s">
        <v>20</v>
      </c>
      <c r="C4611">
        <v>2015</v>
      </c>
      <c r="D4611">
        <v>7</v>
      </c>
      <c r="E4611" t="s">
        <v>7</v>
      </c>
      <c r="F4611" t="s">
        <v>7</v>
      </c>
      <c r="G4611" t="s">
        <v>7</v>
      </c>
      <c r="H4611">
        <v>16983.64</v>
      </c>
      <c r="I4611">
        <v>4802.91</v>
      </c>
      <c r="J4611">
        <v>0</v>
      </c>
    </row>
    <row r="4612" spans="1:10" x14ac:dyDescent="0.35">
      <c r="A4612">
        <v>322864</v>
      </c>
      <c r="B4612" t="s">
        <v>20</v>
      </c>
      <c r="C4612">
        <v>2015</v>
      </c>
      <c r="D4612">
        <v>7</v>
      </c>
      <c r="E4612" t="s">
        <v>7</v>
      </c>
      <c r="F4612" t="s">
        <v>7</v>
      </c>
      <c r="G4612" t="s">
        <v>7</v>
      </c>
      <c r="H4612">
        <v>16846.439999999999</v>
      </c>
      <c r="I4612">
        <v>4856.01</v>
      </c>
      <c r="J4612">
        <v>0</v>
      </c>
    </row>
    <row r="4613" spans="1:10" x14ac:dyDescent="0.35">
      <c r="A4613">
        <v>322866</v>
      </c>
      <c r="B4613" t="s">
        <v>20</v>
      </c>
      <c r="C4613">
        <v>2015</v>
      </c>
      <c r="D4613">
        <v>7</v>
      </c>
      <c r="E4613" t="s">
        <v>7</v>
      </c>
      <c r="F4613" t="s">
        <v>7</v>
      </c>
      <c r="G4613" t="s">
        <v>7</v>
      </c>
      <c r="H4613">
        <v>65501.06</v>
      </c>
      <c r="I4613">
        <v>48698.86</v>
      </c>
      <c r="J4613">
        <v>0</v>
      </c>
    </row>
    <row r="4614" spans="1:10" x14ac:dyDescent="0.35">
      <c r="A4614">
        <v>322869</v>
      </c>
      <c r="B4614" t="s">
        <v>20</v>
      </c>
      <c r="C4614">
        <v>2015</v>
      </c>
      <c r="D4614">
        <v>7</v>
      </c>
      <c r="E4614" t="s">
        <v>7</v>
      </c>
      <c r="F4614" t="s">
        <v>7</v>
      </c>
      <c r="G4614" t="s">
        <v>7</v>
      </c>
      <c r="H4614">
        <v>24752.94</v>
      </c>
      <c r="I4614">
        <v>5071.3599999999997</v>
      </c>
      <c r="J4614">
        <v>0</v>
      </c>
    </row>
    <row r="4615" spans="1:10" x14ac:dyDescent="0.35">
      <c r="A4615">
        <v>322872</v>
      </c>
      <c r="B4615" t="s">
        <v>20</v>
      </c>
      <c r="C4615">
        <v>2015</v>
      </c>
      <c r="D4615">
        <v>7</v>
      </c>
      <c r="E4615" t="s">
        <v>7</v>
      </c>
      <c r="F4615" t="s">
        <v>7</v>
      </c>
      <c r="G4615" t="s">
        <v>7</v>
      </c>
      <c r="H4615">
        <v>82665.78</v>
      </c>
      <c r="I4615">
        <v>27206.06</v>
      </c>
      <c r="J4615">
        <v>0</v>
      </c>
    </row>
    <row r="4616" spans="1:10" x14ac:dyDescent="0.35">
      <c r="A4616">
        <v>322873</v>
      </c>
      <c r="B4616" t="s">
        <v>20</v>
      </c>
      <c r="C4616">
        <v>2015</v>
      </c>
      <c r="D4616">
        <v>7</v>
      </c>
      <c r="E4616" t="s">
        <v>7</v>
      </c>
      <c r="F4616" t="s">
        <v>7</v>
      </c>
      <c r="G4616" t="s">
        <v>7</v>
      </c>
      <c r="H4616">
        <v>50107.58</v>
      </c>
      <c r="I4616">
        <v>21582.959999999999</v>
      </c>
      <c r="J4616">
        <v>0</v>
      </c>
    </row>
    <row r="4617" spans="1:10" x14ac:dyDescent="0.35">
      <c r="A4617">
        <v>322874</v>
      </c>
      <c r="B4617" t="s">
        <v>20</v>
      </c>
      <c r="C4617">
        <v>2015</v>
      </c>
      <c r="D4617">
        <v>7</v>
      </c>
      <c r="E4617" t="s">
        <v>7</v>
      </c>
      <c r="F4617" t="s">
        <v>7</v>
      </c>
      <c r="G4617" t="s">
        <v>7</v>
      </c>
      <c r="H4617">
        <v>72308.899999999994</v>
      </c>
      <c r="I4617">
        <v>19840.919999999998</v>
      </c>
      <c r="J4617">
        <v>0</v>
      </c>
    </row>
    <row r="4618" spans="1:10" x14ac:dyDescent="0.35">
      <c r="A4618">
        <v>322875</v>
      </c>
      <c r="B4618" t="s">
        <v>20</v>
      </c>
      <c r="C4618">
        <v>2015</v>
      </c>
      <c r="D4618">
        <v>7</v>
      </c>
      <c r="E4618" t="s">
        <v>7</v>
      </c>
      <c r="F4618" t="s">
        <v>7</v>
      </c>
      <c r="G4618" t="s">
        <v>7</v>
      </c>
      <c r="H4618">
        <v>17041.68</v>
      </c>
      <c r="I4618">
        <v>5326.02</v>
      </c>
      <c r="J4618">
        <v>0</v>
      </c>
    </row>
    <row r="4619" spans="1:10" x14ac:dyDescent="0.35">
      <c r="A4619">
        <v>322877</v>
      </c>
      <c r="B4619" t="s">
        <v>20</v>
      </c>
      <c r="C4619">
        <v>2015</v>
      </c>
      <c r="D4619">
        <v>7</v>
      </c>
      <c r="E4619" t="s">
        <v>7</v>
      </c>
      <c r="F4619" t="s">
        <v>7</v>
      </c>
      <c r="G4619" t="s">
        <v>7</v>
      </c>
      <c r="H4619">
        <v>24424.3</v>
      </c>
      <c r="I4619">
        <v>6678.17</v>
      </c>
      <c r="J4619">
        <v>0</v>
      </c>
    </row>
    <row r="4620" spans="1:10" x14ac:dyDescent="0.35">
      <c r="A4620">
        <v>322880</v>
      </c>
      <c r="B4620" t="s">
        <v>20</v>
      </c>
      <c r="C4620">
        <v>2015</v>
      </c>
      <c r="D4620">
        <v>7</v>
      </c>
      <c r="E4620" t="s">
        <v>7</v>
      </c>
      <c r="F4620" t="s">
        <v>7</v>
      </c>
      <c r="G4620" t="s">
        <v>7</v>
      </c>
      <c r="H4620">
        <v>41696.980000000003</v>
      </c>
      <c r="I4620">
        <v>11199.14</v>
      </c>
      <c r="J4620">
        <v>0</v>
      </c>
    </row>
    <row r="4621" spans="1:10" x14ac:dyDescent="0.35">
      <c r="A4621">
        <v>322882</v>
      </c>
      <c r="B4621" t="s">
        <v>20</v>
      </c>
      <c r="C4621">
        <v>2015</v>
      </c>
      <c r="D4621">
        <v>7</v>
      </c>
      <c r="E4621" t="s">
        <v>7</v>
      </c>
      <c r="F4621" t="s">
        <v>7</v>
      </c>
      <c r="G4621" t="s">
        <v>7</v>
      </c>
      <c r="H4621">
        <v>39859.82</v>
      </c>
      <c r="I4621">
        <v>10939.04</v>
      </c>
      <c r="J4621">
        <v>0</v>
      </c>
    </row>
    <row r="4622" spans="1:10" x14ac:dyDescent="0.35">
      <c r="A4622">
        <v>322883</v>
      </c>
      <c r="B4622" t="s">
        <v>20</v>
      </c>
      <c r="C4622">
        <v>2015</v>
      </c>
      <c r="D4622">
        <v>7</v>
      </c>
      <c r="E4622" t="s">
        <v>7</v>
      </c>
      <c r="F4622" t="s">
        <v>7</v>
      </c>
      <c r="G4622" t="s">
        <v>7</v>
      </c>
      <c r="H4622">
        <v>24250.6</v>
      </c>
      <c r="I4622">
        <v>6430.6</v>
      </c>
      <c r="J4622">
        <v>0</v>
      </c>
    </row>
    <row r="4623" spans="1:10" x14ac:dyDescent="0.35">
      <c r="A4623">
        <v>322885</v>
      </c>
      <c r="B4623" t="s">
        <v>20</v>
      </c>
      <c r="C4623">
        <v>2015</v>
      </c>
      <c r="D4623">
        <v>7</v>
      </c>
      <c r="E4623" t="s">
        <v>7</v>
      </c>
      <c r="F4623" t="s">
        <v>7</v>
      </c>
      <c r="G4623" t="s">
        <v>7</v>
      </c>
      <c r="H4623">
        <v>10892.42</v>
      </c>
      <c r="I4623">
        <v>3051.46</v>
      </c>
      <c r="J4623">
        <v>0</v>
      </c>
    </row>
    <row r="4624" spans="1:10" x14ac:dyDescent="0.35">
      <c r="A4624">
        <v>322886</v>
      </c>
      <c r="B4624" t="s">
        <v>20</v>
      </c>
      <c r="C4624">
        <v>2015</v>
      </c>
      <c r="D4624">
        <v>7</v>
      </c>
      <c r="E4624" t="s">
        <v>7</v>
      </c>
      <c r="F4624" t="s">
        <v>7</v>
      </c>
      <c r="G4624" t="s">
        <v>7</v>
      </c>
      <c r="H4624">
        <v>69699.92</v>
      </c>
      <c r="I4624">
        <v>26868</v>
      </c>
      <c r="J4624">
        <v>0</v>
      </c>
    </row>
    <row r="4625" spans="1:10" x14ac:dyDescent="0.35">
      <c r="A4625">
        <v>322887</v>
      </c>
      <c r="B4625" t="s">
        <v>20</v>
      </c>
      <c r="C4625">
        <v>2015</v>
      </c>
      <c r="D4625">
        <v>7</v>
      </c>
      <c r="E4625" t="s">
        <v>7</v>
      </c>
      <c r="F4625" t="s">
        <v>7</v>
      </c>
      <c r="G4625" t="s">
        <v>7</v>
      </c>
      <c r="H4625">
        <v>58392.46</v>
      </c>
      <c r="I4625">
        <v>44432.42</v>
      </c>
      <c r="J4625">
        <v>0</v>
      </c>
    </row>
    <row r="4626" spans="1:10" x14ac:dyDescent="0.35">
      <c r="A4626">
        <v>322888</v>
      </c>
      <c r="B4626" t="s">
        <v>20</v>
      </c>
      <c r="C4626">
        <v>2015</v>
      </c>
      <c r="D4626">
        <v>7</v>
      </c>
      <c r="E4626" t="s">
        <v>7</v>
      </c>
      <c r="F4626" t="s">
        <v>7</v>
      </c>
      <c r="G4626" t="s">
        <v>7</v>
      </c>
      <c r="H4626">
        <v>84686.62</v>
      </c>
      <c r="I4626">
        <v>24687.11</v>
      </c>
      <c r="J4626">
        <v>0</v>
      </c>
    </row>
    <row r="4627" spans="1:10" x14ac:dyDescent="0.35">
      <c r="A4627">
        <v>322889</v>
      </c>
      <c r="B4627" t="s">
        <v>20</v>
      </c>
      <c r="C4627">
        <v>2015</v>
      </c>
      <c r="D4627">
        <v>7</v>
      </c>
      <c r="E4627" t="s">
        <v>7</v>
      </c>
      <c r="F4627" t="s">
        <v>7</v>
      </c>
      <c r="G4627" t="s">
        <v>7</v>
      </c>
      <c r="H4627">
        <v>14844.72</v>
      </c>
      <c r="I4627">
        <v>3587.97</v>
      </c>
      <c r="J4627">
        <v>0</v>
      </c>
    </row>
    <row r="4628" spans="1:10" x14ac:dyDescent="0.35">
      <c r="A4628">
        <v>322891</v>
      </c>
      <c r="B4628" t="s">
        <v>20</v>
      </c>
      <c r="C4628">
        <v>2015</v>
      </c>
      <c r="D4628">
        <v>7</v>
      </c>
      <c r="E4628" t="s">
        <v>7</v>
      </c>
      <c r="F4628" t="s">
        <v>7</v>
      </c>
      <c r="G4628" t="s">
        <v>7</v>
      </c>
      <c r="H4628">
        <v>53915.27</v>
      </c>
      <c r="I4628">
        <v>29159.91</v>
      </c>
      <c r="J4628">
        <v>0</v>
      </c>
    </row>
    <row r="4629" spans="1:10" x14ac:dyDescent="0.35">
      <c r="A4629">
        <v>322892</v>
      </c>
      <c r="B4629" t="s">
        <v>20</v>
      </c>
      <c r="C4629">
        <v>2015</v>
      </c>
      <c r="D4629">
        <v>7</v>
      </c>
      <c r="E4629" t="s">
        <v>7</v>
      </c>
      <c r="F4629" t="s">
        <v>7</v>
      </c>
      <c r="G4629" t="s">
        <v>7</v>
      </c>
      <c r="H4629">
        <v>44458.84</v>
      </c>
      <c r="I4629">
        <v>12706.71</v>
      </c>
      <c r="J4629">
        <v>0</v>
      </c>
    </row>
    <row r="4630" spans="1:10" x14ac:dyDescent="0.35">
      <c r="A4630">
        <v>322894</v>
      </c>
      <c r="B4630" t="s">
        <v>20</v>
      </c>
      <c r="C4630">
        <v>2015</v>
      </c>
      <c r="D4630">
        <v>7</v>
      </c>
      <c r="E4630" t="s">
        <v>7</v>
      </c>
      <c r="F4630" t="s">
        <v>7</v>
      </c>
      <c r="G4630" t="s">
        <v>7</v>
      </c>
      <c r="H4630">
        <v>20833.099999999999</v>
      </c>
      <c r="I4630">
        <v>6174.05</v>
      </c>
      <c r="J4630">
        <v>0</v>
      </c>
    </row>
    <row r="4631" spans="1:10" x14ac:dyDescent="0.35">
      <c r="A4631">
        <v>322895</v>
      </c>
      <c r="B4631" t="s">
        <v>20</v>
      </c>
      <c r="C4631">
        <v>2015</v>
      </c>
      <c r="D4631">
        <v>7</v>
      </c>
      <c r="E4631" t="s">
        <v>7</v>
      </c>
      <c r="F4631" t="s">
        <v>7</v>
      </c>
      <c r="G4631" t="s">
        <v>7</v>
      </c>
      <c r="H4631">
        <v>40173.08</v>
      </c>
      <c r="I4631">
        <v>11928.36</v>
      </c>
      <c r="J4631">
        <v>0</v>
      </c>
    </row>
    <row r="4632" spans="1:10" x14ac:dyDescent="0.35">
      <c r="A4632">
        <v>322896</v>
      </c>
      <c r="B4632" t="s">
        <v>20</v>
      </c>
      <c r="C4632">
        <v>2015</v>
      </c>
      <c r="D4632">
        <v>7</v>
      </c>
      <c r="E4632" t="s">
        <v>7</v>
      </c>
      <c r="F4632" t="s">
        <v>7</v>
      </c>
      <c r="G4632" t="s">
        <v>7</v>
      </c>
      <c r="H4632">
        <v>21820.04</v>
      </c>
      <c r="I4632">
        <v>6206.1</v>
      </c>
      <c r="J4632">
        <v>0</v>
      </c>
    </row>
    <row r="4633" spans="1:10" x14ac:dyDescent="0.35">
      <c r="A4633">
        <v>322897</v>
      </c>
      <c r="B4633" t="s">
        <v>20</v>
      </c>
      <c r="C4633">
        <v>2015</v>
      </c>
      <c r="D4633">
        <v>7</v>
      </c>
      <c r="E4633" t="s">
        <v>7</v>
      </c>
      <c r="F4633" t="s">
        <v>7</v>
      </c>
      <c r="G4633" t="s">
        <v>7</v>
      </c>
      <c r="H4633">
        <v>66940.28</v>
      </c>
      <c r="I4633">
        <v>47418.68</v>
      </c>
      <c r="J4633">
        <v>0</v>
      </c>
    </row>
    <row r="4634" spans="1:10" x14ac:dyDescent="0.35">
      <c r="A4634">
        <v>322898</v>
      </c>
      <c r="B4634" t="s">
        <v>20</v>
      </c>
      <c r="C4634">
        <v>2015</v>
      </c>
      <c r="D4634">
        <v>7</v>
      </c>
      <c r="E4634" t="s">
        <v>7</v>
      </c>
      <c r="F4634" t="s">
        <v>7</v>
      </c>
      <c r="G4634" t="s">
        <v>7</v>
      </c>
      <c r="H4634">
        <v>160926.07999999999</v>
      </c>
      <c r="I4634">
        <v>85171.95</v>
      </c>
      <c r="J4634">
        <v>0</v>
      </c>
    </row>
    <row r="4635" spans="1:10" x14ac:dyDescent="0.35">
      <c r="A4635">
        <v>322899</v>
      </c>
      <c r="B4635" t="s">
        <v>20</v>
      </c>
      <c r="C4635">
        <v>2015</v>
      </c>
      <c r="D4635">
        <v>7</v>
      </c>
      <c r="E4635" t="s">
        <v>7</v>
      </c>
      <c r="F4635" t="s">
        <v>7</v>
      </c>
      <c r="G4635" t="s">
        <v>7</v>
      </c>
      <c r="H4635">
        <v>27894.1</v>
      </c>
      <c r="I4635">
        <v>7685.19</v>
      </c>
      <c r="J4635">
        <v>0</v>
      </c>
    </row>
    <row r="4636" spans="1:10" x14ac:dyDescent="0.35">
      <c r="A4636">
        <v>322901</v>
      </c>
      <c r="B4636" t="s">
        <v>20</v>
      </c>
      <c r="C4636">
        <v>2015</v>
      </c>
      <c r="D4636">
        <v>7</v>
      </c>
      <c r="E4636" t="s">
        <v>7</v>
      </c>
      <c r="F4636" t="s">
        <v>7</v>
      </c>
      <c r="G4636" t="s">
        <v>7</v>
      </c>
      <c r="H4636">
        <v>14411.3</v>
      </c>
      <c r="I4636">
        <v>3282.87</v>
      </c>
      <c r="J4636">
        <v>0</v>
      </c>
    </row>
    <row r="4637" spans="1:10" x14ac:dyDescent="0.35">
      <c r="A4637">
        <v>322903</v>
      </c>
      <c r="B4637" t="s">
        <v>20</v>
      </c>
      <c r="C4637">
        <v>2015</v>
      </c>
      <c r="D4637">
        <v>7</v>
      </c>
      <c r="E4637" t="s">
        <v>7</v>
      </c>
      <c r="F4637" t="s">
        <v>7</v>
      </c>
      <c r="G4637" t="s">
        <v>7</v>
      </c>
      <c r="H4637">
        <v>18651.759999999998</v>
      </c>
      <c r="I4637">
        <v>5345.81</v>
      </c>
      <c r="J4637">
        <v>0</v>
      </c>
    </row>
    <row r="4638" spans="1:10" x14ac:dyDescent="0.35">
      <c r="A4638">
        <v>322904</v>
      </c>
      <c r="B4638" t="s">
        <v>20</v>
      </c>
      <c r="C4638">
        <v>2015</v>
      </c>
      <c r="D4638">
        <v>7</v>
      </c>
      <c r="E4638" t="s">
        <v>7</v>
      </c>
      <c r="F4638" t="s">
        <v>7</v>
      </c>
      <c r="G4638" t="s">
        <v>7</v>
      </c>
      <c r="H4638">
        <v>20819.18</v>
      </c>
      <c r="I4638">
        <v>4973.84</v>
      </c>
      <c r="J4638">
        <v>0</v>
      </c>
    </row>
    <row r="4639" spans="1:10" x14ac:dyDescent="0.35">
      <c r="A4639">
        <v>322905</v>
      </c>
      <c r="B4639" t="s">
        <v>20</v>
      </c>
      <c r="C4639">
        <v>2015</v>
      </c>
      <c r="D4639">
        <v>7</v>
      </c>
      <c r="E4639" t="s">
        <v>7</v>
      </c>
      <c r="F4639" t="s">
        <v>7</v>
      </c>
      <c r="G4639" t="s">
        <v>7</v>
      </c>
      <c r="H4639">
        <v>14395.68</v>
      </c>
      <c r="I4639">
        <v>3096.35</v>
      </c>
      <c r="J4639">
        <v>0</v>
      </c>
    </row>
    <row r="4640" spans="1:10" x14ac:dyDescent="0.35">
      <c r="A4640">
        <v>322906</v>
      </c>
      <c r="B4640" t="s">
        <v>20</v>
      </c>
      <c r="C4640">
        <v>2015</v>
      </c>
      <c r="D4640">
        <v>7</v>
      </c>
      <c r="E4640" t="s">
        <v>7</v>
      </c>
      <c r="F4640" t="s">
        <v>7</v>
      </c>
      <c r="G4640" t="s">
        <v>7</v>
      </c>
      <c r="H4640">
        <v>55448.5</v>
      </c>
      <c r="I4640">
        <v>24980.959999999999</v>
      </c>
      <c r="J4640">
        <v>0</v>
      </c>
    </row>
    <row r="4641" spans="1:10" x14ac:dyDescent="0.35">
      <c r="A4641">
        <v>322907</v>
      </c>
      <c r="B4641" t="s">
        <v>20</v>
      </c>
      <c r="C4641">
        <v>2015</v>
      </c>
      <c r="D4641">
        <v>7</v>
      </c>
      <c r="E4641" t="s">
        <v>7</v>
      </c>
      <c r="F4641" t="s">
        <v>7</v>
      </c>
      <c r="G4641" t="s">
        <v>7</v>
      </c>
      <c r="H4641">
        <v>28039.1</v>
      </c>
      <c r="I4641">
        <v>6832.79</v>
      </c>
      <c r="J4641">
        <v>0</v>
      </c>
    </row>
    <row r="4642" spans="1:10" x14ac:dyDescent="0.35">
      <c r="A4642">
        <v>322908</v>
      </c>
      <c r="B4642" t="s">
        <v>20</v>
      </c>
      <c r="C4642">
        <v>2015</v>
      </c>
      <c r="D4642">
        <v>7</v>
      </c>
      <c r="E4642" t="s">
        <v>7</v>
      </c>
      <c r="F4642" t="s">
        <v>7</v>
      </c>
      <c r="G4642" t="s">
        <v>7</v>
      </c>
      <c r="H4642">
        <v>159059</v>
      </c>
      <c r="I4642">
        <v>110976.13</v>
      </c>
      <c r="J4642">
        <v>0</v>
      </c>
    </row>
    <row r="4643" spans="1:10" x14ac:dyDescent="0.35">
      <c r="A4643">
        <v>322909</v>
      </c>
      <c r="B4643" t="s">
        <v>20</v>
      </c>
      <c r="C4643">
        <v>2015</v>
      </c>
      <c r="D4643">
        <v>7</v>
      </c>
      <c r="E4643" t="s">
        <v>7</v>
      </c>
      <c r="F4643" t="s">
        <v>7</v>
      </c>
      <c r="G4643" t="s">
        <v>7</v>
      </c>
      <c r="H4643">
        <v>26883.82</v>
      </c>
      <c r="I4643">
        <v>8654.33</v>
      </c>
      <c r="J4643">
        <v>0</v>
      </c>
    </row>
    <row r="4644" spans="1:10" x14ac:dyDescent="0.35">
      <c r="A4644">
        <v>322911</v>
      </c>
      <c r="B4644" t="s">
        <v>20</v>
      </c>
      <c r="C4644">
        <v>2015</v>
      </c>
      <c r="D4644">
        <v>7</v>
      </c>
      <c r="E4644" t="s">
        <v>7</v>
      </c>
      <c r="F4644" t="s">
        <v>7</v>
      </c>
      <c r="G4644" t="s">
        <v>7</v>
      </c>
      <c r="H4644">
        <v>24325.78</v>
      </c>
      <c r="I4644">
        <v>7128.39</v>
      </c>
      <c r="J4644">
        <v>0</v>
      </c>
    </row>
    <row r="4645" spans="1:10" x14ac:dyDescent="0.35">
      <c r="A4645">
        <v>322913</v>
      </c>
      <c r="B4645" t="s">
        <v>20</v>
      </c>
      <c r="C4645">
        <v>2015</v>
      </c>
      <c r="D4645">
        <v>7</v>
      </c>
      <c r="E4645" t="s">
        <v>7</v>
      </c>
      <c r="F4645" t="s">
        <v>7</v>
      </c>
      <c r="G4645" t="s">
        <v>7</v>
      </c>
      <c r="H4645">
        <v>25152.98</v>
      </c>
      <c r="I4645">
        <v>8493.8799999999992</v>
      </c>
      <c r="J4645">
        <v>0</v>
      </c>
    </row>
    <row r="4646" spans="1:10" x14ac:dyDescent="0.35">
      <c r="A4646">
        <v>322916</v>
      </c>
      <c r="B4646" t="s">
        <v>20</v>
      </c>
      <c r="C4646">
        <v>2015</v>
      </c>
      <c r="D4646">
        <v>7</v>
      </c>
      <c r="E4646" t="s">
        <v>7</v>
      </c>
      <c r="F4646" t="s">
        <v>7</v>
      </c>
      <c r="G4646" t="s">
        <v>7</v>
      </c>
      <c r="H4646">
        <v>35728.82</v>
      </c>
      <c r="I4646">
        <v>10794.42</v>
      </c>
      <c r="J4646">
        <v>0</v>
      </c>
    </row>
    <row r="4647" spans="1:10" x14ac:dyDescent="0.35">
      <c r="A4647">
        <v>322918</v>
      </c>
      <c r="B4647" t="s">
        <v>20</v>
      </c>
      <c r="C4647">
        <v>2015</v>
      </c>
      <c r="D4647">
        <v>7</v>
      </c>
      <c r="E4647" t="s">
        <v>7</v>
      </c>
      <c r="F4647" t="s">
        <v>7</v>
      </c>
      <c r="G4647" t="s">
        <v>7</v>
      </c>
      <c r="H4647">
        <v>42154.68</v>
      </c>
      <c r="I4647">
        <v>18495.28</v>
      </c>
      <c r="J4647">
        <v>0</v>
      </c>
    </row>
    <row r="4648" spans="1:10" x14ac:dyDescent="0.35">
      <c r="A4648">
        <v>322920</v>
      </c>
      <c r="B4648" t="s">
        <v>20</v>
      </c>
      <c r="C4648">
        <v>2015</v>
      </c>
      <c r="D4648">
        <v>7</v>
      </c>
      <c r="E4648" t="s">
        <v>7</v>
      </c>
      <c r="F4648" t="s">
        <v>7</v>
      </c>
      <c r="G4648" t="s">
        <v>7</v>
      </c>
      <c r="H4648">
        <v>24827.96</v>
      </c>
      <c r="I4648">
        <v>6129.76</v>
      </c>
      <c r="J4648">
        <v>0</v>
      </c>
    </row>
    <row r="4649" spans="1:10" x14ac:dyDescent="0.35">
      <c r="A4649">
        <v>322922</v>
      </c>
      <c r="B4649" t="s">
        <v>20</v>
      </c>
      <c r="C4649">
        <v>2015</v>
      </c>
      <c r="D4649">
        <v>7</v>
      </c>
      <c r="E4649" t="s">
        <v>7</v>
      </c>
      <c r="F4649" t="s">
        <v>7</v>
      </c>
      <c r="G4649" t="s">
        <v>7</v>
      </c>
      <c r="H4649">
        <v>31065.16</v>
      </c>
      <c r="I4649">
        <v>8638</v>
      </c>
      <c r="J4649">
        <v>0</v>
      </c>
    </row>
    <row r="4650" spans="1:10" x14ac:dyDescent="0.35">
      <c r="A4650">
        <v>322923</v>
      </c>
      <c r="B4650" t="s">
        <v>20</v>
      </c>
      <c r="C4650">
        <v>2015</v>
      </c>
      <c r="D4650">
        <v>7</v>
      </c>
      <c r="E4650" t="s">
        <v>7</v>
      </c>
      <c r="F4650" t="s">
        <v>7</v>
      </c>
      <c r="G4650" t="s">
        <v>7</v>
      </c>
      <c r="H4650">
        <v>33409.06</v>
      </c>
      <c r="I4650">
        <v>9019.66</v>
      </c>
      <c r="J4650">
        <v>0</v>
      </c>
    </row>
    <row r="4651" spans="1:10" x14ac:dyDescent="0.35">
      <c r="A4651">
        <v>322925</v>
      </c>
      <c r="B4651" t="s">
        <v>20</v>
      </c>
      <c r="C4651">
        <v>2015</v>
      </c>
      <c r="D4651">
        <v>7</v>
      </c>
      <c r="E4651" t="s">
        <v>7</v>
      </c>
      <c r="F4651" t="s">
        <v>7</v>
      </c>
      <c r="G4651" t="s">
        <v>7</v>
      </c>
      <c r="H4651">
        <v>22970</v>
      </c>
      <c r="I4651">
        <v>7489</v>
      </c>
      <c r="J4651">
        <v>0</v>
      </c>
    </row>
    <row r="4652" spans="1:10" x14ac:dyDescent="0.35">
      <c r="A4652">
        <v>322927</v>
      </c>
      <c r="B4652" t="s">
        <v>20</v>
      </c>
      <c r="C4652">
        <v>2015</v>
      </c>
      <c r="D4652">
        <v>7</v>
      </c>
      <c r="E4652" t="s">
        <v>7</v>
      </c>
      <c r="F4652" t="s">
        <v>7</v>
      </c>
      <c r="G4652" t="s">
        <v>7</v>
      </c>
      <c r="H4652">
        <v>44115.839999999997</v>
      </c>
      <c r="I4652">
        <v>12977.45</v>
      </c>
      <c r="J4652">
        <v>0</v>
      </c>
    </row>
    <row r="4653" spans="1:10" x14ac:dyDescent="0.35">
      <c r="A4653">
        <v>322929</v>
      </c>
      <c r="B4653" t="s">
        <v>20</v>
      </c>
      <c r="C4653">
        <v>2015</v>
      </c>
      <c r="D4653">
        <v>7</v>
      </c>
      <c r="E4653" t="s">
        <v>7</v>
      </c>
      <c r="F4653" t="s">
        <v>7</v>
      </c>
      <c r="G4653" t="s">
        <v>7</v>
      </c>
      <c r="H4653">
        <v>31504.7</v>
      </c>
      <c r="I4653">
        <v>10300.530000000001</v>
      </c>
      <c r="J4653">
        <v>0</v>
      </c>
    </row>
    <row r="4654" spans="1:10" x14ac:dyDescent="0.35">
      <c r="A4654">
        <v>322931</v>
      </c>
      <c r="B4654" t="s">
        <v>20</v>
      </c>
      <c r="C4654">
        <v>2015</v>
      </c>
      <c r="D4654">
        <v>7</v>
      </c>
      <c r="E4654" t="s">
        <v>7</v>
      </c>
      <c r="F4654" t="s">
        <v>7</v>
      </c>
      <c r="G4654" t="s">
        <v>7</v>
      </c>
      <c r="H4654">
        <v>12535.56</v>
      </c>
      <c r="I4654">
        <v>2672.74</v>
      </c>
      <c r="J4654">
        <v>0</v>
      </c>
    </row>
    <row r="4655" spans="1:10" x14ac:dyDescent="0.35">
      <c r="A4655">
        <v>322932</v>
      </c>
      <c r="B4655" t="s">
        <v>20</v>
      </c>
      <c r="C4655">
        <v>2015</v>
      </c>
      <c r="D4655">
        <v>7</v>
      </c>
      <c r="E4655" t="s">
        <v>7</v>
      </c>
      <c r="F4655" t="s">
        <v>7</v>
      </c>
      <c r="G4655" t="s">
        <v>7</v>
      </c>
      <c r="H4655">
        <v>43905.02</v>
      </c>
      <c r="I4655">
        <v>12835.56</v>
      </c>
      <c r="J4655">
        <v>0</v>
      </c>
    </row>
    <row r="4656" spans="1:10" x14ac:dyDescent="0.35">
      <c r="A4656">
        <v>322934</v>
      </c>
      <c r="B4656" t="s">
        <v>20</v>
      </c>
      <c r="C4656">
        <v>2015</v>
      </c>
      <c r="D4656">
        <v>7</v>
      </c>
      <c r="E4656" t="s">
        <v>7</v>
      </c>
      <c r="F4656" t="s">
        <v>7</v>
      </c>
      <c r="G4656" t="s">
        <v>7</v>
      </c>
      <c r="H4656">
        <v>36548.54</v>
      </c>
      <c r="I4656">
        <v>9595.4699999999993</v>
      </c>
      <c r="J4656">
        <v>0</v>
      </c>
    </row>
    <row r="4657" spans="1:10" x14ac:dyDescent="0.35">
      <c r="A4657">
        <v>322935</v>
      </c>
      <c r="B4657" t="s">
        <v>20</v>
      </c>
      <c r="C4657">
        <v>2015</v>
      </c>
      <c r="D4657">
        <v>7</v>
      </c>
      <c r="E4657" t="s">
        <v>7</v>
      </c>
      <c r="F4657" t="s">
        <v>7</v>
      </c>
      <c r="G4657" t="s">
        <v>7</v>
      </c>
      <c r="H4657">
        <v>40424.120000000003</v>
      </c>
      <c r="I4657">
        <v>11495.82</v>
      </c>
      <c r="J4657">
        <v>0</v>
      </c>
    </row>
    <row r="4658" spans="1:10" x14ac:dyDescent="0.35">
      <c r="A4658">
        <v>322937</v>
      </c>
      <c r="B4658" t="s">
        <v>20</v>
      </c>
      <c r="C4658">
        <v>2015</v>
      </c>
      <c r="D4658">
        <v>7</v>
      </c>
      <c r="E4658" t="s">
        <v>7</v>
      </c>
      <c r="F4658" t="s">
        <v>7</v>
      </c>
      <c r="G4658" t="s">
        <v>7</v>
      </c>
      <c r="H4658">
        <v>7583.2</v>
      </c>
      <c r="I4658">
        <v>2263.42</v>
      </c>
      <c r="J4658">
        <v>0</v>
      </c>
    </row>
    <row r="4659" spans="1:10" x14ac:dyDescent="0.35">
      <c r="A4659">
        <v>322940</v>
      </c>
      <c r="B4659" t="s">
        <v>20</v>
      </c>
      <c r="C4659">
        <v>2015</v>
      </c>
      <c r="D4659">
        <v>7</v>
      </c>
      <c r="E4659" t="s">
        <v>7</v>
      </c>
      <c r="F4659" t="s">
        <v>7</v>
      </c>
      <c r="G4659" t="s">
        <v>7</v>
      </c>
      <c r="H4659">
        <v>22785.02</v>
      </c>
      <c r="I4659">
        <v>6392.43</v>
      </c>
      <c r="J4659">
        <v>0</v>
      </c>
    </row>
    <row r="4660" spans="1:10" x14ac:dyDescent="0.35">
      <c r="A4660">
        <v>322941</v>
      </c>
      <c r="B4660" t="s">
        <v>20</v>
      </c>
      <c r="C4660">
        <v>2015</v>
      </c>
      <c r="D4660">
        <v>7</v>
      </c>
      <c r="E4660" t="s">
        <v>7</v>
      </c>
      <c r="F4660" t="s">
        <v>7</v>
      </c>
      <c r="G4660" t="s">
        <v>7</v>
      </c>
      <c r="H4660">
        <v>20080</v>
      </c>
      <c r="I4660">
        <v>6032.53</v>
      </c>
      <c r="J4660">
        <v>0</v>
      </c>
    </row>
    <row r="4661" spans="1:10" x14ac:dyDescent="0.35">
      <c r="A4661">
        <v>322942</v>
      </c>
      <c r="B4661" t="s">
        <v>20</v>
      </c>
      <c r="C4661">
        <v>2015</v>
      </c>
      <c r="D4661">
        <v>7</v>
      </c>
      <c r="E4661" t="s">
        <v>7</v>
      </c>
      <c r="F4661" t="s">
        <v>7</v>
      </c>
      <c r="G4661" t="s">
        <v>7</v>
      </c>
      <c r="H4661">
        <v>19284.5</v>
      </c>
      <c r="I4661">
        <v>4791.63</v>
      </c>
      <c r="J4661">
        <v>0</v>
      </c>
    </row>
    <row r="4662" spans="1:10" x14ac:dyDescent="0.35">
      <c r="A4662">
        <v>322943</v>
      </c>
      <c r="B4662" t="s">
        <v>20</v>
      </c>
      <c r="C4662">
        <v>2015</v>
      </c>
      <c r="D4662">
        <v>7</v>
      </c>
      <c r="E4662" t="s">
        <v>7</v>
      </c>
      <c r="F4662" t="s">
        <v>7</v>
      </c>
      <c r="G4662" t="s">
        <v>7</v>
      </c>
      <c r="H4662">
        <v>72070.490000000005</v>
      </c>
      <c r="I4662">
        <v>52349.48</v>
      </c>
      <c r="J4662">
        <v>0</v>
      </c>
    </row>
    <row r="4663" spans="1:10" x14ac:dyDescent="0.35">
      <c r="A4663">
        <v>322945</v>
      </c>
      <c r="B4663" t="s">
        <v>20</v>
      </c>
      <c r="C4663">
        <v>2015</v>
      </c>
      <c r="D4663">
        <v>7</v>
      </c>
      <c r="E4663" t="s">
        <v>7</v>
      </c>
      <c r="F4663" t="s">
        <v>7</v>
      </c>
      <c r="G4663" t="s">
        <v>7</v>
      </c>
      <c r="H4663">
        <v>61830.18</v>
      </c>
      <c r="I4663">
        <v>19664.71</v>
      </c>
      <c r="J4663">
        <v>0</v>
      </c>
    </row>
    <row r="4664" spans="1:10" x14ac:dyDescent="0.35">
      <c r="A4664">
        <v>322946</v>
      </c>
      <c r="B4664" t="s">
        <v>20</v>
      </c>
      <c r="C4664">
        <v>2015</v>
      </c>
      <c r="D4664">
        <v>7</v>
      </c>
      <c r="E4664" t="s">
        <v>7</v>
      </c>
      <c r="F4664" t="s">
        <v>7</v>
      </c>
      <c r="G4664" t="s">
        <v>7</v>
      </c>
      <c r="H4664">
        <v>117737.58</v>
      </c>
      <c r="I4664">
        <v>33949.15</v>
      </c>
      <c r="J4664">
        <v>0</v>
      </c>
    </row>
    <row r="4665" spans="1:10" x14ac:dyDescent="0.35">
      <c r="A4665">
        <v>322947</v>
      </c>
      <c r="B4665" t="s">
        <v>20</v>
      </c>
      <c r="C4665">
        <v>2015</v>
      </c>
      <c r="D4665">
        <v>7</v>
      </c>
      <c r="E4665" t="s">
        <v>7</v>
      </c>
      <c r="F4665" t="s">
        <v>7</v>
      </c>
      <c r="G4665" t="s">
        <v>7</v>
      </c>
      <c r="H4665">
        <v>26782.639999999999</v>
      </c>
      <c r="I4665">
        <v>8228.1299999999992</v>
      </c>
      <c r="J4665">
        <v>0</v>
      </c>
    </row>
    <row r="4666" spans="1:10" x14ac:dyDescent="0.35">
      <c r="A4666">
        <v>322952</v>
      </c>
      <c r="B4666" t="s">
        <v>20</v>
      </c>
      <c r="C4666">
        <v>2015</v>
      </c>
      <c r="D4666">
        <v>7</v>
      </c>
      <c r="E4666" t="s">
        <v>7</v>
      </c>
      <c r="F4666" t="s">
        <v>7</v>
      </c>
      <c r="G4666" t="s">
        <v>7</v>
      </c>
      <c r="H4666">
        <v>13146.14</v>
      </c>
      <c r="I4666">
        <v>2613.84</v>
      </c>
      <c r="J4666">
        <v>0</v>
      </c>
    </row>
    <row r="4667" spans="1:10" x14ac:dyDescent="0.35">
      <c r="A4667">
        <v>322954</v>
      </c>
      <c r="B4667" t="s">
        <v>20</v>
      </c>
      <c r="C4667">
        <v>2015</v>
      </c>
      <c r="D4667">
        <v>7</v>
      </c>
      <c r="E4667" t="s">
        <v>7</v>
      </c>
      <c r="F4667" t="s">
        <v>7</v>
      </c>
      <c r="G4667" t="s">
        <v>7</v>
      </c>
      <c r="H4667">
        <v>21479.26</v>
      </c>
      <c r="I4667">
        <v>5106.3999999999996</v>
      </c>
      <c r="J4667">
        <v>0</v>
      </c>
    </row>
    <row r="4668" spans="1:10" x14ac:dyDescent="0.35">
      <c r="A4668">
        <v>322955</v>
      </c>
      <c r="B4668" t="s">
        <v>20</v>
      </c>
      <c r="C4668">
        <v>2015</v>
      </c>
      <c r="D4668">
        <v>7</v>
      </c>
      <c r="E4668" t="s">
        <v>7</v>
      </c>
      <c r="F4668" t="s">
        <v>7</v>
      </c>
      <c r="G4668" t="s">
        <v>7</v>
      </c>
      <c r="H4668">
        <v>15367.54</v>
      </c>
      <c r="I4668">
        <v>4354.32</v>
      </c>
      <c r="J4668">
        <v>0</v>
      </c>
    </row>
    <row r="4669" spans="1:10" x14ac:dyDescent="0.35">
      <c r="A4669">
        <v>322957</v>
      </c>
      <c r="B4669" t="s">
        <v>20</v>
      </c>
      <c r="C4669">
        <v>2015</v>
      </c>
      <c r="D4669">
        <v>7</v>
      </c>
      <c r="E4669" t="s">
        <v>7</v>
      </c>
      <c r="F4669" t="s">
        <v>7</v>
      </c>
      <c r="G4669" t="s">
        <v>7</v>
      </c>
      <c r="H4669">
        <v>17452.12</v>
      </c>
      <c r="I4669">
        <v>5192</v>
      </c>
      <c r="J4669">
        <v>0</v>
      </c>
    </row>
    <row r="4670" spans="1:10" x14ac:dyDescent="0.35">
      <c r="A4670">
        <v>322959</v>
      </c>
      <c r="B4670" t="s">
        <v>20</v>
      </c>
      <c r="C4670">
        <v>2015</v>
      </c>
      <c r="D4670">
        <v>7</v>
      </c>
      <c r="E4670" t="s">
        <v>7</v>
      </c>
      <c r="F4670" t="s">
        <v>7</v>
      </c>
      <c r="G4670" t="s">
        <v>7</v>
      </c>
      <c r="H4670">
        <v>55676.18</v>
      </c>
      <c r="I4670">
        <v>17724.990000000002</v>
      </c>
      <c r="J4670">
        <v>0</v>
      </c>
    </row>
    <row r="4671" spans="1:10" x14ac:dyDescent="0.35">
      <c r="A4671">
        <v>322960</v>
      </c>
      <c r="B4671" t="s">
        <v>20</v>
      </c>
      <c r="C4671">
        <v>2015</v>
      </c>
      <c r="D4671">
        <v>7</v>
      </c>
      <c r="E4671" t="s">
        <v>7</v>
      </c>
      <c r="F4671" t="s">
        <v>7</v>
      </c>
      <c r="G4671" t="s">
        <v>7</v>
      </c>
      <c r="H4671">
        <v>33920.400000000001</v>
      </c>
      <c r="I4671">
        <v>9233.64</v>
      </c>
      <c r="J4671">
        <v>0</v>
      </c>
    </row>
    <row r="4672" spans="1:10" x14ac:dyDescent="0.35">
      <c r="A4672">
        <v>322961</v>
      </c>
      <c r="B4672" t="s">
        <v>20</v>
      </c>
      <c r="C4672">
        <v>2015</v>
      </c>
      <c r="D4672">
        <v>7</v>
      </c>
      <c r="E4672" t="s">
        <v>7</v>
      </c>
      <c r="F4672" t="s">
        <v>7</v>
      </c>
      <c r="G4672" t="s">
        <v>7</v>
      </c>
      <c r="H4672">
        <v>72253.58</v>
      </c>
      <c r="I4672">
        <v>21590.33</v>
      </c>
      <c r="J4672">
        <v>0</v>
      </c>
    </row>
    <row r="4673" spans="1:10" x14ac:dyDescent="0.35">
      <c r="A4673">
        <v>322964</v>
      </c>
      <c r="B4673" t="s">
        <v>20</v>
      </c>
      <c r="C4673">
        <v>2015</v>
      </c>
      <c r="D4673">
        <v>7</v>
      </c>
      <c r="E4673" t="s">
        <v>7</v>
      </c>
      <c r="F4673" t="s">
        <v>7</v>
      </c>
      <c r="G4673" t="s">
        <v>7</v>
      </c>
      <c r="H4673">
        <v>125470.28</v>
      </c>
      <c r="I4673">
        <v>53060.08</v>
      </c>
      <c r="J4673">
        <v>0</v>
      </c>
    </row>
    <row r="4674" spans="1:10" x14ac:dyDescent="0.35">
      <c r="A4674">
        <v>322965</v>
      </c>
      <c r="B4674" t="s">
        <v>20</v>
      </c>
      <c r="C4674">
        <v>2015</v>
      </c>
      <c r="D4674">
        <v>7</v>
      </c>
      <c r="E4674" t="s">
        <v>7</v>
      </c>
      <c r="F4674" t="s">
        <v>7</v>
      </c>
      <c r="G4674" t="s">
        <v>7</v>
      </c>
      <c r="H4674">
        <v>62532.4</v>
      </c>
      <c r="I4674">
        <v>18752.32</v>
      </c>
      <c r="J4674">
        <v>0</v>
      </c>
    </row>
    <row r="4675" spans="1:10" x14ac:dyDescent="0.35">
      <c r="A4675">
        <v>322967</v>
      </c>
      <c r="B4675" t="s">
        <v>20</v>
      </c>
      <c r="C4675">
        <v>2015</v>
      </c>
      <c r="D4675">
        <v>7</v>
      </c>
      <c r="E4675" t="s">
        <v>7</v>
      </c>
      <c r="F4675" t="s">
        <v>7</v>
      </c>
      <c r="G4675" t="s">
        <v>7</v>
      </c>
      <c r="H4675">
        <v>11268.78</v>
      </c>
      <c r="I4675">
        <v>2857.56</v>
      </c>
      <c r="J4675">
        <v>0</v>
      </c>
    </row>
    <row r="4676" spans="1:10" x14ac:dyDescent="0.35">
      <c r="A4676">
        <v>322968</v>
      </c>
      <c r="B4676" t="s">
        <v>20</v>
      </c>
      <c r="C4676">
        <v>2015</v>
      </c>
      <c r="D4676">
        <v>7</v>
      </c>
      <c r="E4676" t="s">
        <v>7</v>
      </c>
      <c r="F4676" t="s">
        <v>7</v>
      </c>
      <c r="G4676" t="s">
        <v>7</v>
      </c>
      <c r="H4676">
        <v>49903.76</v>
      </c>
      <c r="I4676">
        <v>32299.97</v>
      </c>
      <c r="J4676">
        <v>0</v>
      </c>
    </row>
    <row r="4677" spans="1:10" x14ac:dyDescent="0.35">
      <c r="A4677">
        <v>322969</v>
      </c>
      <c r="B4677" t="s">
        <v>20</v>
      </c>
      <c r="C4677">
        <v>2015</v>
      </c>
      <c r="D4677">
        <v>7</v>
      </c>
      <c r="E4677" t="s">
        <v>7</v>
      </c>
      <c r="F4677" t="s">
        <v>7</v>
      </c>
      <c r="G4677" t="s">
        <v>7</v>
      </c>
      <c r="H4677">
        <v>20677.82</v>
      </c>
      <c r="I4677">
        <v>5002.09</v>
      </c>
      <c r="J4677">
        <v>0</v>
      </c>
    </row>
    <row r="4678" spans="1:10" x14ac:dyDescent="0.35">
      <c r="A4678">
        <v>322971</v>
      </c>
      <c r="B4678" t="s">
        <v>20</v>
      </c>
      <c r="C4678">
        <v>2015</v>
      </c>
      <c r="D4678">
        <v>7</v>
      </c>
      <c r="E4678" t="s">
        <v>7</v>
      </c>
      <c r="F4678" t="s">
        <v>7</v>
      </c>
      <c r="G4678" t="s">
        <v>7</v>
      </c>
      <c r="H4678">
        <v>24516.78</v>
      </c>
      <c r="I4678">
        <v>6635.65</v>
      </c>
      <c r="J4678">
        <v>0</v>
      </c>
    </row>
    <row r="4679" spans="1:10" x14ac:dyDescent="0.35">
      <c r="A4679">
        <v>322973</v>
      </c>
      <c r="B4679" t="s">
        <v>20</v>
      </c>
      <c r="C4679">
        <v>2015</v>
      </c>
      <c r="D4679">
        <v>7</v>
      </c>
      <c r="E4679" t="s">
        <v>7</v>
      </c>
      <c r="F4679" t="s">
        <v>7</v>
      </c>
      <c r="G4679" t="s">
        <v>7</v>
      </c>
      <c r="H4679">
        <v>131391.96</v>
      </c>
      <c r="I4679">
        <v>82580.08</v>
      </c>
      <c r="J4679">
        <v>0</v>
      </c>
    </row>
    <row r="4680" spans="1:10" x14ac:dyDescent="0.35">
      <c r="A4680">
        <v>322975</v>
      </c>
      <c r="B4680" t="s">
        <v>20</v>
      </c>
      <c r="C4680">
        <v>2015</v>
      </c>
      <c r="D4680">
        <v>7</v>
      </c>
      <c r="E4680" t="s">
        <v>7</v>
      </c>
      <c r="F4680" t="s">
        <v>7</v>
      </c>
      <c r="G4680" t="s">
        <v>7</v>
      </c>
      <c r="H4680">
        <v>18461.12</v>
      </c>
      <c r="I4680">
        <v>4815.25</v>
      </c>
      <c r="J4680">
        <v>0</v>
      </c>
    </row>
    <row r="4681" spans="1:10" x14ac:dyDescent="0.35">
      <c r="A4681">
        <v>322976</v>
      </c>
      <c r="B4681" t="s">
        <v>20</v>
      </c>
      <c r="C4681">
        <v>2015</v>
      </c>
      <c r="D4681">
        <v>7</v>
      </c>
      <c r="E4681" t="s">
        <v>7</v>
      </c>
      <c r="F4681" t="s">
        <v>7</v>
      </c>
      <c r="G4681" t="s">
        <v>7</v>
      </c>
      <c r="H4681">
        <v>103778.72</v>
      </c>
      <c r="I4681">
        <v>77152.55</v>
      </c>
      <c r="J4681">
        <v>0</v>
      </c>
    </row>
    <row r="4682" spans="1:10" x14ac:dyDescent="0.35">
      <c r="A4682">
        <v>322977</v>
      </c>
      <c r="B4682" t="s">
        <v>20</v>
      </c>
      <c r="C4682">
        <v>2015</v>
      </c>
      <c r="D4682">
        <v>7</v>
      </c>
      <c r="E4682" t="s">
        <v>7</v>
      </c>
      <c r="F4682" t="s">
        <v>7</v>
      </c>
      <c r="G4682" t="s">
        <v>7</v>
      </c>
      <c r="H4682">
        <v>26621.200000000001</v>
      </c>
      <c r="I4682">
        <v>7560.58</v>
      </c>
      <c r="J4682">
        <v>0</v>
      </c>
    </row>
    <row r="4683" spans="1:10" x14ac:dyDescent="0.35">
      <c r="A4683">
        <v>322978</v>
      </c>
      <c r="B4683" t="s">
        <v>20</v>
      </c>
      <c r="C4683">
        <v>2015</v>
      </c>
      <c r="D4683">
        <v>7</v>
      </c>
      <c r="E4683" t="s">
        <v>7</v>
      </c>
      <c r="F4683" t="s">
        <v>7</v>
      </c>
      <c r="G4683" t="s">
        <v>7</v>
      </c>
      <c r="H4683">
        <v>25223.72</v>
      </c>
      <c r="I4683">
        <v>6853.16</v>
      </c>
      <c r="J4683">
        <v>0</v>
      </c>
    </row>
    <row r="4684" spans="1:10" x14ac:dyDescent="0.35">
      <c r="A4684">
        <v>322979</v>
      </c>
      <c r="B4684" t="s">
        <v>20</v>
      </c>
      <c r="C4684">
        <v>2015</v>
      </c>
      <c r="D4684">
        <v>7</v>
      </c>
      <c r="E4684" t="s">
        <v>7</v>
      </c>
      <c r="F4684" t="s">
        <v>7</v>
      </c>
      <c r="G4684" t="s">
        <v>7</v>
      </c>
      <c r="H4684">
        <v>18579.72</v>
      </c>
      <c r="I4684">
        <v>5237.43</v>
      </c>
      <c r="J4684">
        <v>0</v>
      </c>
    </row>
    <row r="4685" spans="1:10" x14ac:dyDescent="0.35">
      <c r="A4685">
        <v>322980</v>
      </c>
      <c r="B4685" t="s">
        <v>20</v>
      </c>
      <c r="C4685">
        <v>2015</v>
      </c>
      <c r="D4685">
        <v>7</v>
      </c>
      <c r="E4685" t="s">
        <v>7</v>
      </c>
      <c r="F4685" t="s">
        <v>7</v>
      </c>
      <c r="G4685" t="s">
        <v>7</v>
      </c>
      <c r="H4685">
        <v>26855.64</v>
      </c>
      <c r="I4685">
        <v>14133.56</v>
      </c>
      <c r="J4685">
        <v>0</v>
      </c>
    </row>
    <row r="4686" spans="1:10" x14ac:dyDescent="0.35">
      <c r="A4686">
        <v>322982</v>
      </c>
      <c r="B4686" t="s">
        <v>20</v>
      </c>
      <c r="C4686">
        <v>2015</v>
      </c>
      <c r="D4686">
        <v>7</v>
      </c>
      <c r="E4686" t="s">
        <v>7</v>
      </c>
      <c r="F4686" t="s">
        <v>7</v>
      </c>
      <c r="G4686" t="s">
        <v>7</v>
      </c>
      <c r="H4686">
        <v>50152.480000000003</v>
      </c>
      <c r="I4686">
        <v>15227.01</v>
      </c>
      <c r="J4686">
        <v>0</v>
      </c>
    </row>
    <row r="4687" spans="1:10" x14ac:dyDescent="0.35">
      <c r="A4687">
        <v>322984</v>
      </c>
      <c r="B4687" t="s">
        <v>20</v>
      </c>
      <c r="C4687">
        <v>2015</v>
      </c>
      <c r="D4687">
        <v>7</v>
      </c>
      <c r="E4687" t="s">
        <v>7</v>
      </c>
      <c r="F4687" t="s">
        <v>7</v>
      </c>
      <c r="G4687" t="s">
        <v>7</v>
      </c>
      <c r="H4687">
        <v>29721.56</v>
      </c>
      <c r="I4687">
        <v>15033.08</v>
      </c>
      <c r="J4687">
        <v>0</v>
      </c>
    </row>
    <row r="4688" spans="1:10" x14ac:dyDescent="0.35">
      <c r="A4688">
        <v>322988</v>
      </c>
      <c r="B4688" t="s">
        <v>20</v>
      </c>
      <c r="C4688">
        <v>2015</v>
      </c>
      <c r="D4688">
        <v>7</v>
      </c>
      <c r="E4688" t="s">
        <v>7</v>
      </c>
      <c r="F4688" t="s">
        <v>7</v>
      </c>
      <c r="G4688" t="s">
        <v>7</v>
      </c>
      <c r="H4688">
        <v>47592.24</v>
      </c>
      <c r="I4688">
        <v>15277.19</v>
      </c>
      <c r="J4688">
        <v>0</v>
      </c>
    </row>
    <row r="4689" spans="1:10" x14ac:dyDescent="0.35">
      <c r="A4689">
        <v>322990</v>
      </c>
      <c r="B4689" t="s">
        <v>20</v>
      </c>
      <c r="C4689">
        <v>2015</v>
      </c>
      <c r="D4689">
        <v>7</v>
      </c>
      <c r="E4689" t="s">
        <v>7</v>
      </c>
      <c r="F4689" t="s">
        <v>7</v>
      </c>
      <c r="G4689" t="s">
        <v>7</v>
      </c>
      <c r="H4689">
        <v>49054</v>
      </c>
      <c r="I4689">
        <v>24490.7</v>
      </c>
      <c r="J4689">
        <v>0</v>
      </c>
    </row>
    <row r="4690" spans="1:10" x14ac:dyDescent="0.35">
      <c r="A4690">
        <v>322997</v>
      </c>
      <c r="B4690" t="s">
        <v>20</v>
      </c>
      <c r="C4690">
        <v>2015</v>
      </c>
      <c r="D4690">
        <v>7</v>
      </c>
      <c r="E4690" t="s">
        <v>7</v>
      </c>
      <c r="F4690" t="s">
        <v>7</v>
      </c>
      <c r="G4690" t="s">
        <v>7</v>
      </c>
      <c r="H4690">
        <v>10003.32</v>
      </c>
      <c r="I4690">
        <v>2663.02</v>
      </c>
      <c r="J4690">
        <v>0</v>
      </c>
    </row>
    <row r="4691" spans="1:10" x14ac:dyDescent="0.35">
      <c r="A4691">
        <v>322998</v>
      </c>
      <c r="B4691" t="s">
        <v>20</v>
      </c>
      <c r="C4691">
        <v>2015</v>
      </c>
      <c r="D4691">
        <v>7</v>
      </c>
      <c r="E4691" t="s">
        <v>7</v>
      </c>
      <c r="F4691" t="s">
        <v>7</v>
      </c>
      <c r="G4691" t="s">
        <v>7</v>
      </c>
      <c r="H4691">
        <v>64163.9</v>
      </c>
      <c r="I4691">
        <v>16531.060000000001</v>
      </c>
      <c r="J4691">
        <v>0</v>
      </c>
    </row>
    <row r="4692" spans="1:10" x14ac:dyDescent="0.35">
      <c r="A4692">
        <v>323000</v>
      </c>
      <c r="B4692" t="s">
        <v>20</v>
      </c>
      <c r="C4692">
        <v>2015</v>
      </c>
      <c r="D4692">
        <v>7</v>
      </c>
      <c r="E4692" t="s">
        <v>7</v>
      </c>
      <c r="F4692" t="s">
        <v>7</v>
      </c>
      <c r="G4692" t="s">
        <v>7</v>
      </c>
      <c r="H4692">
        <v>30690.62</v>
      </c>
      <c r="I4692">
        <v>7369.09</v>
      </c>
      <c r="J4692">
        <v>0</v>
      </c>
    </row>
    <row r="4693" spans="1:10" x14ac:dyDescent="0.35">
      <c r="A4693">
        <v>323001</v>
      </c>
      <c r="B4693" t="s">
        <v>20</v>
      </c>
      <c r="C4693">
        <v>2015</v>
      </c>
      <c r="D4693">
        <v>7</v>
      </c>
      <c r="E4693" t="s">
        <v>7</v>
      </c>
      <c r="F4693" t="s">
        <v>7</v>
      </c>
      <c r="G4693" t="s">
        <v>7</v>
      </c>
      <c r="H4693">
        <v>35164.36</v>
      </c>
      <c r="I4693">
        <v>10797.56</v>
      </c>
      <c r="J4693">
        <v>0</v>
      </c>
    </row>
    <row r="4694" spans="1:10" x14ac:dyDescent="0.35">
      <c r="A4694">
        <v>323003</v>
      </c>
      <c r="B4694" t="s">
        <v>20</v>
      </c>
      <c r="C4694">
        <v>2015</v>
      </c>
      <c r="D4694">
        <v>7</v>
      </c>
      <c r="E4694" t="s">
        <v>7</v>
      </c>
      <c r="F4694" t="s">
        <v>7</v>
      </c>
      <c r="G4694" t="s">
        <v>7</v>
      </c>
      <c r="H4694">
        <v>68838.28</v>
      </c>
      <c r="I4694">
        <v>26192.2</v>
      </c>
      <c r="J4694">
        <v>0</v>
      </c>
    </row>
    <row r="4695" spans="1:10" x14ac:dyDescent="0.35">
      <c r="A4695">
        <v>323004</v>
      </c>
      <c r="B4695" t="s">
        <v>20</v>
      </c>
      <c r="C4695">
        <v>2015</v>
      </c>
      <c r="D4695">
        <v>7</v>
      </c>
      <c r="E4695" t="s">
        <v>7</v>
      </c>
      <c r="F4695" t="s">
        <v>7</v>
      </c>
      <c r="G4695" t="s">
        <v>7</v>
      </c>
      <c r="H4695">
        <v>25309.24</v>
      </c>
      <c r="I4695">
        <v>7073.33</v>
      </c>
      <c r="J4695">
        <v>0</v>
      </c>
    </row>
    <row r="4696" spans="1:10" x14ac:dyDescent="0.35">
      <c r="A4696">
        <v>323006</v>
      </c>
      <c r="B4696" t="s">
        <v>20</v>
      </c>
      <c r="C4696">
        <v>2015</v>
      </c>
      <c r="D4696">
        <v>7</v>
      </c>
      <c r="E4696" t="s">
        <v>7</v>
      </c>
      <c r="F4696" t="s">
        <v>7</v>
      </c>
      <c r="G4696" t="s">
        <v>7</v>
      </c>
      <c r="H4696">
        <v>12269.68</v>
      </c>
      <c r="I4696">
        <v>2802.86</v>
      </c>
      <c r="J4696">
        <v>0</v>
      </c>
    </row>
    <row r="4697" spans="1:10" x14ac:dyDescent="0.35">
      <c r="A4697">
        <v>323008</v>
      </c>
      <c r="B4697" t="s">
        <v>20</v>
      </c>
      <c r="C4697">
        <v>2015</v>
      </c>
      <c r="D4697">
        <v>7</v>
      </c>
      <c r="E4697" t="s">
        <v>7</v>
      </c>
      <c r="F4697" t="s">
        <v>7</v>
      </c>
      <c r="G4697" t="s">
        <v>7</v>
      </c>
      <c r="H4697">
        <v>19764.080000000002</v>
      </c>
      <c r="I4697">
        <v>5762.82</v>
      </c>
      <c r="J4697">
        <v>0</v>
      </c>
    </row>
    <row r="4698" spans="1:10" x14ac:dyDescent="0.35">
      <c r="A4698">
        <v>323009</v>
      </c>
      <c r="B4698" t="s">
        <v>20</v>
      </c>
      <c r="C4698">
        <v>2015</v>
      </c>
      <c r="D4698">
        <v>7</v>
      </c>
      <c r="E4698" t="s">
        <v>7</v>
      </c>
      <c r="F4698" t="s">
        <v>7</v>
      </c>
      <c r="G4698" t="s">
        <v>7</v>
      </c>
      <c r="H4698">
        <v>18945.36</v>
      </c>
      <c r="I4698">
        <v>4607.5</v>
      </c>
      <c r="J4698">
        <v>0</v>
      </c>
    </row>
    <row r="4699" spans="1:10" x14ac:dyDescent="0.35">
      <c r="A4699">
        <v>323010</v>
      </c>
      <c r="B4699" t="s">
        <v>20</v>
      </c>
      <c r="C4699">
        <v>2015</v>
      </c>
      <c r="D4699">
        <v>7</v>
      </c>
      <c r="E4699" t="s">
        <v>7</v>
      </c>
      <c r="F4699" t="s">
        <v>7</v>
      </c>
      <c r="G4699" t="s">
        <v>7</v>
      </c>
      <c r="H4699">
        <v>18293.82</v>
      </c>
      <c r="I4699">
        <v>5375.7</v>
      </c>
      <c r="J4699">
        <v>0</v>
      </c>
    </row>
    <row r="4700" spans="1:10" x14ac:dyDescent="0.35">
      <c r="A4700">
        <v>323014</v>
      </c>
      <c r="B4700" t="s">
        <v>20</v>
      </c>
      <c r="C4700">
        <v>2015</v>
      </c>
      <c r="D4700">
        <v>7</v>
      </c>
      <c r="E4700" t="s">
        <v>7</v>
      </c>
      <c r="F4700" t="s">
        <v>7</v>
      </c>
      <c r="G4700" t="s">
        <v>7</v>
      </c>
      <c r="H4700">
        <v>81428.740000000005</v>
      </c>
      <c r="I4700">
        <v>35401.040000000001</v>
      </c>
      <c r="J4700">
        <v>0</v>
      </c>
    </row>
    <row r="4701" spans="1:10" x14ac:dyDescent="0.35">
      <c r="A4701">
        <v>323016</v>
      </c>
      <c r="B4701" t="s">
        <v>20</v>
      </c>
      <c r="C4701">
        <v>2015</v>
      </c>
      <c r="D4701">
        <v>7</v>
      </c>
      <c r="E4701" t="s">
        <v>7</v>
      </c>
      <c r="F4701" t="s">
        <v>7</v>
      </c>
      <c r="G4701" t="s">
        <v>7</v>
      </c>
      <c r="H4701">
        <v>66232.22</v>
      </c>
      <c r="I4701">
        <v>27789.93</v>
      </c>
      <c r="J4701">
        <v>0</v>
      </c>
    </row>
    <row r="4702" spans="1:10" x14ac:dyDescent="0.35">
      <c r="A4702">
        <v>323017</v>
      </c>
      <c r="B4702" t="s">
        <v>20</v>
      </c>
      <c r="C4702">
        <v>2015</v>
      </c>
      <c r="D4702">
        <v>7</v>
      </c>
      <c r="E4702" t="s">
        <v>7</v>
      </c>
      <c r="F4702" t="s">
        <v>7</v>
      </c>
      <c r="G4702" t="s">
        <v>7</v>
      </c>
      <c r="H4702">
        <v>32599.279999999999</v>
      </c>
      <c r="I4702">
        <v>8417.69</v>
      </c>
      <c r="J4702">
        <v>0</v>
      </c>
    </row>
    <row r="4703" spans="1:10" x14ac:dyDescent="0.35">
      <c r="A4703">
        <v>323018</v>
      </c>
      <c r="B4703" t="s">
        <v>20</v>
      </c>
      <c r="C4703">
        <v>2015</v>
      </c>
      <c r="D4703">
        <v>7</v>
      </c>
      <c r="E4703" t="s">
        <v>7</v>
      </c>
      <c r="F4703" t="s">
        <v>7</v>
      </c>
      <c r="G4703" t="s">
        <v>7</v>
      </c>
      <c r="H4703">
        <v>133414.24</v>
      </c>
      <c r="I4703">
        <v>56888.65</v>
      </c>
      <c r="J4703">
        <v>0</v>
      </c>
    </row>
    <row r="4704" spans="1:10" x14ac:dyDescent="0.35">
      <c r="A4704">
        <v>323019</v>
      </c>
      <c r="B4704" t="s">
        <v>20</v>
      </c>
      <c r="C4704">
        <v>2015</v>
      </c>
      <c r="D4704">
        <v>7</v>
      </c>
      <c r="E4704" t="s">
        <v>7</v>
      </c>
      <c r="F4704" t="s">
        <v>7</v>
      </c>
      <c r="G4704" t="s">
        <v>7</v>
      </c>
      <c r="H4704">
        <v>44437.8</v>
      </c>
      <c r="I4704">
        <v>17420.72</v>
      </c>
      <c r="J4704">
        <v>0</v>
      </c>
    </row>
    <row r="4705" spans="1:10" x14ac:dyDescent="0.35">
      <c r="A4705">
        <v>323020</v>
      </c>
      <c r="B4705" t="s">
        <v>20</v>
      </c>
      <c r="C4705">
        <v>2015</v>
      </c>
      <c r="D4705">
        <v>7</v>
      </c>
      <c r="E4705" t="s">
        <v>7</v>
      </c>
      <c r="F4705" t="s">
        <v>7</v>
      </c>
      <c r="G4705" t="s">
        <v>7</v>
      </c>
      <c r="H4705">
        <v>18095.62</v>
      </c>
      <c r="I4705">
        <v>5064.96</v>
      </c>
      <c r="J4705">
        <v>0</v>
      </c>
    </row>
    <row r="4706" spans="1:10" x14ac:dyDescent="0.35">
      <c r="A4706">
        <v>323022</v>
      </c>
      <c r="B4706" t="s">
        <v>20</v>
      </c>
      <c r="C4706">
        <v>2015</v>
      </c>
      <c r="D4706">
        <v>7</v>
      </c>
      <c r="E4706" t="s">
        <v>7</v>
      </c>
      <c r="F4706" t="s">
        <v>7</v>
      </c>
      <c r="G4706" t="s">
        <v>7</v>
      </c>
      <c r="H4706">
        <v>19194.3</v>
      </c>
      <c r="I4706">
        <v>4949.8</v>
      </c>
      <c r="J4706">
        <v>0</v>
      </c>
    </row>
    <row r="4707" spans="1:10" x14ac:dyDescent="0.35">
      <c r="A4707">
        <v>323023</v>
      </c>
      <c r="B4707" t="s">
        <v>20</v>
      </c>
      <c r="C4707">
        <v>2015</v>
      </c>
      <c r="D4707">
        <v>7</v>
      </c>
      <c r="E4707" t="s">
        <v>7</v>
      </c>
      <c r="F4707" t="s">
        <v>7</v>
      </c>
      <c r="G4707" t="s">
        <v>7</v>
      </c>
      <c r="H4707">
        <v>41363.760000000002</v>
      </c>
      <c r="I4707">
        <v>12570.2</v>
      </c>
      <c r="J4707">
        <v>0</v>
      </c>
    </row>
    <row r="4708" spans="1:10" x14ac:dyDescent="0.35">
      <c r="A4708">
        <v>323024</v>
      </c>
      <c r="B4708" t="s">
        <v>20</v>
      </c>
      <c r="C4708">
        <v>2015</v>
      </c>
      <c r="D4708">
        <v>7</v>
      </c>
      <c r="E4708" t="s">
        <v>7</v>
      </c>
      <c r="F4708" t="s">
        <v>7</v>
      </c>
      <c r="G4708" t="s">
        <v>7</v>
      </c>
      <c r="H4708">
        <v>22146.44</v>
      </c>
      <c r="I4708">
        <v>5424.96</v>
      </c>
      <c r="J4708">
        <v>0</v>
      </c>
    </row>
    <row r="4709" spans="1:10" x14ac:dyDescent="0.35">
      <c r="A4709">
        <v>323025</v>
      </c>
      <c r="B4709" t="s">
        <v>20</v>
      </c>
      <c r="C4709">
        <v>2015</v>
      </c>
      <c r="D4709">
        <v>7</v>
      </c>
      <c r="E4709" t="s">
        <v>7</v>
      </c>
      <c r="F4709" t="s">
        <v>7</v>
      </c>
      <c r="G4709" t="s">
        <v>7</v>
      </c>
      <c r="H4709">
        <v>178114.26</v>
      </c>
      <c r="I4709">
        <v>80649.440000000002</v>
      </c>
      <c r="J4709">
        <v>0</v>
      </c>
    </row>
    <row r="4710" spans="1:10" x14ac:dyDescent="0.35">
      <c r="A4710">
        <v>323026</v>
      </c>
      <c r="B4710" t="s">
        <v>20</v>
      </c>
      <c r="C4710">
        <v>2015</v>
      </c>
      <c r="D4710">
        <v>7</v>
      </c>
      <c r="E4710" t="s">
        <v>7</v>
      </c>
      <c r="F4710" t="s">
        <v>7</v>
      </c>
      <c r="G4710" t="s">
        <v>7</v>
      </c>
      <c r="H4710">
        <v>66343.820000000007</v>
      </c>
      <c r="I4710">
        <v>47098.11</v>
      </c>
      <c r="J4710">
        <v>0</v>
      </c>
    </row>
    <row r="4711" spans="1:10" x14ac:dyDescent="0.35">
      <c r="A4711">
        <v>323028</v>
      </c>
      <c r="B4711" t="s">
        <v>20</v>
      </c>
      <c r="C4711">
        <v>2015</v>
      </c>
      <c r="D4711">
        <v>7</v>
      </c>
      <c r="E4711" t="s">
        <v>7</v>
      </c>
      <c r="F4711" t="s">
        <v>7</v>
      </c>
      <c r="G4711" t="s">
        <v>7</v>
      </c>
      <c r="H4711">
        <v>20704.62</v>
      </c>
      <c r="I4711">
        <v>6310.23</v>
      </c>
      <c r="J4711">
        <v>0</v>
      </c>
    </row>
    <row r="4712" spans="1:10" x14ac:dyDescent="0.35">
      <c r="A4712">
        <v>323029</v>
      </c>
      <c r="B4712" t="s">
        <v>20</v>
      </c>
      <c r="C4712">
        <v>2015</v>
      </c>
      <c r="D4712">
        <v>7</v>
      </c>
      <c r="E4712" t="s">
        <v>7</v>
      </c>
      <c r="F4712" t="s">
        <v>7</v>
      </c>
      <c r="G4712" t="s">
        <v>7</v>
      </c>
      <c r="H4712">
        <v>64902.66</v>
      </c>
      <c r="I4712">
        <v>46679.5</v>
      </c>
      <c r="J4712">
        <v>0</v>
      </c>
    </row>
    <row r="4713" spans="1:10" x14ac:dyDescent="0.35">
      <c r="A4713">
        <v>323030</v>
      </c>
      <c r="B4713" t="s">
        <v>20</v>
      </c>
      <c r="C4713">
        <v>2015</v>
      </c>
      <c r="D4713">
        <v>7</v>
      </c>
      <c r="E4713" t="s">
        <v>7</v>
      </c>
      <c r="F4713" t="s">
        <v>7</v>
      </c>
      <c r="G4713" t="s">
        <v>7</v>
      </c>
      <c r="H4713">
        <v>64146.76</v>
      </c>
      <c r="I4713">
        <v>20055.98</v>
      </c>
      <c r="J4713">
        <v>0</v>
      </c>
    </row>
    <row r="4714" spans="1:10" x14ac:dyDescent="0.35">
      <c r="A4714">
        <v>323031</v>
      </c>
      <c r="B4714" t="s">
        <v>20</v>
      </c>
      <c r="C4714">
        <v>2015</v>
      </c>
      <c r="D4714">
        <v>7</v>
      </c>
      <c r="E4714" t="s">
        <v>7</v>
      </c>
      <c r="F4714" t="s">
        <v>7</v>
      </c>
      <c r="G4714" t="s">
        <v>7</v>
      </c>
      <c r="H4714">
        <v>11927.58</v>
      </c>
      <c r="I4714">
        <v>3963.26</v>
      </c>
      <c r="J4714">
        <v>0</v>
      </c>
    </row>
    <row r="4715" spans="1:10" x14ac:dyDescent="0.35">
      <c r="A4715">
        <v>323032</v>
      </c>
      <c r="B4715" t="s">
        <v>20</v>
      </c>
      <c r="C4715">
        <v>2015</v>
      </c>
      <c r="D4715">
        <v>7</v>
      </c>
      <c r="E4715" t="s">
        <v>7</v>
      </c>
      <c r="F4715" t="s">
        <v>7</v>
      </c>
      <c r="G4715" t="s">
        <v>7</v>
      </c>
      <c r="H4715">
        <v>10687.96</v>
      </c>
      <c r="I4715">
        <v>2389.91</v>
      </c>
      <c r="J4715">
        <v>0</v>
      </c>
    </row>
    <row r="4716" spans="1:10" x14ac:dyDescent="0.35">
      <c r="A4716">
        <v>323034</v>
      </c>
      <c r="B4716" t="s">
        <v>20</v>
      </c>
      <c r="C4716">
        <v>2015</v>
      </c>
      <c r="D4716">
        <v>7</v>
      </c>
      <c r="E4716" t="s">
        <v>7</v>
      </c>
      <c r="F4716" t="s">
        <v>7</v>
      </c>
      <c r="G4716" t="s">
        <v>7</v>
      </c>
      <c r="H4716">
        <v>17420.62</v>
      </c>
      <c r="I4716">
        <v>4759.62</v>
      </c>
      <c r="J4716">
        <v>0</v>
      </c>
    </row>
    <row r="4717" spans="1:10" x14ac:dyDescent="0.35">
      <c r="A4717">
        <v>323035</v>
      </c>
      <c r="B4717" t="s">
        <v>20</v>
      </c>
      <c r="C4717">
        <v>2015</v>
      </c>
      <c r="D4717">
        <v>7</v>
      </c>
      <c r="E4717" t="s">
        <v>7</v>
      </c>
      <c r="F4717" t="s">
        <v>7</v>
      </c>
      <c r="G4717" t="s">
        <v>7</v>
      </c>
      <c r="H4717">
        <v>24227.38</v>
      </c>
      <c r="I4717">
        <v>14408.41</v>
      </c>
      <c r="J4717">
        <v>0</v>
      </c>
    </row>
    <row r="4718" spans="1:10" x14ac:dyDescent="0.35">
      <c r="A4718">
        <v>323036</v>
      </c>
      <c r="B4718" t="s">
        <v>20</v>
      </c>
      <c r="C4718">
        <v>2015</v>
      </c>
      <c r="D4718">
        <v>7</v>
      </c>
      <c r="E4718" t="s">
        <v>7</v>
      </c>
      <c r="F4718" t="s">
        <v>7</v>
      </c>
      <c r="G4718" t="s">
        <v>7</v>
      </c>
      <c r="H4718">
        <v>62477.84</v>
      </c>
      <c r="I4718">
        <v>17439.28</v>
      </c>
      <c r="J4718">
        <v>0</v>
      </c>
    </row>
    <row r="4719" spans="1:10" x14ac:dyDescent="0.35">
      <c r="A4719">
        <v>323037</v>
      </c>
      <c r="B4719" t="s">
        <v>20</v>
      </c>
      <c r="C4719">
        <v>2015</v>
      </c>
      <c r="D4719">
        <v>7</v>
      </c>
      <c r="E4719" t="s">
        <v>7</v>
      </c>
      <c r="F4719" t="s">
        <v>7</v>
      </c>
      <c r="G4719" t="s">
        <v>7</v>
      </c>
      <c r="H4719">
        <v>11025.92</v>
      </c>
      <c r="I4719">
        <v>2918.76</v>
      </c>
      <c r="J4719">
        <v>0</v>
      </c>
    </row>
    <row r="4720" spans="1:10" x14ac:dyDescent="0.35">
      <c r="A4720">
        <v>323038</v>
      </c>
      <c r="B4720" t="s">
        <v>20</v>
      </c>
      <c r="C4720">
        <v>2015</v>
      </c>
      <c r="D4720">
        <v>7</v>
      </c>
      <c r="E4720" t="s">
        <v>7</v>
      </c>
      <c r="F4720" t="s">
        <v>7</v>
      </c>
      <c r="G4720" t="s">
        <v>7</v>
      </c>
      <c r="H4720">
        <v>47402.239999999998</v>
      </c>
      <c r="I4720">
        <v>14198.64</v>
      </c>
      <c r="J4720">
        <v>0</v>
      </c>
    </row>
    <row r="4721" spans="1:10" x14ac:dyDescent="0.35">
      <c r="A4721">
        <v>323039</v>
      </c>
      <c r="B4721" t="s">
        <v>20</v>
      </c>
      <c r="C4721">
        <v>2015</v>
      </c>
      <c r="D4721">
        <v>7</v>
      </c>
      <c r="E4721" t="s">
        <v>7</v>
      </c>
      <c r="F4721" t="s">
        <v>7</v>
      </c>
      <c r="G4721" t="s">
        <v>7</v>
      </c>
      <c r="H4721">
        <v>32743.88</v>
      </c>
      <c r="I4721">
        <v>9571.1</v>
      </c>
      <c r="J4721">
        <v>0</v>
      </c>
    </row>
    <row r="4722" spans="1:10" x14ac:dyDescent="0.35">
      <c r="A4722">
        <v>323040</v>
      </c>
      <c r="B4722" t="s">
        <v>20</v>
      </c>
      <c r="C4722">
        <v>2015</v>
      </c>
      <c r="D4722">
        <v>7</v>
      </c>
      <c r="E4722" t="s">
        <v>7</v>
      </c>
      <c r="F4722" t="s">
        <v>7</v>
      </c>
      <c r="G4722" t="s">
        <v>7</v>
      </c>
      <c r="H4722">
        <v>21568.52</v>
      </c>
      <c r="I4722">
        <v>6337.67</v>
      </c>
      <c r="J4722">
        <v>0</v>
      </c>
    </row>
    <row r="4723" spans="1:10" x14ac:dyDescent="0.35">
      <c r="A4723">
        <v>323041</v>
      </c>
      <c r="B4723" t="s">
        <v>20</v>
      </c>
      <c r="C4723">
        <v>2015</v>
      </c>
      <c r="D4723">
        <v>7</v>
      </c>
      <c r="E4723" t="s">
        <v>7</v>
      </c>
      <c r="F4723" t="s">
        <v>7</v>
      </c>
      <c r="G4723" t="s">
        <v>7</v>
      </c>
      <c r="H4723">
        <v>10338.42</v>
      </c>
      <c r="I4723">
        <v>2693.93</v>
      </c>
      <c r="J4723">
        <v>0</v>
      </c>
    </row>
    <row r="4724" spans="1:10" x14ac:dyDescent="0.35">
      <c r="A4724">
        <v>323042</v>
      </c>
      <c r="B4724" t="s">
        <v>20</v>
      </c>
      <c r="C4724">
        <v>2015</v>
      </c>
      <c r="D4724">
        <v>7</v>
      </c>
      <c r="E4724" t="s">
        <v>7</v>
      </c>
      <c r="F4724" t="s">
        <v>7</v>
      </c>
      <c r="G4724" t="s">
        <v>7</v>
      </c>
      <c r="H4724">
        <v>28155.62</v>
      </c>
      <c r="I4724">
        <v>7372.52</v>
      </c>
      <c r="J4724">
        <v>0</v>
      </c>
    </row>
    <row r="4725" spans="1:10" x14ac:dyDescent="0.35">
      <c r="A4725">
        <v>323043</v>
      </c>
      <c r="B4725" t="s">
        <v>20</v>
      </c>
      <c r="C4725">
        <v>2015</v>
      </c>
      <c r="D4725">
        <v>7</v>
      </c>
      <c r="E4725" t="s">
        <v>7</v>
      </c>
      <c r="F4725" t="s">
        <v>7</v>
      </c>
      <c r="G4725" t="s">
        <v>7</v>
      </c>
      <c r="H4725">
        <v>109865.42</v>
      </c>
      <c r="I4725">
        <v>44168.1</v>
      </c>
      <c r="J4725">
        <v>0</v>
      </c>
    </row>
    <row r="4726" spans="1:10" x14ac:dyDescent="0.35">
      <c r="A4726">
        <v>323046</v>
      </c>
      <c r="B4726" t="s">
        <v>20</v>
      </c>
      <c r="C4726">
        <v>2015</v>
      </c>
      <c r="D4726">
        <v>7</v>
      </c>
      <c r="E4726" t="s">
        <v>7</v>
      </c>
      <c r="F4726" t="s">
        <v>7</v>
      </c>
      <c r="G4726" t="s">
        <v>7</v>
      </c>
      <c r="H4726">
        <v>21185.94</v>
      </c>
      <c r="I4726">
        <v>6555.42</v>
      </c>
      <c r="J4726">
        <v>0</v>
      </c>
    </row>
    <row r="4727" spans="1:10" x14ac:dyDescent="0.35">
      <c r="A4727">
        <v>323048</v>
      </c>
      <c r="B4727" t="s">
        <v>20</v>
      </c>
      <c r="C4727">
        <v>2015</v>
      </c>
      <c r="D4727">
        <v>7</v>
      </c>
      <c r="E4727" t="s">
        <v>7</v>
      </c>
      <c r="F4727" t="s">
        <v>7</v>
      </c>
      <c r="G4727" t="s">
        <v>7</v>
      </c>
      <c r="H4727">
        <v>17140.62</v>
      </c>
      <c r="I4727">
        <v>4092.15</v>
      </c>
      <c r="J4727">
        <v>0</v>
      </c>
    </row>
    <row r="4728" spans="1:10" x14ac:dyDescent="0.35">
      <c r="A4728">
        <v>323049</v>
      </c>
      <c r="B4728" t="s">
        <v>20</v>
      </c>
      <c r="C4728">
        <v>2015</v>
      </c>
      <c r="D4728">
        <v>7</v>
      </c>
      <c r="E4728" t="s">
        <v>7</v>
      </c>
      <c r="F4728" t="s">
        <v>7</v>
      </c>
      <c r="G4728" t="s">
        <v>7</v>
      </c>
      <c r="H4728">
        <v>12002.2</v>
      </c>
      <c r="I4728">
        <v>3171.35</v>
      </c>
      <c r="J4728">
        <v>0</v>
      </c>
    </row>
    <row r="4729" spans="1:10" x14ac:dyDescent="0.35">
      <c r="A4729">
        <v>323052</v>
      </c>
      <c r="B4729" t="s">
        <v>20</v>
      </c>
      <c r="C4729">
        <v>2015</v>
      </c>
      <c r="D4729">
        <v>7</v>
      </c>
      <c r="E4729" t="s">
        <v>7</v>
      </c>
      <c r="F4729" t="s">
        <v>7</v>
      </c>
      <c r="G4729" t="s">
        <v>7</v>
      </c>
      <c r="H4729">
        <v>28494.799999999999</v>
      </c>
      <c r="I4729">
        <v>7553.73</v>
      </c>
      <c r="J4729">
        <v>0</v>
      </c>
    </row>
    <row r="4730" spans="1:10" x14ac:dyDescent="0.35">
      <c r="A4730">
        <v>323053</v>
      </c>
      <c r="B4730" t="s">
        <v>20</v>
      </c>
      <c r="C4730">
        <v>2015</v>
      </c>
      <c r="D4730">
        <v>7</v>
      </c>
      <c r="E4730" t="s">
        <v>7</v>
      </c>
      <c r="F4730" t="s">
        <v>7</v>
      </c>
      <c r="G4730" t="s">
        <v>7</v>
      </c>
      <c r="H4730">
        <v>27727.64</v>
      </c>
      <c r="I4730">
        <v>8166.86</v>
      </c>
      <c r="J4730">
        <v>0</v>
      </c>
    </row>
    <row r="4731" spans="1:10" x14ac:dyDescent="0.35">
      <c r="A4731">
        <v>323054</v>
      </c>
      <c r="B4731" t="s">
        <v>20</v>
      </c>
      <c r="C4731">
        <v>2015</v>
      </c>
      <c r="D4731">
        <v>7</v>
      </c>
      <c r="E4731" t="s">
        <v>7</v>
      </c>
      <c r="F4731" t="s">
        <v>7</v>
      </c>
      <c r="G4731" t="s">
        <v>7</v>
      </c>
      <c r="H4731">
        <v>96420</v>
      </c>
      <c r="I4731">
        <v>33324.910000000003</v>
      </c>
      <c r="J4731">
        <v>0</v>
      </c>
    </row>
    <row r="4732" spans="1:10" x14ac:dyDescent="0.35">
      <c r="A4732">
        <v>323055</v>
      </c>
      <c r="B4732" t="s">
        <v>20</v>
      </c>
      <c r="C4732">
        <v>2015</v>
      </c>
      <c r="D4732">
        <v>7</v>
      </c>
      <c r="E4732" t="s">
        <v>7</v>
      </c>
      <c r="F4732" t="s">
        <v>7</v>
      </c>
      <c r="G4732" t="s">
        <v>7</v>
      </c>
      <c r="H4732">
        <v>36233.300000000003</v>
      </c>
      <c r="I4732">
        <v>10867.36</v>
      </c>
      <c r="J4732">
        <v>0</v>
      </c>
    </row>
    <row r="4733" spans="1:10" x14ac:dyDescent="0.35">
      <c r="A4733">
        <v>323057</v>
      </c>
      <c r="B4733" t="s">
        <v>20</v>
      </c>
      <c r="C4733">
        <v>2015</v>
      </c>
      <c r="D4733">
        <v>7</v>
      </c>
      <c r="E4733" t="s">
        <v>7</v>
      </c>
      <c r="F4733" t="s">
        <v>7</v>
      </c>
      <c r="G4733" t="s">
        <v>7</v>
      </c>
      <c r="H4733">
        <v>20669.759999999998</v>
      </c>
      <c r="I4733">
        <v>6177.87</v>
      </c>
      <c r="J4733">
        <v>0</v>
      </c>
    </row>
    <row r="4734" spans="1:10" x14ac:dyDescent="0.35">
      <c r="A4734">
        <v>323058</v>
      </c>
      <c r="B4734" t="s">
        <v>20</v>
      </c>
      <c r="C4734">
        <v>2015</v>
      </c>
      <c r="D4734">
        <v>7</v>
      </c>
      <c r="E4734" t="s">
        <v>7</v>
      </c>
      <c r="F4734" t="s">
        <v>7</v>
      </c>
      <c r="G4734" t="s">
        <v>7</v>
      </c>
      <c r="H4734">
        <v>26733.24</v>
      </c>
      <c r="I4734">
        <v>6937.04</v>
      </c>
      <c r="J4734">
        <v>0</v>
      </c>
    </row>
    <row r="4735" spans="1:10" x14ac:dyDescent="0.35">
      <c r="A4735">
        <v>323059</v>
      </c>
      <c r="B4735" t="s">
        <v>20</v>
      </c>
      <c r="C4735">
        <v>2015</v>
      </c>
      <c r="D4735">
        <v>7</v>
      </c>
      <c r="E4735" t="s">
        <v>7</v>
      </c>
      <c r="F4735" t="s">
        <v>7</v>
      </c>
      <c r="G4735" t="s">
        <v>7</v>
      </c>
      <c r="H4735">
        <v>20490.900000000001</v>
      </c>
      <c r="I4735">
        <v>5905.14</v>
      </c>
      <c r="J4735">
        <v>0</v>
      </c>
    </row>
    <row r="4736" spans="1:10" x14ac:dyDescent="0.35">
      <c r="A4736">
        <v>323060</v>
      </c>
      <c r="B4736" t="s">
        <v>20</v>
      </c>
      <c r="C4736">
        <v>2015</v>
      </c>
      <c r="D4736">
        <v>7</v>
      </c>
      <c r="E4736" t="s">
        <v>7</v>
      </c>
      <c r="F4736" t="s">
        <v>7</v>
      </c>
      <c r="G4736" t="s">
        <v>7</v>
      </c>
      <c r="H4736">
        <v>15272.84</v>
      </c>
      <c r="I4736">
        <v>4300.17</v>
      </c>
      <c r="J4736">
        <v>0</v>
      </c>
    </row>
    <row r="4737" spans="1:10" x14ac:dyDescent="0.35">
      <c r="A4737">
        <v>323061</v>
      </c>
      <c r="B4737" t="s">
        <v>20</v>
      </c>
      <c r="C4737">
        <v>2015</v>
      </c>
      <c r="D4737">
        <v>7</v>
      </c>
      <c r="E4737" t="s">
        <v>7</v>
      </c>
      <c r="F4737" t="s">
        <v>7</v>
      </c>
      <c r="G4737" t="s">
        <v>7</v>
      </c>
      <c r="H4737">
        <v>15400.94</v>
      </c>
      <c r="I4737">
        <v>3494.31</v>
      </c>
      <c r="J4737">
        <v>0</v>
      </c>
    </row>
    <row r="4738" spans="1:10" x14ac:dyDescent="0.35">
      <c r="A4738">
        <v>323062</v>
      </c>
      <c r="B4738" t="s">
        <v>20</v>
      </c>
      <c r="C4738">
        <v>2015</v>
      </c>
      <c r="D4738">
        <v>7</v>
      </c>
      <c r="E4738" t="s">
        <v>7</v>
      </c>
      <c r="F4738" t="s">
        <v>7</v>
      </c>
      <c r="G4738" t="s">
        <v>7</v>
      </c>
      <c r="H4738">
        <v>22284.080000000002</v>
      </c>
      <c r="I4738">
        <v>6771.48</v>
      </c>
      <c r="J4738">
        <v>0</v>
      </c>
    </row>
    <row r="4739" spans="1:10" x14ac:dyDescent="0.35">
      <c r="A4739">
        <v>323066</v>
      </c>
      <c r="B4739" t="s">
        <v>20</v>
      </c>
      <c r="C4739">
        <v>2015</v>
      </c>
      <c r="D4739">
        <v>7</v>
      </c>
      <c r="E4739" t="s">
        <v>7</v>
      </c>
      <c r="F4739" t="s">
        <v>7</v>
      </c>
      <c r="G4739" t="s">
        <v>7</v>
      </c>
      <c r="H4739">
        <v>70531.08</v>
      </c>
      <c r="I4739">
        <v>21653.89</v>
      </c>
      <c r="J4739">
        <v>0</v>
      </c>
    </row>
    <row r="4740" spans="1:10" x14ac:dyDescent="0.35">
      <c r="A4740">
        <v>323067</v>
      </c>
      <c r="B4740" t="s">
        <v>20</v>
      </c>
      <c r="C4740">
        <v>2015</v>
      </c>
      <c r="D4740">
        <v>7</v>
      </c>
      <c r="E4740" t="s">
        <v>7</v>
      </c>
      <c r="F4740" t="s">
        <v>7</v>
      </c>
      <c r="G4740" t="s">
        <v>7</v>
      </c>
      <c r="H4740">
        <v>20724.38</v>
      </c>
      <c r="I4740">
        <v>5928.78</v>
      </c>
      <c r="J4740">
        <v>0</v>
      </c>
    </row>
    <row r="4741" spans="1:10" x14ac:dyDescent="0.35">
      <c r="A4741">
        <v>323073</v>
      </c>
      <c r="B4741" t="s">
        <v>20</v>
      </c>
      <c r="C4741">
        <v>2015</v>
      </c>
      <c r="D4741">
        <v>7</v>
      </c>
      <c r="E4741" t="s">
        <v>7</v>
      </c>
      <c r="F4741" t="s">
        <v>7</v>
      </c>
      <c r="G4741" t="s">
        <v>7</v>
      </c>
      <c r="H4741">
        <v>30712.7</v>
      </c>
      <c r="I4741">
        <v>8400</v>
      </c>
      <c r="J4741">
        <v>0</v>
      </c>
    </row>
    <row r="4742" spans="1:10" x14ac:dyDescent="0.35">
      <c r="A4742">
        <v>323074</v>
      </c>
      <c r="B4742" t="s">
        <v>20</v>
      </c>
      <c r="C4742">
        <v>2015</v>
      </c>
      <c r="D4742">
        <v>7</v>
      </c>
      <c r="E4742" t="s">
        <v>7</v>
      </c>
      <c r="F4742" t="s">
        <v>7</v>
      </c>
      <c r="G4742" t="s">
        <v>7</v>
      </c>
      <c r="H4742">
        <v>18824.16</v>
      </c>
      <c r="I4742">
        <v>10703.35</v>
      </c>
      <c r="J4742">
        <v>0</v>
      </c>
    </row>
    <row r="4743" spans="1:10" x14ac:dyDescent="0.35">
      <c r="A4743">
        <v>323077</v>
      </c>
      <c r="B4743" t="s">
        <v>20</v>
      </c>
      <c r="C4743">
        <v>2015</v>
      </c>
      <c r="D4743">
        <v>7</v>
      </c>
      <c r="E4743" t="s">
        <v>7</v>
      </c>
      <c r="F4743" t="s">
        <v>7</v>
      </c>
      <c r="G4743" t="s">
        <v>7</v>
      </c>
      <c r="H4743">
        <v>23358.9</v>
      </c>
      <c r="I4743">
        <v>4997.5200000000004</v>
      </c>
      <c r="J4743">
        <v>0</v>
      </c>
    </row>
    <row r="4744" spans="1:10" x14ac:dyDescent="0.35">
      <c r="A4744">
        <v>323078</v>
      </c>
      <c r="B4744" t="s">
        <v>20</v>
      </c>
      <c r="C4744">
        <v>2015</v>
      </c>
      <c r="D4744">
        <v>7</v>
      </c>
      <c r="E4744" t="s">
        <v>7</v>
      </c>
      <c r="F4744" t="s">
        <v>7</v>
      </c>
      <c r="G4744" t="s">
        <v>7</v>
      </c>
      <c r="H4744">
        <v>87545.34</v>
      </c>
      <c r="I4744">
        <v>32776.36</v>
      </c>
      <c r="J4744">
        <v>0</v>
      </c>
    </row>
    <row r="4745" spans="1:10" x14ac:dyDescent="0.35">
      <c r="A4745">
        <v>323079</v>
      </c>
      <c r="B4745" t="s">
        <v>20</v>
      </c>
      <c r="C4745">
        <v>2015</v>
      </c>
      <c r="D4745">
        <v>7</v>
      </c>
      <c r="E4745" t="s">
        <v>7</v>
      </c>
      <c r="F4745" t="s">
        <v>7</v>
      </c>
      <c r="G4745" t="s">
        <v>7</v>
      </c>
      <c r="H4745">
        <v>39628</v>
      </c>
      <c r="I4745">
        <v>12498.82</v>
      </c>
      <c r="J4745">
        <v>0</v>
      </c>
    </row>
    <row r="4746" spans="1:10" x14ac:dyDescent="0.35">
      <c r="A4746">
        <v>323080</v>
      </c>
      <c r="B4746" t="s">
        <v>20</v>
      </c>
      <c r="C4746">
        <v>2015</v>
      </c>
      <c r="D4746">
        <v>7</v>
      </c>
      <c r="E4746" t="s">
        <v>7</v>
      </c>
      <c r="F4746" t="s">
        <v>7</v>
      </c>
      <c r="G4746" t="s">
        <v>7</v>
      </c>
      <c r="H4746">
        <v>94603.43</v>
      </c>
      <c r="I4746">
        <v>44050.35</v>
      </c>
      <c r="J4746">
        <v>0</v>
      </c>
    </row>
    <row r="4747" spans="1:10" x14ac:dyDescent="0.35">
      <c r="A4747">
        <v>323083</v>
      </c>
      <c r="B4747" t="s">
        <v>20</v>
      </c>
      <c r="C4747">
        <v>2015</v>
      </c>
      <c r="D4747">
        <v>7</v>
      </c>
      <c r="E4747" t="s">
        <v>7</v>
      </c>
      <c r="F4747" t="s">
        <v>7</v>
      </c>
      <c r="G4747" t="s">
        <v>7</v>
      </c>
      <c r="H4747">
        <v>25975.62</v>
      </c>
      <c r="I4747">
        <v>7640.81</v>
      </c>
      <c r="J4747">
        <v>0</v>
      </c>
    </row>
    <row r="4748" spans="1:10" x14ac:dyDescent="0.35">
      <c r="A4748">
        <v>323085</v>
      </c>
      <c r="B4748" t="s">
        <v>20</v>
      </c>
      <c r="C4748">
        <v>2015</v>
      </c>
      <c r="D4748">
        <v>7</v>
      </c>
      <c r="E4748" t="s">
        <v>7</v>
      </c>
      <c r="F4748" t="s">
        <v>7</v>
      </c>
      <c r="G4748" t="s">
        <v>7</v>
      </c>
      <c r="H4748">
        <v>11823.46</v>
      </c>
      <c r="I4748">
        <v>3776.8</v>
      </c>
      <c r="J4748">
        <v>0</v>
      </c>
    </row>
    <row r="4749" spans="1:10" x14ac:dyDescent="0.35">
      <c r="A4749">
        <v>323088</v>
      </c>
      <c r="B4749" t="s">
        <v>20</v>
      </c>
      <c r="C4749">
        <v>2015</v>
      </c>
      <c r="D4749">
        <v>7</v>
      </c>
      <c r="E4749" t="s">
        <v>7</v>
      </c>
      <c r="F4749" t="s">
        <v>7</v>
      </c>
      <c r="G4749" t="s">
        <v>7</v>
      </c>
      <c r="H4749">
        <v>13777.96</v>
      </c>
      <c r="I4749">
        <v>4037.54</v>
      </c>
      <c r="J4749">
        <v>0</v>
      </c>
    </row>
    <row r="4750" spans="1:10" x14ac:dyDescent="0.35">
      <c r="A4750">
        <v>323089</v>
      </c>
      <c r="B4750" t="s">
        <v>20</v>
      </c>
      <c r="C4750">
        <v>2015</v>
      </c>
      <c r="D4750">
        <v>7</v>
      </c>
      <c r="E4750" t="s">
        <v>7</v>
      </c>
      <c r="F4750" t="s">
        <v>7</v>
      </c>
      <c r="G4750" t="s">
        <v>7</v>
      </c>
      <c r="H4750">
        <v>18598.86</v>
      </c>
      <c r="I4750">
        <v>5239.84</v>
      </c>
      <c r="J4750">
        <v>0</v>
      </c>
    </row>
    <row r="4751" spans="1:10" x14ac:dyDescent="0.35">
      <c r="A4751">
        <v>323091</v>
      </c>
      <c r="B4751" t="s">
        <v>20</v>
      </c>
      <c r="C4751">
        <v>2015</v>
      </c>
      <c r="D4751">
        <v>7</v>
      </c>
      <c r="E4751" t="s">
        <v>7</v>
      </c>
      <c r="F4751" t="s">
        <v>7</v>
      </c>
      <c r="G4751" t="s">
        <v>7</v>
      </c>
      <c r="H4751">
        <v>18449.12</v>
      </c>
      <c r="I4751">
        <v>4355.7</v>
      </c>
      <c r="J4751">
        <v>0</v>
      </c>
    </row>
    <row r="4752" spans="1:10" x14ac:dyDescent="0.35">
      <c r="A4752">
        <v>323092</v>
      </c>
      <c r="B4752" t="s">
        <v>20</v>
      </c>
      <c r="C4752">
        <v>2015</v>
      </c>
      <c r="D4752">
        <v>7</v>
      </c>
      <c r="E4752" t="s">
        <v>7</v>
      </c>
      <c r="F4752" t="s">
        <v>7</v>
      </c>
      <c r="G4752" t="s">
        <v>7</v>
      </c>
      <c r="H4752">
        <v>22199.919999999998</v>
      </c>
      <c r="I4752">
        <v>6805.69</v>
      </c>
      <c r="J4752">
        <v>0</v>
      </c>
    </row>
    <row r="4753" spans="1:10" x14ac:dyDescent="0.35">
      <c r="A4753">
        <v>323093</v>
      </c>
      <c r="B4753" t="s">
        <v>20</v>
      </c>
      <c r="C4753">
        <v>2015</v>
      </c>
      <c r="D4753">
        <v>7</v>
      </c>
      <c r="E4753" t="s">
        <v>7</v>
      </c>
      <c r="F4753" t="s">
        <v>7</v>
      </c>
      <c r="G4753" t="s">
        <v>7</v>
      </c>
      <c r="H4753">
        <v>50733.04</v>
      </c>
      <c r="I4753">
        <v>25931.91</v>
      </c>
      <c r="J4753">
        <v>0</v>
      </c>
    </row>
    <row r="4754" spans="1:10" x14ac:dyDescent="0.35">
      <c r="A4754">
        <v>323094</v>
      </c>
      <c r="B4754" t="s">
        <v>20</v>
      </c>
      <c r="C4754">
        <v>2015</v>
      </c>
      <c r="D4754">
        <v>7</v>
      </c>
      <c r="E4754" t="s">
        <v>7</v>
      </c>
      <c r="F4754" t="s">
        <v>7</v>
      </c>
      <c r="G4754" t="s">
        <v>7</v>
      </c>
      <c r="H4754">
        <v>22985.98</v>
      </c>
      <c r="I4754">
        <v>6391.16</v>
      </c>
      <c r="J4754">
        <v>0</v>
      </c>
    </row>
    <row r="4755" spans="1:10" x14ac:dyDescent="0.35">
      <c r="A4755">
        <v>323096</v>
      </c>
      <c r="B4755" t="s">
        <v>20</v>
      </c>
      <c r="C4755">
        <v>2015</v>
      </c>
      <c r="D4755">
        <v>7</v>
      </c>
      <c r="E4755" t="s">
        <v>7</v>
      </c>
      <c r="F4755" t="s">
        <v>7</v>
      </c>
      <c r="G4755" t="s">
        <v>7</v>
      </c>
      <c r="H4755">
        <v>21330.9</v>
      </c>
      <c r="I4755">
        <v>5940.5</v>
      </c>
      <c r="J4755">
        <v>0</v>
      </c>
    </row>
    <row r="4756" spans="1:10" x14ac:dyDescent="0.35">
      <c r="A4756">
        <v>323097</v>
      </c>
      <c r="B4756" t="s">
        <v>20</v>
      </c>
      <c r="C4756">
        <v>2015</v>
      </c>
      <c r="D4756">
        <v>7</v>
      </c>
      <c r="E4756" t="s">
        <v>7</v>
      </c>
      <c r="F4756" t="s">
        <v>7</v>
      </c>
      <c r="G4756" t="s">
        <v>7</v>
      </c>
      <c r="H4756">
        <v>23472.959999999999</v>
      </c>
      <c r="I4756">
        <v>6583.05</v>
      </c>
      <c r="J4756">
        <v>0</v>
      </c>
    </row>
    <row r="4757" spans="1:10" x14ac:dyDescent="0.35">
      <c r="A4757">
        <v>323098</v>
      </c>
      <c r="B4757" t="s">
        <v>20</v>
      </c>
      <c r="C4757">
        <v>2015</v>
      </c>
      <c r="D4757">
        <v>7</v>
      </c>
      <c r="E4757" t="s">
        <v>7</v>
      </c>
      <c r="F4757" t="s">
        <v>7</v>
      </c>
      <c r="G4757" t="s">
        <v>7</v>
      </c>
      <c r="H4757">
        <v>32706.06</v>
      </c>
      <c r="I4757">
        <v>18124.77</v>
      </c>
      <c r="J4757">
        <v>0</v>
      </c>
    </row>
    <row r="4758" spans="1:10" x14ac:dyDescent="0.35">
      <c r="A4758">
        <v>323099</v>
      </c>
      <c r="B4758" t="s">
        <v>20</v>
      </c>
      <c r="C4758">
        <v>2015</v>
      </c>
      <c r="D4758">
        <v>7</v>
      </c>
      <c r="E4758" t="s">
        <v>7</v>
      </c>
      <c r="F4758" t="s">
        <v>7</v>
      </c>
      <c r="G4758" t="s">
        <v>7</v>
      </c>
      <c r="H4758">
        <v>8058.42</v>
      </c>
      <c r="I4758">
        <v>2294.92</v>
      </c>
      <c r="J4758">
        <v>0</v>
      </c>
    </row>
    <row r="4759" spans="1:10" x14ac:dyDescent="0.35">
      <c r="A4759">
        <v>323100</v>
      </c>
      <c r="B4759" t="s">
        <v>20</v>
      </c>
      <c r="C4759">
        <v>2015</v>
      </c>
      <c r="D4759">
        <v>7</v>
      </c>
      <c r="E4759" t="s">
        <v>7</v>
      </c>
      <c r="F4759" t="s">
        <v>7</v>
      </c>
      <c r="G4759" t="s">
        <v>7</v>
      </c>
      <c r="H4759">
        <v>37731.56</v>
      </c>
      <c r="I4759">
        <v>13065.25</v>
      </c>
      <c r="J4759">
        <v>0</v>
      </c>
    </row>
    <row r="4760" spans="1:10" x14ac:dyDescent="0.35">
      <c r="A4760">
        <v>323101</v>
      </c>
      <c r="B4760" t="s">
        <v>20</v>
      </c>
      <c r="C4760">
        <v>2015</v>
      </c>
      <c r="D4760">
        <v>7</v>
      </c>
      <c r="E4760" t="s">
        <v>7</v>
      </c>
      <c r="F4760" t="s">
        <v>7</v>
      </c>
      <c r="G4760" t="s">
        <v>7</v>
      </c>
      <c r="H4760">
        <v>22721.040000000001</v>
      </c>
      <c r="I4760">
        <v>4625.25</v>
      </c>
      <c r="J4760">
        <v>0</v>
      </c>
    </row>
    <row r="4761" spans="1:10" x14ac:dyDescent="0.35">
      <c r="A4761">
        <v>323103</v>
      </c>
      <c r="B4761" t="s">
        <v>20</v>
      </c>
      <c r="C4761">
        <v>2015</v>
      </c>
      <c r="D4761">
        <v>7</v>
      </c>
      <c r="E4761" t="s">
        <v>7</v>
      </c>
      <c r="F4761" t="s">
        <v>7</v>
      </c>
      <c r="G4761" t="s">
        <v>7</v>
      </c>
      <c r="H4761">
        <v>18487.54</v>
      </c>
      <c r="I4761">
        <v>4886.47</v>
      </c>
      <c r="J4761">
        <v>0</v>
      </c>
    </row>
    <row r="4762" spans="1:10" x14ac:dyDescent="0.35">
      <c r="A4762">
        <v>323105</v>
      </c>
      <c r="B4762" t="s">
        <v>20</v>
      </c>
      <c r="C4762">
        <v>2015</v>
      </c>
      <c r="D4762">
        <v>7</v>
      </c>
      <c r="E4762" t="s">
        <v>7</v>
      </c>
      <c r="F4762" t="s">
        <v>7</v>
      </c>
      <c r="G4762" t="s">
        <v>7</v>
      </c>
      <c r="H4762">
        <v>29186.7</v>
      </c>
      <c r="I4762">
        <v>8843.7099999999991</v>
      </c>
      <c r="J4762">
        <v>0</v>
      </c>
    </row>
    <row r="4763" spans="1:10" x14ac:dyDescent="0.35">
      <c r="A4763">
        <v>323106</v>
      </c>
      <c r="B4763" t="s">
        <v>20</v>
      </c>
      <c r="C4763">
        <v>2015</v>
      </c>
      <c r="D4763">
        <v>7</v>
      </c>
      <c r="E4763" t="s">
        <v>7</v>
      </c>
      <c r="F4763" t="s">
        <v>7</v>
      </c>
      <c r="G4763" t="s">
        <v>7</v>
      </c>
      <c r="H4763">
        <v>8808.94</v>
      </c>
      <c r="I4763">
        <v>2410.44</v>
      </c>
      <c r="J4763">
        <v>0</v>
      </c>
    </row>
    <row r="4764" spans="1:10" x14ac:dyDescent="0.35">
      <c r="A4764">
        <v>323108</v>
      </c>
      <c r="B4764" t="s">
        <v>20</v>
      </c>
      <c r="C4764">
        <v>2015</v>
      </c>
      <c r="D4764">
        <v>7</v>
      </c>
      <c r="E4764" t="s">
        <v>7</v>
      </c>
      <c r="F4764" t="s">
        <v>7</v>
      </c>
      <c r="G4764" t="s">
        <v>7</v>
      </c>
      <c r="H4764">
        <v>15446.38</v>
      </c>
      <c r="I4764">
        <v>4486.67</v>
      </c>
      <c r="J4764">
        <v>0</v>
      </c>
    </row>
    <row r="4765" spans="1:10" x14ac:dyDescent="0.35">
      <c r="A4765">
        <v>323109</v>
      </c>
      <c r="B4765" t="s">
        <v>20</v>
      </c>
      <c r="C4765">
        <v>2015</v>
      </c>
      <c r="D4765">
        <v>7</v>
      </c>
      <c r="E4765" t="s">
        <v>7</v>
      </c>
      <c r="F4765" t="s">
        <v>7</v>
      </c>
      <c r="G4765" t="s">
        <v>7</v>
      </c>
      <c r="H4765">
        <v>47101.36</v>
      </c>
      <c r="I4765">
        <v>16796.439999999999</v>
      </c>
      <c r="J4765">
        <v>0</v>
      </c>
    </row>
    <row r="4766" spans="1:10" x14ac:dyDescent="0.35">
      <c r="A4766">
        <v>323110</v>
      </c>
      <c r="B4766" t="s">
        <v>20</v>
      </c>
      <c r="C4766">
        <v>2015</v>
      </c>
      <c r="D4766">
        <v>7</v>
      </c>
      <c r="E4766" t="s">
        <v>7</v>
      </c>
      <c r="F4766" t="s">
        <v>7</v>
      </c>
      <c r="G4766" t="s">
        <v>7</v>
      </c>
      <c r="H4766">
        <v>20729.419999999998</v>
      </c>
      <c r="I4766">
        <v>6144.61</v>
      </c>
      <c r="J4766">
        <v>0</v>
      </c>
    </row>
    <row r="4767" spans="1:10" x14ac:dyDescent="0.35">
      <c r="A4767">
        <v>323111</v>
      </c>
      <c r="B4767" t="s">
        <v>20</v>
      </c>
      <c r="C4767">
        <v>2015</v>
      </c>
      <c r="D4767">
        <v>7</v>
      </c>
      <c r="E4767" t="s">
        <v>7</v>
      </c>
      <c r="F4767" t="s">
        <v>7</v>
      </c>
      <c r="G4767" t="s">
        <v>7</v>
      </c>
      <c r="H4767">
        <v>26796.92</v>
      </c>
      <c r="I4767">
        <v>6960.53</v>
      </c>
      <c r="J4767">
        <v>0</v>
      </c>
    </row>
    <row r="4768" spans="1:10" x14ac:dyDescent="0.35">
      <c r="A4768">
        <v>323114</v>
      </c>
      <c r="B4768" t="s">
        <v>20</v>
      </c>
      <c r="C4768">
        <v>2015</v>
      </c>
      <c r="D4768">
        <v>7</v>
      </c>
      <c r="E4768" t="s">
        <v>7</v>
      </c>
      <c r="F4768" t="s">
        <v>7</v>
      </c>
      <c r="G4768" t="s">
        <v>7</v>
      </c>
      <c r="H4768">
        <v>23358.2</v>
      </c>
      <c r="I4768">
        <v>6499.43</v>
      </c>
      <c r="J4768">
        <v>0</v>
      </c>
    </row>
    <row r="4769" spans="1:10" x14ac:dyDescent="0.35">
      <c r="A4769">
        <v>323117</v>
      </c>
      <c r="B4769" t="s">
        <v>20</v>
      </c>
      <c r="C4769">
        <v>2015</v>
      </c>
      <c r="D4769">
        <v>7</v>
      </c>
      <c r="E4769" t="s">
        <v>7</v>
      </c>
      <c r="F4769" t="s">
        <v>7</v>
      </c>
      <c r="G4769" t="s">
        <v>7</v>
      </c>
      <c r="H4769">
        <v>18829.8</v>
      </c>
      <c r="I4769">
        <v>4928.3900000000003</v>
      </c>
      <c r="J4769">
        <v>0</v>
      </c>
    </row>
    <row r="4770" spans="1:10" x14ac:dyDescent="0.35">
      <c r="A4770">
        <v>323118</v>
      </c>
      <c r="B4770" t="s">
        <v>20</v>
      </c>
      <c r="C4770">
        <v>2015</v>
      </c>
      <c r="D4770">
        <v>7</v>
      </c>
      <c r="E4770" t="s">
        <v>7</v>
      </c>
      <c r="F4770" t="s">
        <v>7</v>
      </c>
      <c r="G4770" t="s">
        <v>7</v>
      </c>
      <c r="H4770">
        <v>150391.18</v>
      </c>
      <c r="I4770">
        <v>75812.27</v>
      </c>
      <c r="J4770">
        <v>0</v>
      </c>
    </row>
    <row r="4771" spans="1:10" x14ac:dyDescent="0.35">
      <c r="A4771">
        <v>323119</v>
      </c>
      <c r="B4771" t="s">
        <v>20</v>
      </c>
      <c r="C4771">
        <v>2015</v>
      </c>
      <c r="D4771">
        <v>7</v>
      </c>
      <c r="E4771" t="s">
        <v>7</v>
      </c>
      <c r="F4771" t="s">
        <v>7</v>
      </c>
      <c r="G4771" t="s">
        <v>7</v>
      </c>
      <c r="H4771">
        <v>16319.5</v>
      </c>
      <c r="I4771">
        <v>3503.78</v>
      </c>
      <c r="J4771">
        <v>0</v>
      </c>
    </row>
    <row r="4772" spans="1:10" x14ac:dyDescent="0.35">
      <c r="A4772">
        <v>323120</v>
      </c>
      <c r="B4772" t="s">
        <v>20</v>
      </c>
      <c r="C4772">
        <v>2015</v>
      </c>
      <c r="D4772">
        <v>7</v>
      </c>
      <c r="E4772" t="s">
        <v>7</v>
      </c>
      <c r="F4772" t="s">
        <v>7</v>
      </c>
      <c r="G4772" t="s">
        <v>7</v>
      </c>
      <c r="H4772">
        <v>25138.3</v>
      </c>
      <c r="I4772">
        <v>6375.29</v>
      </c>
      <c r="J4772">
        <v>0</v>
      </c>
    </row>
    <row r="4773" spans="1:10" x14ac:dyDescent="0.35">
      <c r="A4773">
        <v>323122</v>
      </c>
      <c r="B4773" t="s">
        <v>20</v>
      </c>
      <c r="C4773">
        <v>2015</v>
      </c>
      <c r="D4773">
        <v>7</v>
      </c>
      <c r="E4773" t="s">
        <v>7</v>
      </c>
      <c r="F4773" t="s">
        <v>7</v>
      </c>
      <c r="G4773" t="s">
        <v>7</v>
      </c>
      <c r="H4773">
        <v>15893.66</v>
      </c>
      <c r="I4773">
        <v>4133.58</v>
      </c>
      <c r="J4773">
        <v>0</v>
      </c>
    </row>
    <row r="4774" spans="1:10" x14ac:dyDescent="0.35">
      <c r="A4774">
        <v>323123</v>
      </c>
      <c r="B4774" t="s">
        <v>20</v>
      </c>
      <c r="C4774">
        <v>2015</v>
      </c>
      <c r="D4774">
        <v>7</v>
      </c>
      <c r="E4774" t="s">
        <v>7</v>
      </c>
      <c r="F4774" t="s">
        <v>7</v>
      </c>
      <c r="G4774" t="s">
        <v>7</v>
      </c>
      <c r="H4774">
        <v>37434.559999999998</v>
      </c>
      <c r="I4774">
        <v>11034.04</v>
      </c>
      <c r="J4774">
        <v>0</v>
      </c>
    </row>
    <row r="4775" spans="1:10" x14ac:dyDescent="0.35">
      <c r="A4775">
        <v>323124</v>
      </c>
      <c r="B4775" t="s">
        <v>20</v>
      </c>
      <c r="C4775">
        <v>2015</v>
      </c>
      <c r="D4775">
        <v>7</v>
      </c>
      <c r="E4775" t="s">
        <v>7</v>
      </c>
      <c r="F4775" t="s">
        <v>7</v>
      </c>
      <c r="G4775" t="s">
        <v>7</v>
      </c>
      <c r="H4775">
        <v>7361.92</v>
      </c>
      <c r="I4775">
        <v>2225.65</v>
      </c>
      <c r="J4775">
        <v>0</v>
      </c>
    </row>
    <row r="4776" spans="1:10" x14ac:dyDescent="0.35">
      <c r="A4776">
        <v>323125</v>
      </c>
      <c r="B4776" t="s">
        <v>20</v>
      </c>
      <c r="C4776">
        <v>2015</v>
      </c>
      <c r="D4776">
        <v>7</v>
      </c>
      <c r="E4776" t="s">
        <v>7</v>
      </c>
      <c r="F4776" t="s">
        <v>7</v>
      </c>
      <c r="G4776" t="s">
        <v>7</v>
      </c>
      <c r="H4776">
        <v>76815.839999999997</v>
      </c>
      <c r="I4776">
        <v>23723.33</v>
      </c>
      <c r="J4776">
        <v>0</v>
      </c>
    </row>
    <row r="4777" spans="1:10" x14ac:dyDescent="0.35">
      <c r="A4777">
        <v>323126</v>
      </c>
      <c r="B4777" t="s">
        <v>20</v>
      </c>
      <c r="C4777">
        <v>2015</v>
      </c>
      <c r="D4777">
        <v>7</v>
      </c>
      <c r="E4777" t="s">
        <v>7</v>
      </c>
      <c r="F4777" t="s">
        <v>7</v>
      </c>
      <c r="G4777" t="s">
        <v>7</v>
      </c>
      <c r="H4777">
        <v>62940.76</v>
      </c>
      <c r="I4777">
        <v>42036.39</v>
      </c>
      <c r="J4777">
        <v>0</v>
      </c>
    </row>
    <row r="4778" spans="1:10" x14ac:dyDescent="0.35">
      <c r="A4778">
        <v>323128</v>
      </c>
      <c r="B4778" t="s">
        <v>20</v>
      </c>
      <c r="C4778">
        <v>2015</v>
      </c>
      <c r="D4778">
        <v>7</v>
      </c>
      <c r="E4778" t="s">
        <v>7</v>
      </c>
      <c r="F4778" t="s">
        <v>7</v>
      </c>
      <c r="G4778" t="s">
        <v>7</v>
      </c>
      <c r="H4778">
        <v>34188.6</v>
      </c>
      <c r="I4778">
        <v>13019.61</v>
      </c>
      <c r="J4778">
        <v>0</v>
      </c>
    </row>
    <row r="4779" spans="1:10" x14ac:dyDescent="0.35">
      <c r="A4779">
        <v>323130</v>
      </c>
      <c r="B4779" t="s">
        <v>20</v>
      </c>
      <c r="C4779">
        <v>2015</v>
      </c>
      <c r="D4779">
        <v>7</v>
      </c>
      <c r="E4779" t="s">
        <v>7</v>
      </c>
      <c r="F4779" t="s">
        <v>7</v>
      </c>
      <c r="G4779" t="s">
        <v>7</v>
      </c>
      <c r="H4779">
        <v>23866.58</v>
      </c>
      <c r="I4779">
        <v>6395.14</v>
      </c>
      <c r="J4779">
        <v>0</v>
      </c>
    </row>
    <row r="4780" spans="1:10" x14ac:dyDescent="0.35">
      <c r="A4780">
        <v>323131</v>
      </c>
      <c r="B4780" t="s">
        <v>20</v>
      </c>
      <c r="C4780">
        <v>2015</v>
      </c>
      <c r="D4780">
        <v>7</v>
      </c>
      <c r="E4780" t="s">
        <v>7</v>
      </c>
      <c r="F4780" t="s">
        <v>7</v>
      </c>
      <c r="G4780" t="s">
        <v>7</v>
      </c>
      <c r="H4780">
        <v>20536</v>
      </c>
      <c r="I4780">
        <v>5117.5</v>
      </c>
      <c r="J4780">
        <v>0</v>
      </c>
    </row>
    <row r="4781" spans="1:10" x14ac:dyDescent="0.35">
      <c r="A4781">
        <v>323134</v>
      </c>
      <c r="B4781" t="s">
        <v>20</v>
      </c>
      <c r="C4781">
        <v>2015</v>
      </c>
      <c r="D4781">
        <v>7</v>
      </c>
      <c r="E4781" t="s">
        <v>7</v>
      </c>
      <c r="F4781" t="s">
        <v>7</v>
      </c>
      <c r="G4781" t="s">
        <v>7</v>
      </c>
      <c r="H4781">
        <v>136949.39000000001</v>
      </c>
      <c r="I4781">
        <v>97743.79</v>
      </c>
      <c r="J4781">
        <v>0</v>
      </c>
    </row>
    <row r="4782" spans="1:10" x14ac:dyDescent="0.35">
      <c r="A4782">
        <v>323135</v>
      </c>
      <c r="B4782" t="s">
        <v>20</v>
      </c>
      <c r="C4782">
        <v>2015</v>
      </c>
      <c r="D4782">
        <v>7</v>
      </c>
      <c r="E4782" t="s">
        <v>7</v>
      </c>
      <c r="F4782" t="s">
        <v>7</v>
      </c>
      <c r="G4782" t="s">
        <v>7</v>
      </c>
      <c r="H4782">
        <v>14331.86</v>
      </c>
      <c r="I4782">
        <v>4148.24</v>
      </c>
      <c r="J4782">
        <v>0</v>
      </c>
    </row>
    <row r="4783" spans="1:10" x14ac:dyDescent="0.35">
      <c r="A4783">
        <v>323138</v>
      </c>
      <c r="B4783" t="s">
        <v>20</v>
      </c>
      <c r="C4783">
        <v>2015</v>
      </c>
      <c r="D4783">
        <v>7</v>
      </c>
      <c r="E4783" t="s">
        <v>7</v>
      </c>
      <c r="F4783" t="s">
        <v>7</v>
      </c>
      <c r="G4783" t="s">
        <v>7</v>
      </c>
      <c r="H4783">
        <v>20140.099999999999</v>
      </c>
      <c r="I4783">
        <v>4623.8</v>
      </c>
      <c r="J4783">
        <v>0</v>
      </c>
    </row>
    <row r="4784" spans="1:10" x14ac:dyDescent="0.35">
      <c r="A4784">
        <v>323140</v>
      </c>
      <c r="B4784" t="s">
        <v>20</v>
      </c>
      <c r="C4784">
        <v>2015</v>
      </c>
      <c r="D4784">
        <v>7</v>
      </c>
      <c r="E4784" t="s">
        <v>7</v>
      </c>
      <c r="F4784" t="s">
        <v>7</v>
      </c>
      <c r="G4784" t="s">
        <v>7</v>
      </c>
      <c r="H4784">
        <v>28060.240000000002</v>
      </c>
      <c r="I4784">
        <v>11536.56</v>
      </c>
      <c r="J4784">
        <v>0</v>
      </c>
    </row>
    <row r="4785" spans="1:10" x14ac:dyDescent="0.35">
      <c r="A4785">
        <v>323141</v>
      </c>
      <c r="B4785" t="s">
        <v>20</v>
      </c>
      <c r="C4785">
        <v>2015</v>
      </c>
      <c r="D4785">
        <v>7</v>
      </c>
      <c r="E4785" t="s">
        <v>7</v>
      </c>
      <c r="F4785" t="s">
        <v>7</v>
      </c>
      <c r="G4785" t="s">
        <v>7</v>
      </c>
      <c r="H4785">
        <v>20071.400000000001</v>
      </c>
      <c r="I4785">
        <v>4682.96</v>
      </c>
      <c r="J4785">
        <v>0</v>
      </c>
    </row>
    <row r="4786" spans="1:10" x14ac:dyDescent="0.35">
      <c r="A4786">
        <v>323145</v>
      </c>
      <c r="B4786" t="s">
        <v>20</v>
      </c>
      <c r="C4786">
        <v>2015</v>
      </c>
      <c r="D4786">
        <v>7</v>
      </c>
      <c r="E4786" t="s">
        <v>7</v>
      </c>
      <c r="F4786" t="s">
        <v>7</v>
      </c>
      <c r="G4786" t="s">
        <v>7</v>
      </c>
      <c r="H4786">
        <v>27539</v>
      </c>
      <c r="I4786">
        <v>7685.59</v>
      </c>
      <c r="J4786">
        <v>0</v>
      </c>
    </row>
    <row r="4787" spans="1:10" x14ac:dyDescent="0.35">
      <c r="A4787">
        <v>323146</v>
      </c>
      <c r="B4787" t="s">
        <v>20</v>
      </c>
      <c r="C4787">
        <v>2015</v>
      </c>
      <c r="D4787">
        <v>7</v>
      </c>
      <c r="E4787" t="s">
        <v>7</v>
      </c>
      <c r="F4787" t="s">
        <v>7</v>
      </c>
      <c r="G4787" t="s">
        <v>7</v>
      </c>
      <c r="H4787">
        <v>34802.120000000003</v>
      </c>
      <c r="I4787">
        <v>9848.17</v>
      </c>
      <c r="J4787">
        <v>0</v>
      </c>
    </row>
    <row r="4788" spans="1:10" x14ac:dyDescent="0.35">
      <c r="A4788">
        <v>323147</v>
      </c>
      <c r="B4788" t="s">
        <v>20</v>
      </c>
      <c r="C4788">
        <v>2015</v>
      </c>
      <c r="D4788">
        <v>7</v>
      </c>
      <c r="E4788" t="s">
        <v>7</v>
      </c>
      <c r="F4788" t="s">
        <v>7</v>
      </c>
      <c r="G4788" t="s">
        <v>7</v>
      </c>
      <c r="H4788">
        <v>9833.7199999999993</v>
      </c>
      <c r="I4788">
        <v>2743.39</v>
      </c>
      <c r="J4788">
        <v>0</v>
      </c>
    </row>
    <row r="4789" spans="1:10" x14ac:dyDescent="0.35">
      <c r="A4789">
        <v>323148</v>
      </c>
      <c r="B4789" t="s">
        <v>20</v>
      </c>
      <c r="C4789">
        <v>2015</v>
      </c>
      <c r="D4789">
        <v>7</v>
      </c>
      <c r="E4789" t="s">
        <v>7</v>
      </c>
      <c r="F4789" t="s">
        <v>7</v>
      </c>
      <c r="G4789" t="s">
        <v>7</v>
      </c>
      <c r="H4789">
        <v>24916.76</v>
      </c>
      <c r="I4789">
        <v>6294.71</v>
      </c>
      <c r="J4789">
        <v>0</v>
      </c>
    </row>
    <row r="4790" spans="1:10" x14ac:dyDescent="0.35">
      <c r="A4790">
        <v>323149</v>
      </c>
      <c r="B4790" t="s">
        <v>20</v>
      </c>
      <c r="C4790">
        <v>2015</v>
      </c>
      <c r="D4790">
        <v>7</v>
      </c>
      <c r="E4790" t="s">
        <v>7</v>
      </c>
      <c r="F4790" t="s">
        <v>7</v>
      </c>
      <c r="G4790" t="s">
        <v>7</v>
      </c>
      <c r="H4790">
        <v>40152.480000000003</v>
      </c>
      <c r="I4790">
        <v>10193.450000000001</v>
      </c>
      <c r="J4790">
        <v>0</v>
      </c>
    </row>
    <row r="4791" spans="1:10" x14ac:dyDescent="0.35">
      <c r="A4791">
        <v>323152</v>
      </c>
      <c r="B4791" t="s">
        <v>20</v>
      </c>
      <c r="C4791">
        <v>2015</v>
      </c>
      <c r="D4791">
        <v>7</v>
      </c>
      <c r="E4791" t="s">
        <v>7</v>
      </c>
      <c r="F4791" t="s">
        <v>7</v>
      </c>
      <c r="G4791" t="s">
        <v>7</v>
      </c>
      <c r="H4791">
        <v>40217.300000000003</v>
      </c>
      <c r="I4791">
        <v>10614.43</v>
      </c>
      <c r="J4791">
        <v>0</v>
      </c>
    </row>
    <row r="4792" spans="1:10" x14ac:dyDescent="0.35">
      <c r="A4792">
        <v>323153</v>
      </c>
      <c r="B4792" t="s">
        <v>20</v>
      </c>
      <c r="C4792">
        <v>2015</v>
      </c>
      <c r="D4792">
        <v>7</v>
      </c>
      <c r="E4792" t="s">
        <v>7</v>
      </c>
      <c r="F4792" t="s">
        <v>7</v>
      </c>
      <c r="G4792" t="s">
        <v>7</v>
      </c>
      <c r="H4792">
        <v>73913.86</v>
      </c>
      <c r="I4792">
        <v>34880.269999999997</v>
      </c>
      <c r="J4792">
        <v>0</v>
      </c>
    </row>
    <row r="4793" spans="1:10" x14ac:dyDescent="0.35">
      <c r="A4793">
        <v>323154</v>
      </c>
      <c r="B4793" t="s">
        <v>20</v>
      </c>
      <c r="C4793">
        <v>2015</v>
      </c>
      <c r="D4793">
        <v>7</v>
      </c>
      <c r="E4793" t="s">
        <v>7</v>
      </c>
      <c r="F4793" t="s">
        <v>7</v>
      </c>
      <c r="G4793" t="s">
        <v>7</v>
      </c>
      <c r="H4793">
        <v>67519.02</v>
      </c>
      <c r="I4793">
        <v>47261.04</v>
      </c>
      <c r="J4793">
        <v>0</v>
      </c>
    </row>
    <row r="4794" spans="1:10" x14ac:dyDescent="0.35">
      <c r="A4794">
        <v>323156</v>
      </c>
      <c r="B4794" t="s">
        <v>20</v>
      </c>
      <c r="C4794">
        <v>2015</v>
      </c>
      <c r="D4794">
        <v>7</v>
      </c>
      <c r="E4794" t="s">
        <v>7</v>
      </c>
      <c r="F4794" t="s">
        <v>7</v>
      </c>
      <c r="G4794" t="s">
        <v>7</v>
      </c>
      <c r="H4794">
        <v>28633.32</v>
      </c>
      <c r="I4794">
        <v>7136.13</v>
      </c>
      <c r="J4794">
        <v>0</v>
      </c>
    </row>
    <row r="4795" spans="1:10" x14ac:dyDescent="0.35">
      <c r="A4795">
        <v>323157</v>
      </c>
      <c r="B4795" t="s">
        <v>20</v>
      </c>
      <c r="C4795">
        <v>2015</v>
      </c>
      <c r="D4795">
        <v>7</v>
      </c>
      <c r="E4795" t="s">
        <v>7</v>
      </c>
      <c r="F4795" t="s">
        <v>7</v>
      </c>
      <c r="G4795" t="s">
        <v>7</v>
      </c>
      <c r="H4795">
        <v>42448.22</v>
      </c>
      <c r="I4795">
        <v>12200.52</v>
      </c>
      <c r="J4795">
        <v>0</v>
      </c>
    </row>
    <row r="4796" spans="1:10" x14ac:dyDescent="0.35">
      <c r="A4796">
        <v>323158</v>
      </c>
      <c r="B4796" t="s">
        <v>20</v>
      </c>
      <c r="C4796">
        <v>2015</v>
      </c>
      <c r="D4796">
        <v>7</v>
      </c>
      <c r="E4796" t="s">
        <v>7</v>
      </c>
      <c r="F4796" t="s">
        <v>7</v>
      </c>
      <c r="G4796" t="s">
        <v>7</v>
      </c>
      <c r="H4796">
        <v>37027.360000000001</v>
      </c>
      <c r="I4796">
        <v>10456.129999999999</v>
      </c>
      <c r="J4796">
        <v>0</v>
      </c>
    </row>
    <row r="4797" spans="1:10" x14ac:dyDescent="0.35">
      <c r="A4797">
        <v>323159</v>
      </c>
      <c r="B4797" t="s">
        <v>20</v>
      </c>
      <c r="C4797">
        <v>2015</v>
      </c>
      <c r="D4797">
        <v>7</v>
      </c>
      <c r="E4797" t="s">
        <v>7</v>
      </c>
      <c r="F4797" t="s">
        <v>7</v>
      </c>
      <c r="G4797" t="s">
        <v>7</v>
      </c>
      <c r="H4797">
        <v>63851.839999999997</v>
      </c>
      <c r="I4797">
        <v>45874.16</v>
      </c>
      <c r="J4797">
        <v>0</v>
      </c>
    </row>
    <row r="4798" spans="1:10" x14ac:dyDescent="0.35">
      <c r="A4798">
        <v>323160</v>
      </c>
      <c r="B4798" t="s">
        <v>20</v>
      </c>
      <c r="C4798">
        <v>2015</v>
      </c>
      <c r="D4798">
        <v>7</v>
      </c>
      <c r="E4798" t="s">
        <v>7</v>
      </c>
      <c r="F4798" t="s">
        <v>7</v>
      </c>
      <c r="G4798" t="s">
        <v>7</v>
      </c>
      <c r="H4798">
        <v>76264.3</v>
      </c>
      <c r="I4798">
        <v>24760.25</v>
      </c>
      <c r="J4798">
        <v>0</v>
      </c>
    </row>
    <row r="4799" spans="1:10" x14ac:dyDescent="0.35">
      <c r="A4799">
        <v>323161</v>
      </c>
      <c r="B4799" t="s">
        <v>20</v>
      </c>
      <c r="C4799">
        <v>2015</v>
      </c>
      <c r="D4799">
        <v>7</v>
      </c>
      <c r="E4799" t="s">
        <v>7</v>
      </c>
      <c r="F4799" t="s">
        <v>7</v>
      </c>
      <c r="G4799" t="s">
        <v>7</v>
      </c>
      <c r="H4799">
        <v>26561.8</v>
      </c>
      <c r="I4799">
        <v>8041.92</v>
      </c>
      <c r="J4799">
        <v>0</v>
      </c>
    </row>
    <row r="4800" spans="1:10" x14ac:dyDescent="0.35">
      <c r="A4800">
        <v>323163</v>
      </c>
      <c r="B4800" t="s">
        <v>20</v>
      </c>
      <c r="C4800">
        <v>2015</v>
      </c>
      <c r="D4800">
        <v>7</v>
      </c>
      <c r="E4800" t="s">
        <v>7</v>
      </c>
      <c r="F4800" t="s">
        <v>7</v>
      </c>
      <c r="G4800" t="s">
        <v>7</v>
      </c>
      <c r="H4800">
        <v>16529.419999999998</v>
      </c>
      <c r="I4800">
        <v>4241.17</v>
      </c>
      <c r="J4800">
        <v>0</v>
      </c>
    </row>
    <row r="4801" spans="1:10" x14ac:dyDescent="0.35">
      <c r="A4801">
        <v>323164</v>
      </c>
      <c r="B4801" t="s">
        <v>20</v>
      </c>
      <c r="C4801">
        <v>2015</v>
      </c>
      <c r="D4801">
        <v>7</v>
      </c>
      <c r="E4801" t="s">
        <v>7</v>
      </c>
      <c r="F4801" t="s">
        <v>7</v>
      </c>
      <c r="G4801" t="s">
        <v>7</v>
      </c>
      <c r="H4801">
        <v>23813.9</v>
      </c>
      <c r="I4801">
        <v>8669.99</v>
      </c>
      <c r="J4801">
        <v>0</v>
      </c>
    </row>
    <row r="4802" spans="1:10" x14ac:dyDescent="0.35">
      <c r="A4802">
        <v>323166</v>
      </c>
      <c r="B4802" t="s">
        <v>20</v>
      </c>
      <c r="C4802">
        <v>2015</v>
      </c>
      <c r="D4802">
        <v>7</v>
      </c>
      <c r="E4802" t="s">
        <v>7</v>
      </c>
      <c r="F4802" t="s">
        <v>7</v>
      </c>
      <c r="G4802" t="s">
        <v>7</v>
      </c>
      <c r="H4802">
        <v>12780.36</v>
      </c>
      <c r="I4802">
        <v>2590.0100000000002</v>
      </c>
      <c r="J4802">
        <v>0</v>
      </c>
    </row>
    <row r="4803" spans="1:10" x14ac:dyDescent="0.35">
      <c r="A4803">
        <v>323168</v>
      </c>
      <c r="B4803" t="s">
        <v>20</v>
      </c>
      <c r="C4803">
        <v>2015</v>
      </c>
      <c r="D4803">
        <v>7</v>
      </c>
      <c r="E4803" t="s">
        <v>7</v>
      </c>
      <c r="F4803" t="s">
        <v>7</v>
      </c>
      <c r="G4803" t="s">
        <v>7</v>
      </c>
      <c r="H4803">
        <v>38430.78</v>
      </c>
      <c r="I4803">
        <v>11865.99</v>
      </c>
      <c r="J4803">
        <v>0</v>
      </c>
    </row>
    <row r="4804" spans="1:10" x14ac:dyDescent="0.35">
      <c r="A4804">
        <v>323169</v>
      </c>
      <c r="B4804" t="s">
        <v>20</v>
      </c>
      <c r="C4804">
        <v>2015</v>
      </c>
      <c r="D4804">
        <v>7</v>
      </c>
      <c r="E4804" t="s">
        <v>7</v>
      </c>
      <c r="F4804" t="s">
        <v>7</v>
      </c>
      <c r="G4804" t="s">
        <v>7</v>
      </c>
      <c r="H4804">
        <v>24126.84</v>
      </c>
      <c r="I4804">
        <v>7608.82</v>
      </c>
      <c r="J4804">
        <v>0</v>
      </c>
    </row>
    <row r="4805" spans="1:10" x14ac:dyDescent="0.35">
      <c r="A4805">
        <v>323172</v>
      </c>
      <c r="B4805" t="s">
        <v>20</v>
      </c>
      <c r="C4805">
        <v>2015</v>
      </c>
      <c r="D4805">
        <v>7</v>
      </c>
      <c r="E4805" t="s">
        <v>7</v>
      </c>
      <c r="F4805" t="s">
        <v>7</v>
      </c>
      <c r="G4805" t="s">
        <v>7</v>
      </c>
      <c r="H4805">
        <v>43546.559999999998</v>
      </c>
      <c r="I4805">
        <v>17046.560000000001</v>
      </c>
      <c r="J4805">
        <v>0</v>
      </c>
    </row>
    <row r="4806" spans="1:10" x14ac:dyDescent="0.35">
      <c r="A4806">
        <v>323173</v>
      </c>
      <c r="B4806" t="s">
        <v>20</v>
      </c>
      <c r="C4806">
        <v>2015</v>
      </c>
      <c r="D4806">
        <v>7</v>
      </c>
      <c r="E4806" t="s">
        <v>7</v>
      </c>
      <c r="F4806" t="s">
        <v>7</v>
      </c>
      <c r="G4806" t="s">
        <v>7</v>
      </c>
      <c r="H4806">
        <v>21363.1</v>
      </c>
      <c r="I4806">
        <v>11319.91</v>
      </c>
      <c r="J4806">
        <v>0</v>
      </c>
    </row>
    <row r="4807" spans="1:10" x14ac:dyDescent="0.35">
      <c r="A4807">
        <v>323174</v>
      </c>
      <c r="B4807" t="s">
        <v>20</v>
      </c>
      <c r="C4807">
        <v>2015</v>
      </c>
      <c r="D4807">
        <v>7</v>
      </c>
      <c r="E4807" t="s">
        <v>7</v>
      </c>
      <c r="F4807" t="s">
        <v>7</v>
      </c>
      <c r="G4807" t="s">
        <v>7</v>
      </c>
      <c r="H4807">
        <v>38745.699999999997</v>
      </c>
      <c r="I4807">
        <v>10343.57</v>
      </c>
      <c r="J4807">
        <v>0</v>
      </c>
    </row>
    <row r="4808" spans="1:10" x14ac:dyDescent="0.35">
      <c r="A4808">
        <v>323175</v>
      </c>
      <c r="B4808" t="s">
        <v>20</v>
      </c>
      <c r="C4808">
        <v>2015</v>
      </c>
      <c r="D4808">
        <v>7</v>
      </c>
      <c r="E4808" t="s">
        <v>7</v>
      </c>
      <c r="F4808" t="s">
        <v>7</v>
      </c>
      <c r="G4808" t="s">
        <v>7</v>
      </c>
      <c r="H4808">
        <v>41808.36</v>
      </c>
      <c r="I4808">
        <v>11804.84</v>
      </c>
      <c r="J4808">
        <v>0</v>
      </c>
    </row>
    <row r="4809" spans="1:10" x14ac:dyDescent="0.35">
      <c r="A4809">
        <v>323177</v>
      </c>
      <c r="B4809" t="s">
        <v>20</v>
      </c>
      <c r="C4809">
        <v>2015</v>
      </c>
      <c r="D4809">
        <v>7</v>
      </c>
      <c r="E4809" t="s">
        <v>7</v>
      </c>
      <c r="F4809" t="s">
        <v>7</v>
      </c>
      <c r="G4809" t="s">
        <v>7</v>
      </c>
      <c r="H4809">
        <v>62559.88</v>
      </c>
      <c r="I4809">
        <v>49261.59</v>
      </c>
      <c r="J4809">
        <v>0</v>
      </c>
    </row>
    <row r="4810" spans="1:10" x14ac:dyDescent="0.35">
      <c r="A4810">
        <v>323178</v>
      </c>
      <c r="B4810" t="s">
        <v>20</v>
      </c>
      <c r="C4810">
        <v>2015</v>
      </c>
      <c r="D4810">
        <v>7</v>
      </c>
      <c r="E4810" t="s">
        <v>7</v>
      </c>
      <c r="F4810" t="s">
        <v>7</v>
      </c>
      <c r="G4810" t="s">
        <v>7</v>
      </c>
      <c r="H4810">
        <v>17476.68</v>
      </c>
      <c r="I4810">
        <v>4401.5</v>
      </c>
      <c r="J4810">
        <v>0</v>
      </c>
    </row>
    <row r="4811" spans="1:10" x14ac:dyDescent="0.35">
      <c r="A4811">
        <v>323179</v>
      </c>
      <c r="B4811" t="s">
        <v>20</v>
      </c>
      <c r="C4811">
        <v>2015</v>
      </c>
      <c r="D4811">
        <v>7</v>
      </c>
      <c r="E4811" t="s">
        <v>7</v>
      </c>
      <c r="F4811" t="s">
        <v>7</v>
      </c>
      <c r="G4811" t="s">
        <v>7</v>
      </c>
      <c r="H4811">
        <v>12349.54</v>
      </c>
      <c r="I4811">
        <v>3071.73</v>
      </c>
      <c r="J4811">
        <v>0</v>
      </c>
    </row>
    <row r="4812" spans="1:10" x14ac:dyDescent="0.35">
      <c r="A4812">
        <v>323180</v>
      </c>
      <c r="B4812" t="s">
        <v>20</v>
      </c>
      <c r="C4812">
        <v>2015</v>
      </c>
      <c r="D4812">
        <v>7</v>
      </c>
      <c r="E4812" t="s">
        <v>7</v>
      </c>
      <c r="F4812" t="s">
        <v>7</v>
      </c>
      <c r="G4812" t="s">
        <v>7</v>
      </c>
      <c r="H4812">
        <v>12699.84</v>
      </c>
      <c r="I4812">
        <v>4881.47</v>
      </c>
      <c r="J4812">
        <v>0</v>
      </c>
    </row>
    <row r="4813" spans="1:10" x14ac:dyDescent="0.35">
      <c r="A4813">
        <v>323181</v>
      </c>
      <c r="B4813" t="s">
        <v>20</v>
      </c>
      <c r="C4813">
        <v>2015</v>
      </c>
      <c r="D4813">
        <v>7</v>
      </c>
      <c r="E4813" t="s">
        <v>7</v>
      </c>
      <c r="F4813" t="s">
        <v>7</v>
      </c>
      <c r="G4813" t="s">
        <v>7</v>
      </c>
      <c r="H4813">
        <v>9988.82</v>
      </c>
      <c r="I4813">
        <v>2722.94</v>
      </c>
      <c r="J4813">
        <v>0</v>
      </c>
    </row>
    <row r="4814" spans="1:10" x14ac:dyDescent="0.35">
      <c r="A4814">
        <v>323183</v>
      </c>
      <c r="B4814" t="s">
        <v>20</v>
      </c>
      <c r="C4814">
        <v>2015</v>
      </c>
      <c r="D4814">
        <v>7</v>
      </c>
      <c r="E4814" t="s">
        <v>7</v>
      </c>
      <c r="F4814" t="s">
        <v>7</v>
      </c>
      <c r="G4814" t="s">
        <v>7</v>
      </c>
      <c r="H4814">
        <v>14908.54</v>
      </c>
      <c r="I4814">
        <v>4110.0200000000004</v>
      </c>
      <c r="J4814">
        <v>0</v>
      </c>
    </row>
    <row r="4815" spans="1:10" x14ac:dyDescent="0.35">
      <c r="A4815">
        <v>323184</v>
      </c>
      <c r="B4815" t="s">
        <v>20</v>
      </c>
      <c r="C4815">
        <v>2015</v>
      </c>
      <c r="D4815">
        <v>7</v>
      </c>
      <c r="E4815" t="s">
        <v>7</v>
      </c>
      <c r="F4815" t="s">
        <v>7</v>
      </c>
      <c r="G4815" t="s">
        <v>7</v>
      </c>
      <c r="H4815">
        <v>23147.74</v>
      </c>
      <c r="I4815">
        <v>7018.02</v>
      </c>
      <c r="J4815">
        <v>0</v>
      </c>
    </row>
    <row r="4816" spans="1:10" x14ac:dyDescent="0.35">
      <c r="A4816">
        <v>323185</v>
      </c>
      <c r="B4816" t="s">
        <v>20</v>
      </c>
      <c r="C4816">
        <v>2015</v>
      </c>
      <c r="D4816">
        <v>7</v>
      </c>
      <c r="E4816" t="s">
        <v>7</v>
      </c>
      <c r="F4816" t="s">
        <v>7</v>
      </c>
      <c r="G4816" t="s">
        <v>7</v>
      </c>
      <c r="H4816">
        <v>39419.68</v>
      </c>
      <c r="I4816">
        <v>9843.39</v>
      </c>
      <c r="J4816">
        <v>0</v>
      </c>
    </row>
    <row r="4817" spans="1:10" x14ac:dyDescent="0.35">
      <c r="A4817">
        <v>323187</v>
      </c>
      <c r="B4817" t="s">
        <v>20</v>
      </c>
      <c r="C4817">
        <v>2015</v>
      </c>
      <c r="D4817">
        <v>7</v>
      </c>
      <c r="E4817" t="s">
        <v>7</v>
      </c>
      <c r="F4817" t="s">
        <v>7</v>
      </c>
      <c r="G4817" t="s">
        <v>7</v>
      </c>
      <c r="H4817">
        <v>21727.62</v>
      </c>
      <c r="I4817">
        <v>6090.68</v>
      </c>
      <c r="J4817">
        <v>0</v>
      </c>
    </row>
    <row r="4818" spans="1:10" x14ac:dyDescent="0.35">
      <c r="A4818">
        <v>323188</v>
      </c>
      <c r="B4818" t="s">
        <v>20</v>
      </c>
      <c r="C4818">
        <v>2015</v>
      </c>
      <c r="D4818">
        <v>7</v>
      </c>
      <c r="E4818" t="s">
        <v>7</v>
      </c>
      <c r="F4818" t="s">
        <v>7</v>
      </c>
      <c r="G4818" t="s">
        <v>7</v>
      </c>
      <c r="H4818">
        <v>71868.539999999994</v>
      </c>
      <c r="I4818">
        <v>51405.120000000003</v>
      </c>
      <c r="J4818">
        <v>0</v>
      </c>
    </row>
    <row r="4819" spans="1:10" x14ac:dyDescent="0.35">
      <c r="A4819">
        <v>323189</v>
      </c>
      <c r="B4819" t="s">
        <v>20</v>
      </c>
      <c r="C4819">
        <v>2015</v>
      </c>
      <c r="D4819">
        <v>7</v>
      </c>
      <c r="E4819" t="s">
        <v>7</v>
      </c>
      <c r="F4819" t="s">
        <v>7</v>
      </c>
      <c r="G4819" t="s">
        <v>7</v>
      </c>
      <c r="H4819">
        <v>28367.119999999999</v>
      </c>
      <c r="I4819">
        <v>8562.44</v>
      </c>
      <c r="J4819">
        <v>0</v>
      </c>
    </row>
    <row r="4820" spans="1:10" x14ac:dyDescent="0.35">
      <c r="A4820">
        <v>323190</v>
      </c>
      <c r="B4820" t="s">
        <v>20</v>
      </c>
      <c r="C4820">
        <v>2015</v>
      </c>
      <c r="D4820">
        <v>7</v>
      </c>
      <c r="E4820" t="s">
        <v>7</v>
      </c>
      <c r="F4820" t="s">
        <v>7</v>
      </c>
      <c r="G4820" t="s">
        <v>7</v>
      </c>
      <c r="H4820">
        <v>28687.72</v>
      </c>
      <c r="I4820">
        <v>5404.44</v>
      </c>
      <c r="J4820">
        <v>0</v>
      </c>
    </row>
    <row r="4821" spans="1:10" x14ac:dyDescent="0.35">
      <c r="A4821">
        <v>323193</v>
      </c>
      <c r="B4821" t="s">
        <v>20</v>
      </c>
      <c r="C4821">
        <v>2015</v>
      </c>
      <c r="D4821">
        <v>7</v>
      </c>
      <c r="E4821" t="s">
        <v>7</v>
      </c>
      <c r="F4821" t="s">
        <v>7</v>
      </c>
      <c r="G4821" t="s">
        <v>7</v>
      </c>
      <c r="H4821">
        <v>24033.18</v>
      </c>
      <c r="I4821">
        <v>6606.27</v>
      </c>
      <c r="J4821">
        <v>0</v>
      </c>
    </row>
    <row r="4822" spans="1:10" x14ac:dyDescent="0.35">
      <c r="A4822">
        <v>323194</v>
      </c>
      <c r="B4822" t="s">
        <v>20</v>
      </c>
      <c r="C4822">
        <v>2015</v>
      </c>
      <c r="D4822">
        <v>7</v>
      </c>
      <c r="E4822" t="s">
        <v>7</v>
      </c>
      <c r="F4822" t="s">
        <v>7</v>
      </c>
      <c r="G4822" t="s">
        <v>7</v>
      </c>
      <c r="H4822">
        <v>65012.32</v>
      </c>
      <c r="I4822">
        <v>30466.06</v>
      </c>
      <c r="J4822">
        <v>0</v>
      </c>
    </row>
    <row r="4823" spans="1:10" x14ac:dyDescent="0.35">
      <c r="A4823">
        <v>323195</v>
      </c>
      <c r="B4823" t="s">
        <v>20</v>
      </c>
      <c r="C4823">
        <v>2015</v>
      </c>
      <c r="D4823">
        <v>7</v>
      </c>
      <c r="E4823" t="s">
        <v>7</v>
      </c>
      <c r="F4823" t="s">
        <v>7</v>
      </c>
      <c r="G4823" t="s">
        <v>7</v>
      </c>
      <c r="H4823">
        <v>35214.400000000001</v>
      </c>
      <c r="I4823">
        <v>9667.68</v>
      </c>
      <c r="J4823">
        <v>0</v>
      </c>
    </row>
    <row r="4824" spans="1:10" x14ac:dyDescent="0.35">
      <c r="A4824">
        <v>323196</v>
      </c>
      <c r="B4824" t="s">
        <v>20</v>
      </c>
      <c r="C4824">
        <v>2015</v>
      </c>
      <c r="D4824">
        <v>7</v>
      </c>
      <c r="E4824" t="s">
        <v>7</v>
      </c>
      <c r="F4824" t="s">
        <v>7</v>
      </c>
      <c r="G4824" t="s">
        <v>7</v>
      </c>
      <c r="H4824">
        <v>70080.52</v>
      </c>
      <c r="I4824">
        <v>20808.669999999998</v>
      </c>
      <c r="J4824">
        <v>0</v>
      </c>
    </row>
    <row r="4825" spans="1:10" x14ac:dyDescent="0.35">
      <c r="A4825">
        <v>323197</v>
      </c>
      <c r="B4825" t="s">
        <v>20</v>
      </c>
      <c r="C4825">
        <v>2015</v>
      </c>
      <c r="D4825">
        <v>7</v>
      </c>
      <c r="E4825" t="s">
        <v>7</v>
      </c>
      <c r="F4825" t="s">
        <v>7</v>
      </c>
      <c r="G4825" t="s">
        <v>7</v>
      </c>
      <c r="H4825">
        <v>25723.26</v>
      </c>
      <c r="I4825">
        <v>6037.13</v>
      </c>
      <c r="J4825">
        <v>0</v>
      </c>
    </row>
    <row r="4826" spans="1:10" x14ac:dyDescent="0.35">
      <c r="A4826">
        <v>323200</v>
      </c>
      <c r="B4826" t="s">
        <v>20</v>
      </c>
      <c r="C4826">
        <v>2015</v>
      </c>
      <c r="D4826">
        <v>7</v>
      </c>
      <c r="E4826" t="s">
        <v>7</v>
      </c>
      <c r="F4826" t="s">
        <v>7</v>
      </c>
      <c r="G4826" t="s">
        <v>7</v>
      </c>
      <c r="H4826">
        <v>29090.82</v>
      </c>
      <c r="I4826">
        <v>11983.56</v>
      </c>
      <c r="J4826">
        <v>0</v>
      </c>
    </row>
    <row r="4827" spans="1:10" x14ac:dyDescent="0.35">
      <c r="A4827">
        <v>323202</v>
      </c>
      <c r="B4827" t="s">
        <v>20</v>
      </c>
      <c r="C4827">
        <v>2015</v>
      </c>
      <c r="D4827">
        <v>7</v>
      </c>
      <c r="E4827" t="s">
        <v>7</v>
      </c>
      <c r="F4827" t="s">
        <v>7</v>
      </c>
      <c r="G4827" t="s">
        <v>7</v>
      </c>
      <c r="H4827">
        <v>9143.14</v>
      </c>
      <c r="I4827">
        <v>2714.46</v>
      </c>
      <c r="J4827">
        <v>0</v>
      </c>
    </row>
    <row r="4828" spans="1:10" x14ac:dyDescent="0.35">
      <c r="A4828">
        <v>323206</v>
      </c>
      <c r="B4828" t="s">
        <v>20</v>
      </c>
      <c r="C4828">
        <v>2015</v>
      </c>
      <c r="D4828">
        <v>7</v>
      </c>
      <c r="E4828" t="s">
        <v>7</v>
      </c>
      <c r="F4828" t="s">
        <v>7</v>
      </c>
      <c r="G4828" t="s">
        <v>7</v>
      </c>
      <c r="H4828">
        <v>15378.62</v>
      </c>
      <c r="I4828">
        <v>4618.51</v>
      </c>
      <c r="J4828">
        <v>0</v>
      </c>
    </row>
    <row r="4829" spans="1:10" x14ac:dyDescent="0.35">
      <c r="A4829">
        <v>323207</v>
      </c>
      <c r="B4829" t="s">
        <v>20</v>
      </c>
      <c r="C4829">
        <v>2015</v>
      </c>
      <c r="D4829">
        <v>7</v>
      </c>
      <c r="E4829" t="s">
        <v>7</v>
      </c>
      <c r="F4829" t="s">
        <v>7</v>
      </c>
      <c r="G4829" t="s">
        <v>7</v>
      </c>
      <c r="H4829">
        <v>17065.14</v>
      </c>
      <c r="I4829">
        <v>4868.37</v>
      </c>
      <c r="J4829">
        <v>0</v>
      </c>
    </row>
    <row r="4830" spans="1:10" x14ac:dyDescent="0.35">
      <c r="A4830">
        <v>323209</v>
      </c>
      <c r="B4830" t="s">
        <v>20</v>
      </c>
      <c r="C4830">
        <v>2015</v>
      </c>
      <c r="D4830">
        <v>7</v>
      </c>
      <c r="E4830" t="s">
        <v>7</v>
      </c>
      <c r="F4830" t="s">
        <v>7</v>
      </c>
      <c r="G4830" t="s">
        <v>7</v>
      </c>
      <c r="H4830">
        <v>40630.199999999997</v>
      </c>
      <c r="I4830">
        <v>9154.35</v>
      </c>
      <c r="J4830">
        <v>0</v>
      </c>
    </row>
    <row r="4831" spans="1:10" x14ac:dyDescent="0.35">
      <c r="A4831">
        <v>323211</v>
      </c>
      <c r="B4831" t="s">
        <v>20</v>
      </c>
      <c r="C4831">
        <v>2015</v>
      </c>
      <c r="D4831">
        <v>7</v>
      </c>
      <c r="E4831" t="s">
        <v>7</v>
      </c>
      <c r="F4831" t="s">
        <v>7</v>
      </c>
      <c r="G4831" t="s">
        <v>7</v>
      </c>
      <c r="H4831">
        <v>12748.5</v>
      </c>
      <c r="I4831">
        <v>3297.47</v>
      </c>
      <c r="J4831">
        <v>0</v>
      </c>
    </row>
    <row r="4832" spans="1:10" x14ac:dyDescent="0.35">
      <c r="A4832">
        <v>323212</v>
      </c>
      <c r="B4832" t="s">
        <v>20</v>
      </c>
      <c r="C4832">
        <v>2015</v>
      </c>
      <c r="D4832">
        <v>7</v>
      </c>
      <c r="E4832" t="s">
        <v>7</v>
      </c>
      <c r="F4832" t="s">
        <v>7</v>
      </c>
      <c r="G4832" t="s">
        <v>7</v>
      </c>
      <c r="H4832">
        <v>35488.14</v>
      </c>
      <c r="I4832">
        <v>10186.540000000001</v>
      </c>
      <c r="J4832">
        <v>0</v>
      </c>
    </row>
    <row r="4833" spans="1:10" x14ac:dyDescent="0.35">
      <c r="A4833">
        <v>323213</v>
      </c>
      <c r="B4833" t="s">
        <v>20</v>
      </c>
      <c r="C4833">
        <v>2015</v>
      </c>
      <c r="D4833">
        <v>7</v>
      </c>
      <c r="E4833" t="s">
        <v>7</v>
      </c>
      <c r="F4833" t="s">
        <v>7</v>
      </c>
      <c r="G4833" t="s">
        <v>7</v>
      </c>
      <c r="H4833">
        <v>23019.62</v>
      </c>
      <c r="I4833">
        <v>6823.9</v>
      </c>
      <c r="J4833">
        <v>0</v>
      </c>
    </row>
    <row r="4834" spans="1:10" x14ac:dyDescent="0.35">
      <c r="A4834">
        <v>323219</v>
      </c>
      <c r="B4834" t="s">
        <v>20</v>
      </c>
      <c r="C4834">
        <v>2015</v>
      </c>
      <c r="D4834">
        <v>7</v>
      </c>
      <c r="E4834" t="s">
        <v>7</v>
      </c>
      <c r="F4834" t="s">
        <v>7</v>
      </c>
      <c r="G4834" t="s">
        <v>7</v>
      </c>
      <c r="H4834">
        <v>34633.800000000003</v>
      </c>
      <c r="I4834">
        <v>10258.540000000001</v>
      </c>
      <c r="J4834">
        <v>0</v>
      </c>
    </row>
    <row r="4835" spans="1:10" x14ac:dyDescent="0.35">
      <c r="A4835">
        <v>323221</v>
      </c>
      <c r="B4835" t="s">
        <v>20</v>
      </c>
      <c r="C4835">
        <v>2015</v>
      </c>
      <c r="D4835">
        <v>7</v>
      </c>
      <c r="E4835" t="s">
        <v>7</v>
      </c>
      <c r="F4835" t="s">
        <v>7</v>
      </c>
      <c r="G4835" t="s">
        <v>7</v>
      </c>
      <c r="H4835">
        <v>30261.18</v>
      </c>
      <c r="I4835">
        <v>13711.13</v>
      </c>
      <c r="J4835">
        <v>0</v>
      </c>
    </row>
    <row r="4836" spans="1:10" x14ac:dyDescent="0.35">
      <c r="A4836">
        <v>323225</v>
      </c>
      <c r="B4836" t="s">
        <v>20</v>
      </c>
      <c r="C4836">
        <v>2015</v>
      </c>
      <c r="D4836">
        <v>7</v>
      </c>
      <c r="E4836" t="s">
        <v>7</v>
      </c>
      <c r="F4836" t="s">
        <v>7</v>
      </c>
      <c r="G4836" t="s">
        <v>7</v>
      </c>
      <c r="H4836">
        <v>31084.16</v>
      </c>
      <c r="I4836">
        <v>8253.56</v>
      </c>
      <c r="J4836">
        <v>0</v>
      </c>
    </row>
    <row r="4837" spans="1:10" x14ac:dyDescent="0.35">
      <c r="A4837">
        <v>323226</v>
      </c>
      <c r="B4837" t="s">
        <v>20</v>
      </c>
      <c r="C4837">
        <v>2015</v>
      </c>
      <c r="D4837">
        <v>7</v>
      </c>
      <c r="E4837" t="s">
        <v>7</v>
      </c>
      <c r="F4837" t="s">
        <v>7</v>
      </c>
      <c r="G4837" t="s">
        <v>7</v>
      </c>
      <c r="H4837">
        <v>10309.52</v>
      </c>
      <c r="I4837">
        <v>2633.25</v>
      </c>
      <c r="J4837">
        <v>0</v>
      </c>
    </row>
    <row r="4838" spans="1:10" x14ac:dyDescent="0.35">
      <c r="A4838">
        <v>323227</v>
      </c>
      <c r="B4838" t="s">
        <v>20</v>
      </c>
      <c r="C4838">
        <v>2015</v>
      </c>
      <c r="D4838">
        <v>7</v>
      </c>
      <c r="E4838" t="s">
        <v>7</v>
      </c>
      <c r="F4838" t="s">
        <v>7</v>
      </c>
      <c r="G4838" t="s">
        <v>7</v>
      </c>
      <c r="H4838">
        <v>29982.6</v>
      </c>
      <c r="I4838">
        <v>8529.06</v>
      </c>
      <c r="J4838">
        <v>0</v>
      </c>
    </row>
    <row r="4839" spans="1:10" x14ac:dyDescent="0.35">
      <c r="A4839">
        <v>323229</v>
      </c>
      <c r="B4839" t="s">
        <v>20</v>
      </c>
      <c r="C4839">
        <v>2015</v>
      </c>
      <c r="D4839">
        <v>7</v>
      </c>
      <c r="E4839" t="s">
        <v>7</v>
      </c>
      <c r="F4839" t="s">
        <v>7</v>
      </c>
      <c r="G4839" t="s">
        <v>7</v>
      </c>
      <c r="H4839">
        <v>18192.5</v>
      </c>
      <c r="I4839">
        <v>3394.07</v>
      </c>
      <c r="J4839">
        <v>0</v>
      </c>
    </row>
    <row r="4840" spans="1:10" x14ac:dyDescent="0.35">
      <c r="A4840">
        <v>323231</v>
      </c>
      <c r="B4840" t="s">
        <v>20</v>
      </c>
      <c r="C4840">
        <v>2015</v>
      </c>
      <c r="D4840">
        <v>7</v>
      </c>
      <c r="E4840" t="s">
        <v>7</v>
      </c>
      <c r="F4840" t="s">
        <v>7</v>
      </c>
      <c r="G4840" t="s">
        <v>7</v>
      </c>
      <c r="H4840">
        <v>16902.64</v>
      </c>
      <c r="I4840">
        <v>5087.92</v>
      </c>
      <c r="J4840">
        <v>0</v>
      </c>
    </row>
    <row r="4841" spans="1:10" x14ac:dyDescent="0.35">
      <c r="A4841">
        <v>323232</v>
      </c>
      <c r="B4841" t="s">
        <v>20</v>
      </c>
      <c r="C4841">
        <v>2015</v>
      </c>
      <c r="D4841">
        <v>7</v>
      </c>
      <c r="E4841" t="s">
        <v>7</v>
      </c>
      <c r="F4841" t="s">
        <v>7</v>
      </c>
      <c r="G4841" t="s">
        <v>7</v>
      </c>
      <c r="H4841">
        <v>47746.6</v>
      </c>
      <c r="I4841">
        <v>27990.639999999999</v>
      </c>
      <c r="J4841">
        <v>0</v>
      </c>
    </row>
    <row r="4842" spans="1:10" x14ac:dyDescent="0.35">
      <c r="A4842">
        <v>323233</v>
      </c>
      <c r="B4842" t="s">
        <v>20</v>
      </c>
      <c r="C4842">
        <v>2015</v>
      </c>
      <c r="D4842">
        <v>7</v>
      </c>
      <c r="E4842" t="s">
        <v>7</v>
      </c>
      <c r="F4842" t="s">
        <v>7</v>
      </c>
      <c r="G4842" t="s">
        <v>7</v>
      </c>
      <c r="H4842">
        <v>22441</v>
      </c>
      <c r="I4842">
        <v>8307.1299999999992</v>
      </c>
      <c r="J4842">
        <v>0</v>
      </c>
    </row>
    <row r="4843" spans="1:10" x14ac:dyDescent="0.35">
      <c r="A4843">
        <v>323235</v>
      </c>
      <c r="B4843" t="s">
        <v>20</v>
      </c>
      <c r="C4843">
        <v>2015</v>
      </c>
      <c r="D4843">
        <v>7</v>
      </c>
      <c r="E4843" t="s">
        <v>7</v>
      </c>
      <c r="F4843" t="s">
        <v>7</v>
      </c>
      <c r="G4843" t="s">
        <v>7</v>
      </c>
      <c r="H4843">
        <v>20571.82</v>
      </c>
      <c r="I4843">
        <v>4744.33</v>
      </c>
      <c r="J4843">
        <v>0</v>
      </c>
    </row>
    <row r="4844" spans="1:10" x14ac:dyDescent="0.35">
      <c r="A4844">
        <v>323236</v>
      </c>
      <c r="B4844" t="s">
        <v>20</v>
      </c>
      <c r="C4844">
        <v>2015</v>
      </c>
      <c r="D4844">
        <v>7</v>
      </c>
      <c r="E4844" t="s">
        <v>7</v>
      </c>
      <c r="F4844" t="s">
        <v>7</v>
      </c>
      <c r="G4844" t="s">
        <v>7</v>
      </c>
      <c r="H4844">
        <v>18262.580000000002</v>
      </c>
      <c r="I4844">
        <v>5244.86</v>
      </c>
      <c r="J4844">
        <v>0</v>
      </c>
    </row>
    <row r="4845" spans="1:10" x14ac:dyDescent="0.35">
      <c r="A4845">
        <v>323239</v>
      </c>
      <c r="B4845" t="s">
        <v>20</v>
      </c>
      <c r="C4845">
        <v>2015</v>
      </c>
      <c r="D4845">
        <v>7</v>
      </c>
      <c r="E4845" t="s">
        <v>7</v>
      </c>
      <c r="F4845" t="s">
        <v>7</v>
      </c>
      <c r="G4845" t="s">
        <v>7</v>
      </c>
      <c r="H4845">
        <v>9479.4</v>
      </c>
      <c r="I4845">
        <v>2504.4899999999998</v>
      </c>
      <c r="J4845">
        <v>0</v>
      </c>
    </row>
    <row r="4846" spans="1:10" x14ac:dyDescent="0.35">
      <c r="A4846">
        <v>323240</v>
      </c>
      <c r="B4846" t="s">
        <v>20</v>
      </c>
      <c r="C4846">
        <v>2015</v>
      </c>
      <c r="D4846">
        <v>7</v>
      </c>
      <c r="E4846" t="s">
        <v>7</v>
      </c>
      <c r="F4846" t="s">
        <v>7</v>
      </c>
      <c r="G4846" t="s">
        <v>7</v>
      </c>
      <c r="H4846">
        <v>20577.38</v>
      </c>
      <c r="I4846">
        <v>3472.79</v>
      </c>
      <c r="J4846">
        <v>0</v>
      </c>
    </row>
    <row r="4847" spans="1:10" x14ac:dyDescent="0.35">
      <c r="A4847">
        <v>323241</v>
      </c>
      <c r="B4847" t="s">
        <v>20</v>
      </c>
      <c r="C4847">
        <v>2015</v>
      </c>
      <c r="D4847">
        <v>7</v>
      </c>
      <c r="E4847" t="s">
        <v>7</v>
      </c>
      <c r="F4847" t="s">
        <v>7</v>
      </c>
      <c r="G4847" t="s">
        <v>7</v>
      </c>
      <c r="H4847">
        <v>20425.8</v>
      </c>
      <c r="I4847">
        <v>5030.54</v>
      </c>
      <c r="J4847">
        <v>0</v>
      </c>
    </row>
    <row r="4848" spans="1:10" x14ac:dyDescent="0.35">
      <c r="A4848">
        <v>323242</v>
      </c>
      <c r="B4848" t="s">
        <v>20</v>
      </c>
      <c r="C4848">
        <v>2015</v>
      </c>
      <c r="D4848">
        <v>7</v>
      </c>
      <c r="E4848" t="s">
        <v>7</v>
      </c>
      <c r="F4848" t="s">
        <v>7</v>
      </c>
      <c r="G4848" t="s">
        <v>7</v>
      </c>
      <c r="H4848">
        <v>60093.52</v>
      </c>
      <c r="I4848">
        <v>45088.92</v>
      </c>
      <c r="J4848">
        <v>0</v>
      </c>
    </row>
    <row r="4849" spans="1:10" x14ac:dyDescent="0.35">
      <c r="A4849">
        <v>323243</v>
      </c>
      <c r="B4849" t="s">
        <v>20</v>
      </c>
      <c r="C4849">
        <v>2015</v>
      </c>
      <c r="D4849">
        <v>7</v>
      </c>
      <c r="E4849" t="s">
        <v>7</v>
      </c>
      <c r="F4849" t="s">
        <v>7</v>
      </c>
      <c r="G4849" t="s">
        <v>7</v>
      </c>
      <c r="H4849">
        <v>12939.4</v>
      </c>
      <c r="I4849">
        <v>3951.81</v>
      </c>
      <c r="J4849">
        <v>0</v>
      </c>
    </row>
    <row r="4850" spans="1:10" x14ac:dyDescent="0.35">
      <c r="A4850">
        <v>323247</v>
      </c>
      <c r="B4850" t="s">
        <v>20</v>
      </c>
      <c r="C4850">
        <v>2015</v>
      </c>
      <c r="D4850">
        <v>7</v>
      </c>
      <c r="E4850" t="s">
        <v>7</v>
      </c>
      <c r="F4850" t="s">
        <v>7</v>
      </c>
      <c r="G4850" t="s">
        <v>7</v>
      </c>
      <c r="H4850">
        <v>35007.120000000003</v>
      </c>
      <c r="I4850">
        <v>10579.44</v>
      </c>
      <c r="J4850">
        <v>0</v>
      </c>
    </row>
    <row r="4851" spans="1:10" x14ac:dyDescent="0.35">
      <c r="A4851">
        <v>323248</v>
      </c>
      <c r="B4851" t="s">
        <v>20</v>
      </c>
      <c r="C4851">
        <v>2015</v>
      </c>
      <c r="D4851">
        <v>7</v>
      </c>
      <c r="E4851" t="s">
        <v>7</v>
      </c>
      <c r="F4851" t="s">
        <v>7</v>
      </c>
      <c r="G4851" t="s">
        <v>7</v>
      </c>
      <c r="H4851">
        <v>37868.14</v>
      </c>
      <c r="I4851">
        <v>10938.24</v>
      </c>
      <c r="J4851">
        <v>0</v>
      </c>
    </row>
    <row r="4852" spans="1:10" x14ac:dyDescent="0.35">
      <c r="A4852">
        <v>323249</v>
      </c>
      <c r="B4852" t="s">
        <v>20</v>
      </c>
      <c r="C4852">
        <v>2015</v>
      </c>
      <c r="D4852">
        <v>7</v>
      </c>
      <c r="E4852" t="s">
        <v>7</v>
      </c>
      <c r="F4852" t="s">
        <v>7</v>
      </c>
      <c r="G4852" t="s">
        <v>7</v>
      </c>
      <c r="H4852">
        <v>21800.44</v>
      </c>
      <c r="I4852">
        <v>9286.08</v>
      </c>
      <c r="J4852">
        <v>0</v>
      </c>
    </row>
    <row r="4853" spans="1:10" x14ac:dyDescent="0.35">
      <c r="A4853">
        <v>323250</v>
      </c>
      <c r="B4853" t="s">
        <v>20</v>
      </c>
      <c r="C4853">
        <v>2015</v>
      </c>
      <c r="D4853">
        <v>7</v>
      </c>
      <c r="E4853" t="s">
        <v>7</v>
      </c>
      <c r="F4853" t="s">
        <v>7</v>
      </c>
      <c r="G4853" t="s">
        <v>7</v>
      </c>
      <c r="H4853">
        <v>6728.82</v>
      </c>
      <c r="I4853">
        <v>2047.78</v>
      </c>
      <c r="J4853">
        <v>0</v>
      </c>
    </row>
    <row r="4854" spans="1:10" x14ac:dyDescent="0.35">
      <c r="A4854">
        <v>323252</v>
      </c>
      <c r="B4854" t="s">
        <v>20</v>
      </c>
      <c r="C4854">
        <v>2015</v>
      </c>
      <c r="D4854">
        <v>7</v>
      </c>
      <c r="E4854" t="s">
        <v>7</v>
      </c>
      <c r="F4854" t="s">
        <v>7</v>
      </c>
      <c r="G4854" t="s">
        <v>7</v>
      </c>
      <c r="H4854">
        <v>19069.259999999998</v>
      </c>
      <c r="I4854">
        <v>5002.6000000000004</v>
      </c>
      <c r="J4854">
        <v>0</v>
      </c>
    </row>
    <row r="4855" spans="1:10" x14ac:dyDescent="0.35">
      <c r="A4855">
        <v>323253</v>
      </c>
      <c r="B4855" t="s">
        <v>20</v>
      </c>
      <c r="C4855">
        <v>2015</v>
      </c>
      <c r="D4855">
        <v>7</v>
      </c>
      <c r="E4855" t="s">
        <v>7</v>
      </c>
      <c r="F4855" t="s">
        <v>7</v>
      </c>
      <c r="G4855" t="s">
        <v>7</v>
      </c>
      <c r="H4855">
        <v>55650.78</v>
      </c>
      <c r="I4855">
        <v>16918.419999999998</v>
      </c>
      <c r="J4855">
        <v>0</v>
      </c>
    </row>
    <row r="4856" spans="1:10" x14ac:dyDescent="0.35">
      <c r="A4856">
        <v>323254</v>
      </c>
      <c r="B4856" t="s">
        <v>20</v>
      </c>
      <c r="C4856">
        <v>2015</v>
      </c>
      <c r="D4856">
        <v>7</v>
      </c>
      <c r="E4856" t="s">
        <v>7</v>
      </c>
      <c r="F4856" t="s">
        <v>7</v>
      </c>
      <c r="G4856" t="s">
        <v>7</v>
      </c>
      <c r="H4856">
        <v>60722.76</v>
      </c>
      <c r="I4856">
        <v>17817.32</v>
      </c>
      <c r="J4856">
        <v>0</v>
      </c>
    </row>
    <row r="4857" spans="1:10" x14ac:dyDescent="0.35">
      <c r="A4857">
        <v>323256</v>
      </c>
      <c r="B4857" t="s">
        <v>20</v>
      </c>
      <c r="C4857">
        <v>2015</v>
      </c>
      <c r="D4857">
        <v>7</v>
      </c>
      <c r="E4857" t="s">
        <v>7</v>
      </c>
      <c r="F4857" t="s">
        <v>7</v>
      </c>
      <c r="G4857" t="s">
        <v>7</v>
      </c>
      <c r="H4857">
        <v>102690.22</v>
      </c>
      <c r="I4857">
        <v>45552.98</v>
      </c>
      <c r="J4857">
        <v>0</v>
      </c>
    </row>
    <row r="4858" spans="1:10" x14ac:dyDescent="0.35">
      <c r="A4858">
        <v>323257</v>
      </c>
      <c r="B4858" t="s">
        <v>20</v>
      </c>
      <c r="C4858">
        <v>2015</v>
      </c>
      <c r="D4858">
        <v>7</v>
      </c>
      <c r="E4858" t="s">
        <v>7</v>
      </c>
      <c r="F4858" t="s">
        <v>7</v>
      </c>
      <c r="G4858" t="s">
        <v>7</v>
      </c>
      <c r="H4858">
        <v>20055.82</v>
      </c>
      <c r="I4858">
        <v>5699.77</v>
      </c>
      <c r="J4858">
        <v>0</v>
      </c>
    </row>
    <row r="4859" spans="1:10" x14ac:dyDescent="0.35">
      <c r="A4859">
        <v>323258</v>
      </c>
      <c r="B4859" t="s">
        <v>20</v>
      </c>
      <c r="C4859">
        <v>2015</v>
      </c>
      <c r="D4859">
        <v>7</v>
      </c>
      <c r="E4859" t="s">
        <v>7</v>
      </c>
      <c r="F4859" t="s">
        <v>7</v>
      </c>
      <c r="G4859" t="s">
        <v>7</v>
      </c>
      <c r="H4859">
        <v>72347.98</v>
      </c>
      <c r="I4859">
        <v>54426.47</v>
      </c>
      <c r="J4859">
        <v>0</v>
      </c>
    </row>
    <row r="4860" spans="1:10" x14ac:dyDescent="0.35">
      <c r="A4860">
        <v>323259</v>
      </c>
      <c r="B4860" t="s">
        <v>20</v>
      </c>
      <c r="C4860">
        <v>2015</v>
      </c>
      <c r="D4860">
        <v>7</v>
      </c>
      <c r="E4860" t="s">
        <v>7</v>
      </c>
      <c r="F4860" t="s">
        <v>7</v>
      </c>
      <c r="G4860" t="s">
        <v>7</v>
      </c>
      <c r="H4860">
        <v>17647.240000000002</v>
      </c>
      <c r="I4860">
        <v>4782.0200000000004</v>
      </c>
      <c r="J4860">
        <v>0</v>
      </c>
    </row>
    <row r="4861" spans="1:10" x14ac:dyDescent="0.35">
      <c r="A4861">
        <v>323260</v>
      </c>
      <c r="B4861" t="s">
        <v>20</v>
      </c>
      <c r="C4861">
        <v>2015</v>
      </c>
      <c r="D4861">
        <v>7</v>
      </c>
      <c r="E4861" t="s">
        <v>7</v>
      </c>
      <c r="F4861" t="s">
        <v>7</v>
      </c>
      <c r="G4861" t="s">
        <v>7</v>
      </c>
      <c r="H4861">
        <v>21239.26</v>
      </c>
      <c r="I4861">
        <v>6362.49</v>
      </c>
      <c r="J4861">
        <v>0</v>
      </c>
    </row>
    <row r="4862" spans="1:10" x14ac:dyDescent="0.35">
      <c r="A4862">
        <v>323261</v>
      </c>
      <c r="B4862" t="s">
        <v>20</v>
      </c>
      <c r="C4862">
        <v>2015</v>
      </c>
      <c r="D4862">
        <v>7</v>
      </c>
      <c r="E4862" t="s">
        <v>7</v>
      </c>
      <c r="F4862" t="s">
        <v>7</v>
      </c>
      <c r="G4862" t="s">
        <v>7</v>
      </c>
      <c r="H4862">
        <v>103050.96</v>
      </c>
      <c r="I4862">
        <v>49413.11</v>
      </c>
      <c r="J4862">
        <v>0</v>
      </c>
    </row>
    <row r="4863" spans="1:10" x14ac:dyDescent="0.35">
      <c r="A4863">
        <v>323264</v>
      </c>
      <c r="B4863" t="s">
        <v>20</v>
      </c>
      <c r="C4863">
        <v>2015</v>
      </c>
      <c r="D4863">
        <v>7</v>
      </c>
      <c r="E4863" t="s">
        <v>7</v>
      </c>
      <c r="F4863" t="s">
        <v>7</v>
      </c>
      <c r="G4863" t="s">
        <v>7</v>
      </c>
      <c r="H4863">
        <v>33446.720000000001</v>
      </c>
      <c r="I4863">
        <v>9791.66</v>
      </c>
      <c r="J4863">
        <v>0</v>
      </c>
    </row>
    <row r="4864" spans="1:10" x14ac:dyDescent="0.35">
      <c r="A4864">
        <v>323266</v>
      </c>
      <c r="B4864" t="s">
        <v>20</v>
      </c>
      <c r="C4864">
        <v>2015</v>
      </c>
      <c r="D4864">
        <v>7</v>
      </c>
      <c r="E4864" t="s">
        <v>7</v>
      </c>
      <c r="F4864" t="s">
        <v>7</v>
      </c>
      <c r="G4864" t="s">
        <v>7</v>
      </c>
      <c r="H4864">
        <v>60169.14</v>
      </c>
      <c r="I4864">
        <v>42362.87</v>
      </c>
      <c r="J4864">
        <v>0</v>
      </c>
    </row>
    <row r="4865" spans="1:10" x14ac:dyDescent="0.35">
      <c r="A4865">
        <v>323269</v>
      </c>
      <c r="B4865" t="s">
        <v>20</v>
      </c>
      <c r="C4865">
        <v>2015</v>
      </c>
      <c r="D4865">
        <v>7</v>
      </c>
      <c r="E4865" t="s">
        <v>7</v>
      </c>
      <c r="F4865" t="s">
        <v>7</v>
      </c>
      <c r="G4865" t="s">
        <v>7</v>
      </c>
      <c r="H4865">
        <v>30956.04</v>
      </c>
      <c r="I4865">
        <v>8804.8700000000008</v>
      </c>
      <c r="J4865">
        <v>0</v>
      </c>
    </row>
    <row r="4866" spans="1:10" x14ac:dyDescent="0.35">
      <c r="A4866">
        <v>323270</v>
      </c>
      <c r="B4866" t="s">
        <v>20</v>
      </c>
      <c r="C4866">
        <v>2015</v>
      </c>
      <c r="D4866">
        <v>7</v>
      </c>
      <c r="E4866" t="s">
        <v>7</v>
      </c>
      <c r="F4866" t="s">
        <v>7</v>
      </c>
      <c r="G4866" t="s">
        <v>7</v>
      </c>
      <c r="H4866">
        <v>77702.210000000006</v>
      </c>
      <c r="I4866">
        <v>37983.379999999997</v>
      </c>
      <c r="J4866">
        <v>0</v>
      </c>
    </row>
    <row r="4867" spans="1:10" x14ac:dyDescent="0.35">
      <c r="A4867">
        <v>323271</v>
      </c>
      <c r="B4867" t="s">
        <v>20</v>
      </c>
      <c r="C4867">
        <v>2015</v>
      </c>
      <c r="D4867">
        <v>7</v>
      </c>
      <c r="E4867" t="s">
        <v>7</v>
      </c>
      <c r="F4867" t="s">
        <v>7</v>
      </c>
      <c r="G4867" t="s">
        <v>7</v>
      </c>
      <c r="H4867">
        <v>33309.019999999997</v>
      </c>
      <c r="I4867">
        <v>9400.0400000000009</v>
      </c>
      <c r="J4867">
        <v>0</v>
      </c>
    </row>
    <row r="4868" spans="1:10" x14ac:dyDescent="0.35">
      <c r="A4868">
        <v>323273</v>
      </c>
      <c r="B4868" t="s">
        <v>20</v>
      </c>
      <c r="C4868">
        <v>2015</v>
      </c>
      <c r="D4868">
        <v>7</v>
      </c>
      <c r="E4868" t="s">
        <v>7</v>
      </c>
      <c r="F4868" t="s">
        <v>7</v>
      </c>
      <c r="G4868" t="s">
        <v>7</v>
      </c>
      <c r="H4868">
        <v>48120.1</v>
      </c>
      <c r="I4868">
        <v>13628.49</v>
      </c>
      <c r="J4868">
        <v>0</v>
      </c>
    </row>
    <row r="4869" spans="1:10" x14ac:dyDescent="0.35">
      <c r="A4869">
        <v>323274</v>
      </c>
      <c r="B4869" t="s">
        <v>20</v>
      </c>
      <c r="C4869">
        <v>2015</v>
      </c>
      <c r="D4869">
        <v>7</v>
      </c>
      <c r="E4869" t="s">
        <v>7</v>
      </c>
      <c r="F4869" t="s">
        <v>7</v>
      </c>
      <c r="G4869" t="s">
        <v>7</v>
      </c>
      <c r="H4869">
        <v>65480.959999999999</v>
      </c>
      <c r="I4869">
        <v>46887.78</v>
      </c>
      <c r="J4869">
        <v>0</v>
      </c>
    </row>
    <row r="4870" spans="1:10" x14ac:dyDescent="0.35">
      <c r="A4870">
        <v>323275</v>
      </c>
      <c r="B4870" t="s">
        <v>20</v>
      </c>
      <c r="C4870">
        <v>2015</v>
      </c>
      <c r="D4870">
        <v>7</v>
      </c>
      <c r="E4870" t="s">
        <v>7</v>
      </c>
      <c r="F4870" t="s">
        <v>7</v>
      </c>
      <c r="G4870" t="s">
        <v>7</v>
      </c>
      <c r="H4870">
        <v>92826.240000000005</v>
      </c>
      <c r="I4870">
        <v>52505.79</v>
      </c>
      <c r="J4870">
        <v>0</v>
      </c>
    </row>
    <row r="4871" spans="1:10" x14ac:dyDescent="0.35">
      <c r="A4871">
        <v>323280</v>
      </c>
      <c r="B4871" t="s">
        <v>20</v>
      </c>
      <c r="C4871">
        <v>2015</v>
      </c>
      <c r="D4871">
        <v>7</v>
      </c>
      <c r="E4871" t="s">
        <v>7</v>
      </c>
      <c r="F4871" t="s">
        <v>7</v>
      </c>
      <c r="G4871" t="s">
        <v>7</v>
      </c>
      <c r="H4871">
        <v>26116.799999999999</v>
      </c>
      <c r="I4871">
        <v>8590.91</v>
      </c>
      <c r="J4871">
        <v>0</v>
      </c>
    </row>
    <row r="4872" spans="1:10" x14ac:dyDescent="0.35">
      <c r="A4872">
        <v>323283</v>
      </c>
      <c r="B4872" t="s">
        <v>20</v>
      </c>
      <c r="C4872">
        <v>2015</v>
      </c>
      <c r="D4872">
        <v>7</v>
      </c>
      <c r="E4872" t="s">
        <v>7</v>
      </c>
      <c r="F4872" t="s">
        <v>7</v>
      </c>
      <c r="G4872" t="s">
        <v>7</v>
      </c>
      <c r="H4872">
        <v>64581.32</v>
      </c>
      <c r="I4872">
        <v>24159.91</v>
      </c>
      <c r="J4872">
        <v>0</v>
      </c>
    </row>
    <row r="4873" spans="1:10" x14ac:dyDescent="0.35">
      <c r="A4873">
        <v>323285</v>
      </c>
      <c r="B4873" t="s">
        <v>20</v>
      </c>
      <c r="C4873">
        <v>2015</v>
      </c>
      <c r="D4873">
        <v>7</v>
      </c>
      <c r="E4873" t="s">
        <v>7</v>
      </c>
      <c r="F4873" t="s">
        <v>7</v>
      </c>
      <c r="G4873" t="s">
        <v>7</v>
      </c>
      <c r="H4873">
        <v>20290.89</v>
      </c>
      <c r="I4873">
        <v>5912.86</v>
      </c>
      <c r="J4873">
        <v>0</v>
      </c>
    </row>
    <row r="4874" spans="1:10" x14ac:dyDescent="0.35">
      <c r="A4874">
        <v>323286</v>
      </c>
      <c r="B4874" t="s">
        <v>20</v>
      </c>
      <c r="C4874">
        <v>2015</v>
      </c>
      <c r="D4874">
        <v>7</v>
      </c>
      <c r="E4874" t="s">
        <v>7</v>
      </c>
      <c r="F4874" t="s">
        <v>7</v>
      </c>
      <c r="G4874" t="s">
        <v>7</v>
      </c>
      <c r="H4874">
        <v>37992.720000000001</v>
      </c>
      <c r="I4874">
        <v>10235.370000000001</v>
      </c>
      <c r="J4874">
        <v>0</v>
      </c>
    </row>
    <row r="4875" spans="1:10" x14ac:dyDescent="0.35">
      <c r="A4875">
        <v>323287</v>
      </c>
      <c r="B4875" t="s">
        <v>20</v>
      </c>
      <c r="C4875">
        <v>2015</v>
      </c>
      <c r="D4875">
        <v>7</v>
      </c>
      <c r="E4875" t="s">
        <v>7</v>
      </c>
      <c r="F4875" t="s">
        <v>7</v>
      </c>
      <c r="G4875" t="s">
        <v>7</v>
      </c>
      <c r="H4875">
        <v>23375.16</v>
      </c>
      <c r="I4875">
        <v>5901.3</v>
      </c>
      <c r="J4875">
        <v>0</v>
      </c>
    </row>
    <row r="4876" spans="1:10" x14ac:dyDescent="0.35">
      <c r="A4876">
        <v>323289</v>
      </c>
      <c r="B4876" t="s">
        <v>20</v>
      </c>
      <c r="C4876">
        <v>2015</v>
      </c>
      <c r="D4876">
        <v>7</v>
      </c>
      <c r="E4876" t="s">
        <v>7</v>
      </c>
      <c r="F4876" t="s">
        <v>7</v>
      </c>
      <c r="G4876" t="s">
        <v>7</v>
      </c>
      <c r="H4876">
        <v>55551.96</v>
      </c>
      <c r="I4876">
        <v>15871.78</v>
      </c>
      <c r="J4876">
        <v>0</v>
      </c>
    </row>
    <row r="4877" spans="1:10" x14ac:dyDescent="0.35">
      <c r="A4877">
        <v>323290</v>
      </c>
      <c r="B4877" t="s">
        <v>20</v>
      </c>
      <c r="C4877">
        <v>2015</v>
      </c>
      <c r="D4877">
        <v>7</v>
      </c>
      <c r="E4877" t="s">
        <v>7</v>
      </c>
      <c r="F4877" t="s">
        <v>7</v>
      </c>
      <c r="G4877" t="s">
        <v>7</v>
      </c>
      <c r="H4877">
        <v>68114.59</v>
      </c>
      <c r="I4877">
        <v>21712.55</v>
      </c>
      <c r="J4877">
        <v>0</v>
      </c>
    </row>
    <row r="4878" spans="1:10" x14ac:dyDescent="0.35">
      <c r="A4878">
        <v>323291</v>
      </c>
      <c r="B4878" t="s">
        <v>20</v>
      </c>
      <c r="C4878">
        <v>2015</v>
      </c>
      <c r="D4878">
        <v>7</v>
      </c>
      <c r="E4878" t="s">
        <v>7</v>
      </c>
      <c r="F4878" t="s">
        <v>7</v>
      </c>
      <c r="G4878" t="s">
        <v>7</v>
      </c>
      <c r="H4878">
        <v>15374.76</v>
      </c>
      <c r="I4878">
        <v>3134.71</v>
      </c>
      <c r="J4878">
        <v>0</v>
      </c>
    </row>
    <row r="4879" spans="1:10" x14ac:dyDescent="0.35">
      <c r="A4879">
        <v>323292</v>
      </c>
      <c r="B4879" t="s">
        <v>20</v>
      </c>
      <c r="C4879">
        <v>2015</v>
      </c>
      <c r="D4879">
        <v>7</v>
      </c>
      <c r="E4879" t="s">
        <v>7</v>
      </c>
      <c r="F4879" t="s">
        <v>7</v>
      </c>
      <c r="G4879" t="s">
        <v>7</v>
      </c>
      <c r="H4879">
        <v>56209.760000000002</v>
      </c>
      <c r="I4879">
        <v>15382.22</v>
      </c>
      <c r="J4879">
        <v>0</v>
      </c>
    </row>
    <row r="4880" spans="1:10" x14ac:dyDescent="0.35">
      <c r="A4880">
        <v>323294</v>
      </c>
      <c r="B4880" t="s">
        <v>20</v>
      </c>
      <c r="C4880">
        <v>2015</v>
      </c>
      <c r="D4880">
        <v>7</v>
      </c>
      <c r="E4880" t="s">
        <v>7</v>
      </c>
      <c r="F4880" t="s">
        <v>7</v>
      </c>
      <c r="G4880" t="s">
        <v>7</v>
      </c>
      <c r="H4880">
        <v>43429.14</v>
      </c>
      <c r="I4880">
        <v>12647.74</v>
      </c>
      <c r="J4880">
        <v>0</v>
      </c>
    </row>
    <row r="4881" spans="1:10" x14ac:dyDescent="0.35">
      <c r="A4881">
        <v>323296</v>
      </c>
      <c r="B4881" t="s">
        <v>20</v>
      </c>
      <c r="C4881">
        <v>2015</v>
      </c>
      <c r="D4881">
        <v>7</v>
      </c>
      <c r="E4881" t="s">
        <v>7</v>
      </c>
      <c r="F4881" t="s">
        <v>7</v>
      </c>
      <c r="G4881" t="s">
        <v>7</v>
      </c>
      <c r="H4881">
        <v>31951</v>
      </c>
      <c r="I4881">
        <v>9351.23</v>
      </c>
      <c r="J4881">
        <v>0</v>
      </c>
    </row>
    <row r="4882" spans="1:10" x14ac:dyDescent="0.35">
      <c r="A4882">
        <v>323300</v>
      </c>
      <c r="B4882" t="s">
        <v>20</v>
      </c>
      <c r="C4882">
        <v>2015</v>
      </c>
      <c r="D4882">
        <v>7</v>
      </c>
      <c r="E4882" t="s">
        <v>7</v>
      </c>
      <c r="F4882" t="s">
        <v>7</v>
      </c>
      <c r="G4882" t="s">
        <v>7</v>
      </c>
      <c r="H4882">
        <v>52087.040000000001</v>
      </c>
      <c r="I4882">
        <v>15934.93</v>
      </c>
      <c r="J4882">
        <v>0</v>
      </c>
    </row>
    <row r="4883" spans="1:10" x14ac:dyDescent="0.35">
      <c r="A4883">
        <v>323301</v>
      </c>
      <c r="B4883" t="s">
        <v>20</v>
      </c>
      <c r="C4883">
        <v>2015</v>
      </c>
      <c r="D4883">
        <v>7</v>
      </c>
      <c r="E4883" t="s">
        <v>7</v>
      </c>
      <c r="F4883" t="s">
        <v>7</v>
      </c>
      <c r="G4883" t="s">
        <v>7</v>
      </c>
      <c r="H4883">
        <v>16417.080000000002</v>
      </c>
      <c r="I4883">
        <v>4754.59</v>
      </c>
      <c r="J4883">
        <v>0</v>
      </c>
    </row>
    <row r="4884" spans="1:10" x14ac:dyDescent="0.35">
      <c r="A4884">
        <v>323303</v>
      </c>
      <c r="B4884" t="s">
        <v>20</v>
      </c>
      <c r="C4884">
        <v>2015</v>
      </c>
      <c r="D4884">
        <v>7</v>
      </c>
      <c r="E4884" t="s">
        <v>7</v>
      </c>
      <c r="F4884" t="s">
        <v>7</v>
      </c>
      <c r="G4884" t="s">
        <v>7</v>
      </c>
      <c r="H4884">
        <v>25407.06</v>
      </c>
      <c r="I4884">
        <v>6105.04</v>
      </c>
      <c r="J4884">
        <v>0</v>
      </c>
    </row>
    <row r="4885" spans="1:10" x14ac:dyDescent="0.35">
      <c r="A4885">
        <v>323304</v>
      </c>
      <c r="B4885" t="s">
        <v>20</v>
      </c>
      <c r="C4885">
        <v>2015</v>
      </c>
      <c r="D4885">
        <v>7</v>
      </c>
      <c r="E4885" t="s">
        <v>7</v>
      </c>
      <c r="F4885" t="s">
        <v>7</v>
      </c>
      <c r="G4885" t="s">
        <v>7</v>
      </c>
      <c r="H4885">
        <v>25340.54</v>
      </c>
      <c r="I4885">
        <v>7814.68</v>
      </c>
      <c r="J4885">
        <v>0</v>
      </c>
    </row>
    <row r="4886" spans="1:10" x14ac:dyDescent="0.35">
      <c r="A4886">
        <v>323306</v>
      </c>
      <c r="B4886" t="s">
        <v>20</v>
      </c>
      <c r="C4886">
        <v>2015</v>
      </c>
      <c r="D4886">
        <v>7</v>
      </c>
      <c r="E4886" t="s">
        <v>7</v>
      </c>
      <c r="F4886" t="s">
        <v>7</v>
      </c>
      <c r="G4886" t="s">
        <v>7</v>
      </c>
      <c r="H4886">
        <v>19713.96</v>
      </c>
      <c r="I4886">
        <v>5114.97</v>
      </c>
      <c r="J4886">
        <v>0</v>
      </c>
    </row>
    <row r="4887" spans="1:10" x14ac:dyDescent="0.35">
      <c r="A4887">
        <v>323307</v>
      </c>
      <c r="B4887" t="s">
        <v>20</v>
      </c>
      <c r="C4887">
        <v>2015</v>
      </c>
      <c r="D4887">
        <v>7</v>
      </c>
      <c r="E4887" t="s">
        <v>7</v>
      </c>
      <c r="F4887" t="s">
        <v>7</v>
      </c>
      <c r="G4887" t="s">
        <v>7</v>
      </c>
      <c r="H4887">
        <v>32793.72</v>
      </c>
      <c r="I4887">
        <v>8509.98</v>
      </c>
      <c r="J4887">
        <v>0</v>
      </c>
    </row>
    <row r="4888" spans="1:10" x14ac:dyDescent="0.35">
      <c r="A4888">
        <v>323310</v>
      </c>
      <c r="B4888" t="s">
        <v>20</v>
      </c>
      <c r="C4888">
        <v>2015</v>
      </c>
      <c r="D4888">
        <v>7</v>
      </c>
      <c r="E4888" t="s">
        <v>7</v>
      </c>
      <c r="F4888" t="s">
        <v>7</v>
      </c>
      <c r="G4888" t="s">
        <v>7</v>
      </c>
      <c r="H4888">
        <v>56629.4</v>
      </c>
      <c r="I4888">
        <v>25543.5</v>
      </c>
      <c r="J4888">
        <v>0</v>
      </c>
    </row>
    <row r="4889" spans="1:10" x14ac:dyDescent="0.35">
      <c r="A4889">
        <v>323312</v>
      </c>
      <c r="B4889" t="s">
        <v>20</v>
      </c>
      <c r="C4889">
        <v>2015</v>
      </c>
      <c r="D4889">
        <v>7</v>
      </c>
      <c r="E4889" t="s">
        <v>7</v>
      </c>
      <c r="F4889" t="s">
        <v>7</v>
      </c>
      <c r="G4889" t="s">
        <v>7</v>
      </c>
      <c r="H4889">
        <v>61803.18</v>
      </c>
      <c r="I4889">
        <v>19326.63</v>
      </c>
      <c r="J4889">
        <v>0</v>
      </c>
    </row>
    <row r="4890" spans="1:10" x14ac:dyDescent="0.35">
      <c r="A4890">
        <v>323313</v>
      </c>
      <c r="B4890" t="s">
        <v>20</v>
      </c>
      <c r="C4890">
        <v>2015</v>
      </c>
      <c r="D4890">
        <v>7</v>
      </c>
      <c r="E4890" t="s">
        <v>7</v>
      </c>
      <c r="F4890" t="s">
        <v>7</v>
      </c>
      <c r="G4890" t="s">
        <v>7</v>
      </c>
      <c r="H4890">
        <v>48630.98</v>
      </c>
      <c r="I4890">
        <v>10954.07</v>
      </c>
      <c r="J4890">
        <v>0</v>
      </c>
    </row>
    <row r="4891" spans="1:10" x14ac:dyDescent="0.35">
      <c r="A4891">
        <v>323314</v>
      </c>
      <c r="B4891" t="s">
        <v>20</v>
      </c>
      <c r="C4891">
        <v>2015</v>
      </c>
      <c r="D4891">
        <v>7</v>
      </c>
      <c r="E4891" t="s">
        <v>7</v>
      </c>
      <c r="F4891" t="s">
        <v>7</v>
      </c>
      <c r="G4891" t="s">
        <v>7</v>
      </c>
      <c r="H4891">
        <v>33292.879999999997</v>
      </c>
      <c r="I4891">
        <v>15974</v>
      </c>
      <c r="J4891">
        <v>0</v>
      </c>
    </row>
    <row r="4892" spans="1:10" x14ac:dyDescent="0.35">
      <c r="A4892">
        <v>323316</v>
      </c>
      <c r="B4892" t="s">
        <v>20</v>
      </c>
      <c r="C4892">
        <v>2015</v>
      </c>
      <c r="D4892">
        <v>7</v>
      </c>
      <c r="E4892" t="s">
        <v>7</v>
      </c>
      <c r="F4892" t="s">
        <v>7</v>
      </c>
      <c r="G4892" t="s">
        <v>7</v>
      </c>
      <c r="H4892">
        <v>42787.78</v>
      </c>
      <c r="I4892">
        <v>20158.490000000002</v>
      </c>
      <c r="J4892">
        <v>0</v>
      </c>
    </row>
    <row r="4893" spans="1:10" x14ac:dyDescent="0.35">
      <c r="A4893">
        <v>323317</v>
      </c>
      <c r="B4893" t="s">
        <v>20</v>
      </c>
      <c r="C4893">
        <v>2015</v>
      </c>
      <c r="D4893">
        <v>7</v>
      </c>
      <c r="E4893" t="s">
        <v>7</v>
      </c>
      <c r="F4893" t="s">
        <v>7</v>
      </c>
      <c r="G4893" t="s">
        <v>7</v>
      </c>
      <c r="H4893">
        <v>64714</v>
      </c>
      <c r="I4893">
        <v>29066.45</v>
      </c>
      <c r="J4893">
        <v>0</v>
      </c>
    </row>
    <row r="4894" spans="1:10" x14ac:dyDescent="0.35">
      <c r="A4894">
        <v>323318</v>
      </c>
      <c r="B4894" t="s">
        <v>20</v>
      </c>
      <c r="C4894">
        <v>2015</v>
      </c>
      <c r="D4894">
        <v>7</v>
      </c>
      <c r="E4894" t="s">
        <v>7</v>
      </c>
      <c r="F4894" t="s">
        <v>7</v>
      </c>
      <c r="G4894" t="s">
        <v>7</v>
      </c>
      <c r="H4894">
        <v>120942.64</v>
      </c>
      <c r="I4894">
        <v>74988.240000000005</v>
      </c>
      <c r="J4894">
        <v>0</v>
      </c>
    </row>
    <row r="4895" spans="1:10" x14ac:dyDescent="0.35">
      <c r="A4895">
        <v>323321</v>
      </c>
      <c r="B4895" t="s">
        <v>20</v>
      </c>
      <c r="C4895">
        <v>2015</v>
      </c>
      <c r="D4895">
        <v>7</v>
      </c>
      <c r="E4895" t="s">
        <v>7</v>
      </c>
      <c r="F4895" t="s">
        <v>7</v>
      </c>
      <c r="G4895" t="s">
        <v>7</v>
      </c>
      <c r="H4895">
        <v>15166.86</v>
      </c>
      <c r="I4895">
        <v>4032.59</v>
      </c>
      <c r="J4895">
        <v>0</v>
      </c>
    </row>
    <row r="4896" spans="1:10" x14ac:dyDescent="0.35">
      <c r="A4896">
        <v>323322</v>
      </c>
      <c r="B4896" t="s">
        <v>20</v>
      </c>
      <c r="C4896">
        <v>2015</v>
      </c>
      <c r="D4896">
        <v>7</v>
      </c>
      <c r="E4896" t="s">
        <v>7</v>
      </c>
      <c r="F4896" t="s">
        <v>7</v>
      </c>
      <c r="G4896" t="s">
        <v>7</v>
      </c>
      <c r="H4896">
        <v>42704.46</v>
      </c>
      <c r="I4896">
        <v>12431.74</v>
      </c>
      <c r="J4896">
        <v>0</v>
      </c>
    </row>
    <row r="4897" spans="1:10" x14ac:dyDescent="0.35">
      <c r="A4897">
        <v>323323</v>
      </c>
      <c r="B4897" t="s">
        <v>20</v>
      </c>
      <c r="C4897">
        <v>2015</v>
      </c>
      <c r="D4897">
        <v>7</v>
      </c>
      <c r="E4897" t="s">
        <v>7</v>
      </c>
      <c r="F4897" t="s">
        <v>7</v>
      </c>
      <c r="G4897" t="s">
        <v>7</v>
      </c>
      <c r="H4897">
        <v>21000.94</v>
      </c>
      <c r="I4897">
        <v>4723.84</v>
      </c>
      <c r="J4897">
        <v>0</v>
      </c>
    </row>
    <row r="4898" spans="1:10" x14ac:dyDescent="0.35">
      <c r="A4898">
        <v>323324</v>
      </c>
      <c r="B4898" t="s">
        <v>20</v>
      </c>
      <c r="C4898">
        <v>2015</v>
      </c>
      <c r="D4898">
        <v>7</v>
      </c>
      <c r="E4898" t="s">
        <v>7</v>
      </c>
      <c r="F4898" t="s">
        <v>7</v>
      </c>
      <c r="G4898" t="s">
        <v>7</v>
      </c>
      <c r="H4898">
        <v>16170.52</v>
      </c>
      <c r="I4898">
        <v>4621.41</v>
      </c>
      <c r="J4898">
        <v>0</v>
      </c>
    </row>
    <row r="4899" spans="1:10" x14ac:dyDescent="0.35">
      <c r="A4899">
        <v>323325</v>
      </c>
      <c r="B4899" t="s">
        <v>20</v>
      </c>
      <c r="C4899">
        <v>2015</v>
      </c>
      <c r="D4899">
        <v>7</v>
      </c>
      <c r="E4899" t="s">
        <v>7</v>
      </c>
      <c r="F4899" t="s">
        <v>7</v>
      </c>
      <c r="G4899" t="s">
        <v>7</v>
      </c>
      <c r="H4899">
        <v>37864.18</v>
      </c>
      <c r="I4899">
        <v>14496.48</v>
      </c>
      <c r="J4899">
        <v>0</v>
      </c>
    </row>
    <row r="4900" spans="1:10" x14ac:dyDescent="0.35">
      <c r="A4900">
        <v>323326</v>
      </c>
      <c r="B4900" t="s">
        <v>20</v>
      </c>
      <c r="C4900">
        <v>2015</v>
      </c>
      <c r="D4900">
        <v>7</v>
      </c>
      <c r="E4900" t="s">
        <v>7</v>
      </c>
      <c r="F4900" t="s">
        <v>7</v>
      </c>
      <c r="G4900" t="s">
        <v>7</v>
      </c>
      <c r="H4900">
        <v>15753.01</v>
      </c>
      <c r="I4900">
        <v>3016.45</v>
      </c>
      <c r="J4900">
        <v>0</v>
      </c>
    </row>
    <row r="4901" spans="1:10" x14ac:dyDescent="0.35">
      <c r="A4901">
        <v>323327</v>
      </c>
      <c r="B4901" t="s">
        <v>20</v>
      </c>
      <c r="C4901">
        <v>2015</v>
      </c>
      <c r="D4901">
        <v>7</v>
      </c>
      <c r="E4901" t="s">
        <v>7</v>
      </c>
      <c r="F4901" t="s">
        <v>7</v>
      </c>
      <c r="G4901" t="s">
        <v>7</v>
      </c>
      <c r="H4901">
        <v>33554.519999999997</v>
      </c>
      <c r="I4901">
        <v>13101.88</v>
      </c>
      <c r="J4901">
        <v>0</v>
      </c>
    </row>
    <row r="4902" spans="1:10" x14ac:dyDescent="0.35">
      <c r="A4902">
        <v>323328</v>
      </c>
      <c r="B4902" t="s">
        <v>20</v>
      </c>
      <c r="C4902">
        <v>2015</v>
      </c>
      <c r="D4902">
        <v>7</v>
      </c>
      <c r="E4902" t="s">
        <v>7</v>
      </c>
      <c r="F4902" t="s">
        <v>7</v>
      </c>
      <c r="G4902" t="s">
        <v>7</v>
      </c>
      <c r="H4902">
        <v>79963.72</v>
      </c>
      <c r="I4902">
        <v>25062.62</v>
      </c>
      <c r="J4902">
        <v>0</v>
      </c>
    </row>
    <row r="4903" spans="1:10" x14ac:dyDescent="0.35">
      <c r="A4903">
        <v>323329</v>
      </c>
      <c r="B4903" t="s">
        <v>20</v>
      </c>
      <c r="C4903">
        <v>2015</v>
      </c>
      <c r="D4903">
        <v>7</v>
      </c>
      <c r="E4903" t="s">
        <v>7</v>
      </c>
      <c r="F4903" t="s">
        <v>7</v>
      </c>
      <c r="G4903" t="s">
        <v>7</v>
      </c>
      <c r="H4903">
        <v>79460.98</v>
      </c>
      <c r="I4903">
        <v>61417.08</v>
      </c>
      <c r="J4903">
        <v>0</v>
      </c>
    </row>
    <row r="4904" spans="1:10" x14ac:dyDescent="0.35">
      <c r="A4904">
        <v>323333</v>
      </c>
      <c r="B4904" t="s">
        <v>20</v>
      </c>
      <c r="C4904">
        <v>2015</v>
      </c>
      <c r="D4904">
        <v>7</v>
      </c>
      <c r="E4904" t="s">
        <v>7</v>
      </c>
      <c r="F4904" t="s">
        <v>7</v>
      </c>
      <c r="G4904" t="s">
        <v>7</v>
      </c>
      <c r="H4904">
        <v>28920.92</v>
      </c>
      <c r="I4904">
        <v>7858.75</v>
      </c>
      <c r="J4904">
        <v>0</v>
      </c>
    </row>
    <row r="4905" spans="1:10" x14ac:dyDescent="0.35">
      <c r="A4905">
        <v>323334</v>
      </c>
      <c r="B4905" t="s">
        <v>20</v>
      </c>
      <c r="C4905">
        <v>2015</v>
      </c>
      <c r="D4905">
        <v>7</v>
      </c>
      <c r="E4905" t="s">
        <v>7</v>
      </c>
      <c r="F4905" t="s">
        <v>7</v>
      </c>
      <c r="G4905" t="s">
        <v>7</v>
      </c>
      <c r="H4905">
        <v>64301.22</v>
      </c>
      <c r="I4905">
        <v>21122.959999999999</v>
      </c>
      <c r="J4905">
        <v>0</v>
      </c>
    </row>
    <row r="4906" spans="1:10" x14ac:dyDescent="0.35">
      <c r="A4906">
        <v>323335</v>
      </c>
      <c r="B4906" t="s">
        <v>20</v>
      </c>
      <c r="C4906">
        <v>2015</v>
      </c>
      <c r="D4906">
        <v>7</v>
      </c>
      <c r="E4906" t="s">
        <v>7</v>
      </c>
      <c r="F4906" t="s">
        <v>7</v>
      </c>
      <c r="G4906" t="s">
        <v>7</v>
      </c>
      <c r="H4906">
        <v>67964.88</v>
      </c>
      <c r="I4906">
        <v>27071.37</v>
      </c>
      <c r="J4906">
        <v>0</v>
      </c>
    </row>
    <row r="4907" spans="1:10" x14ac:dyDescent="0.35">
      <c r="A4907">
        <v>323339</v>
      </c>
      <c r="B4907" t="s">
        <v>20</v>
      </c>
      <c r="C4907">
        <v>2015</v>
      </c>
      <c r="D4907">
        <v>7</v>
      </c>
      <c r="E4907" t="s">
        <v>7</v>
      </c>
      <c r="F4907" t="s">
        <v>7</v>
      </c>
      <c r="G4907" t="s">
        <v>7</v>
      </c>
      <c r="H4907">
        <v>32190.26</v>
      </c>
      <c r="I4907">
        <v>9193.73</v>
      </c>
      <c r="J4907">
        <v>0</v>
      </c>
    </row>
    <row r="4908" spans="1:10" x14ac:dyDescent="0.35">
      <c r="A4908">
        <v>323340</v>
      </c>
      <c r="B4908" t="s">
        <v>20</v>
      </c>
      <c r="C4908">
        <v>2015</v>
      </c>
      <c r="D4908">
        <v>7</v>
      </c>
      <c r="E4908" t="s">
        <v>7</v>
      </c>
      <c r="F4908" t="s">
        <v>7</v>
      </c>
      <c r="G4908" t="s">
        <v>7</v>
      </c>
      <c r="H4908">
        <v>51630.48</v>
      </c>
      <c r="I4908">
        <v>13667.95</v>
      </c>
      <c r="J4908">
        <v>0</v>
      </c>
    </row>
    <row r="4909" spans="1:10" x14ac:dyDescent="0.35">
      <c r="A4909">
        <v>323341</v>
      </c>
      <c r="B4909" t="s">
        <v>20</v>
      </c>
      <c r="C4909">
        <v>2015</v>
      </c>
      <c r="D4909">
        <v>7</v>
      </c>
      <c r="E4909" t="s">
        <v>7</v>
      </c>
      <c r="F4909" t="s">
        <v>7</v>
      </c>
      <c r="G4909" t="s">
        <v>7</v>
      </c>
      <c r="H4909">
        <v>36864.28</v>
      </c>
      <c r="I4909">
        <v>10193.83</v>
      </c>
      <c r="J4909">
        <v>0</v>
      </c>
    </row>
    <row r="4910" spans="1:10" x14ac:dyDescent="0.35">
      <c r="A4910">
        <v>323342</v>
      </c>
      <c r="B4910" t="s">
        <v>20</v>
      </c>
      <c r="C4910">
        <v>2015</v>
      </c>
      <c r="D4910">
        <v>7</v>
      </c>
      <c r="E4910" t="s">
        <v>7</v>
      </c>
      <c r="F4910" t="s">
        <v>7</v>
      </c>
      <c r="G4910" t="s">
        <v>7</v>
      </c>
      <c r="H4910">
        <v>66668.84</v>
      </c>
      <c r="I4910">
        <v>48936.06</v>
      </c>
      <c r="J4910">
        <v>0</v>
      </c>
    </row>
    <row r="4911" spans="1:10" x14ac:dyDescent="0.35">
      <c r="A4911">
        <v>323343</v>
      </c>
      <c r="B4911" t="s">
        <v>20</v>
      </c>
      <c r="C4911">
        <v>2015</v>
      </c>
      <c r="D4911">
        <v>7</v>
      </c>
      <c r="E4911" t="s">
        <v>7</v>
      </c>
      <c r="F4911" t="s">
        <v>7</v>
      </c>
      <c r="G4911" t="s">
        <v>7</v>
      </c>
      <c r="H4911">
        <v>21236.98</v>
      </c>
      <c r="I4911">
        <v>4117.79</v>
      </c>
      <c r="J4911">
        <v>0</v>
      </c>
    </row>
    <row r="4912" spans="1:10" x14ac:dyDescent="0.35">
      <c r="A4912">
        <v>323345</v>
      </c>
      <c r="B4912" t="s">
        <v>20</v>
      </c>
      <c r="C4912">
        <v>2015</v>
      </c>
      <c r="D4912">
        <v>7</v>
      </c>
      <c r="E4912" t="s">
        <v>7</v>
      </c>
      <c r="F4912" t="s">
        <v>7</v>
      </c>
      <c r="G4912" t="s">
        <v>7</v>
      </c>
      <c r="H4912">
        <v>18050.72</v>
      </c>
      <c r="I4912">
        <v>5639.64</v>
      </c>
      <c r="J4912">
        <v>0</v>
      </c>
    </row>
    <row r="4913" spans="1:10" x14ac:dyDescent="0.35">
      <c r="A4913">
        <v>323347</v>
      </c>
      <c r="B4913" t="s">
        <v>20</v>
      </c>
      <c r="C4913">
        <v>2015</v>
      </c>
      <c r="D4913">
        <v>7</v>
      </c>
      <c r="E4913" t="s">
        <v>7</v>
      </c>
      <c r="F4913" t="s">
        <v>7</v>
      </c>
      <c r="G4913" t="s">
        <v>7</v>
      </c>
      <c r="H4913">
        <v>41209.82</v>
      </c>
      <c r="I4913">
        <v>11960.18</v>
      </c>
      <c r="J4913">
        <v>0</v>
      </c>
    </row>
    <row r="4914" spans="1:10" x14ac:dyDescent="0.35">
      <c r="A4914">
        <v>323348</v>
      </c>
      <c r="B4914" t="s">
        <v>20</v>
      </c>
      <c r="C4914">
        <v>2015</v>
      </c>
      <c r="D4914">
        <v>7</v>
      </c>
      <c r="E4914" t="s">
        <v>7</v>
      </c>
      <c r="F4914" t="s">
        <v>7</v>
      </c>
      <c r="G4914" t="s">
        <v>7</v>
      </c>
      <c r="H4914">
        <v>58203.78</v>
      </c>
      <c r="I4914">
        <v>17583.23</v>
      </c>
      <c r="J4914">
        <v>0</v>
      </c>
    </row>
    <row r="4915" spans="1:10" x14ac:dyDescent="0.35">
      <c r="A4915">
        <v>323353</v>
      </c>
      <c r="B4915" t="s">
        <v>20</v>
      </c>
      <c r="C4915">
        <v>2015</v>
      </c>
      <c r="D4915">
        <v>7</v>
      </c>
      <c r="E4915" t="s">
        <v>7</v>
      </c>
      <c r="F4915" t="s">
        <v>7</v>
      </c>
      <c r="G4915" t="s">
        <v>7</v>
      </c>
      <c r="H4915">
        <v>105394.52</v>
      </c>
      <c r="I4915">
        <v>40879.32</v>
      </c>
      <c r="J4915">
        <v>0</v>
      </c>
    </row>
    <row r="4916" spans="1:10" x14ac:dyDescent="0.35">
      <c r="A4916">
        <v>323358</v>
      </c>
      <c r="B4916" t="s">
        <v>20</v>
      </c>
      <c r="C4916">
        <v>2015</v>
      </c>
      <c r="D4916">
        <v>7</v>
      </c>
      <c r="E4916" t="s">
        <v>7</v>
      </c>
      <c r="F4916" t="s">
        <v>7</v>
      </c>
      <c r="G4916" t="s">
        <v>7</v>
      </c>
      <c r="H4916">
        <v>21305.56</v>
      </c>
      <c r="I4916">
        <v>6306.49</v>
      </c>
      <c r="J4916">
        <v>0</v>
      </c>
    </row>
    <row r="4917" spans="1:10" x14ac:dyDescent="0.35">
      <c r="A4917">
        <v>323359</v>
      </c>
      <c r="B4917" t="s">
        <v>20</v>
      </c>
      <c r="C4917">
        <v>2015</v>
      </c>
      <c r="D4917">
        <v>7</v>
      </c>
      <c r="E4917" t="s">
        <v>7</v>
      </c>
      <c r="F4917" t="s">
        <v>7</v>
      </c>
      <c r="G4917" t="s">
        <v>7</v>
      </c>
      <c r="H4917">
        <v>63929.120000000003</v>
      </c>
      <c r="I4917">
        <v>31354.71</v>
      </c>
      <c r="J4917">
        <v>0</v>
      </c>
    </row>
    <row r="4918" spans="1:10" x14ac:dyDescent="0.35">
      <c r="A4918">
        <v>323360</v>
      </c>
      <c r="B4918" t="s">
        <v>20</v>
      </c>
      <c r="C4918">
        <v>2015</v>
      </c>
      <c r="D4918">
        <v>7</v>
      </c>
      <c r="E4918" t="s">
        <v>7</v>
      </c>
      <c r="F4918" t="s">
        <v>7</v>
      </c>
      <c r="G4918" t="s">
        <v>7</v>
      </c>
      <c r="H4918">
        <v>39699.24</v>
      </c>
      <c r="I4918">
        <v>12681.99</v>
      </c>
      <c r="J4918">
        <v>0</v>
      </c>
    </row>
    <row r="4919" spans="1:10" x14ac:dyDescent="0.35">
      <c r="A4919">
        <v>323361</v>
      </c>
      <c r="B4919" t="s">
        <v>20</v>
      </c>
      <c r="C4919">
        <v>2015</v>
      </c>
      <c r="D4919">
        <v>7</v>
      </c>
      <c r="E4919" t="s">
        <v>7</v>
      </c>
      <c r="F4919" t="s">
        <v>7</v>
      </c>
      <c r="G4919" t="s">
        <v>7</v>
      </c>
      <c r="H4919">
        <v>21433.68</v>
      </c>
      <c r="I4919">
        <v>5860.85</v>
      </c>
      <c r="J4919">
        <v>0</v>
      </c>
    </row>
    <row r="4920" spans="1:10" x14ac:dyDescent="0.35">
      <c r="A4920">
        <v>323362</v>
      </c>
      <c r="B4920" t="s">
        <v>20</v>
      </c>
      <c r="C4920">
        <v>2015</v>
      </c>
      <c r="D4920">
        <v>7</v>
      </c>
      <c r="E4920" t="s">
        <v>7</v>
      </c>
      <c r="F4920" t="s">
        <v>7</v>
      </c>
      <c r="G4920" t="s">
        <v>7</v>
      </c>
      <c r="H4920">
        <v>18589.18</v>
      </c>
      <c r="I4920">
        <v>5838.46</v>
      </c>
      <c r="J4920">
        <v>0</v>
      </c>
    </row>
    <row r="4921" spans="1:10" x14ac:dyDescent="0.35">
      <c r="A4921">
        <v>323364</v>
      </c>
      <c r="B4921" t="s">
        <v>20</v>
      </c>
      <c r="C4921">
        <v>2015</v>
      </c>
      <c r="D4921">
        <v>7</v>
      </c>
      <c r="E4921" t="s">
        <v>7</v>
      </c>
      <c r="F4921" t="s">
        <v>7</v>
      </c>
      <c r="G4921" t="s">
        <v>7</v>
      </c>
      <c r="H4921">
        <v>31020.880000000001</v>
      </c>
      <c r="I4921">
        <v>8343.7099999999991</v>
      </c>
      <c r="J4921">
        <v>0</v>
      </c>
    </row>
    <row r="4922" spans="1:10" x14ac:dyDescent="0.35">
      <c r="A4922">
        <v>323366</v>
      </c>
      <c r="B4922" t="s">
        <v>20</v>
      </c>
      <c r="C4922">
        <v>2015</v>
      </c>
      <c r="D4922">
        <v>7</v>
      </c>
      <c r="E4922" t="s">
        <v>7</v>
      </c>
      <c r="F4922" t="s">
        <v>7</v>
      </c>
      <c r="G4922" t="s">
        <v>7</v>
      </c>
      <c r="H4922">
        <v>26989.360000000001</v>
      </c>
      <c r="I4922">
        <v>8205.2099999999991</v>
      </c>
      <c r="J4922">
        <v>0</v>
      </c>
    </row>
    <row r="4923" spans="1:10" x14ac:dyDescent="0.35">
      <c r="A4923">
        <v>323367</v>
      </c>
      <c r="B4923" t="s">
        <v>20</v>
      </c>
      <c r="C4923">
        <v>2015</v>
      </c>
      <c r="D4923">
        <v>7</v>
      </c>
      <c r="E4923" t="s">
        <v>7</v>
      </c>
      <c r="F4923" t="s">
        <v>7</v>
      </c>
      <c r="G4923" t="s">
        <v>7</v>
      </c>
      <c r="H4923">
        <v>86801.24</v>
      </c>
      <c r="I4923">
        <v>26601.49</v>
      </c>
      <c r="J4923">
        <v>0</v>
      </c>
    </row>
    <row r="4924" spans="1:10" x14ac:dyDescent="0.35">
      <c r="A4924">
        <v>323370</v>
      </c>
      <c r="B4924" t="s">
        <v>20</v>
      </c>
      <c r="C4924">
        <v>2015</v>
      </c>
      <c r="D4924">
        <v>7</v>
      </c>
      <c r="E4924" t="s">
        <v>7</v>
      </c>
      <c r="F4924" t="s">
        <v>7</v>
      </c>
      <c r="G4924" t="s">
        <v>7</v>
      </c>
      <c r="H4924">
        <v>24174.66</v>
      </c>
      <c r="I4924">
        <v>6975.89</v>
      </c>
      <c r="J4924">
        <v>0</v>
      </c>
    </row>
    <row r="4925" spans="1:10" x14ac:dyDescent="0.35">
      <c r="A4925">
        <v>323371</v>
      </c>
      <c r="B4925" t="s">
        <v>20</v>
      </c>
      <c r="C4925">
        <v>2015</v>
      </c>
      <c r="D4925">
        <v>7</v>
      </c>
      <c r="E4925" t="s">
        <v>7</v>
      </c>
      <c r="F4925" t="s">
        <v>7</v>
      </c>
      <c r="G4925" t="s">
        <v>7</v>
      </c>
      <c r="H4925">
        <v>92907.18</v>
      </c>
      <c r="I4925">
        <v>30964.47</v>
      </c>
      <c r="J4925">
        <v>0</v>
      </c>
    </row>
    <row r="4926" spans="1:10" x14ac:dyDescent="0.35">
      <c r="A4926">
        <v>323372</v>
      </c>
      <c r="B4926" t="s">
        <v>20</v>
      </c>
      <c r="C4926">
        <v>2015</v>
      </c>
      <c r="D4926">
        <v>7</v>
      </c>
      <c r="E4926" t="s">
        <v>7</v>
      </c>
      <c r="F4926" t="s">
        <v>7</v>
      </c>
      <c r="G4926" t="s">
        <v>7</v>
      </c>
      <c r="H4926">
        <v>19416.12</v>
      </c>
      <c r="I4926">
        <v>5538.28</v>
      </c>
      <c r="J4926">
        <v>0</v>
      </c>
    </row>
    <row r="4927" spans="1:10" x14ac:dyDescent="0.35">
      <c r="A4927">
        <v>323376</v>
      </c>
      <c r="B4927" t="s">
        <v>20</v>
      </c>
      <c r="C4927">
        <v>2015</v>
      </c>
      <c r="D4927">
        <v>7</v>
      </c>
      <c r="E4927" t="s">
        <v>7</v>
      </c>
      <c r="F4927" t="s">
        <v>7</v>
      </c>
      <c r="G4927" t="s">
        <v>7</v>
      </c>
      <c r="H4927">
        <v>15013.22</v>
      </c>
      <c r="I4927">
        <v>2813.4</v>
      </c>
      <c r="J4927">
        <v>0</v>
      </c>
    </row>
    <row r="4928" spans="1:10" x14ac:dyDescent="0.35">
      <c r="A4928">
        <v>323377</v>
      </c>
      <c r="B4928" t="s">
        <v>20</v>
      </c>
      <c r="C4928">
        <v>2015</v>
      </c>
      <c r="D4928">
        <v>7</v>
      </c>
      <c r="E4928" t="s">
        <v>7</v>
      </c>
      <c r="F4928" t="s">
        <v>7</v>
      </c>
      <c r="G4928" t="s">
        <v>7</v>
      </c>
      <c r="H4928">
        <v>31140.82</v>
      </c>
      <c r="I4928">
        <v>8400.5300000000007</v>
      </c>
      <c r="J4928">
        <v>0</v>
      </c>
    </row>
    <row r="4929" spans="1:10" x14ac:dyDescent="0.35">
      <c r="A4929">
        <v>323378</v>
      </c>
      <c r="B4929" t="s">
        <v>20</v>
      </c>
      <c r="C4929">
        <v>2015</v>
      </c>
      <c r="D4929">
        <v>7</v>
      </c>
      <c r="E4929" t="s">
        <v>7</v>
      </c>
      <c r="F4929" t="s">
        <v>7</v>
      </c>
      <c r="G4929" t="s">
        <v>7</v>
      </c>
      <c r="H4929">
        <v>95486.14</v>
      </c>
      <c r="I4929">
        <v>47359.82</v>
      </c>
      <c r="J4929">
        <v>0</v>
      </c>
    </row>
    <row r="4930" spans="1:10" x14ac:dyDescent="0.35">
      <c r="A4930">
        <v>323380</v>
      </c>
      <c r="B4930" t="s">
        <v>20</v>
      </c>
      <c r="C4930">
        <v>2015</v>
      </c>
      <c r="D4930">
        <v>7</v>
      </c>
      <c r="E4930" t="s">
        <v>7</v>
      </c>
      <c r="F4930" t="s">
        <v>7</v>
      </c>
      <c r="G4930" t="s">
        <v>7</v>
      </c>
      <c r="H4930">
        <v>24973.040000000001</v>
      </c>
      <c r="I4930">
        <v>6103.95</v>
      </c>
      <c r="J4930">
        <v>0</v>
      </c>
    </row>
    <row r="4931" spans="1:10" x14ac:dyDescent="0.35">
      <c r="A4931">
        <v>323382</v>
      </c>
      <c r="B4931" t="s">
        <v>20</v>
      </c>
      <c r="C4931">
        <v>2015</v>
      </c>
      <c r="D4931">
        <v>7</v>
      </c>
      <c r="E4931" t="s">
        <v>7</v>
      </c>
      <c r="F4931" t="s">
        <v>7</v>
      </c>
      <c r="G4931" t="s">
        <v>7</v>
      </c>
      <c r="H4931">
        <v>21525.4</v>
      </c>
      <c r="I4931">
        <v>6518.97</v>
      </c>
      <c r="J4931">
        <v>0</v>
      </c>
    </row>
    <row r="4932" spans="1:10" x14ac:dyDescent="0.35">
      <c r="A4932">
        <v>323385</v>
      </c>
      <c r="B4932" t="s">
        <v>20</v>
      </c>
      <c r="C4932">
        <v>2015</v>
      </c>
      <c r="D4932">
        <v>7</v>
      </c>
      <c r="E4932" t="s">
        <v>7</v>
      </c>
      <c r="F4932" t="s">
        <v>7</v>
      </c>
      <c r="G4932" t="s">
        <v>7</v>
      </c>
      <c r="H4932">
        <v>67584.679999999993</v>
      </c>
      <c r="I4932">
        <v>28371.82</v>
      </c>
      <c r="J4932">
        <v>0</v>
      </c>
    </row>
    <row r="4933" spans="1:10" x14ac:dyDescent="0.35">
      <c r="A4933">
        <v>323386</v>
      </c>
      <c r="B4933" t="s">
        <v>20</v>
      </c>
      <c r="C4933">
        <v>2015</v>
      </c>
      <c r="D4933">
        <v>7</v>
      </c>
      <c r="E4933" t="s">
        <v>7</v>
      </c>
      <c r="F4933" t="s">
        <v>7</v>
      </c>
      <c r="G4933" t="s">
        <v>7</v>
      </c>
      <c r="H4933">
        <v>13643.16</v>
      </c>
      <c r="I4933">
        <v>2896.36</v>
      </c>
      <c r="J4933">
        <v>0</v>
      </c>
    </row>
    <row r="4934" spans="1:10" x14ac:dyDescent="0.35">
      <c r="A4934">
        <v>323388</v>
      </c>
      <c r="B4934" t="s">
        <v>20</v>
      </c>
      <c r="C4934">
        <v>2015</v>
      </c>
      <c r="D4934">
        <v>7</v>
      </c>
      <c r="E4934" t="s">
        <v>7</v>
      </c>
      <c r="F4934" t="s">
        <v>7</v>
      </c>
      <c r="G4934" t="s">
        <v>7</v>
      </c>
      <c r="H4934">
        <v>28330.18</v>
      </c>
      <c r="I4934">
        <v>3852.81</v>
      </c>
      <c r="J4934">
        <v>0</v>
      </c>
    </row>
    <row r="4935" spans="1:10" x14ac:dyDescent="0.35">
      <c r="A4935">
        <v>323389</v>
      </c>
      <c r="B4935" t="s">
        <v>20</v>
      </c>
      <c r="C4935">
        <v>2015</v>
      </c>
      <c r="D4935">
        <v>7</v>
      </c>
      <c r="E4935" t="s">
        <v>7</v>
      </c>
      <c r="F4935" t="s">
        <v>7</v>
      </c>
      <c r="G4935" t="s">
        <v>7</v>
      </c>
      <c r="H4935">
        <v>40505.699999999997</v>
      </c>
      <c r="I4935">
        <v>12709.24</v>
      </c>
      <c r="J4935">
        <v>0</v>
      </c>
    </row>
    <row r="4936" spans="1:10" x14ac:dyDescent="0.35">
      <c r="A4936">
        <v>323393</v>
      </c>
      <c r="B4936" t="s">
        <v>20</v>
      </c>
      <c r="C4936">
        <v>2015</v>
      </c>
      <c r="D4936">
        <v>7</v>
      </c>
      <c r="E4936" t="s">
        <v>7</v>
      </c>
      <c r="F4936" t="s">
        <v>7</v>
      </c>
      <c r="G4936" t="s">
        <v>7</v>
      </c>
      <c r="H4936">
        <v>22443.74</v>
      </c>
      <c r="I4936">
        <v>7219.78</v>
      </c>
      <c r="J4936">
        <v>0</v>
      </c>
    </row>
    <row r="4937" spans="1:10" x14ac:dyDescent="0.35">
      <c r="A4937">
        <v>323396</v>
      </c>
      <c r="B4937" t="s">
        <v>20</v>
      </c>
      <c r="C4937">
        <v>2015</v>
      </c>
      <c r="D4937">
        <v>7</v>
      </c>
      <c r="E4937" t="s">
        <v>7</v>
      </c>
      <c r="F4937" t="s">
        <v>7</v>
      </c>
      <c r="G4937" t="s">
        <v>7</v>
      </c>
      <c r="H4937">
        <v>28207.14</v>
      </c>
      <c r="I4937">
        <v>8150.08</v>
      </c>
      <c r="J4937">
        <v>0</v>
      </c>
    </row>
    <row r="4938" spans="1:10" x14ac:dyDescent="0.35">
      <c r="A4938">
        <v>323398</v>
      </c>
      <c r="B4938" t="s">
        <v>20</v>
      </c>
      <c r="C4938">
        <v>2015</v>
      </c>
      <c r="D4938">
        <v>7</v>
      </c>
      <c r="E4938" t="s">
        <v>7</v>
      </c>
      <c r="F4938" t="s">
        <v>7</v>
      </c>
      <c r="G4938" t="s">
        <v>7</v>
      </c>
      <c r="H4938">
        <v>13714.16</v>
      </c>
      <c r="I4938">
        <v>3296.31</v>
      </c>
      <c r="J4938">
        <v>0</v>
      </c>
    </row>
    <row r="4939" spans="1:10" x14ac:dyDescent="0.35">
      <c r="A4939">
        <v>323401</v>
      </c>
      <c r="B4939" t="s">
        <v>20</v>
      </c>
      <c r="C4939">
        <v>2015</v>
      </c>
      <c r="D4939">
        <v>7</v>
      </c>
      <c r="E4939" t="s">
        <v>7</v>
      </c>
      <c r="F4939" t="s">
        <v>7</v>
      </c>
      <c r="G4939" t="s">
        <v>7</v>
      </c>
      <c r="H4939">
        <v>50037.86</v>
      </c>
      <c r="I4939">
        <v>16452.080000000002</v>
      </c>
      <c r="J4939">
        <v>0</v>
      </c>
    </row>
    <row r="4940" spans="1:10" x14ac:dyDescent="0.35">
      <c r="A4940">
        <v>323402</v>
      </c>
      <c r="B4940" t="s">
        <v>20</v>
      </c>
      <c r="C4940">
        <v>2015</v>
      </c>
      <c r="D4940">
        <v>7</v>
      </c>
      <c r="E4940" t="s">
        <v>7</v>
      </c>
      <c r="F4940" t="s">
        <v>7</v>
      </c>
      <c r="G4940" t="s">
        <v>7</v>
      </c>
      <c r="H4940">
        <v>19450.560000000001</v>
      </c>
      <c r="I4940">
        <v>4929.4399999999996</v>
      </c>
      <c r="J4940">
        <v>0</v>
      </c>
    </row>
    <row r="4941" spans="1:10" x14ac:dyDescent="0.35">
      <c r="A4941">
        <v>323403</v>
      </c>
      <c r="B4941" t="s">
        <v>20</v>
      </c>
      <c r="C4941">
        <v>2015</v>
      </c>
      <c r="D4941">
        <v>7</v>
      </c>
      <c r="E4941" t="s">
        <v>7</v>
      </c>
      <c r="F4941" t="s">
        <v>7</v>
      </c>
      <c r="G4941" t="s">
        <v>7</v>
      </c>
      <c r="H4941">
        <v>79213.740000000005</v>
      </c>
      <c r="I4941">
        <v>32174.02</v>
      </c>
      <c r="J4941">
        <v>0</v>
      </c>
    </row>
    <row r="4942" spans="1:10" x14ac:dyDescent="0.35">
      <c r="A4942">
        <v>323404</v>
      </c>
      <c r="B4942" t="s">
        <v>20</v>
      </c>
      <c r="C4942">
        <v>2015</v>
      </c>
      <c r="D4942">
        <v>7</v>
      </c>
      <c r="E4942" t="s">
        <v>7</v>
      </c>
      <c r="F4942" t="s">
        <v>7</v>
      </c>
      <c r="G4942" t="s">
        <v>7</v>
      </c>
      <c r="H4942">
        <v>63156.72</v>
      </c>
      <c r="I4942">
        <v>15038.98</v>
      </c>
      <c r="J4942">
        <v>0</v>
      </c>
    </row>
    <row r="4943" spans="1:10" x14ac:dyDescent="0.35">
      <c r="A4943">
        <v>323405</v>
      </c>
      <c r="B4943" t="s">
        <v>20</v>
      </c>
      <c r="C4943">
        <v>2015</v>
      </c>
      <c r="D4943">
        <v>7</v>
      </c>
      <c r="E4943" t="s">
        <v>7</v>
      </c>
      <c r="F4943" t="s">
        <v>7</v>
      </c>
      <c r="G4943" t="s">
        <v>7</v>
      </c>
      <c r="H4943">
        <v>67884.84</v>
      </c>
      <c r="I4943">
        <v>53581.3</v>
      </c>
      <c r="J4943">
        <v>0</v>
      </c>
    </row>
    <row r="4944" spans="1:10" x14ac:dyDescent="0.35">
      <c r="A4944">
        <v>323406</v>
      </c>
      <c r="B4944" t="s">
        <v>20</v>
      </c>
      <c r="C4944">
        <v>2015</v>
      </c>
      <c r="D4944">
        <v>7</v>
      </c>
      <c r="E4944" t="s">
        <v>7</v>
      </c>
      <c r="F4944" t="s">
        <v>7</v>
      </c>
      <c r="G4944" t="s">
        <v>7</v>
      </c>
      <c r="H4944">
        <v>21770.84</v>
      </c>
      <c r="I4944">
        <v>9027.69</v>
      </c>
      <c r="J4944">
        <v>0</v>
      </c>
    </row>
    <row r="4945" spans="1:10" x14ac:dyDescent="0.35">
      <c r="A4945">
        <v>323407</v>
      </c>
      <c r="B4945" t="s">
        <v>20</v>
      </c>
      <c r="C4945">
        <v>2015</v>
      </c>
      <c r="D4945">
        <v>7</v>
      </c>
      <c r="E4945" t="s">
        <v>7</v>
      </c>
      <c r="F4945" t="s">
        <v>7</v>
      </c>
      <c r="G4945" t="s">
        <v>7</v>
      </c>
      <c r="H4945">
        <v>67781.919999999998</v>
      </c>
      <c r="I4945">
        <v>39562.550000000003</v>
      </c>
      <c r="J4945">
        <v>0</v>
      </c>
    </row>
    <row r="4946" spans="1:10" x14ac:dyDescent="0.35">
      <c r="A4946">
        <v>323408</v>
      </c>
      <c r="B4946" t="s">
        <v>20</v>
      </c>
      <c r="C4946">
        <v>2015</v>
      </c>
      <c r="D4946">
        <v>7</v>
      </c>
      <c r="E4946" t="s">
        <v>7</v>
      </c>
      <c r="F4946" t="s">
        <v>7</v>
      </c>
      <c r="G4946" t="s">
        <v>7</v>
      </c>
      <c r="H4946">
        <v>16792.36</v>
      </c>
      <c r="I4946">
        <v>4633.22</v>
      </c>
      <c r="J4946">
        <v>0</v>
      </c>
    </row>
    <row r="4947" spans="1:10" x14ac:dyDescent="0.35">
      <c r="A4947">
        <v>323409</v>
      </c>
      <c r="B4947" t="s">
        <v>20</v>
      </c>
      <c r="C4947">
        <v>2015</v>
      </c>
      <c r="D4947">
        <v>7</v>
      </c>
      <c r="E4947" t="s">
        <v>7</v>
      </c>
      <c r="F4947" t="s">
        <v>7</v>
      </c>
      <c r="G4947" t="s">
        <v>7</v>
      </c>
      <c r="H4947">
        <v>39685.699999999997</v>
      </c>
      <c r="I4947">
        <v>12544.31</v>
      </c>
      <c r="J4947">
        <v>0</v>
      </c>
    </row>
    <row r="4948" spans="1:10" x14ac:dyDescent="0.35">
      <c r="A4948">
        <v>323413</v>
      </c>
      <c r="B4948" t="s">
        <v>20</v>
      </c>
      <c r="C4948">
        <v>2015</v>
      </c>
      <c r="D4948">
        <v>7</v>
      </c>
      <c r="E4948" t="s">
        <v>7</v>
      </c>
      <c r="F4948" t="s">
        <v>7</v>
      </c>
      <c r="G4948" t="s">
        <v>7</v>
      </c>
      <c r="H4948">
        <v>70824.38</v>
      </c>
      <c r="I4948">
        <v>57161.57</v>
      </c>
      <c r="J4948">
        <v>0</v>
      </c>
    </row>
    <row r="4949" spans="1:10" x14ac:dyDescent="0.35">
      <c r="A4949">
        <v>323417</v>
      </c>
      <c r="B4949" t="s">
        <v>20</v>
      </c>
      <c r="C4949">
        <v>2015</v>
      </c>
      <c r="D4949">
        <v>7</v>
      </c>
      <c r="E4949" t="s">
        <v>7</v>
      </c>
      <c r="F4949" t="s">
        <v>7</v>
      </c>
      <c r="G4949" t="s">
        <v>7</v>
      </c>
      <c r="H4949">
        <v>16542.12</v>
      </c>
      <c r="I4949">
        <v>4853.47</v>
      </c>
      <c r="J4949">
        <v>0</v>
      </c>
    </row>
    <row r="4950" spans="1:10" x14ac:dyDescent="0.35">
      <c r="A4950">
        <v>323418</v>
      </c>
      <c r="B4950" t="s">
        <v>20</v>
      </c>
      <c r="C4950">
        <v>2015</v>
      </c>
      <c r="D4950">
        <v>7</v>
      </c>
      <c r="E4950" t="s">
        <v>7</v>
      </c>
      <c r="F4950" t="s">
        <v>7</v>
      </c>
      <c r="G4950" t="s">
        <v>7</v>
      </c>
      <c r="H4950">
        <v>46404.160000000003</v>
      </c>
      <c r="I4950">
        <v>27367.03</v>
      </c>
      <c r="J4950">
        <v>0</v>
      </c>
    </row>
    <row r="4951" spans="1:10" x14ac:dyDescent="0.35">
      <c r="A4951">
        <v>323420</v>
      </c>
      <c r="B4951" t="s">
        <v>20</v>
      </c>
      <c r="C4951">
        <v>2015</v>
      </c>
      <c r="D4951">
        <v>7</v>
      </c>
      <c r="E4951" t="s">
        <v>7</v>
      </c>
      <c r="F4951" t="s">
        <v>7</v>
      </c>
      <c r="G4951" t="s">
        <v>7</v>
      </c>
      <c r="H4951">
        <v>22691.74</v>
      </c>
      <c r="I4951">
        <v>5703.59</v>
      </c>
      <c r="J4951">
        <v>0</v>
      </c>
    </row>
    <row r="4952" spans="1:10" x14ac:dyDescent="0.35">
      <c r="A4952">
        <v>323426</v>
      </c>
      <c r="B4952" t="s">
        <v>20</v>
      </c>
      <c r="C4952">
        <v>2015</v>
      </c>
      <c r="D4952">
        <v>7</v>
      </c>
      <c r="E4952" t="s">
        <v>7</v>
      </c>
      <c r="F4952" t="s">
        <v>7</v>
      </c>
      <c r="G4952" t="s">
        <v>7</v>
      </c>
      <c r="H4952">
        <v>36808.519999999997</v>
      </c>
      <c r="I4952">
        <v>11528.4</v>
      </c>
      <c r="J4952">
        <v>0</v>
      </c>
    </row>
    <row r="4953" spans="1:10" x14ac:dyDescent="0.35">
      <c r="A4953">
        <v>323427</v>
      </c>
      <c r="B4953" t="s">
        <v>20</v>
      </c>
      <c r="C4953">
        <v>2015</v>
      </c>
      <c r="D4953">
        <v>7</v>
      </c>
      <c r="E4953" t="s">
        <v>7</v>
      </c>
      <c r="F4953" t="s">
        <v>7</v>
      </c>
      <c r="G4953" t="s">
        <v>7</v>
      </c>
      <c r="H4953">
        <v>141781.18</v>
      </c>
      <c r="I4953">
        <v>51176.33</v>
      </c>
      <c r="J4953">
        <v>0</v>
      </c>
    </row>
    <row r="4954" spans="1:10" x14ac:dyDescent="0.35">
      <c r="A4954">
        <v>323430</v>
      </c>
      <c r="B4954" t="s">
        <v>20</v>
      </c>
      <c r="C4954">
        <v>2015</v>
      </c>
      <c r="D4954">
        <v>7</v>
      </c>
      <c r="E4954" t="s">
        <v>7</v>
      </c>
      <c r="F4954" t="s">
        <v>7</v>
      </c>
      <c r="G4954" t="s">
        <v>7</v>
      </c>
      <c r="H4954">
        <v>13604.52</v>
      </c>
      <c r="I4954">
        <v>3972.43</v>
      </c>
      <c r="J4954">
        <v>0</v>
      </c>
    </row>
    <row r="4955" spans="1:10" x14ac:dyDescent="0.35">
      <c r="A4955">
        <v>323431</v>
      </c>
      <c r="B4955" t="s">
        <v>20</v>
      </c>
      <c r="C4955">
        <v>2015</v>
      </c>
      <c r="D4955">
        <v>7</v>
      </c>
      <c r="E4955" t="s">
        <v>7</v>
      </c>
      <c r="F4955" t="s">
        <v>7</v>
      </c>
      <c r="G4955" t="s">
        <v>7</v>
      </c>
      <c r="H4955">
        <v>77149.06</v>
      </c>
      <c r="I4955">
        <v>59099.56</v>
      </c>
      <c r="J4955">
        <v>0</v>
      </c>
    </row>
    <row r="4956" spans="1:10" x14ac:dyDescent="0.35">
      <c r="A4956">
        <v>323433</v>
      </c>
      <c r="B4956" t="s">
        <v>20</v>
      </c>
      <c r="C4956">
        <v>2015</v>
      </c>
      <c r="D4956">
        <v>7</v>
      </c>
      <c r="E4956" t="s">
        <v>7</v>
      </c>
      <c r="F4956" t="s">
        <v>7</v>
      </c>
      <c r="G4956" t="s">
        <v>7</v>
      </c>
      <c r="H4956">
        <v>40277.26</v>
      </c>
      <c r="I4956">
        <v>24702.34</v>
      </c>
      <c r="J4956">
        <v>0</v>
      </c>
    </row>
    <row r="4957" spans="1:10" x14ac:dyDescent="0.35">
      <c r="A4957">
        <v>323435</v>
      </c>
      <c r="B4957" t="s">
        <v>20</v>
      </c>
      <c r="C4957">
        <v>2015</v>
      </c>
      <c r="D4957">
        <v>7</v>
      </c>
      <c r="E4957" t="s">
        <v>7</v>
      </c>
      <c r="F4957" t="s">
        <v>7</v>
      </c>
      <c r="G4957" t="s">
        <v>7</v>
      </c>
      <c r="H4957">
        <v>27334.400000000001</v>
      </c>
      <c r="I4957">
        <v>8066.71</v>
      </c>
      <c r="J4957">
        <v>0</v>
      </c>
    </row>
    <row r="4958" spans="1:10" x14ac:dyDescent="0.35">
      <c r="A4958">
        <v>323436</v>
      </c>
      <c r="B4958" t="s">
        <v>20</v>
      </c>
      <c r="C4958">
        <v>2015</v>
      </c>
      <c r="D4958">
        <v>7</v>
      </c>
      <c r="E4958" t="s">
        <v>7</v>
      </c>
      <c r="F4958" t="s">
        <v>7</v>
      </c>
      <c r="G4958" t="s">
        <v>7</v>
      </c>
      <c r="H4958">
        <v>53140.56</v>
      </c>
      <c r="I4958">
        <v>16282.43</v>
      </c>
      <c r="J4958">
        <v>0</v>
      </c>
    </row>
    <row r="4959" spans="1:10" x14ac:dyDescent="0.35">
      <c r="A4959">
        <v>323438</v>
      </c>
      <c r="B4959" t="s">
        <v>20</v>
      </c>
      <c r="C4959">
        <v>2015</v>
      </c>
      <c r="D4959">
        <v>7</v>
      </c>
      <c r="E4959" t="s">
        <v>7</v>
      </c>
      <c r="F4959" t="s">
        <v>7</v>
      </c>
      <c r="G4959" t="s">
        <v>7</v>
      </c>
      <c r="H4959">
        <v>27533.7</v>
      </c>
      <c r="I4959">
        <v>7144.22</v>
      </c>
      <c r="J4959">
        <v>0</v>
      </c>
    </row>
    <row r="4960" spans="1:10" x14ac:dyDescent="0.35">
      <c r="A4960">
        <v>323439</v>
      </c>
      <c r="B4960" t="s">
        <v>20</v>
      </c>
      <c r="C4960">
        <v>2015</v>
      </c>
      <c r="D4960">
        <v>7</v>
      </c>
      <c r="E4960" t="s">
        <v>7</v>
      </c>
      <c r="F4960" t="s">
        <v>7</v>
      </c>
      <c r="G4960" t="s">
        <v>7</v>
      </c>
      <c r="H4960">
        <v>67257.8</v>
      </c>
      <c r="I4960">
        <v>49170.99</v>
      </c>
      <c r="J4960">
        <v>0</v>
      </c>
    </row>
    <row r="4961" spans="1:10" x14ac:dyDescent="0.35">
      <c r="A4961">
        <v>323440</v>
      </c>
      <c r="B4961" t="s">
        <v>20</v>
      </c>
      <c r="C4961">
        <v>2015</v>
      </c>
      <c r="D4961">
        <v>7</v>
      </c>
      <c r="E4961" t="s">
        <v>7</v>
      </c>
      <c r="F4961" t="s">
        <v>7</v>
      </c>
      <c r="G4961" t="s">
        <v>7</v>
      </c>
      <c r="H4961">
        <v>33804.839999999997</v>
      </c>
      <c r="I4961">
        <v>8710.26</v>
      </c>
      <c r="J4961">
        <v>0</v>
      </c>
    </row>
    <row r="4962" spans="1:10" x14ac:dyDescent="0.35">
      <c r="A4962">
        <v>323441</v>
      </c>
      <c r="B4962" t="s">
        <v>20</v>
      </c>
      <c r="C4962">
        <v>2015</v>
      </c>
      <c r="D4962">
        <v>7</v>
      </c>
      <c r="E4962" t="s">
        <v>7</v>
      </c>
      <c r="F4962" t="s">
        <v>7</v>
      </c>
      <c r="G4962" t="s">
        <v>7</v>
      </c>
      <c r="H4962">
        <v>46371.48</v>
      </c>
      <c r="I4962">
        <v>19669.8</v>
      </c>
      <c r="J4962">
        <v>0</v>
      </c>
    </row>
    <row r="4963" spans="1:10" x14ac:dyDescent="0.35">
      <c r="A4963">
        <v>323444</v>
      </c>
      <c r="B4963" t="s">
        <v>20</v>
      </c>
      <c r="C4963">
        <v>2015</v>
      </c>
      <c r="D4963">
        <v>7</v>
      </c>
      <c r="E4963" t="s">
        <v>7</v>
      </c>
      <c r="F4963" t="s">
        <v>7</v>
      </c>
      <c r="G4963" t="s">
        <v>7</v>
      </c>
      <c r="H4963">
        <v>60523.88</v>
      </c>
      <c r="I4963">
        <v>22426</v>
      </c>
      <c r="J4963">
        <v>0</v>
      </c>
    </row>
    <row r="4964" spans="1:10" x14ac:dyDescent="0.35">
      <c r="A4964">
        <v>323445</v>
      </c>
      <c r="B4964" t="s">
        <v>20</v>
      </c>
      <c r="C4964">
        <v>2015</v>
      </c>
      <c r="D4964">
        <v>7</v>
      </c>
      <c r="E4964" t="s">
        <v>7</v>
      </c>
      <c r="F4964" t="s">
        <v>7</v>
      </c>
      <c r="G4964" t="s">
        <v>7</v>
      </c>
      <c r="H4964">
        <v>21210.799999999999</v>
      </c>
      <c r="I4964">
        <v>4956.7299999999996</v>
      </c>
      <c r="J4964">
        <v>0</v>
      </c>
    </row>
    <row r="4965" spans="1:10" x14ac:dyDescent="0.35">
      <c r="A4965">
        <v>323446</v>
      </c>
      <c r="B4965" t="s">
        <v>20</v>
      </c>
      <c r="C4965">
        <v>2015</v>
      </c>
      <c r="D4965">
        <v>7</v>
      </c>
      <c r="E4965" t="s">
        <v>7</v>
      </c>
      <c r="F4965" t="s">
        <v>7</v>
      </c>
      <c r="G4965" t="s">
        <v>7</v>
      </c>
      <c r="H4965">
        <v>20162.8</v>
      </c>
      <c r="I4965">
        <v>4698.58</v>
      </c>
      <c r="J4965">
        <v>0</v>
      </c>
    </row>
    <row r="4966" spans="1:10" x14ac:dyDescent="0.35">
      <c r="A4966">
        <v>323447</v>
      </c>
      <c r="B4966" t="s">
        <v>20</v>
      </c>
      <c r="C4966">
        <v>2015</v>
      </c>
      <c r="D4966">
        <v>7</v>
      </c>
      <c r="E4966" t="s">
        <v>7</v>
      </c>
      <c r="F4966" t="s">
        <v>7</v>
      </c>
      <c r="G4966" t="s">
        <v>7</v>
      </c>
      <c r="H4966">
        <v>22861.58</v>
      </c>
      <c r="I4966">
        <v>5908.77</v>
      </c>
      <c r="J4966">
        <v>0</v>
      </c>
    </row>
    <row r="4967" spans="1:10" x14ac:dyDescent="0.35">
      <c r="A4967">
        <v>323448</v>
      </c>
      <c r="B4967" t="s">
        <v>20</v>
      </c>
      <c r="C4967">
        <v>2015</v>
      </c>
      <c r="D4967">
        <v>7</v>
      </c>
      <c r="E4967" t="s">
        <v>7</v>
      </c>
      <c r="F4967" t="s">
        <v>7</v>
      </c>
      <c r="G4967" t="s">
        <v>7</v>
      </c>
      <c r="H4967">
        <v>37101.980000000003</v>
      </c>
      <c r="I4967">
        <v>11240.08</v>
      </c>
      <c r="J4967">
        <v>0</v>
      </c>
    </row>
    <row r="4968" spans="1:10" x14ac:dyDescent="0.35">
      <c r="A4968">
        <v>323449</v>
      </c>
      <c r="B4968" t="s">
        <v>20</v>
      </c>
      <c r="C4968">
        <v>2015</v>
      </c>
      <c r="D4968">
        <v>7</v>
      </c>
      <c r="E4968" t="s">
        <v>7</v>
      </c>
      <c r="F4968" t="s">
        <v>7</v>
      </c>
      <c r="G4968" t="s">
        <v>7</v>
      </c>
      <c r="H4968">
        <v>64583.32</v>
      </c>
      <c r="I4968">
        <v>48385.440000000002</v>
      </c>
      <c r="J4968">
        <v>0</v>
      </c>
    </row>
    <row r="4969" spans="1:10" x14ac:dyDescent="0.35">
      <c r="A4969">
        <v>323451</v>
      </c>
      <c r="B4969" t="s">
        <v>20</v>
      </c>
      <c r="C4969">
        <v>2015</v>
      </c>
      <c r="D4969">
        <v>7</v>
      </c>
      <c r="E4969" t="s">
        <v>7</v>
      </c>
      <c r="F4969" t="s">
        <v>7</v>
      </c>
      <c r="G4969" t="s">
        <v>7</v>
      </c>
      <c r="H4969">
        <v>40118.58</v>
      </c>
      <c r="I4969">
        <v>11207.26</v>
      </c>
      <c r="J4969">
        <v>0</v>
      </c>
    </row>
    <row r="4970" spans="1:10" x14ac:dyDescent="0.35">
      <c r="A4970">
        <v>323452</v>
      </c>
      <c r="B4970" t="s">
        <v>20</v>
      </c>
      <c r="C4970">
        <v>2015</v>
      </c>
      <c r="D4970">
        <v>7</v>
      </c>
      <c r="E4970" t="s">
        <v>7</v>
      </c>
      <c r="F4970" t="s">
        <v>7</v>
      </c>
      <c r="G4970" t="s">
        <v>7</v>
      </c>
      <c r="H4970">
        <v>24985.66</v>
      </c>
      <c r="I4970">
        <v>7676.1</v>
      </c>
      <c r="J4970">
        <v>0</v>
      </c>
    </row>
    <row r="4971" spans="1:10" x14ac:dyDescent="0.35">
      <c r="A4971">
        <v>323453</v>
      </c>
      <c r="B4971" t="s">
        <v>20</v>
      </c>
      <c r="C4971">
        <v>2015</v>
      </c>
      <c r="D4971">
        <v>7</v>
      </c>
      <c r="E4971" t="s">
        <v>7</v>
      </c>
      <c r="F4971" t="s">
        <v>7</v>
      </c>
      <c r="G4971" t="s">
        <v>7</v>
      </c>
      <c r="H4971">
        <v>25094.06</v>
      </c>
      <c r="I4971">
        <v>5772.08</v>
      </c>
      <c r="J4971">
        <v>0</v>
      </c>
    </row>
    <row r="4972" spans="1:10" x14ac:dyDescent="0.35">
      <c r="A4972">
        <v>323458</v>
      </c>
      <c r="B4972" t="s">
        <v>20</v>
      </c>
      <c r="C4972">
        <v>2015</v>
      </c>
      <c r="D4972">
        <v>7</v>
      </c>
      <c r="E4972" t="s">
        <v>7</v>
      </c>
      <c r="F4972" t="s">
        <v>7</v>
      </c>
      <c r="G4972" t="s">
        <v>7</v>
      </c>
      <c r="H4972">
        <v>18117.400000000001</v>
      </c>
      <c r="I4972">
        <v>5143.26</v>
      </c>
      <c r="J4972">
        <v>0</v>
      </c>
    </row>
    <row r="4973" spans="1:10" x14ac:dyDescent="0.35">
      <c r="A4973">
        <v>323460</v>
      </c>
      <c r="B4973" t="s">
        <v>20</v>
      </c>
      <c r="C4973">
        <v>2015</v>
      </c>
      <c r="D4973">
        <v>7</v>
      </c>
      <c r="E4973" t="s">
        <v>7</v>
      </c>
      <c r="F4973" t="s">
        <v>7</v>
      </c>
      <c r="G4973" t="s">
        <v>7</v>
      </c>
      <c r="H4973">
        <v>23633.7</v>
      </c>
      <c r="I4973">
        <v>6270.86</v>
      </c>
      <c r="J4973">
        <v>0</v>
      </c>
    </row>
    <row r="4974" spans="1:10" x14ac:dyDescent="0.35">
      <c r="A4974">
        <v>323461</v>
      </c>
      <c r="B4974" t="s">
        <v>20</v>
      </c>
      <c r="C4974">
        <v>2015</v>
      </c>
      <c r="D4974">
        <v>7</v>
      </c>
      <c r="E4974" t="s">
        <v>7</v>
      </c>
      <c r="F4974" t="s">
        <v>7</v>
      </c>
      <c r="G4974" t="s">
        <v>7</v>
      </c>
      <c r="H4974">
        <v>13586</v>
      </c>
      <c r="I4974">
        <v>3220.4</v>
      </c>
      <c r="J4974">
        <v>0</v>
      </c>
    </row>
    <row r="4975" spans="1:10" x14ac:dyDescent="0.35">
      <c r="A4975">
        <v>323462</v>
      </c>
      <c r="B4975" t="s">
        <v>20</v>
      </c>
      <c r="C4975">
        <v>2015</v>
      </c>
      <c r="D4975">
        <v>7</v>
      </c>
      <c r="E4975" t="s">
        <v>7</v>
      </c>
      <c r="F4975" t="s">
        <v>7</v>
      </c>
      <c r="G4975" t="s">
        <v>7</v>
      </c>
      <c r="H4975">
        <v>61139.42</v>
      </c>
      <c r="I4975">
        <v>43946.55</v>
      </c>
      <c r="J4975">
        <v>0</v>
      </c>
    </row>
    <row r="4976" spans="1:10" x14ac:dyDescent="0.35">
      <c r="A4976">
        <v>323464</v>
      </c>
      <c r="B4976" t="s">
        <v>20</v>
      </c>
      <c r="C4976">
        <v>2015</v>
      </c>
      <c r="D4976">
        <v>7</v>
      </c>
      <c r="E4976" t="s">
        <v>7</v>
      </c>
      <c r="F4976" t="s">
        <v>7</v>
      </c>
      <c r="G4976" t="s">
        <v>7</v>
      </c>
      <c r="H4976">
        <v>82497.7</v>
      </c>
      <c r="I4976">
        <v>25470.11</v>
      </c>
      <c r="J4976">
        <v>0</v>
      </c>
    </row>
    <row r="4977" spans="1:10" x14ac:dyDescent="0.35">
      <c r="A4977">
        <v>323467</v>
      </c>
      <c r="B4977" t="s">
        <v>20</v>
      </c>
      <c r="C4977">
        <v>2015</v>
      </c>
      <c r="D4977">
        <v>7</v>
      </c>
      <c r="E4977" t="s">
        <v>7</v>
      </c>
      <c r="F4977" t="s">
        <v>7</v>
      </c>
      <c r="G4977" t="s">
        <v>7</v>
      </c>
      <c r="H4977">
        <v>24505.79</v>
      </c>
      <c r="I4977">
        <v>7624.39</v>
      </c>
      <c r="J4977">
        <v>0</v>
      </c>
    </row>
    <row r="4978" spans="1:10" x14ac:dyDescent="0.35">
      <c r="A4978">
        <v>323469</v>
      </c>
      <c r="B4978" t="s">
        <v>20</v>
      </c>
      <c r="C4978">
        <v>2015</v>
      </c>
      <c r="D4978">
        <v>7</v>
      </c>
      <c r="E4978" t="s">
        <v>7</v>
      </c>
      <c r="F4978" t="s">
        <v>7</v>
      </c>
      <c r="G4978" t="s">
        <v>7</v>
      </c>
      <c r="H4978">
        <v>44203.24</v>
      </c>
      <c r="I4978">
        <v>9190.41</v>
      </c>
      <c r="J4978">
        <v>0</v>
      </c>
    </row>
    <row r="4979" spans="1:10" x14ac:dyDescent="0.35">
      <c r="A4979">
        <v>323470</v>
      </c>
      <c r="B4979" t="s">
        <v>20</v>
      </c>
      <c r="C4979">
        <v>2015</v>
      </c>
      <c r="D4979">
        <v>7</v>
      </c>
      <c r="E4979" t="s">
        <v>7</v>
      </c>
      <c r="F4979" t="s">
        <v>7</v>
      </c>
      <c r="G4979" t="s">
        <v>7</v>
      </c>
      <c r="H4979">
        <v>109457.8</v>
      </c>
      <c r="I4979">
        <v>70295.25</v>
      </c>
      <c r="J4979">
        <v>0</v>
      </c>
    </row>
    <row r="4980" spans="1:10" x14ac:dyDescent="0.35">
      <c r="A4980">
        <v>323473</v>
      </c>
      <c r="B4980" t="s">
        <v>20</v>
      </c>
      <c r="C4980">
        <v>2015</v>
      </c>
      <c r="D4980">
        <v>7</v>
      </c>
      <c r="E4980" t="s">
        <v>7</v>
      </c>
      <c r="F4980" t="s">
        <v>7</v>
      </c>
      <c r="G4980" t="s">
        <v>7</v>
      </c>
      <c r="H4980">
        <v>16737.04</v>
      </c>
      <c r="I4980">
        <v>3204.8</v>
      </c>
      <c r="J4980">
        <v>0</v>
      </c>
    </row>
    <row r="4981" spans="1:10" x14ac:dyDescent="0.35">
      <c r="A4981">
        <v>323474</v>
      </c>
      <c r="B4981" t="s">
        <v>20</v>
      </c>
      <c r="C4981">
        <v>2015</v>
      </c>
      <c r="D4981">
        <v>7</v>
      </c>
      <c r="E4981" t="s">
        <v>7</v>
      </c>
      <c r="F4981" t="s">
        <v>7</v>
      </c>
      <c r="G4981" t="s">
        <v>7</v>
      </c>
      <c r="H4981">
        <v>20643.8</v>
      </c>
      <c r="I4981">
        <v>5812.89</v>
      </c>
      <c r="J4981">
        <v>0</v>
      </c>
    </row>
    <row r="4982" spans="1:10" x14ac:dyDescent="0.35">
      <c r="A4982">
        <v>323475</v>
      </c>
      <c r="B4982" t="s">
        <v>20</v>
      </c>
      <c r="C4982">
        <v>2015</v>
      </c>
      <c r="D4982">
        <v>7</v>
      </c>
      <c r="E4982" t="s">
        <v>7</v>
      </c>
      <c r="F4982" t="s">
        <v>7</v>
      </c>
      <c r="G4982" t="s">
        <v>7</v>
      </c>
      <c r="H4982">
        <v>108668.76</v>
      </c>
      <c r="I4982">
        <v>60278.09</v>
      </c>
      <c r="J4982">
        <v>0</v>
      </c>
    </row>
    <row r="4983" spans="1:10" x14ac:dyDescent="0.35">
      <c r="A4983">
        <v>323476</v>
      </c>
      <c r="B4983" t="s">
        <v>20</v>
      </c>
      <c r="C4983">
        <v>2015</v>
      </c>
      <c r="D4983">
        <v>7</v>
      </c>
      <c r="E4983" t="s">
        <v>7</v>
      </c>
      <c r="F4983" t="s">
        <v>7</v>
      </c>
      <c r="G4983" t="s">
        <v>7</v>
      </c>
      <c r="H4983">
        <v>33423.33</v>
      </c>
      <c r="I4983">
        <v>6991.1</v>
      </c>
      <c r="J4983">
        <v>0</v>
      </c>
    </row>
    <row r="4984" spans="1:10" x14ac:dyDescent="0.35">
      <c r="A4984">
        <v>323477</v>
      </c>
      <c r="B4984" t="s">
        <v>20</v>
      </c>
      <c r="C4984">
        <v>2015</v>
      </c>
      <c r="D4984">
        <v>7</v>
      </c>
      <c r="E4984" t="s">
        <v>7</v>
      </c>
      <c r="F4984" t="s">
        <v>7</v>
      </c>
      <c r="G4984" t="s">
        <v>7</v>
      </c>
      <c r="H4984">
        <v>29210.38</v>
      </c>
      <c r="I4984">
        <v>8544.07</v>
      </c>
      <c r="J4984">
        <v>0</v>
      </c>
    </row>
    <row r="4985" spans="1:10" x14ac:dyDescent="0.35">
      <c r="A4985">
        <v>323481</v>
      </c>
      <c r="B4985" t="s">
        <v>20</v>
      </c>
      <c r="C4985">
        <v>2015</v>
      </c>
      <c r="D4985">
        <v>7</v>
      </c>
      <c r="E4985" t="s">
        <v>7</v>
      </c>
      <c r="F4985" t="s">
        <v>7</v>
      </c>
      <c r="G4985" t="s">
        <v>7</v>
      </c>
      <c r="H4985">
        <v>24010.66</v>
      </c>
      <c r="I4985">
        <v>13621.35</v>
      </c>
      <c r="J4985">
        <v>0</v>
      </c>
    </row>
    <row r="4986" spans="1:10" x14ac:dyDescent="0.35">
      <c r="A4986">
        <v>323485</v>
      </c>
      <c r="B4986" t="s">
        <v>20</v>
      </c>
      <c r="C4986">
        <v>2015</v>
      </c>
      <c r="D4986">
        <v>7</v>
      </c>
      <c r="E4986" t="s">
        <v>7</v>
      </c>
      <c r="F4986" t="s">
        <v>7</v>
      </c>
      <c r="G4986" t="s">
        <v>7</v>
      </c>
      <c r="H4986">
        <v>12283.8</v>
      </c>
      <c r="I4986">
        <v>2912.82</v>
      </c>
      <c r="J4986">
        <v>0</v>
      </c>
    </row>
    <row r="4987" spans="1:10" x14ac:dyDescent="0.35">
      <c r="A4987">
        <v>323487</v>
      </c>
      <c r="B4987" t="s">
        <v>20</v>
      </c>
      <c r="C4987">
        <v>2015</v>
      </c>
      <c r="D4987">
        <v>7</v>
      </c>
      <c r="E4987" t="s">
        <v>7</v>
      </c>
      <c r="F4987" t="s">
        <v>7</v>
      </c>
      <c r="G4987" t="s">
        <v>7</v>
      </c>
      <c r="H4987">
        <v>37630.26</v>
      </c>
      <c r="I4987">
        <v>10334.09</v>
      </c>
      <c r="J4987">
        <v>0</v>
      </c>
    </row>
    <row r="4988" spans="1:10" x14ac:dyDescent="0.35">
      <c r="A4988">
        <v>323489</v>
      </c>
      <c r="B4988" t="s">
        <v>20</v>
      </c>
      <c r="C4988">
        <v>2015</v>
      </c>
      <c r="D4988">
        <v>7</v>
      </c>
      <c r="E4988" t="s">
        <v>7</v>
      </c>
      <c r="F4988" t="s">
        <v>7</v>
      </c>
      <c r="G4988" t="s">
        <v>7</v>
      </c>
      <c r="H4988">
        <v>53241.94</v>
      </c>
      <c r="I4988">
        <v>16109.74</v>
      </c>
      <c r="J4988">
        <v>0</v>
      </c>
    </row>
    <row r="4989" spans="1:10" x14ac:dyDescent="0.35">
      <c r="A4989">
        <v>323492</v>
      </c>
      <c r="B4989" t="s">
        <v>20</v>
      </c>
      <c r="C4989">
        <v>2015</v>
      </c>
      <c r="D4989">
        <v>7</v>
      </c>
      <c r="E4989" t="s">
        <v>7</v>
      </c>
      <c r="F4989" t="s">
        <v>7</v>
      </c>
      <c r="G4989" t="s">
        <v>7</v>
      </c>
      <c r="H4989">
        <v>23200.400000000001</v>
      </c>
      <c r="I4989">
        <v>5534.74</v>
      </c>
      <c r="J4989">
        <v>0</v>
      </c>
    </row>
    <row r="4990" spans="1:10" x14ac:dyDescent="0.35">
      <c r="A4990">
        <v>323494</v>
      </c>
      <c r="B4990" t="s">
        <v>20</v>
      </c>
      <c r="C4990">
        <v>2015</v>
      </c>
      <c r="D4990">
        <v>7</v>
      </c>
      <c r="E4990" t="s">
        <v>7</v>
      </c>
      <c r="F4990" t="s">
        <v>7</v>
      </c>
      <c r="G4990" t="s">
        <v>7</v>
      </c>
      <c r="H4990">
        <v>35122.86</v>
      </c>
      <c r="I4990">
        <v>9458.84</v>
      </c>
      <c r="J4990">
        <v>0</v>
      </c>
    </row>
    <row r="4991" spans="1:10" x14ac:dyDescent="0.35">
      <c r="A4991">
        <v>323497</v>
      </c>
      <c r="B4991" t="s">
        <v>20</v>
      </c>
      <c r="C4991">
        <v>2015</v>
      </c>
      <c r="D4991">
        <v>7</v>
      </c>
      <c r="E4991" t="s">
        <v>7</v>
      </c>
      <c r="F4991" t="s">
        <v>7</v>
      </c>
      <c r="G4991" t="s">
        <v>7</v>
      </c>
      <c r="H4991">
        <v>26967.759999999998</v>
      </c>
      <c r="I4991">
        <v>7082.85</v>
      </c>
      <c r="J4991">
        <v>0</v>
      </c>
    </row>
    <row r="4992" spans="1:10" x14ac:dyDescent="0.35">
      <c r="A4992">
        <v>323498</v>
      </c>
      <c r="B4992" t="s">
        <v>20</v>
      </c>
      <c r="C4992">
        <v>2015</v>
      </c>
      <c r="D4992">
        <v>7</v>
      </c>
      <c r="E4992" t="s">
        <v>7</v>
      </c>
      <c r="F4992" t="s">
        <v>7</v>
      </c>
      <c r="G4992" t="s">
        <v>7</v>
      </c>
      <c r="H4992">
        <v>19366.82</v>
      </c>
      <c r="I4992">
        <v>5570.71</v>
      </c>
      <c r="J4992">
        <v>0</v>
      </c>
    </row>
    <row r="4993" spans="1:10" x14ac:dyDescent="0.35">
      <c r="A4993">
        <v>323499</v>
      </c>
      <c r="B4993" t="s">
        <v>20</v>
      </c>
      <c r="C4993">
        <v>2015</v>
      </c>
      <c r="D4993">
        <v>7</v>
      </c>
      <c r="E4993" t="s">
        <v>7</v>
      </c>
      <c r="F4993" t="s">
        <v>7</v>
      </c>
      <c r="G4993" t="s">
        <v>7</v>
      </c>
      <c r="H4993">
        <v>54437.32</v>
      </c>
      <c r="I4993">
        <v>17326.3</v>
      </c>
      <c r="J4993">
        <v>0</v>
      </c>
    </row>
    <row r="4994" spans="1:10" x14ac:dyDescent="0.35">
      <c r="A4994">
        <v>323500</v>
      </c>
      <c r="B4994" t="s">
        <v>20</v>
      </c>
      <c r="C4994">
        <v>2015</v>
      </c>
      <c r="D4994">
        <v>7</v>
      </c>
      <c r="E4994" t="s">
        <v>7</v>
      </c>
      <c r="F4994" t="s">
        <v>7</v>
      </c>
      <c r="G4994" t="s">
        <v>7</v>
      </c>
      <c r="H4994">
        <v>15881.7</v>
      </c>
      <c r="I4994">
        <v>3687.33</v>
      </c>
      <c r="J4994">
        <v>0</v>
      </c>
    </row>
    <row r="4995" spans="1:10" x14ac:dyDescent="0.35">
      <c r="A4995">
        <v>323501</v>
      </c>
      <c r="B4995" t="s">
        <v>20</v>
      </c>
      <c r="C4995">
        <v>2015</v>
      </c>
      <c r="D4995">
        <v>7</v>
      </c>
      <c r="E4995" t="s">
        <v>7</v>
      </c>
      <c r="F4995" t="s">
        <v>7</v>
      </c>
      <c r="G4995" t="s">
        <v>7</v>
      </c>
      <c r="H4995">
        <v>28927.72</v>
      </c>
      <c r="I4995">
        <v>15849.81</v>
      </c>
      <c r="J4995">
        <v>0</v>
      </c>
    </row>
    <row r="4996" spans="1:10" x14ac:dyDescent="0.35">
      <c r="A4996">
        <v>323502</v>
      </c>
      <c r="B4996" t="s">
        <v>20</v>
      </c>
      <c r="C4996">
        <v>2015</v>
      </c>
      <c r="D4996">
        <v>7</v>
      </c>
      <c r="E4996" t="s">
        <v>7</v>
      </c>
      <c r="F4996" t="s">
        <v>7</v>
      </c>
      <c r="G4996" t="s">
        <v>7</v>
      </c>
      <c r="H4996">
        <v>32858.76</v>
      </c>
      <c r="I4996">
        <v>9695.83</v>
      </c>
      <c r="J4996">
        <v>0</v>
      </c>
    </row>
    <row r="4997" spans="1:10" x14ac:dyDescent="0.35">
      <c r="A4997">
        <v>323507</v>
      </c>
      <c r="B4997" t="s">
        <v>20</v>
      </c>
      <c r="C4997">
        <v>2015</v>
      </c>
      <c r="D4997">
        <v>7</v>
      </c>
      <c r="E4997" t="s">
        <v>7</v>
      </c>
      <c r="F4997" t="s">
        <v>7</v>
      </c>
      <c r="G4997" t="s">
        <v>7</v>
      </c>
      <c r="H4997">
        <v>22698.6</v>
      </c>
      <c r="I4997">
        <v>7223.82</v>
      </c>
      <c r="J4997">
        <v>0</v>
      </c>
    </row>
    <row r="4998" spans="1:10" x14ac:dyDescent="0.35">
      <c r="A4998">
        <v>323510</v>
      </c>
      <c r="B4998" t="s">
        <v>20</v>
      </c>
      <c r="C4998">
        <v>2015</v>
      </c>
      <c r="D4998">
        <v>7</v>
      </c>
      <c r="E4998" t="s">
        <v>7</v>
      </c>
      <c r="F4998" t="s">
        <v>7</v>
      </c>
      <c r="G4998" t="s">
        <v>7</v>
      </c>
      <c r="H4998">
        <v>50458.400000000001</v>
      </c>
      <c r="I4998">
        <v>14897.33</v>
      </c>
      <c r="J4998">
        <v>0</v>
      </c>
    </row>
    <row r="4999" spans="1:10" x14ac:dyDescent="0.35">
      <c r="A4999">
        <v>323515</v>
      </c>
      <c r="B4999" t="s">
        <v>20</v>
      </c>
      <c r="C4999">
        <v>2015</v>
      </c>
      <c r="D4999">
        <v>7</v>
      </c>
      <c r="E4999" t="s">
        <v>7</v>
      </c>
      <c r="F4999" t="s">
        <v>7</v>
      </c>
      <c r="G4999" t="s">
        <v>7</v>
      </c>
      <c r="H4999">
        <v>13132.46</v>
      </c>
      <c r="I4999">
        <v>2971.67</v>
      </c>
      <c r="J4999">
        <v>0</v>
      </c>
    </row>
    <row r="5000" spans="1:10" x14ac:dyDescent="0.35">
      <c r="A5000">
        <v>323516</v>
      </c>
      <c r="B5000" t="s">
        <v>20</v>
      </c>
      <c r="C5000">
        <v>2015</v>
      </c>
      <c r="D5000">
        <v>7</v>
      </c>
      <c r="E5000" t="s">
        <v>7</v>
      </c>
      <c r="F5000" t="s">
        <v>7</v>
      </c>
      <c r="G5000" t="s">
        <v>7</v>
      </c>
      <c r="H5000">
        <v>55433.14</v>
      </c>
      <c r="I5000">
        <v>17226.400000000001</v>
      </c>
      <c r="J5000">
        <v>0</v>
      </c>
    </row>
    <row r="5001" spans="1:10" x14ac:dyDescent="0.35">
      <c r="A5001">
        <v>323518</v>
      </c>
      <c r="B5001" t="s">
        <v>20</v>
      </c>
      <c r="C5001">
        <v>2015</v>
      </c>
      <c r="D5001">
        <v>7</v>
      </c>
      <c r="E5001" t="s">
        <v>7</v>
      </c>
      <c r="F5001" t="s">
        <v>7</v>
      </c>
      <c r="G5001" t="s">
        <v>7</v>
      </c>
      <c r="H5001">
        <v>44022.22</v>
      </c>
      <c r="I5001">
        <v>20780.55</v>
      </c>
      <c r="J5001">
        <v>0</v>
      </c>
    </row>
    <row r="5002" spans="1:10" x14ac:dyDescent="0.35">
      <c r="A5002">
        <v>323519</v>
      </c>
      <c r="B5002" t="s">
        <v>20</v>
      </c>
      <c r="C5002">
        <v>2015</v>
      </c>
      <c r="D5002">
        <v>7</v>
      </c>
      <c r="E5002" t="s">
        <v>7</v>
      </c>
      <c r="F5002" t="s">
        <v>7</v>
      </c>
      <c r="G5002" t="s">
        <v>7</v>
      </c>
      <c r="H5002">
        <v>31212.36</v>
      </c>
      <c r="I5002">
        <v>9302.58</v>
      </c>
      <c r="J5002">
        <v>0</v>
      </c>
    </row>
    <row r="5003" spans="1:10" x14ac:dyDescent="0.35">
      <c r="A5003">
        <v>323520</v>
      </c>
      <c r="B5003" t="s">
        <v>20</v>
      </c>
      <c r="C5003">
        <v>2015</v>
      </c>
      <c r="D5003">
        <v>7</v>
      </c>
      <c r="E5003" t="s">
        <v>7</v>
      </c>
      <c r="F5003" t="s">
        <v>7</v>
      </c>
      <c r="G5003" t="s">
        <v>7</v>
      </c>
      <c r="H5003">
        <v>30299.360000000001</v>
      </c>
      <c r="I5003">
        <v>7446.83</v>
      </c>
      <c r="J5003">
        <v>0</v>
      </c>
    </row>
    <row r="5004" spans="1:10" x14ac:dyDescent="0.35">
      <c r="A5004">
        <v>323521</v>
      </c>
      <c r="B5004" t="s">
        <v>20</v>
      </c>
      <c r="C5004">
        <v>2015</v>
      </c>
      <c r="D5004">
        <v>7</v>
      </c>
      <c r="E5004" t="s">
        <v>7</v>
      </c>
      <c r="F5004" t="s">
        <v>7</v>
      </c>
      <c r="G5004" t="s">
        <v>7</v>
      </c>
      <c r="H5004">
        <v>61970.96</v>
      </c>
      <c r="I5004">
        <v>19225.55</v>
      </c>
      <c r="J5004">
        <v>0</v>
      </c>
    </row>
    <row r="5005" spans="1:10" x14ac:dyDescent="0.35">
      <c r="A5005">
        <v>323523</v>
      </c>
      <c r="B5005" t="s">
        <v>20</v>
      </c>
      <c r="C5005">
        <v>2015</v>
      </c>
      <c r="D5005">
        <v>7</v>
      </c>
      <c r="E5005" t="s">
        <v>7</v>
      </c>
      <c r="F5005" t="s">
        <v>7</v>
      </c>
      <c r="G5005" t="s">
        <v>7</v>
      </c>
      <c r="H5005">
        <v>73896</v>
      </c>
      <c r="I5005">
        <v>31569.88</v>
      </c>
      <c r="J5005">
        <v>0</v>
      </c>
    </row>
    <row r="5006" spans="1:10" x14ac:dyDescent="0.35">
      <c r="A5006">
        <v>323524</v>
      </c>
      <c r="B5006" t="s">
        <v>20</v>
      </c>
      <c r="C5006">
        <v>2015</v>
      </c>
      <c r="D5006">
        <v>7</v>
      </c>
      <c r="E5006" t="s">
        <v>7</v>
      </c>
      <c r="F5006" t="s">
        <v>7</v>
      </c>
      <c r="G5006" t="s">
        <v>7</v>
      </c>
      <c r="H5006">
        <v>14856.2</v>
      </c>
      <c r="I5006">
        <v>3917.03</v>
      </c>
      <c r="J5006">
        <v>0</v>
      </c>
    </row>
    <row r="5007" spans="1:10" x14ac:dyDescent="0.35">
      <c r="A5007">
        <v>323525</v>
      </c>
      <c r="B5007" t="s">
        <v>20</v>
      </c>
      <c r="C5007">
        <v>2015</v>
      </c>
      <c r="D5007">
        <v>7</v>
      </c>
      <c r="E5007" t="s">
        <v>7</v>
      </c>
      <c r="F5007" t="s">
        <v>7</v>
      </c>
      <c r="G5007" t="s">
        <v>7</v>
      </c>
      <c r="H5007">
        <v>17114.759999999998</v>
      </c>
      <c r="I5007">
        <v>6854.78</v>
      </c>
      <c r="J5007">
        <v>0</v>
      </c>
    </row>
    <row r="5008" spans="1:10" x14ac:dyDescent="0.35">
      <c r="A5008">
        <v>323529</v>
      </c>
      <c r="B5008" t="s">
        <v>20</v>
      </c>
      <c r="C5008">
        <v>2015</v>
      </c>
      <c r="D5008">
        <v>7</v>
      </c>
      <c r="E5008" t="s">
        <v>7</v>
      </c>
      <c r="F5008" t="s">
        <v>7</v>
      </c>
      <c r="G5008" t="s">
        <v>7</v>
      </c>
      <c r="H5008">
        <v>26656.94</v>
      </c>
      <c r="I5008">
        <v>6906.83</v>
      </c>
      <c r="J5008">
        <v>0</v>
      </c>
    </row>
    <row r="5009" spans="1:10" x14ac:dyDescent="0.35">
      <c r="A5009">
        <v>323531</v>
      </c>
      <c r="B5009" t="s">
        <v>20</v>
      </c>
      <c r="C5009">
        <v>2015</v>
      </c>
      <c r="D5009">
        <v>7</v>
      </c>
      <c r="E5009" t="s">
        <v>7</v>
      </c>
      <c r="F5009" t="s">
        <v>7</v>
      </c>
      <c r="G5009" t="s">
        <v>7</v>
      </c>
      <c r="H5009">
        <v>9247.94</v>
      </c>
      <c r="I5009">
        <v>2525.29</v>
      </c>
      <c r="J5009">
        <v>0</v>
      </c>
    </row>
    <row r="5010" spans="1:10" x14ac:dyDescent="0.35">
      <c r="A5010">
        <v>323533</v>
      </c>
      <c r="B5010" t="s">
        <v>20</v>
      </c>
      <c r="C5010">
        <v>2015</v>
      </c>
      <c r="D5010">
        <v>7</v>
      </c>
      <c r="E5010" t="s">
        <v>7</v>
      </c>
      <c r="F5010" t="s">
        <v>7</v>
      </c>
      <c r="G5010" t="s">
        <v>7</v>
      </c>
      <c r="H5010">
        <v>34290.36</v>
      </c>
      <c r="I5010">
        <v>10915.6</v>
      </c>
      <c r="J5010">
        <v>0</v>
      </c>
    </row>
    <row r="5011" spans="1:10" x14ac:dyDescent="0.35">
      <c r="A5011">
        <v>323535</v>
      </c>
      <c r="B5011" t="s">
        <v>20</v>
      </c>
      <c r="C5011">
        <v>2015</v>
      </c>
      <c r="D5011">
        <v>7</v>
      </c>
      <c r="E5011" t="s">
        <v>7</v>
      </c>
      <c r="F5011" t="s">
        <v>7</v>
      </c>
      <c r="G5011" t="s">
        <v>7</v>
      </c>
      <c r="H5011">
        <v>35670.239999999998</v>
      </c>
      <c r="I5011">
        <v>10280.49</v>
      </c>
      <c r="J5011">
        <v>0</v>
      </c>
    </row>
    <row r="5012" spans="1:10" x14ac:dyDescent="0.35">
      <c r="A5012">
        <v>323536</v>
      </c>
      <c r="B5012" t="s">
        <v>20</v>
      </c>
      <c r="C5012">
        <v>2015</v>
      </c>
      <c r="D5012">
        <v>7</v>
      </c>
      <c r="E5012" t="s">
        <v>7</v>
      </c>
      <c r="F5012" t="s">
        <v>7</v>
      </c>
      <c r="G5012" t="s">
        <v>7</v>
      </c>
      <c r="H5012">
        <v>48385.120000000003</v>
      </c>
      <c r="I5012">
        <v>13825.11</v>
      </c>
      <c r="J5012">
        <v>0</v>
      </c>
    </row>
    <row r="5013" spans="1:10" x14ac:dyDescent="0.35">
      <c r="A5013">
        <v>323537</v>
      </c>
      <c r="B5013" t="s">
        <v>20</v>
      </c>
      <c r="C5013">
        <v>2015</v>
      </c>
      <c r="D5013">
        <v>7</v>
      </c>
      <c r="E5013" t="s">
        <v>7</v>
      </c>
      <c r="F5013" t="s">
        <v>7</v>
      </c>
      <c r="G5013" t="s">
        <v>7</v>
      </c>
      <c r="H5013">
        <v>67348.539999999994</v>
      </c>
      <c r="I5013">
        <v>49037.03</v>
      </c>
      <c r="J5013">
        <v>0</v>
      </c>
    </row>
    <row r="5014" spans="1:10" x14ac:dyDescent="0.35">
      <c r="A5014">
        <v>323539</v>
      </c>
      <c r="B5014" t="s">
        <v>20</v>
      </c>
      <c r="C5014">
        <v>2015</v>
      </c>
      <c r="D5014">
        <v>7</v>
      </c>
      <c r="E5014" t="s">
        <v>7</v>
      </c>
      <c r="F5014" t="s">
        <v>7</v>
      </c>
      <c r="G5014" t="s">
        <v>7</v>
      </c>
      <c r="H5014">
        <v>27087.32</v>
      </c>
      <c r="I5014">
        <v>8572.84</v>
      </c>
      <c r="J5014">
        <v>0</v>
      </c>
    </row>
    <row r="5015" spans="1:10" x14ac:dyDescent="0.35">
      <c r="A5015">
        <v>323540</v>
      </c>
      <c r="B5015" t="s">
        <v>20</v>
      </c>
      <c r="C5015">
        <v>2015</v>
      </c>
      <c r="D5015">
        <v>7</v>
      </c>
      <c r="E5015" t="s">
        <v>7</v>
      </c>
      <c r="F5015" t="s">
        <v>7</v>
      </c>
      <c r="G5015" t="s">
        <v>7</v>
      </c>
      <c r="H5015">
        <v>21685.5</v>
      </c>
      <c r="I5015">
        <v>6043.84</v>
      </c>
      <c r="J5015">
        <v>0</v>
      </c>
    </row>
    <row r="5016" spans="1:10" x14ac:dyDescent="0.35">
      <c r="A5016">
        <v>323541</v>
      </c>
      <c r="B5016" t="s">
        <v>20</v>
      </c>
      <c r="C5016">
        <v>2015</v>
      </c>
      <c r="D5016">
        <v>7</v>
      </c>
      <c r="E5016" t="s">
        <v>7</v>
      </c>
      <c r="F5016" t="s">
        <v>7</v>
      </c>
      <c r="G5016" t="s">
        <v>7</v>
      </c>
      <c r="H5016">
        <v>26922.12</v>
      </c>
      <c r="I5016">
        <v>7224.38</v>
      </c>
      <c r="J5016">
        <v>0</v>
      </c>
    </row>
    <row r="5017" spans="1:10" x14ac:dyDescent="0.35">
      <c r="A5017">
        <v>323543</v>
      </c>
      <c r="B5017" t="s">
        <v>20</v>
      </c>
      <c r="C5017">
        <v>2015</v>
      </c>
      <c r="D5017">
        <v>7</v>
      </c>
      <c r="E5017" t="s">
        <v>7</v>
      </c>
      <c r="F5017" t="s">
        <v>7</v>
      </c>
      <c r="G5017" t="s">
        <v>7</v>
      </c>
      <c r="H5017">
        <v>16258.42</v>
      </c>
      <c r="I5017">
        <v>4270.54</v>
      </c>
      <c r="J5017">
        <v>0</v>
      </c>
    </row>
    <row r="5018" spans="1:10" x14ac:dyDescent="0.35">
      <c r="A5018">
        <v>323544</v>
      </c>
      <c r="B5018" t="s">
        <v>20</v>
      </c>
      <c r="C5018">
        <v>2015</v>
      </c>
      <c r="D5018">
        <v>7</v>
      </c>
      <c r="E5018" t="s">
        <v>7</v>
      </c>
      <c r="F5018" t="s">
        <v>7</v>
      </c>
      <c r="G5018" t="s">
        <v>7</v>
      </c>
      <c r="H5018">
        <v>25816.44</v>
      </c>
      <c r="I5018">
        <v>8016.86</v>
      </c>
      <c r="J5018">
        <v>0</v>
      </c>
    </row>
    <row r="5019" spans="1:10" x14ac:dyDescent="0.35">
      <c r="A5019">
        <v>323545</v>
      </c>
      <c r="B5019" t="s">
        <v>20</v>
      </c>
      <c r="C5019">
        <v>2015</v>
      </c>
      <c r="D5019">
        <v>7</v>
      </c>
      <c r="E5019" t="s">
        <v>7</v>
      </c>
      <c r="F5019" t="s">
        <v>7</v>
      </c>
      <c r="G5019" t="s">
        <v>7</v>
      </c>
      <c r="H5019">
        <v>66099.520000000004</v>
      </c>
      <c r="I5019">
        <v>48949.58</v>
      </c>
      <c r="J5019">
        <v>0</v>
      </c>
    </row>
    <row r="5020" spans="1:10" x14ac:dyDescent="0.35">
      <c r="A5020">
        <v>323546</v>
      </c>
      <c r="B5020" t="s">
        <v>20</v>
      </c>
      <c r="C5020">
        <v>2015</v>
      </c>
      <c r="D5020">
        <v>7</v>
      </c>
      <c r="E5020" t="s">
        <v>7</v>
      </c>
      <c r="F5020" t="s">
        <v>7</v>
      </c>
      <c r="G5020" t="s">
        <v>7</v>
      </c>
      <c r="H5020">
        <v>32864.26</v>
      </c>
      <c r="I5020">
        <v>5496.2</v>
      </c>
      <c r="J5020">
        <v>0</v>
      </c>
    </row>
    <row r="5021" spans="1:10" x14ac:dyDescent="0.35">
      <c r="A5021">
        <v>323548</v>
      </c>
      <c r="B5021" t="s">
        <v>20</v>
      </c>
      <c r="C5021">
        <v>2015</v>
      </c>
      <c r="D5021">
        <v>7</v>
      </c>
      <c r="E5021" t="s">
        <v>7</v>
      </c>
      <c r="F5021" t="s">
        <v>7</v>
      </c>
      <c r="G5021" t="s">
        <v>7</v>
      </c>
      <c r="H5021">
        <v>20508.740000000002</v>
      </c>
      <c r="I5021">
        <v>4508.7700000000004</v>
      </c>
      <c r="J5021">
        <v>0</v>
      </c>
    </row>
    <row r="5022" spans="1:10" x14ac:dyDescent="0.35">
      <c r="A5022">
        <v>323549</v>
      </c>
      <c r="B5022" t="s">
        <v>20</v>
      </c>
      <c r="C5022">
        <v>2015</v>
      </c>
      <c r="D5022">
        <v>7</v>
      </c>
      <c r="E5022" t="s">
        <v>7</v>
      </c>
      <c r="F5022" t="s">
        <v>7</v>
      </c>
      <c r="G5022" t="s">
        <v>7</v>
      </c>
      <c r="H5022">
        <v>68882.92</v>
      </c>
      <c r="I5022">
        <v>23849.3</v>
      </c>
      <c r="J5022">
        <v>0</v>
      </c>
    </row>
    <row r="5023" spans="1:10" x14ac:dyDescent="0.35">
      <c r="A5023">
        <v>323550</v>
      </c>
      <c r="B5023" t="s">
        <v>20</v>
      </c>
      <c r="C5023">
        <v>2015</v>
      </c>
      <c r="D5023">
        <v>7</v>
      </c>
      <c r="E5023" t="s">
        <v>7</v>
      </c>
      <c r="F5023" t="s">
        <v>7</v>
      </c>
      <c r="G5023" t="s">
        <v>7</v>
      </c>
      <c r="H5023">
        <v>49222</v>
      </c>
      <c r="I5023">
        <v>14702.04</v>
      </c>
      <c r="J5023">
        <v>0</v>
      </c>
    </row>
    <row r="5024" spans="1:10" x14ac:dyDescent="0.35">
      <c r="A5024">
        <v>323552</v>
      </c>
      <c r="B5024" t="s">
        <v>20</v>
      </c>
      <c r="C5024">
        <v>2015</v>
      </c>
      <c r="D5024">
        <v>7</v>
      </c>
      <c r="E5024" t="s">
        <v>7</v>
      </c>
      <c r="F5024" t="s">
        <v>7</v>
      </c>
      <c r="G5024" t="s">
        <v>7</v>
      </c>
      <c r="H5024">
        <v>35544.239999999998</v>
      </c>
      <c r="I5024">
        <v>21155.200000000001</v>
      </c>
      <c r="J5024">
        <v>0</v>
      </c>
    </row>
    <row r="5025" spans="1:10" x14ac:dyDescent="0.35">
      <c r="A5025">
        <v>323553</v>
      </c>
      <c r="B5025" t="s">
        <v>20</v>
      </c>
      <c r="C5025">
        <v>2015</v>
      </c>
      <c r="D5025">
        <v>7</v>
      </c>
      <c r="E5025" t="s">
        <v>7</v>
      </c>
      <c r="F5025" t="s">
        <v>7</v>
      </c>
      <c r="G5025" t="s">
        <v>7</v>
      </c>
      <c r="H5025">
        <v>42117.24</v>
      </c>
      <c r="I5025">
        <v>12266.96</v>
      </c>
      <c r="J5025">
        <v>0</v>
      </c>
    </row>
    <row r="5026" spans="1:10" x14ac:dyDescent="0.35">
      <c r="A5026">
        <v>323554</v>
      </c>
      <c r="B5026" t="s">
        <v>20</v>
      </c>
      <c r="C5026">
        <v>2015</v>
      </c>
      <c r="D5026">
        <v>7</v>
      </c>
      <c r="E5026" t="s">
        <v>7</v>
      </c>
      <c r="F5026" t="s">
        <v>7</v>
      </c>
      <c r="G5026" t="s">
        <v>7</v>
      </c>
      <c r="H5026">
        <v>35618.239999999998</v>
      </c>
      <c r="I5026">
        <v>11043.55</v>
      </c>
      <c r="J5026">
        <v>0</v>
      </c>
    </row>
    <row r="5027" spans="1:10" x14ac:dyDescent="0.35">
      <c r="A5027">
        <v>323557</v>
      </c>
      <c r="B5027" t="s">
        <v>20</v>
      </c>
      <c r="C5027">
        <v>2015</v>
      </c>
      <c r="D5027">
        <v>7</v>
      </c>
      <c r="E5027" t="s">
        <v>7</v>
      </c>
      <c r="F5027" t="s">
        <v>7</v>
      </c>
      <c r="G5027" t="s">
        <v>7</v>
      </c>
      <c r="H5027">
        <v>99621.4</v>
      </c>
      <c r="I5027">
        <v>36213.58</v>
      </c>
      <c r="J5027">
        <v>0</v>
      </c>
    </row>
    <row r="5028" spans="1:10" x14ac:dyDescent="0.35">
      <c r="A5028">
        <v>323558</v>
      </c>
      <c r="B5028" t="s">
        <v>20</v>
      </c>
      <c r="C5028">
        <v>2015</v>
      </c>
      <c r="D5028">
        <v>7</v>
      </c>
      <c r="E5028" t="s">
        <v>7</v>
      </c>
      <c r="F5028" t="s">
        <v>7</v>
      </c>
      <c r="G5028" t="s">
        <v>7</v>
      </c>
      <c r="H5028">
        <v>28503.599999999999</v>
      </c>
      <c r="I5028">
        <v>8745.0499999999993</v>
      </c>
      <c r="J5028">
        <v>0</v>
      </c>
    </row>
    <row r="5029" spans="1:10" x14ac:dyDescent="0.35">
      <c r="A5029">
        <v>323559</v>
      </c>
      <c r="B5029" t="s">
        <v>20</v>
      </c>
      <c r="C5029">
        <v>2015</v>
      </c>
      <c r="D5029">
        <v>7</v>
      </c>
      <c r="E5029" t="s">
        <v>7</v>
      </c>
      <c r="F5029" t="s">
        <v>7</v>
      </c>
      <c r="G5029" t="s">
        <v>7</v>
      </c>
      <c r="H5029">
        <v>43259.7</v>
      </c>
      <c r="I5029">
        <v>12599.74</v>
      </c>
      <c r="J5029">
        <v>0</v>
      </c>
    </row>
    <row r="5030" spans="1:10" x14ac:dyDescent="0.35">
      <c r="A5030">
        <v>323560</v>
      </c>
      <c r="B5030" t="s">
        <v>20</v>
      </c>
      <c r="C5030">
        <v>2015</v>
      </c>
      <c r="D5030">
        <v>7</v>
      </c>
      <c r="E5030" t="s">
        <v>7</v>
      </c>
      <c r="F5030" t="s">
        <v>7</v>
      </c>
      <c r="G5030" t="s">
        <v>7</v>
      </c>
      <c r="H5030">
        <v>8801.44</v>
      </c>
      <c r="I5030">
        <v>2349.79</v>
      </c>
      <c r="J5030">
        <v>0</v>
      </c>
    </row>
    <row r="5031" spans="1:10" x14ac:dyDescent="0.35">
      <c r="A5031">
        <v>323561</v>
      </c>
      <c r="B5031" t="s">
        <v>20</v>
      </c>
      <c r="C5031">
        <v>2015</v>
      </c>
      <c r="D5031">
        <v>7</v>
      </c>
      <c r="E5031" t="s">
        <v>7</v>
      </c>
      <c r="F5031" t="s">
        <v>7</v>
      </c>
      <c r="G5031" t="s">
        <v>7</v>
      </c>
      <c r="H5031">
        <v>16404</v>
      </c>
      <c r="I5031">
        <v>4376.68</v>
      </c>
      <c r="J5031">
        <v>0</v>
      </c>
    </row>
    <row r="5032" spans="1:10" x14ac:dyDescent="0.35">
      <c r="A5032">
        <v>323563</v>
      </c>
      <c r="B5032" t="s">
        <v>20</v>
      </c>
      <c r="C5032">
        <v>2015</v>
      </c>
      <c r="D5032">
        <v>7</v>
      </c>
      <c r="E5032" t="s">
        <v>7</v>
      </c>
      <c r="F5032" t="s">
        <v>7</v>
      </c>
      <c r="G5032" t="s">
        <v>7</v>
      </c>
      <c r="H5032">
        <v>19373.560000000001</v>
      </c>
      <c r="I5032">
        <v>5971.2</v>
      </c>
      <c r="J5032">
        <v>0</v>
      </c>
    </row>
    <row r="5033" spans="1:10" x14ac:dyDescent="0.35">
      <c r="A5033">
        <v>323565</v>
      </c>
      <c r="B5033" t="s">
        <v>20</v>
      </c>
      <c r="C5033">
        <v>2015</v>
      </c>
      <c r="D5033">
        <v>7</v>
      </c>
      <c r="E5033" t="s">
        <v>7</v>
      </c>
      <c r="F5033" t="s">
        <v>7</v>
      </c>
      <c r="G5033" t="s">
        <v>7</v>
      </c>
      <c r="H5033">
        <v>18204.02</v>
      </c>
      <c r="I5033">
        <v>4841.3900000000003</v>
      </c>
      <c r="J5033">
        <v>0</v>
      </c>
    </row>
    <row r="5034" spans="1:10" x14ac:dyDescent="0.35">
      <c r="A5034">
        <v>323566</v>
      </c>
      <c r="B5034" t="s">
        <v>20</v>
      </c>
      <c r="C5034">
        <v>2015</v>
      </c>
      <c r="D5034">
        <v>7</v>
      </c>
      <c r="E5034" t="s">
        <v>7</v>
      </c>
      <c r="F5034" t="s">
        <v>7</v>
      </c>
      <c r="G5034" t="s">
        <v>7</v>
      </c>
      <c r="H5034">
        <v>34410.699999999997</v>
      </c>
      <c r="I5034">
        <v>10694.51</v>
      </c>
      <c r="J5034">
        <v>0</v>
      </c>
    </row>
    <row r="5035" spans="1:10" x14ac:dyDescent="0.35">
      <c r="A5035">
        <v>323567</v>
      </c>
      <c r="B5035" t="s">
        <v>20</v>
      </c>
      <c r="C5035">
        <v>2015</v>
      </c>
      <c r="D5035">
        <v>7</v>
      </c>
      <c r="E5035" t="s">
        <v>7</v>
      </c>
      <c r="F5035" t="s">
        <v>7</v>
      </c>
      <c r="G5035" t="s">
        <v>7</v>
      </c>
      <c r="H5035">
        <v>37455.79</v>
      </c>
      <c r="I5035">
        <v>9724.84</v>
      </c>
      <c r="J5035">
        <v>0</v>
      </c>
    </row>
    <row r="5036" spans="1:10" x14ac:dyDescent="0.35">
      <c r="A5036">
        <v>323568</v>
      </c>
      <c r="B5036" t="s">
        <v>20</v>
      </c>
      <c r="C5036">
        <v>2015</v>
      </c>
      <c r="D5036">
        <v>7</v>
      </c>
      <c r="E5036" t="s">
        <v>7</v>
      </c>
      <c r="F5036" t="s">
        <v>7</v>
      </c>
      <c r="G5036" t="s">
        <v>7</v>
      </c>
      <c r="H5036">
        <v>29577.16</v>
      </c>
      <c r="I5036">
        <v>8435.49</v>
      </c>
      <c r="J5036">
        <v>0</v>
      </c>
    </row>
    <row r="5037" spans="1:10" x14ac:dyDescent="0.35">
      <c r="A5037">
        <v>323569</v>
      </c>
      <c r="B5037" t="s">
        <v>20</v>
      </c>
      <c r="C5037">
        <v>2015</v>
      </c>
      <c r="D5037">
        <v>7</v>
      </c>
      <c r="E5037" t="s">
        <v>7</v>
      </c>
      <c r="F5037" t="s">
        <v>7</v>
      </c>
      <c r="G5037" t="s">
        <v>7</v>
      </c>
      <c r="H5037">
        <v>41183.379999999997</v>
      </c>
      <c r="I5037">
        <v>11877.37</v>
      </c>
      <c r="J5037">
        <v>0</v>
      </c>
    </row>
    <row r="5038" spans="1:10" x14ac:dyDescent="0.35">
      <c r="A5038">
        <v>323571</v>
      </c>
      <c r="B5038" t="s">
        <v>20</v>
      </c>
      <c r="C5038">
        <v>2015</v>
      </c>
      <c r="D5038">
        <v>7</v>
      </c>
      <c r="E5038" t="s">
        <v>7</v>
      </c>
      <c r="F5038" t="s">
        <v>7</v>
      </c>
      <c r="G5038" t="s">
        <v>7</v>
      </c>
      <c r="H5038">
        <v>24629.82</v>
      </c>
      <c r="I5038">
        <v>5830.64</v>
      </c>
      <c r="J5038">
        <v>0</v>
      </c>
    </row>
    <row r="5039" spans="1:10" x14ac:dyDescent="0.35">
      <c r="A5039">
        <v>323572</v>
      </c>
      <c r="B5039" t="s">
        <v>20</v>
      </c>
      <c r="C5039">
        <v>2015</v>
      </c>
      <c r="D5039">
        <v>7</v>
      </c>
      <c r="E5039" t="s">
        <v>7</v>
      </c>
      <c r="F5039" t="s">
        <v>7</v>
      </c>
      <c r="G5039" t="s">
        <v>7</v>
      </c>
      <c r="H5039">
        <v>9936.42</v>
      </c>
      <c r="I5039">
        <v>2284.6799999999998</v>
      </c>
      <c r="J5039">
        <v>0</v>
      </c>
    </row>
    <row r="5040" spans="1:10" x14ac:dyDescent="0.35">
      <c r="A5040">
        <v>323573</v>
      </c>
      <c r="B5040" t="s">
        <v>20</v>
      </c>
      <c r="C5040">
        <v>2015</v>
      </c>
      <c r="D5040">
        <v>7</v>
      </c>
      <c r="E5040" t="s">
        <v>7</v>
      </c>
      <c r="F5040" t="s">
        <v>7</v>
      </c>
      <c r="G5040" t="s">
        <v>7</v>
      </c>
      <c r="H5040">
        <v>25621.52</v>
      </c>
      <c r="I5040">
        <v>7507.66</v>
      </c>
      <c r="J5040">
        <v>0</v>
      </c>
    </row>
    <row r="5041" spans="1:10" x14ac:dyDescent="0.35">
      <c r="A5041">
        <v>323575</v>
      </c>
      <c r="B5041" t="s">
        <v>20</v>
      </c>
      <c r="C5041">
        <v>2015</v>
      </c>
      <c r="D5041">
        <v>7</v>
      </c>
      <c r="E5041" t="s">
        <v>7</v>
      </c>
      <c r="F5041" t="s">
        <v>7</v>
      </c>
      <c r="G5041" t="s">
        <v>7</v>
      </c>
      <c r="H5041">
        <v>41534.58</v>
      </c>
      <c r="I5041">
        <v>12757.91</v>
      </c>
      <c r="J5041">
        <v>0</v>
      </c>
    </row>
    <row r="5042" spans="1:10" x14ac:dyDescent="0.35">
      <c r="A5042">
        <v>323576</v>
      </c>
      <c r="B5042" t="s">
        <v>20</v>
      </c>
      <c r="C5042">
        <v>2015</v>
      </c>
      <c r="D5042">
        <v>7</v>
      </c>
      <c r="E5042" t="s">
        <v>7</v>
      </c>
      <c r="F5042" t="s">
        <v>7</v>
      </c>
      <c r="G5042" t="s">
        <v>7</v>
      </c>
      <c r="H5042">
        <v>10171.74</v>
      </c>
      <c r="I5042">
        <v>2689.45</v>
      </c>
      <c r="J5042">
        <v>0</v>
      </c>
    </row>
    <row r="5043" spans="1:10" x14ac:dyDescent="0.35">
      <c r="A5043">
        <v>323578</v>
      </c>
      <c r="B5043" t="s">
        <v>20</v>
      </c>
      <c r="C5043">
        <v>2015</v>
      </c>
      <c r="D5043">
        <v>7</v>
      </c>
      <c r="E5043" t="s">
        <v>7</v>
      </c>
      <c r="F5043" t="s">
        <v>7</v>
      </c>
      <c r="G5043" t="s">
        <v>7</v>
      </c>
      <c r="H5043">
        <v>81019.679999999993</v>
      </c>
      <c r="I5043">
        <v>57038.39</v>
      </c>
      <c r="J5043">
        <v>0</v>
      </c>
    </row>
    <row r="5044" spans="1:10" x14ac:dyDescent="0.35">
      <c r="A5044">
        <v>323582</v>
      </c>
      <c r="B5044" t="s">
        <v>20</v>
      </c>
      <c r="C5044">
        <v>2015</v>
      </c>
      <c r="D5044">
        <v>7</v>
      </c>
      <c r="E5044" t="s">
        <v>7</v>
      </c>
      <c r="F5044" t="s">
        <v>7</v>
      </c>
      <c r="G5044" t="s">
        <v>7</v>
      </c>
      <c r="H5044">
        <v>91598.3</v>
      </c>
      <c r="I5044">
        <v>31486.32</v>
      </c>
      <c r="J5044">
        <v>0</v>
      </c>
    </row>
    <row r="5045" spans="1:10" x14ac:dyDescent="0.35">
      <c r="A5045">
        <v>323583</v>
      </c>
      <c r="B5045" t="s">
        <v>20</v>
      </c>
      <c r="C5045">
        <v>2015</v>
      </c>
      <c r="D5045">
        <v>7</v>
      </c>
      <c r="E5045" t="s">
        <v>7</v>
      </c>
      <c r="F5045" t="s">
        <v>7</v>
      </c>
      <c r="G5045" t="s">
        <v>7</v>
      </c>
      <c r="H5045">
        <v>29041.759999999998</v>
      </c>
      <c r="I5045">
        <v>7445.62</v>
      </c>
      <c r="J5045">
        <v>0</v>
      </c>
    </row>
    <row r="5046" spans="1:10" x14ac:dyDescent="0.35">
      <c r="A5046">
        <v>323585</v>
      </c>
      <c r="B5046" t="s">
        <v>20</v>
      </c>
      <c r="C5046">
        <v>2015</v>
      </c>
      <c r="D5046">
        <v>7</v>
      </c>
      <c r="E5046" t="s">
        <v>7</v>
      </c>
      <c r="F5046" t="s">
        <v>7</v>
      </c>
      <c r="G5046" t="s">
        <v>7</v>
      </c>
      <c r="H5046">
        <v>53143.73</v>
      </c>
      <c r="I5046">
        <v>16271.34</v>
      </c>
      <c r="J5046">
        <v>0</v>
      </c>
    </row>
    <row r="5047" spans="1:10" x14ac:dyDescent="0.35">
      <c r="A5047">
        <v>323586</v>
      </c>
      <c r="B5047" t="s">
        <v>20</v>
      </c>
      <c r="C5047">
        <v>2015</v>
      </c>
      <c r="D5047">
        <v>7</v>
      </c>
      <c r="E5047" t="s">
        <v>7</v>
      </c>
      <c r="F5047" t="s">
        <v>7</v>
      </c>
      <c r="G5047" t="s">
        <v>7</v>
      </c>
      <c r="H5047">
        <v>18270.419999999998</v>
      </c>
      <c r="I5047">
        <v>5641.19</v>
      </c>
      <c r="J5047">
        <v>0</v>
      </c>
    </row>
    <row r="5048" spans="1:10" x14ac:dyDescent="0.35">
      <c r="A5048">
        <v>323588</v>
      </c>
      <c r="B5048" t="s">
        <v>20</v>
      </c>
      <c r="C5048">
        <v>2015</v>
      </c>
      <c r="D5048">
        <v>7</v>
      </c>
      <c r="E5048" t="s">
        <v>7</v>
      </c>
      <c r="F5048" t="s">
        <v>7</v>
      </c>
      <c r="G5048" t="s">
        <v>7</v>
      </c>
      <c r="H5048">
        <v>22985.98</v>
      </c>
      <c r="I5048">
        <v>4919.3</v>
      </c>
      <c r="J5048">
        <v>0</v>
      </c>
    </row>
    <row r="5049" spans="1:10" x14ac:dyDescent="0.35">
      <c r="A5049">
        <v>323590</v>
      </c>
      <c r="B5049" t="s">
        <v>20</v>
      </c>
      <c r="C5049">
        <v>2015</v>
      </c>
      <c r="D5049">
        <v>7</v>
      </c>
      <c r="E5049" t="s">
        <v>7</v>
      </c>
      <c r="F5049" t="s">
        <v>7</v>
      </c>
      <c r="G5049" t="s">
        <v>7</v>
      </c>
      <c r="H5049">
        <v>39469.1</v>
      </c>
      <c r="I5049">
        <v>11982.04</v>
      </c>
      <c r="J5049">
        <v>0</v>
      </c>
    </row>
    <row r="5050" spans="1:10" x14ac:dyDescent="0.35">
      <c r="A5050">
        <v>323591</v>
      </c>
      <c r="B5050" t="s">
        <v>20</v>
      </c>
      <c r="C5050">
        <v>2015</v>
      </c>
      <c r="D5050">
        <v>7</v>
      </c>
      <c r="E5050" t="s">
        <v>7</v>
      </c>
      <c r="F5050" t="s">
        <v>7</v>
      </c>
      <c r="G5050" t="s">
        <v>7</v>
      </c>
      <c r="H5050">
        <v>28937.56</v>
      </c>
      <c r="I5050">
        <v>14309.84</v>
      </c>
      <c r="J5050">
        <v>0</v>
      </c>
    </row>
    <row r="5051" spans="1:10" x14ac:dyDescent="0.35">
      <c r="A5051">
        <v>323593</v>
      </c>
      <c r="B5051" t="s">
        <v>20</v>
      </c>
      <c r="C5051">
        <v>2015</v>
      </c>
      <c r="D5051">
        <v>7</v>
      </c>
      <c r="E5051" t="s">
        <v>7</v>
      </c>
      <c r="F5051" t="s">
        <v>7</v>
      </c>
      <c r="G5051" t="s">
        <v>7</v>
      </c>
      <c r="H5051">
        <v>31524.04</v>
      </c>
      <c r="I5051">
        <v>10056.82</v>
      </c>
      <c r="J5051">
        <v>0</v>
      </c>
    </row>
    <row r="5052" spans="1:10" x14ac:dyDescent="0.35">
      <c r="A5052">
        <v>323594</v>
      </c>
      <c r="B5052" t="s">
        <v>20</v>
      </c>
      <c r="C5052">
        <v>2015</v>
      </c>
      <c r="D5052">
        <v>7</v>
      </c>
      <c r="E5052" t="s">
        <v>7</v>
      </c>
      <c r="F5052" t="s">
        <v>7</v>
      </c>
      <c r="G5052" t="s">
        <v>7</v>
      </c>
      <c r="H5052">
        <v>58661.120000000003</v>
      </c>
      <c r="I5052">
        <v>23782.62</v>
      </c>
      <c r="J5052">
        <v>0</v>
      </c>
    </row>
    <row r="5053" spans="1:10" x14ac:dyDescent="0.35">
      <c r="A5053">
        <v>323595</v>
      </c>
      <c r="B5053" t="s">
        <v>20</v>
      </c>
      <c r="C5053">
        <v>2015</v>
      </c>
      <c r="D5053">
        <v>7</v>
      </c>
      <c r="E5053" t="s">
        <v>7</v>
      </c>
      <c r="F5053" t="s">
        <v>7</v>
      </c>
      <c r="G5053" t="s">
        <v>7</v>
      </c>
      <c r="H5053">
        <v>54280.32</v>
      </c>
      <c r="I5053">
        <v>16824.82</v>
      </c>
      <c r="J5053">
        <v>0</v>
      </c>
    </row>
    <row r="5054" spans="1:10" x14ac:dyDescent="0.35">
      <c r="A5054">
        <v>323597</v>
      </c>
      <c r="B5054" t="s">
        <v>20</v>
      </c>
      <c r="C5054">
        <v>2015</v>
      </c>
      <c r="D5054">
        <v>7</v>
      </c>
      <c r="E5054" t="s">
        <v>7</v>
      </c>
      <c r="F5054" t="s">
        <v>7</v>
      </c>
      <c r="G5054" t="s">
        <v>7</v>
      </c>
      <c r="H5054">
        <v>32510.959999999999</v>
      </c>
      <c r="I5054">
        <v>9853.89</v>
      </c>
      <c r="J5054">
        <v>0</v>
      </c>
    </row>
    <row r="5055" spans="1:10" x14ac:dyDescent="0.35">
      <c r="A5055">
        <v>323600</v>
      </c>
      <c r="B5055" t="s">
        <v>20</v>
      </c>
      <c r="C5055">
        <v>2015</v>
      </c>
      <c r="D5055">
        <v>7</v>
      </c>
      <c r="E5055" t="s">
        <v>7</v>
      </c>
      <c r="F5055" t="s">
        <v>7</v>
      </c>
      <c r="G5055" t="s">
        <v>7</v>
      </c>
      <c r="H5055">
        <v>19494.32</v>
      </c>
      <c r="I5055">
        <v>5028.53</v>
      </c>
      <c r="J5055">
        <v>0</v>
      </c>
    </row>
    <row r="5056" spans="1:10" x14ac:dyDescent="0.35">
      <c r="A5056">
        <v>323601</v>
      </c>
      <c r="B5056" t="s">
        <v>20</v>
      </c>
      <c r="C5056">
        <v>2015</v>
      </c>
      <c r="D5056">
        <v>7</v>
      </c>
      <c r="E5056" t="s">
        <v>7</v>
      </c>
      <c r="F5056" t="s">
        <v>7</v>
      </c>
      <c r="G5056" t="s">
        <v>7</v>
      </c>
      <c r="H5056">
        <v>37357.379999999997</v>
      </c>
      <c r="I5056">
        <v>11646.32</v>
      </c>
      <c r="J5056">
        <v>0</v>
      </c>
    </row>
    <row r="5057" spans="1:10" x14ac:dyDescent="0.35">
      <c r="A5057">
        <v>323605</v>
      </c>
      <c r="B5057" t="s">
        <v>20</v>
      </c>
      <c r="C5057">
        <v>2015</v>
      </c>
      <c r="D5057">
        <v>7</v>
      </c>
      <c r="E5057" t="s">
        <v>7</v>
      </c>
      <c r="F5057" t="s">
        <v>7</v>
      </c>
      <c r="G5057" t="s">
        <v>7</v>
      </c>
      <c r="H5057">
        <v>71405.8</v>
      </c>
      <c r="I5057">
        <v>57846.720000000001</v>
      </c>
      <c r="J5057">
        <v>0</v>
      </c>
    </row>
    <row r="5058" spans="1:10" x14ac:dyDescent="0.35">
      <c r="A5058">
        <v>323606</v>
      </c>
      <c r="B5058" t="s">
        <v>20</v>
      </c>
      <c r="C5058">
        <v>2015</v>
      </c>
      <c r="D5058">
        <v>7</v>
      </c>
      <c r="E5058" t="s">
        <v>7</v>
      </c>
      <c r="F5058" t="s">
        <v>7</v>
      </c>
      <c r="G5058" t="s">
        <v>7</v>
      </c>
      <c r="H5058">
        <v>14337.1</v>
      </c>
      <c r="I5058">
        <v>4285.53</v>
      </c>
      <c r="J5058">
        <v>0</v>
      </c>
    </row>
    <row r="5059" spans="1:10" x14ac:dyDescent="0.35">
      <c r="A5059">
        <v>323608</v>
      </c>
      <c r="B5059" t="s">
        <v>20</v>
      </c>
      <c r="C5059">
        <v>2015</v>
      </c>
      <c r="D5059">
        <v>7</v>
      </c>
      <c r="E5059" t="s">
        <v>7</v>
      </c>
      <c r="F5059" t="s">
        <v>7</v>
      </c>
      <c r="G5059" t="s">
        <v>7</v>
      </c>
      <c r="H5059">
        <v>15528.34</v>
      </c>
      <c r="I5059">
        <v>2924.47</v>
      </c>
      <c r="J5059">
        <v>0</v>
      </c>
    </row>
    <row r="5060" spans="1:10" x14ac:dyDescent="0.35">
      <c r="A5060">
        <v>323611</v>
      </c>
      <c r="B5060" t="s">
        <v>20</v>
      </c>
      <c r="C5060">
        <v>2015</v>
      </c>
      <c r="D5060">
        <v>7</v>
      </c>
      <c r="E5060" t="s">
        <v>7</v>
      </c>
      <c r="F5060" t="s">
        <v>7</v>
      </c>
      <c r="G5060" t="s">
        <v>7</v>
      </c>
      <c r="H5060">
        <v>88903.06</v>
      </c>
      <c r="I5060">
        <v>63639.42</v>
      </c>
      <c r="J5060">
        <v>0</v>
      </c>
    </row>
    <row r="5061" spans="1:10" x14ac:dyDescent="0.35">
      <c r="A5061">
        <v>323614</v>
      </c>
      <c r="B5061" t="s">
        <v>20</v>
      </c>
      <c r="C5061">
        <v>2015</v>
      </c>
      <c r="D5061">
        <v>7</v>
      </c>
      <c r="E5061" t="s">
        <v>7</v>
      </c>
      <c r="F5061" t="s">
        <v>7</v>
      </c>
      <c r="G5061" t="s">
        <v>7</v>
      </c>
      <c r="H5061">
        <v>69285.100000000006</v>
      </c>
      <c r="I5061">
        <v>49681.09</v>
      </c>
      <c r="J5061">
        <v>0</v>
      </c>
    </row>
    <row r="5062" spans="1:10" x14ac:dyDescent="0.35">
      <c r="A5062">
        <v>323617</v>
      </c>
      <c r="B5062" t="s">
        <v>20</v>
      </c>
      <c r="C5062">
        <v>2015</v>
      </c>
      <c r="D5062">
        <v>7</v>
      </c>
      <c r="E5062" t="s">
        <v>7</v>
      </c>
      <c r="F5062" t="s">
        <v>7</v>
      </c>
      <c r="G5062" t="s">
        <v>7</v>
      </c>
      <c r="H5062">
        <v>21374.38</v>
      </c>
      <c r="I5062">
        <v>4942.96</v>
      </c>
      <c r="J5062">
        <v>0</v>
      </c>
    </row>
    <row r="5063" spans="1:10" x14ac:dyDescent="0.35">
      <c r="A5063">
        <v>323621</v>
      </c>
      <c r="B5063" t="s">
        <v>20</v>
      </c>
      <c r="C5063">
        <v>2015</v>
      </c>
      <c r="D5063">
        <v>7</v>
      </c>
      <c r="E5063" t="s">
        <v>7</v>
      </c>
      <c r="F5063" t="s">
        <v>7</v>
      </c>
      <c r="G5063" t="s">
        <v>7</v>
      </c>
      <c r="H5063">
        <v>21251.200000000001</v>
      </c>
      <c r="I5063">
        <v>5798.26</v>
      </c>
      <c r="J5063">
        <v>0</v>
      </c>
    </row>
    <row r="5064" spans="1:10" x14ac:dyDescent="0.35">
      <c r="A5064">
        <v>323622</v>
      </c>
      <c r="B5064" t="s">
        <v>20</v>
      </c>
      <c r="C5064">
        <v>2015</v>
      </c>
      <c r="D5064">
        <v>7</v>
      </c>
      <c r="E5064" t="s">
        <v>7</v>
      </c>
      <c r="F5064" t="s">
        <v>7</v>
      </c>
      <c r="G5064" t="s">
        <v>7</v>
      </c>
      <c r="H5064">
        <v>14470.28</v>
      </c>
      <c r="I5064">
        <v>3306.87</v>
      </c>
      <c r="J5064">
        <v>0</v>
      </c>
    </row>
    <row r="5065" spans="1:10" x14ac:dyDescent="0.35">
      <c r="A5065">
        <v>323624</v>
      </c>
      <c r="B5065" t="s">
        <v>20</v>
      </c>
      <c r="C5065">
        <v>2015</v>
      </c>
      <c r="D5065">
        <v>7</v>
      </c>
      <c r="E5065" t="s">
        <v>7</v>
      </c>
      <c r="F5065" t="s">
        <v>7</v>
      </c>
      <c r="G5065" t="s">
        <v>7</v>
      </c>
      <c r="H5065">
        <v>87563.48</v>
      </c>
      <c r="I5065">
        <v>61969.24</v>
      </c>
      <c r="J5065">
        <v>0</v>
      </c>
    </row>
    <row r="5066" spans="1:10" x14ac:dyDescent="0.35">
      <c r="A5066">
        <v>323625</v>
      </c>
      <c r="B5066" t="s">
        <v>20</v>
      </c>
      <c r="C5066">
        <v>2015</v>
      </c>
      <c r="D5066">
        <v>7</v>
      </c>
      <c r="E5066" t="s">
        <v>7</v>
      </c>
      <c r="F5066" t="s">
        <v>7</v>
      </c>
      <c r="G5066" t="s">
        <v>7</v>
      </c>
      <c r="H5066">
        <v>50705.7</v>
      </c>
      <c r="I5066">
        <v>14938.04</v>
      </c>
      <c r="J5066">
        <v>0</v>
      </c>
    </row>
    <row r="5067" spans="1:10" x14ac:dyDescent="0.35">
      <c r="A5067">
        <v>323626</v>
      </c>
      <c r="B5067" t="s">
        <v>20</v>
      </c>
      <c r="C5067">
        <v>2015</v>
      </c>
      <c r="D5067">
        <v>7</v>
      </c>
      <c r="E5067" t="s">
        <v>7</v>
      </c>
      <c r="F5067" t="s">
        <v>7</v>
      </c>
      <c r="G5067" t="s">
        <v>7</v>
      </c>
      <c r="H5067">
        <v>66750.06</v>
      </c>
      <c r="I5067">
        <v>34057.67</v>
      </c>
      <c r="J5067">
        <v>0</v>
      </c>
    </row>
    <row r="5068" spans="1:10" x14ac:dyDescent="0.35">
      <c r="A5068">
        <v>323634</v>
      </c>
      <c r="B5068" t="s">
        <v>20</v>
      </c>
      <c r="C5068">
        <v>2015</v>
      </c>
      <c r="D5068">
        <v>7</v>
      </c>
      <c r="E5068" t="s">
        <v>7</v>
      </c>
      <c r="F5068" t="s">
        <v>7</v>
      </c>
      <c r="G5068" t="s">
        <v>7</v>
      </c>
      <c r="H5068">
        <v>65346.86</v>
      </c>
      <c r="I5068">
        <v>47116.84</v>
      </c>
      <c r="J5068">
        <v>0</v>
      </c>
    </row>
    <row r="5069" spans="1:10" x14ac:dyDescent="0.35">
      <c r="A5069">
        <v>323636</v>
      </c>
      <c r="B5069" t="s">
        <v>20</v>
      </c>
      <c r="C5069">
        <v>2015</v>
      </c>
      <c r="D5069">
        <v>7</v>
      </c>
      <c r="E5069" t="s">
        <v>7</v>
      </c>
      <c r="F5069" t="s">
        <v>7</v>
      </c>
      <c r="G5069" t="s">
        <v>7</v>
      </c>
      <c r="H5069">
        <v>30234.32</v>
      </c>
      <c r="I5069">
        <v>7590.89</v>
      </c>
      <c r="J5069">
        <v>0</v>
      </c>
    </row>
    <row r="5070" spans="1:10" x14ac:dyDescent="0.35">
      <c r="A5070">
        <v>323639</v>
      </c>
      <c r="B5070" t="s">
        <v>20</v>
      </c>
      <c r="C5070">
        <v>2015</v>
      </c>
      <c r="D5070">
        <v>7</v>
      </c>
      <c r="E5070" t="s">
        <v>7</v>
      </c>
      <c r="F5070" t="s">
        <v>7</v>
      </c>
      <c r="G5070" t="s">
        <v>7</v>
      </c>
      <c r="H5070">
        <v>39748.239999999998</v>
      </c>
      <c r="I5070">
        <v>11587.47</v>
      </c>
      <c r="J5070">
        <v>0</v>
      </c>
    </row>
    <row r="5071" spans="1:10" x14ac:dyDescent="0.35">
      <c r="A5071">
        <v>323640</v>
      </c>
      <c r="B5071" t="s">
        <v>20</v>
      </c>
      <c r="C5071">
        <v>2015</v>
      </c>
      <c r="D5071">
        <v>7</v>
      </c>
      <c r="E5071" t="s">
        <v>7</v>
      </c>
      <c r="F5071" t="s">
        <v>7</v>
      </c>
      <c r="G5071" t="s">
        <v>7</v>
      </c>
      <c r="H5071">
        <v>31046.94</v>
      </c>
      <c r="I5071">
        <v>9534.67</v>
      </c>
      <c r="J5071">
        <v>0</v>
      </c>
    </row>
    <row r="5072" spans="1:10" x14ac:dyDescent="0.35">
      <c r="A5072">
        <v>323642</v>
      </c>
      <c r="B5072" t="s">
        <v>20</v>
      </c>
      <c r="C5072">
        <v>2015</v>
      </c>
      <c r="D5072">
        <v>7</v>
      </c>
      <c r="E5072" t="s">
        <v>7</v>
      </c>
      <c r="F5072" t="s">
        <v>7</v>
      </c>
      <c r="G5072" t="s">
        <v>7</v>
      </c>
      <c r="H5072">
        <v>22729.86</v>
      </c>
      <c r="I5072">
        <v>4429.74</v>
      </c>
      <c r="J5072">
        <v>0</v>
      </c>
    </row>
    <row r="5073" spans="1:10" x14ac:dyDescent="0.35">
      <c r="A5073">
        <v>323643</v>
      </c>
      <c r="B5073" t="s">
        <v>20</v>
      </c>
      <c r="C5073">
        <v>2015</v>
      </c>
      <c r="D5073">
        <v>7</v>
      </c>
      <c r="E5073" t="s">
        <v>7</v>
      </c>
      <c r="F5073" t="s">
        <v>7</v>
      </c>
      <c r="G5073" t="s">
        <v>7</v>
      </c>
      <c r="H5073">
        <v>24814.2</v>
      </c>
      <c r="I5073">
        <v>6758.14</v>
      </c>
      <c r="J5073">
        <v>0</v>
      </c>
    </row>
    <row r="5074" spans="1:10" x14ac:dyDescent="0.35">
      <c r="A5074">
        <v>323644</v>
      </c>
      <c r="B5074" t="s">
        <v>20</v>
      </c>
      <c r="C5074">
        <v>2015</v>
      </c>
      <c r="D5074">
        <v>7</v>
      </c>
      <c r="E5074" t="s">
        <v>7</v>
      </c>
      <c r="F5074" t="s">
        <v>7</v>
      </c>
      <c r="G5074" t="s">
        <v>7</v>
      </c>
      <c r="H5074">
        <v>77851.44</v>
      </c>
      <c r="I5074">
        <v>57288.91</v>
      </c>
      <c r="J5074">
        <v>0</v>
      </c>
    </row>
    <row r="5075" spans="1:10" x14ac:dyDescent="0.35">
      <c r="A5075">
        <v>323645</v>
      </c>
      <c r="B5075" t="s">
        <v>20</v>
      </c>
      <c r="C5075">
        <v>2015</v>
      </c>
      <c r="D5075">
        <v>7</v>
      </c>
      <c r="E5075" t="s">
        <v>7</v>
      </c>
      <c r="F5075" t="s">
        <v>7</v>
      </c>
      <c r="G5075" t="s">
        <v>7</v>
      </c>
      <c r="H5075">
        <v>26617.599999999999</v>
      </c>
      <c r="I5075">
        <v>8082.51</v>
      </c>
      <c r="J5075">
        <v>0</v>
      </c>
    </row>
    <row r="5076" spans="1:10" x14ac:dyDescent="0.35">
      <c r="A5076">
        <v>323646</v>
      </c>
      <c r="B5076" t="s">
        <v>20</v>
      </c>
      <c r="C5076">
        <v>2015</v>
      </c>
      <c r="D5076">
        <v>7</v>
      </c>
      <c r="E5076" t="s">
        <v>7</v>
      </c>
      <c r="F5076" t="s">
        <v>7</v>
      </c>
      <c r="G5076" t="s">
        <v>7</v>
      </c>
      <c r="H5076">
        <v>132176.48000000001</v>
      </c>
      <c r="I5076">
        <v>52488.23</v>
      </c>
      <c r="J5076">
        <v>0</v>
      </c>
    </row>
    <row r="5077" spans="1:10" x14ac:dyDescent="0.35">
      <c r="A5077">
        <v>323647</v>
      </c>
      <c r="B5077" t="s">
        <v>20</v>
      </c>
      <c r="C5077">
        <v>2015</v>
      </c>
      <c r="D5077">
        <v>7</v>
      </c>
      <c r="E5077" t="s">
        <v>7</v>
      </c>
      <c r="F5077" t="s">
        <v>7</v>
      </c>
      <c r="G5077" t="s">
        <v>7</v>
      </c>
      <c r="H5077">
        <v>15002.56</v>
      </c>
      <c r="I5077">
        <v>3470.8</v>
      </c>
      <c r="J5077">
        <v>0</v>
      </c>
    </row>
    <row r="5078" spans="1:10" x14ac:dyDescent="0.35">
      <c r="A5078">
        <v>323648</v>
      </c>
      <c r="B5078" t="s">
        <v>20</v>
      </c>
      <c r="C5078">
        <v>2015</v>
      </c>
      <c r="D5078">
        <v>7</v>
      </c>
      <c r="E5078" t="s">
        <v>7</v>
      </c>
      <c r="F5078" t="s">
        <v>7</v>
      </c>
      <c r="G5078" t="s">
        <v>7</v>
      </c>
      <c r="H5078">
        <v>161683.84</v>
      </c>
      <c r="I5078">
        <v>71292.59</v>
      </c>
      <c r="J5078">
        <v>0</v>
      </c>
    </row>
    <row r="5079" spans="1:10" x14ac:dyDescent="0.35">
      <c r="A5079">
        <v>323649</v>
      </c>
      <c r="B5079" t="s">
        <v>20</v>
      </c>
      <c r="C5079">
        <v>2015</v>
      </c>
      <c r="D5079">
        <v>7</v>
      </c>
      <c r="E5079" t="s">
        <v>7</v>
      </c>
      <c r="F5079" t="s">
        <v>7</v>
      </c>
      <c r="G5079" t="s">
        <v>7</v>
      </c>
      <c r="H5079">
        <v>29146.62</v>
      </c>
      <c r="I5079">
        <v>8508.7199999999993</v>
      </c>
      <c r="J5079">
        <v>0</v>
      </c>
    </row>
    <row r="5080" spans="1:10" x14ac:dyDescent="0.35">
      <c r="A5080">
        <v>323650</v>
      </c>
      <c r="B5080" t="s">
        <v>20</v>
      </c>
      <c r="C5080">
        <v>2015</v>
      </c>
      <c r="D5080">
        <v>7</v>
      </c>
      <c r="E5080" t="s">
        <v>7</v>
      </c>
      <c r="F5080" t="s">
        <v>7</v>
      </c>
      <c r="G5080" t="s">
        <v>7</v>
      </c>
      <c r="H5080">
        <v>30386.880000000001</v>
      </c>
      <c r="I5080">
        <v>8144.17</v>
      </c>
      <c r="J5080">
        <v>0</v>
      </c>
    </row>
    <row r="5081" spans="1:10" x14ac:dyDescent="0.35">
      <c r="A5081">
        <v>323651</v>
      </c>
      <c r="B5081" t="s">
        <v>20</v>
      </c>
      <c r="C5081">
        <v>2015</v>
      </c>
      <c r="D5081">
        <v>7</v>
      </c>
      <c r="E5081" t="s">
        <v>7</v>
      </c>
      <c r="F5081" t="s">
        <v>7</v>
      </c>
      <c r="G5081" t="s">
        <v>7</v>
      </c>
      <c r="H5081">
        <v>78534.78</v>
      </c>
      <c r="I5081">
        <v>26041.79</v>
      </c>
      <c r="J5081">
        <v>0</v>
      </c>
    </row>
    <row r="5082" spans="1:10" x14ac:dyDescent="0.35">
      <c r="A5082">
        <v>323654</v>
      </c>
      <c r="B5082" t="s">
        <v>20</v>
      </c>
      <c r="C5082">
        <v>2015</v>
      </c>
      <c r="D5082">
        <v>7</v>
      </c>
      <c r="E5082" t="s">
        <v>7</v>
      </c>
      <c r="F5082" t="s">
        <v>7</v>
      </c>
      <c r="G5082" t="s">
        <v>7</v>
      </c>
      <c r="H5082">
        <v>22627.919999999998</v>
      </c>
      <c r="I5082">
        <v>10795.68</v>
      </c>
      <c r="J5082">
        <v>0</v>
      </c>
    </row>
    <row r="5083" spans="1:10" x14ac:dyDescent="0.35">
      <c r="A5083">
        <v>323656</v>
      </c>
      <c r="B5083" t="s">
        <v>20</v>
      </c>
      <c r="C5083">
        <v>2015</v>
      </c>
      <c r="D5083">
        <v>7</v>
      </c>
      <c r="E5083" t="s">
        <v>7</v>
      </c>
      <c r="F5083" t="s">
        <v>7</v>
      </c>
      <c r="G5083" t="s">
        <v>7</v>
      </c>
      <c r="H5083">
        <v>65485.38</v>
      </c>
      <c r="I5083">
        <v>20268.759999999998</v>
      </c>
      <c r="J5083">
        <v>0</v>
      </c>
    </row>
    <row r="5084" spans="1:10" x14ac:dyDescent="0.35">
      <c r="A5084">
        <v>323657</v>
      </c>
      <c r="B5084" t="s">
        <v>20</v>
      </c>
      <c r="C5084">
        <v>2015</v>
      </c>
      <c r="D5084">
        <v>7</v>
      </c>
      <c r="E5084" t="s">
        <v>7</v>
      </c>
      <c r="F5084" t="s">
        <v>7</v>
      </c>
      <c r="G5084" t="s">
        <v>7</v>
      </c>
      <c r="H5084">
        <v>97367.8</v>
      </c>
      <c r="I5084">
        <v>45244.69</v>
      </c>
      <c r="J5084">
        <v>0</v>
      </c>
    </row>
    <row r="5085" spans="1:10" x14ac:dyDescent="0.35">
      <c r="A5085">
        <v>323659</v>
      </c>
      <c r="B5085" t="s">
        <v>20</v>
      </c>
      <c r="C5085">
        <v>2015</v>
      </c>
      <c r="D5085">
        <v>7</v>
      </c>
      <c r="E5085" t="s">
        <v>7</v>
      </c>
      <c r="F5085" t="s">
        <v>7</v>
      </c>
      <c r="G5085" t="s">
        <v>7</v>
      </c>
      <c r="H5085">
        <v>71648.820000000007</v>
      </c>
      <c r="I5085">
        <v>53959.79</v>
      </c>
      <c r="J5085">
        <v>0</v>
      </c>
    </row>
    <row r="5086" spans="1:10" x14ac:dyDescent="0.35">
      <c r="A5086">
        <v>323660</v>
      </c>
      <c r="B5086" t="s">
        <v>20</v>
      </c>
      <c r="C5086">
        <v>2015</v>
      </c>
      <c r="D5086">
        <v>7</v>
      </c>
      <c r="E5086" t="s">
        <v>7</v>
      </c>
      <c r="F5086" t="s">
        <v>7</v>
      </c>
      <c r="G5086" t="s">
        <v>7</v>
      </c>
      <c r="H5086">
        <v>28691.200000000001</v>
      </c>
      <c r="I5086">
        <v>17887.84</v>
      </c>
      <c r="J5086">
        <v>0</v>
      </c>
    </row>
    <row r="5087" spans="1:10" x14ac:dyDescent="0.35">
      <c r="A5087">
        <v>323663</v>
      </c>
      <c r="B5087" t="s">
        <v>20</v>
      </c>
      <c r="C5087">
        <v>2015</v>
      </c>
      <c r="D5087">
        <v>7</v>
      </c>
      <c r="E5087" t="s">
        <v>7</v>
      </c>
      <c r="F5087" t="s">
        <v>7</v>
      </c>
      <c r="G5087" t="s">
        <v>7</v>
      </c>
      <c r="H5087">
        <v>22680.02</v>
      </c>
      <c r="I5087">
        <v>6783.13</v>
      </c>
      <c r="J5087">
        <v>0</v>
      </c>
    </row>
    <row r="5088" spans="1:10" x14ac:dyDescent="0.35">
      <c r="A5088">
        <v>323664</v>
      </c>
      <c r="B5088" t="s">
        <v>20</v>
      </c>
      <c r="C5088">
        <v>2015</v>
      </c>
      <c r="D5088">
        <v>7</v>
      </c>
      <c r="E5088" t="s">
        <v>7</v>
      </c>
      <c r="F5088" t="s">
        <v>7</v>
      </c>
      <c r="G5088" t="s">
        <v>7</v>
      </c>
      <c r="H5088">
        <v>18916.16</v>
      </c>
      <c r="I5088">
        <v>4171.5</v>
      </c>
      <c r="J5088">
        <v>0</v>
      </c>
    </row>
    <row r="5089" spans="1:10" x14ac:dyDescent="0.35">
      <c r="A5089">
        <v>323666</v>
      </c>
      <c r="B5089" t="s">
        <v>20</v>
      </c>
      <c r="C5089">
        <v>2015</v>
      </c>
      <c r="D5089">
        <v>7</v>
      </c>
      <c r="E5089" t="s">
        <v>7</v>
      </c>
      <c r="F5089" t="s">
        <v>7</v>
      </c>
      <c r="G5089" t="s">
        <v>7</v>
      </c>
      <c r="H5089">
        <v>12159.7</v>
      </c>
      <c r="I5089">
        <v>2946.68</v>
      </c>
      <c r="J5089">
        <v>0</v>
      </c>
    </row>
    <row r="5090" spans="1:10" x14ac:dyDescent="0.35">
      <c r="A5090">
        <v>323667</v>
      </c>
      <c r="B5090" t="s">
        <v>20</v>
      </c>
      <c r="C5090">
        <v>2015</v>
      </c>
      <c r="D5090">
        <v>7</v>
      </c>
      <c r="E5090" t="s">
        <v>7</v>
      </c>
      <c r="F5090" t="s">
        <v>7</v>
      </c>
      <c r="G5090" t="s">
        <v>7</v>
      </c>
      <c r="H5090">
        <v>68831.86</v>
      </c>
      <c r="I5090">
        <v>53922.44</v>
      </c>
      <c r="J5090">
        <v>0</v>
      </c>
    </row>
    <row r="5091" spans="1:10" x14ac:dyDescent="0.35">
      <c r="A5091">
        <v>323668</v>
      </c>
      <c r="B5091" t="s">
        <v>20</v>
      </c>
      <c r="C5091">
        <v>2015</v>
      </c>
      <c r="D5091">
        <v>7</v>
      </c>
      <c r="E5091" t="s">
        <v>7</v>
      </c>
      <c r="F5091" t="s">
        <v>7</v>
      </c>
      <c r="G5091" t="s">
        <v>7</v>
      </c>
      <c r="H5091">
        <v>21972.400000000001</v>
      </c>
      <c r="I5091">
        <v>5688.13</v>
      </c>
      <c r="J5091">
        <v>0</v>
      </c>
    </row>
    <row r="5092" spans="1:10" x14ac:dyDescent="0.35">
      <c r="A5092">
        <v>323669</v>
      </c>
      <c r="B5092" t="s">
        <v>20</v>
      </c>
      <c r="C5092">
        <v>2015</v>
      </c>
      <c r="D5092">
        <v>7</v>
      </c>
      <c r="E5092" t="s">
        <v>7</v>
      </c>
      <c r="F5092" t="s">
        <v>7</v>
      </c>
      <c r="G5092" t="s">
        <v>7</v>
      </c>
      <c r="H5092">
        <v>12823.02</v>
      </c>
      <c r="I5092">
        <v>3045.66</v>
      </c>
      <c r="J5092">
        <v>0</v>
      </c>
    </row>
    <row r="5093" spans="1:10" x14ac:dyDescent="0.35">
      <c r="A5093">
        <v>323670</v>
      </c>
      <c r="B5093" t="s">
        <v>20</v>
      </c>
      <c r="C5093">
        <v>2015</v>
      </c>
      <c r="D5093">
        <v>7</v>
      </c>
      <c r="E5093" t="s">
        <v>7</v>
      </c>
      <c r="F5093" t="s">
        <v>7</v>
      </c>
      <c r="G5093" t="s">
        <v>7</v>
      </c>
      <c r="H5093">
        <v>32412.79</v>
      </c>
      <c r="I5093">
        <v>9083.69</v>
      </c>
      <c r="J5093">
        <v>0</v>
      </c>
    </row>
    <row r="5094" spans="1:10" x14ac:dyDescent="0.35">
      <c r="A5094">
        <v>323671</v>
      </c>
      <c r="B5094" t="s">
        <v>20</v>
      </c>
      <c r="C5094">
        <v>2015</v>
      </c>
      <c r="D5094">
        <v>7</v>
      </c>
      <c r="E5094" t="s">
        <v>7</v>
      </c>
      <c r="F5094" t="s">
        <v>7</v>
      </c>
      <c r="G5094" t="s">
        <v>7</v>
      </c>
      <c r="H5094">
        <v>12442.8</v>
      </c>
      <c r="I5094">
        <v>2407.33</v>
      </c>
      <c r="J5094">
        <v>0</v>
      </c>
    </row>
    <row r="5095" spans="1:10" x14ac:dyDescent="0.35">
      <c r="A5095">
        <v>323672</v>
      </c>
      <c r="B5095" t="s">
        <v>20</v>
      </c>
      <c r="C5095">
        <v>2015</v>
      </c>
      <c r="D5095">
        <v>7</v>
      </c>
      <c r="E5095" t="s">
        <v>7</v>
      </c>
      <c r="F5095" t="s">
        <v>7</v>
      </c>
      <c r="G5095" t="s">
        <v>7</v>
      </c>
      <c r="H5095">
        <v>22373.7</v>
      </c>
      <c r="I5095">
        <v>4840.7</v>
      </c>
      <c r="J5095">
        <v>0</v>
      </c>
    </row>
    <row r="5096" spans="1:10" x14ac:dyDescent="0.35">
      <c r="A5096">
        <v>323674</v>
      </c>
      <c r="B5096" t="s">
        <v>20</v>
      </c>
      <c r="C5096">
        <v>2015</v>
      </c>
      <c r="D5096">
        <v>7</v>
      </c>
      <c r="E5096" t="s">
        <v>7</v>
      </c>
      <c r="F5096" t="s">
        <v>7</v>
      </c>
      <c r="G5096" t="s">
        <v>7</v>
      </c>
      <c r="H5096">
        <v>22366.46</v>
      </c>
      <c r="I5096">
        <v>6192.27</v>
      </c>
      <c r="J5096">
        <v>0</v>
      </c>
    </row>
    <row r="5097" spans="1:10" x14ac:dyDescent="0.35">
      <c r="A5097">
        <v>323675</v>
      </c>
      <c r="B5097" t="s">
        <v>20</v>
      </c>
      <c r="C5097">
        <v>2015</v>
      </c>
      <c r="D5097">
        <v>7</v>
      </c>
      <c r="E5097" t="s">
        <v>7</v>
      </c>
      <c r="F5097" t="s">
        <v>7</v>
      </c>
      <c r="G5097" t="s">
        <v>7</v>
      </c>
      <c r="H5097">
        <v>78010.559999999998</v>
      </c>
      <c r="I5097">
        <v>44844.9</v>
      </c>
      <c r="J5097">
        <v>0</v>
      </c>
    </row>
    <row r="5098" spans="1:10" x14ac:dyDescent="0.35">
      <c r="A5098">
        <v>323676</v>
      </c>
      <c r="B5098" t="s">
        <v>20</v>
      </c>
      <c r="C5098">
        <v>2015</v>
      </c>
      <c r="D5098">
        <v>7</v>
      </c>
      <c r="E5098" t="s">
        <v>7</v>
      </c>
      <c r="F5098" t="s">
        <v>7</v>
      </c>
      <c r="G5098" t="s">
        <v>7</v>
      </c>
      <c r="H5098">
        <v>25724.52</v>
      </c>
      <c r="I5098">
        <v>6095.62</v>
      </c>
      <c r="J5098">
        <v>0</v>
      </c>
    </row>
    <row r="5099" spans="1:10" x14ac:dyDescent="0.35">
      <c r="A5099">
        <v>323677</v>
      </c>
      <c r="B5099" t="s">
        <v>20</v>
      </c>
      <c r="C5099">
        <v>2015</v>
      </c>
      <c r="D5099">
        <v>7</v>
      </c>
      <c r="E5099" t="s">
        <v>7</v>
      </c>
      <c r="F5099" t="s">
        <v>7</v>
      </c>
      <c r="G5099" t="s">
        <v>7</v>
      </c>
      <c r="H5099">
        <v>102907.48</v>
      </c>
      <c r="I5099">
        <v>65982.33</v>
      </c>
      <c r="J5099">
        <v>0</v>
      </c>
    </row>
    <row r="5100" spans="1:10" x14ac:dyDescent="0.35">
      <c r="A5100">
        <v>323678</v>
      </c>
      <c r="B5100" t="s">
        <v>20</v>
      </c>
      <c r="C5100">
        <v>2015</v>
      </c>
      <c r="D5100">
        <v>7</v>
      </c>
      <c r="E5100" t="s">
        <v>7</v>
      </c>
      <c r="F5100" t="s">
        <v>7</v>
      </c>
      <c r="G5100" t="s">
        <v>7</v>
      </c>
      <c r="H5100">
        <v>55521</v>
      </c>
      <c r="I5100">
        <v>17265.09</v>
      </c>
      <c r="J5100">
        <v>0</v>
      </c>
    </row>
    <row r="5101" spans="1:10" x14ac:dyDescent="0.35">
      <c r="A5101">
        <v>323680</v>
      </c>
      <c r="B5101" t="s">
        <v>20</v>
      </c>
      <c r="C5101">
        <v>2015</v>
      </c>
      <c r="D5101">
        <v>7</v>
      </c>
      <c r="E5101" t="s">
        <v>7</v>
      </c>
      <c r="F5101" t="s">
        <v>7</v>
      </c>
      <c r="G5101" t="s">
        <v>7</v>
      </c>
      <c r="H5101">
        <v>23892.18</v>
      </c>
      <c r="I5101">
        <v>7461.57</v>
      </c>
      <c r="J5101">
        <v>0</v>
      </c>
    </row>
    <row r="5102" spans="1:10" x14ac:dyDescent="0.35">
      <c r="A5102">
        <v>323684</v>
      </c>
      <c r="B5102" t="s">
        <v>20</v>
      </c>
      <c r="C5102">
        <v>2015</v>
      </c>
      <c r="D5102">
        <v>7</v>
      </c>
      <c r="E5102" t="s">
        <v>7</v>
      </c>
      <c r="F5102" t="s">
        <v>7</v>
      </c>
      <c r="G5102" t="s">
        <v>7</v>
      </c>
      <c r="H5102">
        <v>9264.02</v>
      </c>
      <c r="I5102">
        <v>2387.73</v>
      </c>
      <c r="J5102">
        <v>0</v>
      </c>
    </row>
    <row r="5103" spans="1:10" x14ac:dyDescent="0.35">
      <c r="A5103">
        <v>323685</v>
      </c>
      <c r="B5103" t="s">
        <v>20</v>
      </c>
      <c r="C5103">
        <v>2015</v>
      </c>
      <c r="D5103">
        <v>7</v>
      </c>
      <c r="E5103" t="s">
        <v>7</v>
      </c>
      <c r="F5103" t="s">
        <v>7</v>
      </c>
      <c r="G5103" t="s">
        <v>7</v>
      </c>
      <c r="H5103">
        <v>24055.3</v>
      </c>
      <c r="I5103">
        <v>6609.46</v>
      </c>
      <c r="J5103">
        <v>0</v>
      </c>
    </row>
    <row r="5104" spans="1:10" x14ac:dyDescent="0.35">
      <c r="A5104">
        <v>323686</v>
      </c>
      <c r="B5104" t="s">
        <v>20</v>
      </c>
      <c r="C5104">
        <v>2015</v>
      </c>
      <c r="D5104">
        <v>7</v>
      </c>
      <c r="E5104" t="s">
        <v>7</v>
      </c>
      <c r="F5104" t="s">
        <v>7</v>
      </c>
      <c r="G5104" t="s">
        <v>7</v>
      </c>
      <c r="H5104">
        <v>52543.46</v>
      </c>
      <c r="I5104">
        <v>16856.759999999998</v>
      </c>
      <c r="J5104">
        <v>0</v>
      </c>
    </row>
    <row r="5105" spans="1:10" x14ac:dyDescent="0.35">
      <c r="A5105">
        <v>323687</v>
      </c>
      <c r="B5105" t="s">
        <v>20</v>
      </c>
      <c r="C5105">
        <v>2015</v>
      </c>
      <c r="D5105">
        <v>7</v>
      </c>
      <c r="E5105" t="s">
        <v>7</v>
      </c>
      <c r="F5105" t="s">
        <v>7</v>
      </c>
      <c r="G5105" t="s">
        <v>7</v>
      </c>
      <c r="H5105">
        <v>47150.95</v>
      </c>
      <c r="I5105">
        <v>24061.29</v>
      </c>
      <c r="J5105">
        <v>0</v>
      </c>
    </row>
    <row r="5106" spans="1:10" x14ac:dyDescent="0.35">
      <c r="A5106">
        <v>323689</v>
      </c>
      <c r="B5106" t="s">
        <v>20</v>
      </c>
      <c r="C5106">
        <v>2015</v>
      </c>
      <c r="D5106">
        <v>7</v>
      </c>
      <c r="E5106" t="s">
        <v>7</v>
      </c>
      <c r="F5106" t="s">
        <v>7</v>
      </c>
      <c r="G5106" t="s">
        <v>7</v>
      </c>
      <c r="H5106">
        <v>30552.36</v>
      </c>
      <c r="I5106">
        <v>7348.61</v>
      </c>
      <c r="J5106">
        <v>0</v>
      </c>
    </row>
    <row r="5107" spans="1:10" x14ac:dyDescent="0.35">
      <c r="A5107">
        <v>323691</v>
      </c>
      <c r="B5107" t="s">
        <v>20</v>
      </c>
      <c r="C5107">
        <v>2015</v>
      </c>
      <c r="D5107">
        <v>7</v>
      </c>
      <c r="E5107" t="s">
        <v>7</v>
      </c>
      <c r="F5107" t="s">
        <v>7</v>
      </c>
      <c r="G5107" t="s">
        <v>7</v>
      </c>
      <c r="H5107">
        <v>75560.2</v>
      </c>
      <c r="I5107">
        <v>46529.57</v>
      </c>
      <c r="J5107">
        <v>0</v>
      </c>
    </row>
    <row r="5108" spans="1:10" x14ac:dyDescent="0.35">
      <c r="A5108">
        <v>323693</v>
      </c>
      <c r="B5108" t="s">
        <v>20</v>
      </c>
      <c r="C5108">
        <v>2015</v>
      </c>
      <c r="D5108">
        <v>7</v>
      </c>
      <c r="E5108" t="s">
        <v>7</v>
      </c>
      <c r="F5108" t="s">
        <v>7</v>
      </c>
      <c r="G5108" t="s">
        <v>7</v>
      </c>
      <c r="H5108">
        <v>21939.94</v>
      </c>
      <c r="I5108">
        <v>4830.05</v>
      </c>
      <c r="J5108">
        <v>0</v>
      </c>
    </row>
    <row r="5109" spans="1:10" x14ac:dyDescent="0.35">
      <c r="A5109">
        <v>323695</v>
      </c>
      <c r="B5109" t="s">
        <v>20</v>
      </c>
      <c r="C5109">
        <v>2015</v>
      </c>
      <c r="D5109">
        <v>7</v>
      </c>
      <c r="E5109" t="s">
        <v>7</v>
      </c>
      <c r="F5109" t="s">
        <v>7</v>
      </c>
      <c r="G5109" t="s">
        <v>7</v>
      </c>
      <c r="H5109">
        <v>11454.6</v>
      </c>
      <c r="I5109">
        <v>2961.71</v>
      </c>
      <c r="J5109">
        <v>0</v>
      </c>
    </row>
    <row r="5110" spans="1:10" x14ac:dyDescent="0.35">
      <c r="A5110">
        <v>323696</v>
      </c>
      <c r="B5110" t="s">
        <v>20</v>
      </c>
      <c r="C5110">
        <v>2015</v>
      </c>
      <c r="D5110">
        <v>7</v>
      </c>
      <c r="E5110" t="s">
        <v>7</v>
      </c>
      <c r="F5110" t="s">
        <v>7</v>
      </c>
      <c r="G5110" t="s">
        <v>7</v>
      </c>
      <c r="H5110">
        <v>23528.82</v>
      </c>
      <c r="I5110">
        <v>6445.69</v>
      </c>
      <c r="J5110">
        <v>0</v>
      </c>
    </row>
    <row r="5111" spans="1:10" x14ac:dyDescent="0.35">
      <c r="A5111">
        <v>323699</v>
      </c>
      <c r="B5111" t="s">
        <v>20</v>
      </c>
      <c r="C5111">
        <v>2015</v>
      </c>
      <c r="D5111">
        <v>7</v>
      </c>
      <c r="E5111" t="s">
        <v>7</v>
      </c>
      <c r="F5111" t="s">
        <v>7</v>
      </c>
      <c r="G5111" t="s">
        <v>7</v>
      </c>
      <c r="H5111">
        <v>90018.6</v>
      </c>
      <c r="I5111">
        <v>24944.14</v>
      </c>
      <c r="J5111">
        <v>0</v>
      </c>
    </row>
    <row r="5112" spans="1:10" x14ac:dyDescent="0.35">
      <c r="A5112">
        <v>323701</v>
      </c>
      <c r="B5112" t="s">
        <v>20</v>
      </c>
      <c r="C5112">
        <v>2015</v>
      </c>
      <c r="D5112">
        <v>7</v>
      </c>
      <c r="E5112" t="s">
        <v>7</v>
      </c>
      <c r="F5112" t="s">
        <v>7</v>
      </c>
      <c r="G5112" t="s">
        <v>7</v>
      </c>
      <c r="H5112">
        <v>30407.919999999998</v>
      </c>
      <c r="I5112">
        <v>9038.2199999999993</v>
      </c>
      <c r="J5112">
        <v>0</v>
      </c>
    </row>
    <row r="5113" spans="1:10" x14ac:dyDescent="0.35">
      <c r="A5113">
        <v>323703</v>
      </c>
      <c r="B5113" t="s">
        <v>20</v>
      </c>
      <c r="C5113">
        <v>2015</v>
      </c>
      <c r="D5113">
        <v>7</v>
      </c>
      <c r="E5113" t="s">
        <v>7</v>
      </c>
      <c r="F5113" t="s">
        <v>7</v>
      </c>
      <c r="G5113" t="s">
        <v>7</v>
      </c>
      <c r="H5113">
        <v>147592.35999999999</v>
      </c>
      <c r="I5113">
        <v>42604.63</v>
      </c>
      <c r="J5113">
        <v>0</v>
      </c>
    </row>
    <row r="5114" spans="1:10" x14ac:dyDescent="0.35">
      <c r="A5114">
        <v>323704</v>
      </c>
      <c r="B5114" t="s">
        <v>20</v>
      </c>
      <c r="C5114">
        <v>2015</v>
      </c>
      <c r="D5114">
        <v>7</v>
      </c>
      <c r="E5114" t="s">
        <v>7</v>
      </c>
      <c r="F5114" t="s">
        <v>7</v>
      </c>
      <c r="G5114" t="s">
        <v>7</v>
      </c>
      <c r="H5114">
        <v>9521.42</v>
      </c>
      <c r="I5114">
        <v>2626.97</v>
      </c>
      <c r="J5114">
        <v>0</v>
      </c>
    </row>
    <row r="5115" spans="1:10" x14ac:dyDescent="0.35">
      <c r="A5115">
        <v>323705</v>
      </c>
      <c r="B5115" t="s">
        <v>20</v>
      </c>
      <c r="C5115">
        <v>2015</v>
      </c>
      <c r="D5115">
        <v>7</v>
      </c>
      <c r="E5115" t="s">
        <v>7</v>
      </c>
      <c r="F5115" t="s">
        <v>7</v>
      </c>
      <c r="G5115" t="s">
        <v>7</v>
      </c>
      <c r="H5115">
        <v>76492.960000000006</v>
      </c>
      <c r="I5115">
        <v>21093.09</v>
      </c>
      <c r="J5115">
        <v>0</v>
      </c>
    </row>
    <row r="5116" spans="1:10" x14ac:dyDescent="0.35">
      <c r="A5116">
        <v>323709</v>
      </c>
      <c r="B5116" t="s">
        <v>20</v>
      </c>
      <c r="C5116">
        <v>2015</v>
      </c>
      <c r="D5116">
        <v>7</v>
      </c>
      <c r="E5116" t="s">
        <v>7</v>
      </c>
      <c r="F5116" t="s">
        <v>7</v>
      </c>
      <c r="G5116" t="s">
        <v>7</v>
      </c>
      <c r="H5116">
        <v>17820.560000000001</v>
      </c>
      <c r="I5116">
        <v>4769.7299999999996</v>
      </c>
      <c r="J5116">
        <v>0</v>
      </c>
    </row>
    <row r="5117" spans="1:10" x14ac:dyDescent="0.35">
      <c r="A5117">
        <v>323712</v>
      </c>
      <c r="B5117" t="s">
        <v>20</v>
      </c>
      <c r="C5117">
        <v>2015</v>
      </c>
      <c r="D5117">
        <v>7</v>
      </c>
      <c r="E5117" t="s">
        <v>7</v>
      </c>
      <c r="F5117" t="s">
        <v>7</v>
      </c>
      <c r="G5117" t="s">
        <v>7</v>
      </c>
      <c r="H5117">
        <v>20111.28</v>
      </c>
      <c r="I5117">
        <v>4825.1099999999997</v>
      </c>
      <c r="J5117">
        <v>0</v>
      </c>
    </row>
    <row r="5118" spans="1:10" x14ac:dyDescent="0.35">
      <c r="A5118">
        <v>323713</v>
      </c>
      <c r="B5118" t="s">
        <v>20</v>
      </c>
      <c r="C5118">
        <v>2015</v>
      </c>
      <c r="D5118">
        <v>7</v>
      </c>
      <c r="E5118" t="s">
        <v>7</v>
      </c>
      <c r="F5118" t="s">
        <v>7</v>
      </c>
      <c r="G5118" t="s">
        <v>7</v>
      </c>
      <c r="H5118">
        <v>20147.12</v>
      </c>
      <c r="I5118">
        <v>4824.67</v>
      </c>
      <c r="J5118">
        <v>0</v>
      </c>
    </row>
    <row r="5119" spans="1:10" x14ac:dyDescent="0.35">
      <c r="A5119">
        <v>323714</v>
      </c>
      <c r="B5119" t="s">
        <v>20</v>
      </c>
      <c r="C5119">
        <v>2015</v>
      </c>
      <c r="D5119">
        <v>7</v>
      </c>
      <c r="E5119" t="s">
        <v>7</v>
      </c>
      <c r="F5119" t="s">
        <v>7</v>
      </c>
      <c r="G5119" t="s">
        <v>7</v>
      </c>
      <c r="H5119">
        <v>42730.6</v>
      </c>
      <c r="I5119">
        <v>10015.459999999999</v>
      </c>
      <c r="J5119">
        <v>0</v>
      </c>
    </row>
    <row r="5120" spans="1:10" x14ac:dyDescent="0.35">
      <c r="A5120">
        <v>323715</v>
      </c>
      <c r="B5120" t="s">
        <v>20</v>
      </c>
      <c r="C5120">
        <v>2015</v>
      </c>
      <c r="D5120">
        <v>7</v>
      </c>
      <c r="E5120" t="s">
        <v>7</v>
      </c>
      <c r="F5120" t="s">
        <v>7</v>
      </c>
      <c r="G5120" t="s">
        <v>7</v>
      </c>
      <c r="H5120">
        <v>21959.86</v>
      </c>
      <c r="I5120">
        <v>5659.97</v>
      </c>
      <c r="J5120">
        <v>0</v>
      </c>
    </row>
    <row r="5121" spans="1:10" x14ac:dyDescent="0.35">
      <c r="A5121">
        <v>323717</v>
      </c>
      <c r="B5121" t="s">
        <v>20</v>
      </c>
      <c r="C5121">
        <v>2015</v>
      </c>
      <c r="D5121">
        <v>7</v>
      </c>
      <c r="E5121" t="s">
        <v>7</v>
      </c>
      <c r="F5121" t="s">
        <v>7</v>
      </c>
      <c r="G5121" t="s">
        <v>7</v>
      </c>
      <c r="H5121">
        <v>87670.98</v>
      </c>
      <c r="I5121">
        <v>27226.73</v>
      </c>
      <c r="J5121">
        <v>0</v>
      </c>
    </row>
    <row r="5122" spans="1:10" x14ac:dyDescent="0.35">
      <c r="A5122">
        <v>323719</v>
      </c>
      <c r="B5122" t="s">
        <v>20</v>
      </c>
      <c r="C5122">
        <v>2015</v>
      </c>
      <c r="D5122">
        <v>7</v>
      </c>
      <c r="E5122" t="s">
        <v>7</v>
      </c>
      <c r="F5122" t="s">
        <v>7</v>
      </c>
      <c r="G5122" t="s">
        <v>7</v>
      </c>
      <c r="H5122">
        <v>31916.57</v>
      </c>
      <c r="I5122">
        <v>13927.4</v>
      </c>
      <c r="J5122">
        <v>0</v>
      </c>
    </row>
    <row r="5123" spans="1:10" x14ac:dyDescent="0.35">
      <c r="A5123">
        <v>323721</v>
      </c>
      <c r="B5123" t="s">
        <v>20</v>
      </c>
      <c r="C5123">
        <v>2015</v>
      </c>
      <c r="D5123">
        <v>7</v>
      </c>
      <c r="E5123" t="s">
        <v>7</v>
      </c>
      <c r="F5123" t="s">
        <v>7</v>
      </c>
      <c r="G5123" t="s">
        <v>7</v>
      </c>
      <c r="H5123">
        <v>27889.3</v>
      </c>
      <c r="I5123">
        <v>17880.849999999999</v>
      </c>
      <c r="J5123">
        <v>0</v>
      </c>
    </row>
    <row r="5124" spans="1:10" x14ac:dyDescent="0.35">
      <c r="A5124">
        <v>323723</v>
      </c>
      <c r="B5124" t="s">
        <v>20</v>
      </c>
      <c r="C5124">
        <v>2015</v>
      </c>
      <c r="D5124">
        <v>7</v>
      </c>
      <c r="E5124" t="s">
        <v>7</v>
      </c>
      <c r="F5124" t="s">
        <v>7</v>
      </c>
      <c r="G5124" t="s">
        <v>7</v>
      </c>
      <c r="H5124">
        <v>11012.64</v>
      </c>
      <c r="I5124">
        <v>2486.1799999999998</v>
      </c>
      <c r="J5124">
        <v>0</v>
      </c>
    </row>
    <row r="5125" spans="1:10" x14ac:dyDescent="0.35">
      <c r="A5125">
        <v>323725</v>
      </c>
      <c r="B5125" t="s">
        <v>20</v>
      </c>
      <c r="C5125">
        <v>2015</v>
      </c>
      <c r="D5125">
        <v>7</v>
      </c>
      <c r="E5125" t="s">
        <v>7</v>
      </c>
      <c r="F5125" t="s">
        <v>7</v>
      </c>
      <c r="G5125" t="s">
        <v>7</v>
      </c>
      <c r="H5125">
        <v>41960.959999999999</v>
      </c>
      <c r="I5125">
        <v>23295.58</v>
      </c>
      <c r="J5125">
        <v>0</v>
      </c>
    </row>
    <row r="5126" spans="1:10" x14ac:dyDescent="0.35">
      <c r="A5126">
        <v>323726</v>
      </c>
      <c r="B5126" t="s">
        <v>20</v>
      </c>
      <c r="C5126">
        <v>2015</v>
      </c>
      <c r="D5126">
        <v>7</v>
      </c>
      <c r="E5126" t="s">
        <v>7</v>
      </c>
      <c r="F5126" t="s">
        <v>7</v>
      </c>
      <c r="G5126" t="s">
        <v>7</v>
      </c>
      <c r="H5126">
        <v>21597.040000000001</v>
      </c>
      <c r="I5126">
        <v>5930.44</v>
      </c>
      <c r="J5126">
        <v>0</v>
      </c>
    </row>
    <row r="5127" spans="1:10" x14ac:dyDescent="0.35">
      <c r="A5127">
        <v>323727</v>
      </c>
      <c r="B5127" t="s">
        <v>20</v>
      </c>
      <c r="C5127">
        <v>2015</v>
      </c>
      <c r="D5127">
        <v>7</v>
      </c>
      <c r="E5127" t="s">
        <v>7</v>
      </c>
      <c r="F5127" t="s">
        <v>7</v>
      </c>
      <c r="G5127" t="s">
        <v>7</v>
      </c>
      <c r="H5127">
        <v>66343.72</v>
      </c>
      <c r="I5127">
        <v>47945.05</v>
      </c>
      <c r="J5127">
        <v>0</v>
      </c>
    </row>
    <row r="5128" spans="1:10" x14ac:dyDescent="0.35">
      <c r="A5128">
        <v>323728</v>
      </c>
      <c r="B5128" t="s">
        <v>20</v>
      </c>
      <c r="C5128">
        <v>2015</v>
      </c>
      <c r="D5128">
        <v>7</v>
      </c>
      <c r="E5128" t="s">
        <v>7</v>
      </c>
      <c r="F5128" t="s">
        <v>7</v>
      </c>
      <c r="G5128" t="s">
        <v>7</v>
      </c>
      <c r="H5128">
        <v>20283.38</v>
      </c>
      <c r="I5128">
        <v>5476.73</v>
      </c>
      <c r="J5128">
        <v>0</v>
      </c>
    </row>
    <row r="5129" spans="1:10" x14ac:dyDescent="0.35">
      <c r="A5129">
        <v>323729</v>
      </c>
      <c r="B5129" t="s">
        <v>20</v>
      </c>
      <c r="C5129">
        <v>2015</v>
      </c>
      <c r="D5129">
        <v>7</v>
      </c>
      <c r="E5129" t="s">
        <v>7</v>
      </c>
      <c r="F5129" t="s">
        <v>7</v>
      </c>
      <c r="G5129" t="s">
        <v>7</v>
      </c>
      <c r="H5129">
        <v>24738.32</v>
      </c>
      <c r="I5129">
        <v>6843.03</v>
      </c>
      <c r="J5129">
        <v>0</v>
      </c>
    </row>
    <row r="5130" spans="1:10" x14ac:dyDescent="0.35">
      <c r="A5130">
        <v>323730</v>
      </c>
      <c r="B5130" t="s">
        <v>20</v>
      </c>
      <c r="C5130">
        <v>2015</v>
      </c>
      <c r="D5130">
        <v>7</v>
      </c>
      <c r="E5130" t="s">
        <v>7</v>
      </c>
      <c r="F5130" t="s">
        <v>7</v>
      </c>
      <c r="G5130" t="s">
        <v>7</v>
      </c>
      <c r="H5130">
        <v>29705.34</v>
      </c>
      <c r="I5130">
        <v>7518.26</v>
      </c>
      <c r="J5130">
        <v>0</v>
      </c>
    </row>
    <row r="5131" spans="1:10" x14ac:dyDescent="0.35">
      <c r="A5131">
        <v>323731</v>
      </c>
      <c r="B5131" t="s">
        <v>20</v>
      </c>
      <c r="C5131">
        <v>2015</v>
      </c>
      <c r="D5131">
        <v>7</v>
      </c>
      <c r="E5131" t="s">
        <v>7</v>
      </c>
      <c r="F5131" t="s">
        <v>7</v>
      </c>
      <c r="G5131" t="s">
        <v>7</v>
      </c>
      <c r="H5131">
        <v>12393.46</v>
      </c>
      <c r="I5131">
        <v>3217.16</v>
      </c>
      <c r="J5131">
        <v>0</v>
      </c>
    </row>
    <row r="5132" spans="1:10" x14ac:dyDescent="0.35">
      <c r="A5132">
        <v>323733</v>
      </c>
      <c r="B5132" t="s">
        <v>20</v>
      </c>
      <c r="C5132">
        <v>2015</v>
      </c>
      <c r="D5132">
        <v>7</v>
      </c>
      <c r="E5132" t="s">
        <v>7</v>
      </c>
      <c r="F5132" t="s">
        <v>7</v>
      </c>
      <c r="G5132" t="s">
        <v>7</v>
      </c>
      <c r="H5132">
        <v>44285.2</v>
      </c>
      <c r="I5132">
        <v>13151.11</v>
      </c>
      <c r="J5132">
        <v>0</v>
      </c>
    </row>
    <row r="5133" spans="1:10" x14ac:dyDescent="0.35">
      <c r="A5133">
        <v>323737</v>
      </c>
      <c r="B5133" t="s">
        <v>20</v>
      </c>
      <c r="C5133">
        <v>2015</v>
      </c>
      <c r="D5133">
        <v>7</v>
      </c>
      <c r="E5133" t="s">
        <v>7</v>
      </c>
      <c r="F5133" t="s">
        <v>7</v>
      </c>
      <c r="G5133" t="s">
        <v>7</v>
      </c>
      <c r="H5133">
        <v>9160.56</v>
      </c>
      <c r="I5133">
        <v>2673.06</v>
      </c>
      <c r="J5133">
        <v>0</v>
      </c>
    </row>
    <row r="5134" spans="1:10" x14ac:dyDescent="0.35">
      <c r="A5134">
        <v>323738</v>
      </c>
      <c r="B5134" t="s">
        <v>20</v>
      </c>
      <c r="C5134">
        <v>2015</v>
      </c>
      <c r="D5134">
        <v>7</v>
      </c>
      <c r="E5134" t="s">
        <v>7</v>
      </c>
      <c r="F5134" t="s">
        <v>7</v>
      </c>
      <c r="G5134" t="s">
        <v>7</v>
      </c>
      <c r="H5134">
        <v>31425.72</v>
      </c>
      <c r="I5134">
        <v>11258.34</v>
      </c>
      <c r="J5134">
        <v>0</v>
      </c>
    </row>
    <row r="5135" spans="1:10" x14ac:dyDescent="0.35">
      <c r="A5135">
        <v>323739</v>
      </c>
      <c r="B5135" t="s">
        <v>20</v>
      </c>
      <c r="C5135">
        <v>2015</v>
      </c>
      <c r="D5135">
        <v>7</v>
      </c>
      <c r="E5135" t="s">
        <v>7</v>
      </c>
      <c r="F5135" t="s">
        <v>7</v>
      </c>
      <c r="G5135" t="s">
        <v>7</v>
      </c>
      <c r="H5135">
        <v>10463.08</v>
      </c>
      <c r="I5135">
        <v>2696.15</v>
      </c>
      <c r="J5135">
        <v>0</v>
      </c>
    </row>
    <row r="5136" spans="1:10" x14ac:dyDescent="0.35">
      <c r="A5136">
        <v>323740</v>
      </c>
      <c r="B5136" t="s">
        <v>20</v>
      </c>
      <c r="C5136">
        <v>2015</v>
      </c>
      <c r="D5136">
        <v>7</v>
      </c>
      <c r="E5136" t="s">
        <v>7</v>
      </c>
      <c r="F5136" t="s">
        <v>7</v>
      </c>
      <c r="G5136" t="s">
        <v>7</v>
      </c>
      <c r="H5136">
        <v>30598.560000000001</v>
      </c>
      <c r="I5136">
        <v>8493.2900000000009</v>
      </c>
      <c r="J5136">
        <v>0</v>
      </c>
    </row>
    <row r="5137" spans="1:10" x14ac:dyDescent="0.35">
      <c r="A5137">
        <v>323742</v>
      </c>
      <c r="B5137" t="s">
        <v>20</v>
      </c>
      <c r="C5137">
        <v>2015</v>
      </c>
      <c r="D5137">
        <v>7</v>
      </c>
      <c r="E5137" t="s">
        <v>7</v>
      </c>
      <c r="F5137" t="s">
        <v>7</v>
      </c>
      <c r="G5137" t="s">
        <v>7</v>
      </c>
      <c r="H5137">
        <v>200962.82</v>
      </c>
      <c r="I5137">
        <v>95038.28</v>
      </c>
      <c r="J5137">
        <v>0</v>
      </c>
    </row>
    <row r="5138" spans="1:10" x14ac:dyDescent="0.35">
      <c r="A5138">
        <v>323749</v>
      </c>
      <c r="B5138" t="s">
        <v>20</v>
      </c>
      <c r="C5138">
        <v>2015</v>
      </c>
      <c r="D5138">
        <v>7</v>
      </c>
      <c r="E5138" t="s">
        <v>7</v>
      </c>
      <c r="F5138" t="s">
        <v>7</v>
      </c>
      <c r="G5138" t="s">
        <v>7</v>
      </c>
      <c r="H5138">
        <v>30377.599999999999</v>
      </c>
      <c r="I5138">
        <v>8253.15</v>
      </c>
      <c r="J5138">
        <v>0</v>
      </c>
    </row>
    <row r="5139" spans="1:10" x14ac:dyDescent="0.35">
      <c r="A5139">
        <v>323751</v>
      </c>
      <c r="B5139" t="s">
        <v>20</v>
      </c>
      <c r="C5139">
        <v>2015</v>
      </c>
      <c r="D5139">
        <v>7</v>
      </c>
      <c r="E5139" t="s">
        <v>7</v>
      </c>
      <c r="F5139" t="s">
        <v>7</v>
      </c>
      <c r="G5139" t="s">
        <v>7</v>
      </c>
      <c r="H5139">
        <v>26253.32</v>
      </c>
      <c r="I5139">
        <v>7121.8</v>
      </c>
      <c r="J5139">
        <v>0</v>
      </c>
    </row>
    <row r="5140" spans="1:10" x14ac:dyDescent="0.35">
      <c r="A5140">
        <v>323752</v>
      </c>
      <c r="B5140" t="s">
        <v>20</v>
      </c>
      <c r="C5140">
        <v>2015</v>
      </c>
      <c r="D5140">
        <v>7</v>
      </c>
      <c r="E5140" t="s">
        <v>7</v>
      </c>
      <c r="F5140" t="s">
        <v>7</v>
      </c>
      <c r="G5140" t="s">
        <v>7</v>
      </c>
      <c r="H5140">
        <v>12762.58</v>
      </c>
      <c r="I5140">
        <v>2900.68</v>
      </c>
      <c r="J5140">
        <v>0</v>
      </c>
    </row>
    <row r="5141" spans="1:10" x14ac:dyDescent="0.35">
      <c r="A5141">
        <v>323753</v>
      </c>
      <c r="B5141" t="s">
        <v>20</v>
      </c>
      <c r="C5141">
        <v>2015</v>
      </c>
      <c r="D5141">
        <v>7</v>
      </c>
      <c r="E5141" t="s">
        <v>7</v>
      </c>
      <c r="F5141" t="s">
        <v>7</v>
      </c>
      <c r="G5141" t="s">
        <v>7</v>
      </c>
      <c r="H5141">
        <v>45751.6</v>
      </c>
      <c r="I5141">
        <v>21595.02</v>
      </c>
      <c r="J5141">
        <v>0</v>
      </c>
    </row>
    <row r="5142" spans="1:10" x14ac:dyDescent="0.35">
      <c r="A5142">
        <v>323755</v>
      </c>
      <c r="B5142" t="s">
        <v>20</v>
      </c>
      <c r="C5142">
        <v>2015</v>
      </c>
      <c r="D5142">
        <v>7</v>
      </c>
      <c r="E5142" t="s">
        <v>7</v>
      </c>
      <c r="F5142" t="s">
        <v>7</v>
      </c>
      <c r="G5142" t="s">
        <v>7</v>
      </c>
      <c r="H5142">
        <v>174775.8</v>
      </c>
      <c r="I5142">
        <v>115540.82</v>
      </c>
      <c r="J5142">
        <v>0</v>
      </c>
    </row>
    <row r="5143" spans="1:10" x14ac:dyDescent="0.35">
      <c r="A5143">
        <v>323757</v>
      </c>
      <c r="B5143" t="s">
        <v>20</v>
      </c>
      <c r="C5143">
        <v>2015</v>
      </c>
      <c r="D5143">
        <v>7</v>
      </c>
      <c r="E5143" t="s">
        <v>7</v>
      </c>
      <c r="F5143" t="s">
        <v>7</v>
      </c>
      <c r="G5143" t="s">
        <v>7</v>
      </c>
      <c r="H5143">
        <v>38331.660000000003</v>
      </c>
      <c r="I5143">
        <v>15581.41</v>
      </c>
      <c r="J5143">
        <v>0</v>
      </c>
    </row>
    <row r="5144" spans="1:10" x14ac:dyDescent="0.35">
      <c r="A5144">
        <v>323760</v>
      </c>
      <c r="B5144" t="s">
        <v>20</v>
      </c>
      <c r="C5144">
        <v>2015</v>
      </c>
      <c r="D5144">
        <v>7</v>
      </c>
      <c r="E5144" t="s">
        <v>7</v>
      </c>
      <c r="F5144" t="s">
        <v>7</v>
      </c>
      <c r="G5144" t="s">
        <v>7</v>
      </c>
      <c r="H5144">
        <v>38723.54</v>
      </c>
      <c r="I5144">
        <v>11290.39</v>
      </c>
      <c r="J5144">
        <v>0</v>
      </c>
    </row>
    <row r="5145" spans="1:10" x14ac:dyDescent="0.35">
      <c r="A5145">
        <v>323761</v>
      </c>
      <c r="B5145" t="s">
        <v>20</v>
      </c>
      <c r="C5145">
        <v>2015</v>
      </c>
      <c r="D5145">
        <v>7</v>
      </c>
      <c r="E5145" t="s">
        <v>7</v>
      </c>
      <c r="F5145" t="s">
        <v>7</v>
      </c>
      <c r="G5145" t="s">
        <v>7</v>
      </c>
      <c r="H5145">
        <v>24120.7</v>
      </c>
      <c r="I5145">
        <v>6380.7</v>
      </c>
      <c r="J5145">
        <v>0</v>
      </c>
    </row>
    <row r="5146" spans="1:10" x14ac:dyDescent="0.35">
      <c r="A5146">
        <v>323762</v>
      </c>
      <c r="B5146" t="s">
        <v>20</v>
      </c>
      <c r="C5146">
        <v>2015</v>
      </c>
      <c r="D5146">
        <v>7</v>
      </c>
      <c r="E5146" t="s">
        <v>7</v>
      </c>
      <c r="F5146" t="s">
        <v>7</v>
      </c>
      <c r="G5146" t="s">
        <v>7</v>
      </c>
      <c r="H5146">
        <v>45092.2</v>
      </c>
      <c r="I5146">
        <v>13099.05</v>
      </c>
      <c r="J5146">
        <v>0</v>
      </c>
    </row>
    <row r="5147" spans="1:10" x14ac:dyDescent="0.35">
      <c r="A5147">
        <v>323763</v>
      </c>
      <c r="B5147" t="s">
        <v>20</v>
      </c>
      <c r="C5147">
        <v>2015</v>
      </c>
      <c r="D5147">
        <v>7</v>
      </c>
      <c r="E5147" t="s">
        <v>7</v>
      </c>
      <c r="F5147" t="s">
        <v>7</v>
      </c>
      <c r="G5147" t="s">
        <v>7</v>
      </c>
      <c r="H5147">
        <v>23320.5</v>
      </c>
      <c r="I5147">
        <v>6989.35</v>
      </c>
      <c r="J5147">
        <v>0</v>
      </c>
    </row>
    <row r="5148" spans="1:10" x14ac:dyDescent="0.35">
      <c r="A5148">
        <v>323764</v>
      </c>
      <c r="B5148" t="s">
        <v>20</v>
      </c>
      <c r="C5148">
        <v>2015</v>
      </c>
      <c r="D5148">
        <v>7</v>
      </c>
      <c r="E5148" t="s">
        <v>7</v>
      </c>
      <c r="F5148" t="s">
        <v>7</v>
      </c>
      <c r="G5148" t="s">
        <v>7</v>
      </c>
      <c r="H5148">
        <v>24032.12</v>
      </c>
      <c r="I5148">
        <v>6541.9</v>
      </c>
      <c r="J5148">
        <v>0</v>
      </c>
    </row>
    <row r="5149" spans="1:10" x14ac:dyDescent="0.35">
      <c r="A5149">
        <v>323765</v>
      </c>
      <c r="B5149" t="s">
        <v>20</v>
      </c>
      <c r="C5149">
        <v>2015</v>
      </c>
      <c r="D5149">
        <v>7</v>
      </c>
      <c r="E5149" t="s">
        <v>7</v>
      </c>
      <c r="F5149" t="s">
        <v>7</v>
      </c>
      <c r="G5149" t="s">
        <v>7</v>
      </c>
      <c r="H5149">
        <v>65599.820000000007</v>
      </c>
      <c r="I5149">
        <v>46624.54</v>
      </c>
      <c r="J5149">
        <v>0</v>
      </c>
    </row>
    <row r="5150" spans="1:10" x14ac:dyDescent="0.35">
      <c r="A5150">
        <v>323766</v>
      </c>
      <c r="B5150" t="s">
        <v>20</v>
      </c>
      <c r="C5150">
        <v>2015</v>
      </c>
      <c r="D5150">
        <v>7</v>
      </c>
      <c r="E5150" t="s">
        <v>7</v>
      </c>
      <c r="F5150" t="s">
        <v>7</v>
      </c>
      <c r="G5150" t="s">
        <v>7</v>
      </c>
      <c r="H5150">
        <v>23647.46</v>
      </c>
      <c r="I5150">
        <v>6841.47</v>
      </c>
      <c r="J5150">
        <v>0</v>
      </c>
    </row>
    <row r="5151" spans="1:10" x14ac:dyDescent="0.35">
      <c r="A5151">
        <v>323769</v>
      </c>
      <c r="B5151" t="s">
        <v>20</v>
      </c>
      <c r="C5151">
        <v>2015</v>
      </c>
      <c r="D5151">
        <v>7</v>
      </c>
      <c r="E5151" t="s">
        <v>7</v>
      </c>
      <c r="F5151" t="s">
        <v>7</v>
      </c>
      <c r="G5151" t="s">
        <v>7</v>
      </c>
      <c r="H5151">
        <v>29399.3</v>
      </c>
      <c r="I5151">
        <v>8715.11</v>
      </c>
      <c r="J5151">
        <v>0</v>
      </c>
    </row>
    <row r="5152" spans="1:10" x14ac:dyDescent="0.35">
      <c r="A5152">
        <v>323771</v>
      </c>
      <c r="B5152" t="s">
        <v>20</v>
      </c>
      <c r="C5152">
        <v>2015</v>
      </c>
      <c r="D5152">
        <v>7</v>
      </c>
      <c r="E5152" t="s">
        <v>7</v>
      </c>
      <c r="F5152" t="s">
        <v>7</v>
      </c>
      <c r="G5152" t="s">
        <v>7</v>
      </c>
      <c r="H5152">
        <v>28273.86</v>
      </c>
      <c r="I5152">
        <v>7548.83</v>
      </c>
      <c r="J5152">
        <v>0</v>
      </c>
    </row>
    <row r="5153" spans="1:10" x14ac:dyDescent="0.35">
      <c r="A5153">
        <v>323772</v>
      </c>
      <c r="B5153" t="s">
        <v>20</v>
      </c>
      <c r="C5153">
        <v>2015</v>
      </c>
      <c r="D5153">
        <v>7</v>
      </c>
      <c r="E5153" t="s">
        <v>7</v>
      </c>
      <c r="F5153" t="s">
        <v>7</v>
      </c>
      <c r="G5153" t="s">
        <v>7</v>
      </c>
      <c r="H5153">
        <v>35702.58</v>
      </c>
      <c r="I5153">
        <v>10670.23</v>
      </c>
      <c r="J5153">
        <v>0</v>
      </c>
    </row>
    <row r="5154" spans="1:10" x14ac:dyDescent="0.35">
      <c r="A5154">
        <v>323775</v>
      </c>
      <c r="B5154" t="s">
        <v>20</v>
      </c>
      <c r="C5154">
        <v>2015</v>
      </c>
      <c r="D5154">
        <v>7</v>
      </c>
      <c r="E5154" t="s">
        <v>7</v>
      </c>
      <c r="F5154" t="s">
        <v>7</v>
      </c>
      <c r="G5154" t="s">
        <v>7</v>
      </c>
      <c r="H5154">
        <v>40806.199999999997</v>
      </c>
      <c r="I5154">
        <v>25073.73</v>
      </c>
      <c r="J5154">
        <v>0</v>
      </c>
    </row>
    <row r="5155" spans="1:10" x14ac:dyDescent="0.35">
      <c r="A5155">
        <v>323776</v>
      </c>
      <c r="B5155" t="s">
        <v>20</v>
      </c>
      <c r="C5155">
        <v>2015</v>
      </c>
      <c r="D5155">
        <v>7</v>
      </c>
      <c r="E5155" t="s">
        <v>7</v>
      </c>
      <c r="F5155" t="s">
        <v>7</v>
      </c>
      <c r="G5155" t="s">
        <v>7</v>
      </c>
      <c r="H5155">
        <v>22063.22</v>
      </c>
      <c r="I5155">
        <v>6515.9</v>
      </c>
      <c r="J5155">
        <v>0</v>
      </c>
    </row>
    <row r="5156" spans="1:10" x14ac:dyDescent="0.35">
      <c r="A5156">
        <v>323780</v>
      </c>
      <c r="B5156" t="s">
        <v>20</v>
      </c>
      <c r="C5156">
        <v>2015</v>
      </c>
      <c r="D5156">
        <v>7</v>
      </c>
      <c r="E5156" t="s">
        <v>7</v>
      </c>
      <c r="F5156" t="s">
        <v>7</v>
      </c>
      <c r="G5156" t="s">
        <v>7</v>
      </c>
      <c r="H5156">
        <v>18739.400000000001</v>
      </c>
      <c r="I5156">
        <v>5120.8100000000004</v>
      </c>
      <c r="J5156">
        <v>0</v>
      </c>
    </row>
    <row r="5157" spans="1:10" x14ac:dyDescent="0.35">
      <c r="A5157">
        <v>323781</v>
      </c>
      <c r="B5157" t="s">
        <v>20</v>
      </c>
      <c r="C5157">
        <v>2015</v>
      </c>
      <c r="D5157">
        <v>7</v>
      </c>
      <c r="E5157" t="s">
        <v>7</v>
      </c>
      <c r="F5157" t="s">
        <v>7</v>
      </c>
      <c r="G5157" t="s">
        <v>7</v>
      </c>
      <c r="H5157">
        <v>60002.74</v>
      </c>
      <c r="I5157">
        <v>18196.740000000002</v>
      </c>
      <c r="J5157">
        <v>0</v>
      </c>
    </row>
    <row r="5158" spans="1:10" x14ac:dyDescent="0.35">
      <c r="A5158">
        <v>323782</v>
      </c>
      <c r="B5158" t="s">
        <v>20</v>
      </c>
      <c r="C5158">
        <v>2015</v>
      </c>
      <c r="D5158">
        <v>7</v>
      </c>
      <c r="E5158" t="s">
        <v>7</v>
      </c>
      <c r="F5158" t="s">
        <v>7</v>
      </c>
      <c r="G5158" t="s">
        <v>7</v>
      </c>
      <c r="H5158">
        <v>15025.46</v>
      </c>
      <c r="I5158">
        <v>4428.95</v>
      </c>
      <c r="J5158">
        <v>0</v>
      </c>
    </row>
    <row r="5159" spans="1:10" x14ac:dyDescent="0.35">
      <c r="A5159">
        <v>323784</v>
      </c>
      <c r="B5159" t="s">
        <v>20</v>
      </c>
      <c r="C5159">
        <v>2015</v>
      </c>
      <c r="D5159">
        <v>7</v>
      </c>
      <c r="E5159" t="s">
        <v>7</v>
      </c>
      <c r="F5159" t="s">
        <v>7</v>
      </c>
      <c r="G5159" t="s">
        <v>7</v>
      </c>
      <c r="H5159">
        <v>10545.06</v>
      </c>
      <c r="I5159">
        <v>2816.8</v>
      </c>
      <c r="J5159">
        <v>0</v>
      </c>
    </row>
    <row r="5160" spans="1:10" x14ac:dyDescent="0.35">
      <c r="A5160">
        <v>323786</v>
      </c>
      <c r="B5160" t="s">
        <v>20</v>
      </c>
      <c r="C5160">
        <v>2015</v>
      </c>
      <c r="D5160">
        <v>7</v>
      </c>
      <c r="E5160" t="s">
        <v>7</v>
      </c>
      <c r="F5160" t="s">
        <v>7</v>
      </c>
      <c r="G5160" t="s">
        <v>7</v>
      </c>
      <c r="H5160">
        <v>29434.400000000001</v>
      </c>
      <c r="I5160">
        <v>8563.0400000000009</v>
      </c>
      <c r="J5160">
        <v>0</v>
      </c>
    </row>
    <row r="5161" spans="1:10" x14ac:dyDescent="0.35">
      <c r="A5161">
        <v>323787</v>
      </c>
      <c r="B5161" t="s">
        <v>20</v>
      </c>
      <c r="C5161">
        <v>2015</v>
      </c>
      <c r="D5161">
        <v>7</v>
      </c>
      <c r="E5161" t="s">
        <v>7</v>
      </c>
      <c r="F5161" t="s">
        <v>7</v>
      </c>
      <c r="G5161" t="s">
        <v>7</v>
      </c>
      <c r="H5161">
        <v>13949.84</v>
      </c>
      <c r="I5161">
        <v>4109.82</v>
      </c>
      <c r="J5161">
        <v>0</v>
      </c>
    </row>
    <row r="5162" spans="1:10" x14ac:dyDescent="0.35">
      <c r="A5162">
        <v>323788</v>
      </c>
      <c r="B5162" t="s">
        <v>20</v>
      </c>
      <c r="C5162">
        <v>2015</v>
      </c>
      <c r="D5162">
        <v>7</v>
      </c>
      <c r="E5162" t="s">
        <v>7</v>
      </c>
      <c r="F5162" t="s">
        <v>7</v>
      </c>
      <c r="G5162" t="s">
        <v>7</v>
      </c>
      <c r="H5162">
        <v>21864.16</v>
      </c>
      <c r="I5162">
        <v>5930.86</v>
      </c>
      <c r="J5162">
        <v>0</v>
      </c>
    </row>
    <row r="5163" spans="1:10" x14ac:dyDescent="0.35">
      <c r="A5163">
        <v>323789</v>
      </c>
      <c r="B5163" t="s">
        <v>20</v>
      </c>
      <c r="C5163">
        <v>2015</v>
      </c>
      <c r="D5163">
        <v>7</v>
      </c>
      <c r="E5163" t="s">
        <v>7</v>
      </c>
      <c r="F5163" t="s">
        <v>7</v>
      </c>
      <c r="G5163" t="s">
        <v>7</v>
      </c>
      <c r="H5163">
        <v>37791.699999999997</v>
      </c>
      <c r="I5163">
        <v>11584.32</v>
      </c>
      <c r="J5163">
        <v>0</v>
      </c>
    </row>
    <row r="5164" spans="1:10" x14ac:dyDescent="0.35">
      <c r="A5164">
        <v>323793</v>
      </c>
      <c r="B5164" t="s">
        <v>20</v>
      </c>
      <c r="C5164">
        <v>2015</v>
      </c>
      <c r="D5164">
        <v>7</v>
      </c>
      <c r="E5164" t="s">
        <v>7</v>
      </c>
      <c r="F5164" t="s">
        <v>7</v>
      </c>
      <c r="G5164" t="s">
        <v>7</v>
      </c>
      <c r="H5164">
        <v>59601.9</v>
      </c>
      <c r="I5164">
        <v>23572.9</v>
      </c>
      <c r="J5164">
        <v>0</v>
      </c>
    </row>
    <row r="5165" spans="1:10" x14ac:dyDescent="0.35">
      <c r="A5165">
        <v>323799</v>
      </c>
      <c r="B5165" t="s">
        <v>20</v>
      </c>
      <c r="C5165">
        <v>2015</v>
      </c>
      <c r="D5165">
        <v>7</v>
      </c>
      <c r="E5165" t="s">
        <v>7</v>
      </c>
      <c r="F5165" t="s">
        <v>7</v>
      </c>
      <c r="G5165" t="s">
        <v>7</v>
      </c>
      <c r="H5165">
        <v>24548.3</v>
      </c>
      <c r="I5165">
        <v>5938.79</v>
      </c>
      <c r="J5165">
        <v>0</v>
      </c>
    </row>
    <row r="5166" spans="1:10" x14ac:dyDescent="0.35">
      <c r="A5166">
        <v>323800</v>
      </c>
      <c r="B5166" t="s">
        <v>20</v>
      </c>
      <c r="C5166">
        <v>2015</v>
      </c>
      <c r="D5166">
        <v>7</v>
      </c>
      <c r="E5166" t="s">
        <v>7</v>
      </c>
      <c r="F5166" t="s">
        <v>7</v>
      </c>
      <c r="G5166" t="s">
        <v>7</v>
      </c>
      <c r="H5166">
        <v>34622.1</v>
      </c>
      <c r="I5166">
        <v>19570.13</v>
      </c>
      <c r="J5166">
        <v>0</v>
      </c>
    </row>
    <row r="5167" spans="1:10" x14ac:dyDescent="0.35">
      <c r="A5167">
        <v>323803</v>
      </c>
      <c r="B5167" t="s">
        <v>20</v>
      </c>
      <c r="C5167">
        <v>2015</v>
      </c>
      <c r="D5167">
        <v>7</v>
      </c>
      <c r="E5167" t="s">
        <v>7</v>
      </c>
      <c r="F5167" t="s">
        <v>7</v>
      </c>
      <c r="G5167" t="s">
        <v>7</v>
      </c>
      <c r="H5167">
        <v>27402.98</v>
      </c>
      <c r="I5167">
        <v>8201.17</v>
      </c>
      <c r="J5167">
        <v>0</v>
      </c>
    </row>
    <row r="5168" spans="1:10" x14ac:dyDescent="0.35">
      <c r="A5168">
        <v>323804</v>
      </c>
      <c r="B5168" t="s">
        <v>20</v>
      </c>
      <c r="C5168">
        <v>2015</v>
      </c>
      <c r="D5168">
        <v>7</v>
      </c>
      <c r="E5168" t="s">
        <v>7</v>
      </c>
      <c r="F5168" t="s">
        <v>7</v>
      </c>
      <c r="G5168" t="s">
        <v>7</v>
      </c>
      <c r="H5168">
        <v>74569.919999999998</v>
      </c>
      <c r="I5168">
        <v>41055.29</v>
      </c>
      <c r="J5168">
        <v>0</v>
      </c>
    </row>
    <row r="5169" spans="1:10" x14ac:dyDescent="0.35">
      <c r="A5169">
        <v>323805</v>
      </c>
      <c r="B5169" t="s">
        <v>20</v>
      </c>
      <c r="C5169">
        <v>2015</v>
      </c>
      <c r="D5169">
        <v>7</v>
      </c>
      <c r="E5169" t="s">
        <v>7</v>
      </c>
      <c r="F5169" t="s">
        <v>7</v>
      </c>
      <c r="G5169" t="s">
        <v>7</v>
      </c>
      <c r="H5169">
        <v>29505.119999999999</v>
      </c>
      <c r="I5169">
        <v>8690.8799999999992</v>
      </c>
      <c r="J5169">
        <v>0</v>
      </c>
    </row>
    <row r="5170" spans="1:10" x14ac:dyDescent="0.35">
      <c r="A5170">
        <v>323806</v>
      </c>
      <c r="B5170" t="s">
        <v>20</v>
      </c>
      <c r="C5170">
        <v>2015</v>
      </c>
      <c r="D5170">
        <v>7</v>
      </c>
      <c r="E5170" t="s">
        <v>7</v>
      </c>
      <c r="F5170" t="s">
        <v>7</v>
      </c>
      <c r="G5170" t="s">
        <v>7</v>
      </c>
      <c r="H5170">
        <v>144160.28</v>
      </c>
      <c r="I5170">
        <v>52712.61</v>
      </c>
      <c r="J5170">
        <v>0</v>
      </c>
    </row>
    <row r="5171" spans="1:10" x14ac:dyDescent="0.35">
      <c r="A5171">
        <v>323807</v>
      </c>
      <c r="B5171" t="s">
        <v>20</v>
      </c>
      <c r="C5171">
        <v>2015</v>
      </c>
      <c r="D5171">
        <v>7</v>
      </c>
      <c r="E5171" t="s">
        <v>7</v>
      </c>
      <c r="F5171" t="s">
        <v>7</v>
      </c>
      <c r="G5171" t="s">
        <v>7</v>
      </c>
      <c r="H5171">
        <v>27712.22</v>
      </c>
      <c r="I5171">
        <v>5547</v>
      </c>
      <c r="J5171">
        <v>0</v>
      </c>
    </row>
    <row r="5172" spans="1:10" x14ac:dyDescent="0.35">
      <c r="A5172">
        <v>323809</v>
      </c>
      <c r="B5172" t="s">
        <v>20</v>
      </c>
      <c r="C5172">
        <v>2015</v>
      </c>
      <c r="D5172">
        <v>7</v>
      </c>
      <c r="E5172" t="s">
        <v>7</v>
      </c>
      <c r="F5172" t="s">
        <v>7</v>
      </c>
      <c r="G5172" t="s">
        <v>7</v>
      </c>
      <c r="H5172">
        <v>13648.5</v>
      </c>
      <c r="I5172">
        <v>3501.04</v>
      </c>
      <c r="J5172">
        <v>0</v>
      </c>
    </row>
    <row r="5173" spans="1:10" x14ac:dyDescent="0.35">
      <c r="A5173">
        <v>323811</v>
      </c>
      <c r="B5173" t="s">
        <v>20</v>
      </c>
      <c r="C5173">
        <v>2015</v>
      </c>
      <c r="D5173">
        <v>7</v>
      </c>
      <c r="E5173" t="s">
        <v>7</v>
      </c>
      <c r="F5173" t="s">
        <v>7</v>
      </c>
      <c r="G5173" t="s">
        <v>7</v>
      </c>
      <c r="H5173">
        <v>111191.9</v>
      </c>
      <c r="I5173">
        <v>56000.22</v>
      </c>
      <c r="J5173">
        <v>0</v>
      </c>
    </row>
    <row r="5174" spans="1:10" x14ac:dyDescent="0.35">
      <c r="A5174">
        <v>323814</v>
      </c>
      <c r="B5174" t="s">
        <v>20</v>
      </c>
      <c r="C5174">
        <v>2015</v>
      </c>
      <c r="D5174">
        <v>7</v>
      </c>
      <c r="E5174" t="s">
        <v>7</v>
      </c>
      <c r="F5174" t="s">
        <v>7</v>
      </c>
      <c r="G5174" t="s">
        <v>7</v>
      </c>
      <c r="H5174">
        <v>54123.54</v>
      </c>
      <c r="I5174">
        <v>17143.080000000002</v>
      </c>
      <c r="J5174">
        <v>0</v>
      </c>
    </row>
    <row r="5175" spans="1:10" x14ac:dyDescent="0.35">
      <c r="A5175">
        <v>323818</v>
      </c>
      <c r="B5175" t="s">
        <v>20</v>
      </c>
      <c r="C5175">
        <v>2015</v>
      </c>
      <c r="D5175">
        <v>7</v>
      </c>
      <c r="E5175" t="s">
        <v>7</v>
      </c>
      <c r="F5175" t="s">
        <v>7</v>
      </c>
      <c r="G5175" t="s">
        <v>7</v>
      </c>
      <c r="H5175">
        <v>38178.019999999997</v>
      </c>
      <c r="I5175">
        <v>11806.44</v>
      </c>
      <c r="J5175">
        <v>0</v>
      </c>
    </row>
    <row r="5176" spans="1:10" x14ac:dyDescent="0.35">
      <c r="A5176">
        <v>323819</v>
      </c>
      <c r="B5176" t="s">
        <v>20</v>
      </c>
      <c r="C5176">
        <v>2015</v>
      </c>
      <c r="D5176">
        <v>7</v>
      </c>
      <c r="E5176" t="s">
        <v>7</v>
      </c>
      <c r="F5176" t="s">
        <v>7</v>
      </c>
      <c r="G5176" t="s">
        <v>7</v>
      </c>
      <c r="H5176">
        <v>40629.5</v>
      </c>
      <c r="I5176">
        <v>15527.77</v>
      </c>
      <c r="J5176">
        <v>0</v>
      </c>
    </row>
    <row r="5177" spans="1:10" x14ac:dyDescent="0.35">
      <c r="A5177">
        <v>323820</v>
      </c>
      <c r="B5177" t="s">
        <v>20</v>
      </c>
      <c r="C5177">
        <v>2015</v>
      </c>
      <c r="D5177">
        <v>7</v>
      </c>
      <c r="E5177" t="s">
        <v>7</v>
      </c>
      <c r="F5177" t="s">
        <v>7</v>
      </c>
      <c r="G5177" t="s">
        <v>7</v>
      </c>
      <c r="H5177">
        <v>10508.14</v>
      </c>
      <c r="I5177">
        <v>2569.04</v>
      </c>
      <c r="J5177">
        <v>0</v>
      </c>
    </row>
    <row r="5178" spans="1:10" x14ac:dyDescent="0.35">
      <c r="A5178">
        <v>323822</v>
      </c>
      <c r="B5178" t="s">
        <v>20</v>
      </c>
      <c r="C5178">
        <v>2015</v>
      </c>
      <c r="D5178">
        <v>7</v>
      </c>
      <c r="E5178" t="s">
        <v>7</v>
      </c>
      <c r="F5178" t="s">
        <v>7</v>
      </c>
      <c r="G5178" t="s">
        <v>7</v>
      </c>
      <c r="H5178">
        <v>37756.980000000003</v>
      </c>
      <c r="I5178">
        <v>14184.57</v>
      </c>
      <c r="J5178">
        <v>0</v>
      </c>
    </row>
    <row r="5179" spans="1:10" x14ac:dyDescent="0.35">
      <c r="A5179">
        <v>323823</v>
      </c>
      <c r="B5179" t="s">
        <v>20</v>
      </c>
      <c r="C5179">
        <v>2015</v>
      </c>
      <c r="D5179">
        <v>7</v>
      </c>
      <c r="E5179" t="s">
        <v>7</v>
      </c>
      <c r="F5179" t="s">
        <v>7</v>
      </c>
      <c r="G5179" t="s">
        <v>7</v>
      </c>
      <c r="H5179">
        <v>24720.84</v>
      </c>
      <c r="I5179">
        <v>7381.38</v>
      </c>
      <c r="J5179">
        <v>0</v>
      </c>
    </row>
    <row r="5180" spans="1:10" x14ac:dyDescent="0.35">
      <c r="A5180">
        <v>323825</v>
      </c>
      <c r="B5180" t="s">
        <v>20</v>
      </c>
      <c r="C5180">
        <v>2015</v>
      </c>
      <c r="D5180">
        <v>7</v>
      </c>
      <c r="E5180" t="s">
        <v>7</v>
      </c>
      <c r="F5180" t="s">
        <v>7</v>
      </c>
      <c r="G5180" t="s">
        <v>7</v>
      </c>
      <c r="H5180">
        <v>8646.32</v>
      </c>
      <c r="I5180">
        <v>2381.44</v>
      </c>
      <c r="J5180">
        <v>0</v>
      </c>
    </row>
    <row r="5181" spans="1:10" x14ac:dyDescent="0.35">
      <c r="A5181">
        <v>323827</v>
      </c>
      <c r="B5181" t="s">
        <v>20</v>
      </c>
      <c r="C5181">
        <v>2015</v>
      </c>
      <c r="D5181">
        <v>7</v>
      </c>
      <c r="E5181" t="s">
        <v>7</v>
      </c>
      <c r="F5181" t="s">
        <v>7</v>
      </c>
      <c r="G5181" t="s">
        <v>7</v>
      </c>
      <c r="H5181">
        <v>44461.279999999999</v>
      </c>
      <c r="I5181">
        <v>13571.13</v>
      </c>
      <c r="J5181">
        <v>0</v>
      </c>
    </row>
    <row r="5182" spans="1:10" x14ac:dyDescent="0.35">
      <c r="A5182">
        <v>323828</v>
      </c>
      <c r="B5182" t="s">
        <v>20</v>
      </c>
      <c r="C5182">
        <v>2015</v>
      </c>
      <c r="D5182">
        <v>7</v>
      </c>
      <c r="E5182" t="s">
        <v>7</v>
      </c>
      <c r="F5182" t="s">
        <v>7</v>
      </c>
      <c r="G5182" t="s">
        <v>7</v>
      </c>
      <c r="H5182">
        <v>19940.259999999998</v>
      </c>
      <c r="I5182">
        <v>6091.38</v>
      </c>
      <c r="J5182">
        <v>0</v>
      </c>
    </row>
    <row r="5183" spans="1:10" x14ac:dyDescent="0.35">
      <c r="A5183">
        <v>323829</v>
      </c>
      <c r="B5183" t="s">
        <v>20</v>
      </c>
      <c r="C5183">
        <v>2015</v>
      </c>
      <c r="D5183">
        <v>7</v>
      </c>
      <c r="E5183" t="s">
        <v>7</v>
      </c>
      <c r="F5183" t="s">
        <v>7</v>
      </c>
      <c r="G5183" t="s">
        <v>7</v>
      </c>
      <c r="H5183">
        <v>35368.9</v>
      </c>
      <c r="I5183">
        <v>10310.99</v>
      </c>
      <c r="J5183">
        <v>0</v>
      </c>
    </row>
    <row r="5184" spans="1:10" x14ac:dyDescent="0.35">
      <c r="A5184">
        <v>323831</v>
      </c>
      <c r="B5184" t="s">
        <v>20</v>
      </c>
      <c r="C5184">
        <v>2015</v>
      </c>
      <c r="D5184">
        <v>7</v>
      </c>
      <c r="E5184" t="s">
        <v>7</v>
      </c>
      <c r="F5184" t="s">
        <v>7</v>
      </c>
      <c r="G5184" t="s">
        <v>7</v>
      </c>
      <c r="H5184">
        <v>16750.04</v>
      </c>
      <c r="I5184">
        <v>4804.5</v>
      </c>
      <c r="J5184">
        <v>0</v>
      </c>
    </row>
    <row r="5185" spans="1:10" x14ac:dyDescent="0.35">
      <c r="A5185">
        <v>323832</v>
      </c>
      <c r="B5185" t="s">
        <v>20</v>
      </c>
      <c r="C5185">
        <v>2015</v>
      </c>
      <c r="D5185">
        <v>7</v>
      </c>
      <c r="E5185" t="s">
        <v>7</v>
      </c>
      <c r="F5185" t="s">
        <v>7</v>
      </c>
      <c r="G5185" t="s">
        <v>7</v>
      </c>
      <c r="H5185">
        <v>23807.58</v>
      </c>
      <c r="I5185">
        <v>6796.84</v>
      </c>
      <c r="J5185">
        <v>0</v>
      </c>
    </row>
    <row r="5186" spans="1:10" x14ac:dyDescent="0.35">
      <c r="A5186">
        <v>323834</v>
      </c>
      <c r="B5186" t="s">
        <v>20</v>
      </c>
      <c r="C5186">
        <v>2015</v>
      </c>
      <c r="D5186">
        <v>7</v>
      </c>
      <c r="E5186" t="s">
        <v>7</v>
      </c>
      <c r="F5186" t="s">
        <v>7</v>
      </c>
      <c r="G5186" t="s">
        <v>7</v>
      </c>
      <c r="H5186">
        <v>18966.2</v>
      </c>
      <c r="I5186">
        <v>4949</v>
      </c>
      <c r="J5186">
        <v>0</v>
      </c>
    </row>
    <row r="5187" spans="1:10" x14ac:dyDescent="0.35">
      <c r="A5187">
        <v>323835</v>
      </c>
      <c r="B5187" t="s">
        <v>20</v>
      </c>
      <c r="C5187">
        <v>2015</v>
      </c>
      <c r="D5187">
        <v>7</v>
      </c>
      <c r="E5187" t="s">
        <v>7</v>
      </c>
      <c r="F5187" t="s">
        <v>7</v>
      </c>
      <c r="G5187" t="s">
        <v>7</v>
      </c>
      <c r="H5187">
        <v>10869.98</v>
      </c>
      <c r="I5187">
        <v>3047.18</v>
      </c>
      <c r="J5187">
        <v>0</v>
      </c>
    </row>
    <row r="5188" spans="1:10" x14ac:dyDescent="0.35">
      <c r="A5188">
        <v>323836</v>
      </c>
      <c r="B5188" t="s">
        <v>20</v>
      </c>
      <c r="C5188">
        <v>2015</v>
      </c>
      <c r="D5188">
        <v>7</v>
      </c>
      <c r="E5188" t="s">
        <v>7</v>
      </c>
      <c r="F5188" t="s">
        <v>7</v>
      </c>
      <c r="G5188" t="s">
        <v>7</v>
      </c>
      <c r="H5188">
        <v>25092.560000000001</v>
      </c>
      <c r="I5188">
        <v>8144.11</v>
      </c>
      <c r="J5188">
        <v>0</v>
      </c>
    </row>
    <row r="5189" spans="1:10" x14ac:dyDescent="0.35">
      <c r="A5189">
        <v>323837</v>
      </c>
      <c r="B5189" t="s">
        <v>20</v>
      </c>
      <c r="C5189">
        <v>2015</v>
      </c>
      <c r="D5189">
        <v>7</v>
      </c>
      <c r="E5189" t="s">
        <v>7</v>
      </c>
      <c r="F5189" t="s">
        <v>7</v>
      </c>
      <c r="G5189" t="s">
        <v>7</v>
      </c>
      <c r="H5189">
        <v>12418.22</v>
      </c>
      <c r="I5189">
        <v>2524.3200000000002</v>
      </c>
      <c r="J5189">
        <v>0</v>
      </c>
    </row>
    <row r="5190" spans="1:10" x14ac:dyDescent="0.35">
      <c r="A5190">
        <v>323838</v>
      </c>
      <c r="B5190" t="s">
        <v>20</v>
      </c>
      <c r="C5190">
        <v>2015</v>
      </c>
      <c r="D5190">
        <v>7</v>
      </c>
      <c r="E5190" t="s">
        <v>7</v>
      </c>
      <c r="F5190" t="s">
        <v>7</v>
      </c>
      <c r="G5190" t="s">
        <v>7</v>
      </c>
      <c r="H5190">
        <v>85396.34</v>
      </c>
      <c r="I5190">
        <v>60921.55</v>
      </c>
      <c r="J5190">
        <v>0</v>
      </c>
    </row>
    <row r="5191" spans="1:10" x14ac:dyDescent="0.35">
      <c r="A5191">
        <v>323839</v>
      </c>
      <c r="B5191" t="s">
        <v>20</v>
      </c>
      <c r="C5191">
        <v>2015</v>
      </c>
      <c r="D5191">
        <v>7</v>
      </c>
      <c r="E5191" t="s">
        <v>7</v>
      </c>
      <c r="F5191" t="s">
        <v>7</v>
      </c>
      <c r="G5191" t="s">
        <v>7</v>
      </c>
      <c r="H5191">
        <v>40716.76</v>
      </c>
      <c r="I5191">
        <v>11159.01</v>
      </c>
      <c r="J5191">
        <v>0</v>
      </c>
    </row>
    <row r="5192" spans="1:10" x14ac:dyDescent="0.35">
      <c r="A5192">
        <v>323841</v>
      </c>
      <c r="B5192" t="s">
        <v>20</v>
      </c>
      <c r="C5192">
        <v>2015</v>
      </c>
      <c r="D5192">
        <v>7</v>
      </c>
      <c r="E5192" t="s">
        <v>7</v>
      </c>
      <c r="F5192" t="s">
        <v>7</v>
      </c>
      <c r="G5192" t="s">
        <v>7</v>
      </c>
      <c r="H5192">
        <v>44219.06</v>
      </c>
      <c r="I5192">
        <v>13103.66</v>
      </c>
      <c r="J5192">
        <v>0</v>
      </c>
    </row>
    <row r="5193" spans="1:10" x14ac:dyDescent="0.35">
      <c r="A5193">
        <v>323842</v>
      </c>
      <c r="B5193" t="s">
        <v>20</v>
      </c>
      <c r="C5193">
        <v>2015</v>
      </c>
      <c r="D5193">
        <v>7</v>
      </c>
      <c r="E5193" t="s">
        <v>7</v>
      </c>
      <c r="F5193" t="s">
        <v>7</v>
      </c>
      <c r="G5193" t="s">
        <v>7</v>
      </c>
      <c r="H5193">
        <v>24674.12</v>
      </c>
      <c r="I5193">
        <v>5516.03</v>
      </c>
      <c r="J5193">
        <v>0</v>
      </c>
    </row>
    <row r="5194" spans="1:10" x14ac:dyDescent="0.35">
      <c r="A5194">
        <v>323843</v>
      </c>
      <c r="B5194" t="s">
        <v>20</v>
      </c>
      <c r="C5194">
        <v>2015</v>
      </c>
      <c r="D5194">
        <v>7</v>
      </c>
      <c r="E5194" t="s">
        <v>7</v>
      </c>
      <c r="F5194" t="s">
        <v>7</v>
      </c>
      <c r="G5194" t="s">
        <v>7</v>
      </c>
      <c r="H5194">
        <v>113614.96</v>
      </c>
      <c r="I5194">
        <v>67789.17</v>
      </c>
      <c r="J5194">
        <v>0</v>
      </c>
    </row>
    <row r="5195" spans="1:10" x14ac:dyDescent="0.35">
      <c r="A5195">
        <v>323844</v>
      </c>
      <c r="B5195" t="s">
        <v>20</v>
      </c>
      <c r="C5195">
        <v>2015</v>
      </c>
      <c r="D5195">
        <v>7</v>
      </c>
      <c r="E5195" t="s">
        <v>7</v>
      </c>
      <c r="F5195" t="s">
        <v>7</v>
      </c>
      <c r="G5195" t="s">
        <v>7</v>
      </c>
      <c r="H5195">
        <v>67609.399999999994</v>
      </c>
      <c r="I5195">
        <v>22392.11</v>
      </c>
      <c r="J5195">
        <v>0</v>
      </c>
    </row>
    <row r="5196" spans="1:10" x14ac:dyDescent="0.35">
      <c r="A5196">
        <v>323845</v>
      </c>
      <c r="B5196" t="s">
        <v>20</v>
      </c>
      <c r="C5196">
        <v>2015</v>
      </c>
      <c r="D5196">
        <v>7</v>
      </c>
      <c r="E5196" t="s">
        <v>7</v>
      </c>
      <c r="F5196" t="s">
        <v>7</v>
      </c>
      <c r="G5196" t="s">
        <v>7</v>
      </c>
      <c r="H5196">
        <v>81283.38</v>
      </c>
      <c r="I5196">
        <v>42372.72</v>
      </c>
      <c r="J5196">
        <v>0</v>
      </c>
    </row>
    <row r="5197" spans="1:10" x14ac:dyDescent="0.35">
      <c r="A5197">
        <v>323846</v>
      </c>
      <c r="B5197" t="s">
        <v>20</v>
      </c>
      <c r="C5197">
        <v>2015</v>
      </c>
      <c r="D5197">
        <v>7</v>
      </c>
      <c r="E5197" t="s">
        <v>7</v>
      </c>
      <c r="F5197" t="s">
        <v>7</v>
      </c>
      <c r="G5197" t="s">
        <v>7</v>
      </c>
      <c r="H5197">
        <v>27669.56</v>
      </c>
      <c r="I5197">
        <v>8044.21</v>
      </c>
      <c r="J5197">
        <v>0</v>
      </c>
    </row>
    <row r="5198" spans="1:10" x14ac:dyDescent="0.35">
      <c r="A5198">
        <v>323847</v>
      </c>
      <c r="B5198" t="s">
        <v>20</v>
      </c>
      <c r="C5198">
        <v>2015</v>
      </c>
      <c r="D5198">
        <v>7</v>
      </c>
      <c r="E5198" t="s">
        <v>7</v>
      </c>
      <c r="F5198" t="s">
        <v>7</v>
      </c>
      <c r="G5198" t="s">
        <v>7</v>
      </c>
      <c r="H5198">
        <v>18311.52</v>
      </c>
      <c r="I5198">
        <v>5707.27</v>
      </c>
      <c r="J5198">
        <v>0</v>
      </c>
    </row>
    <row r="5199" spans="1:10" x14ac:dyDescent="0.35">
      <c r="A5199">
        <v>323848</v>
      </c>
      <c r="B5199" t="s">
        <v>20</v>
      </c>
      <c r="C5199">
        <v>2015</v>
      </c>
      <c r="D5199">
        <v>7</v>
      </c>
      <c r="E5199" t="s">
        <v>7</v>
      </c>
      <c r="F5199" t="s">
        <v>7</v>
      </c>
      <c r="G5199" t="s">
        <v>7</v>
      </c>
      <c r="H5199">
        <v>26220.54</v>
      </c>
      <c r="I5199">
        <v>8291.7099999999991</v>
      </c>
      <c r="J5199">
        <v>0</v>
      </c>
    </row>
    <row r="5200" spans="1:10" x14ac:dyDescent="0.35">
      <c r="A5200">
        <v>323852</v>
      </c>
      <c r="B5200" t="s">
        <v>20</v>
      </c>
      <c r="C5200">
        <v>2015</v>
      </c>
      <c r="D5200">
        <v>7</v>
      </c>
      <c r="E5200" t="s">
        <v>7</v>
      </c>
      <c r="F5200" t="s">
        <v>7</v>
      </c>
      <c r="G5200" t="s">
        <v>7</v>
      </c>
      <c r="H5200">
        <v>28576.080000000002</v>
      </c>
      <c r="I5200">
        <v>8061.49</v>
      </c>
      <c r="J5200">
        <v>0</v>
      </c>
    </row>
    <row r="5201" spans="1:10" x14ac:dyDescent="0.35">
      <c r="A5201">
        <v>323857</v>
      </c>
      <c r="B5201" t="s">
        <v>20</v>
      </c>
      <c r="C5201">
        <v>2015</v>
      </c>
      <c r="D5201">
        <v>7</v>
      </c>
      <c r="E5201" t="s">
        <v>7</v>
      </c>
      <c r="F5201" t="s">
        <v>7</v>
      </c>
      <c r="G5201" t="s">
        <v>7</v>
      </c>
      <c r="H5201">
        <v>16101.82</v>
      </c>
      <c r="I5201">
        <v>5074.07</v>
      </c>
      <c r="J5201">
        <v>0</v>
      </c>
    </row>
    <row r="5202" spans="1:10" x14ac:dyDescent="0.35">
      <c r="A5202">
        <v>323859</v>
      </c>
      <c r="B5202" t="s">
        <v>20</v>
      </c>
      <c r="C5202">
        <v>2015</v>
      </c>
      <c r="D5202">
        <v>7</v>
      </c>
      <c r="E5202" t="s">
        <v>7</v>
      </c>
      <c r="F5202" t="s">
        <v>7</v>
      </c>
      <c r="G5202" t="s">
        <v>7</v>
      </c>
      <c r="H5202">
        <v>118229.62</v>
      </c>
      <c r="I5202">
        <v>57865.21</v>
      </c>
      <c r="J5202">
        <v>0</v>
      </c>
    </row>
    <row r="5203" spans="1:10" x14ac:dyDescent="0.35">
      <c r="A5203">
        <v>323860</v>
      </c>
      <c r="B5203" t="s">
        <v>20</v>
      </c>
      <c r="C5203">
        <v>2015</v>
      </c>
      <c r="D5203">
        <v>7</v>
      </c>
      <c r="E5203" t="s">
        <v>7</v>
      </c>
      <c r="F5203" t="s">
        <v>7</v>
      </c>
      <c r="G5203" t="s">
        <v>7</v>
      </c>
      <c r="H5203">
        <v>19061.28</v>
      </c>
      <c r="I5203">
        <v>4927.58</v>
      </c>
      <c r="J5203">
        <v>0</v>
      </c>
    </row>
    <row r="5204" spans="1:10" x14ac:dyDescent="0.35">
      <c r="A5204">
        <v>323863</v>
      </c>
      <c r="B5204" t="s">
        <v>20</v>
      </c>
      <c r="C5204">
        <v>2015</v>
      </c>
      <c r="D5204">
        <v>7</v>
      </c>
      <c r="E5204" t="s">
        <v>7</v>
      </c>
      <c r="F5204" t="s">
        <v>7</v>
      </c>
      <c r="G5204" t="s">
        <v>7</v>
      </c>
      <c r="H5204">
        <v>16498.34</v>
      </c>
      <c r="I5204">
        <v>4628.33</v>
      </c>
      <c r="J5204">
        <v>0</v>
      </c>
    </row>
    <row r="5205" spans="1:10" x14ac:dyDescent="0.35">
      <c r="A5205">
        <v>323865</v>
      </c>
      <c r="B5205" t="s">
        <v>20</v>
      </c>
      <c r="C5205">
        <v>2015</v>
      </c>
      <c r="D5205">
        <v>7</v>
      </c>
      <c r="E5205" t="s">
        <v>7</v>
      </c>
      <c r="F5205" t="s">
        <v>7</v>
      </c>
      <c r="G5205" t="s">
        <v>7</v>
      </c>
      <c r="H5205">
        <v>71795.58</v>
      </c>
      <c r="I5205">
        <v>23177.75</v>
      </c>
      <c r="J5205">
        <v>0</v>
      </c>
    </row>
    <row r="5206" spans="1:10" x14ac:dyDescent="0.35">
      <c r="A5206">
        <v>323866</v>
      </c>
      <c r="B5206" t="s">
        <v>20</v>
      </c>
      <c r="C5206">
        <v>2015</v>
      </c>
      <c r="D5206">
        <v>7</v>
      </c>
      <c r="E5206" t="s">
        <v>7</v>
      </c>
      <c r="F5206" t="s">
        <v>7</v>
      </c>
      <c r="G5206" t="s">
        <v>7</v>
      </c>
      <c r="H5206">
        <v>26307</v>
      </c>
      <c r="I5206">
        <v>8250.01</v>
      </c>
      <c r="J5206">
        <v>0</v>
      </c>
    </row>
    <row r="5207" spans="1:10" x14ac:dyDescent="0.35">
      <c r="A5207">
        <v>323867</v>
      </c>
      <c r="B5207" t="s">
        <v>20</v>
      </c>
      <c r="C5207">
        <v>2015</v>
      </c>
      <c r="D5207">
        <v>7</v>
      </c>
      <c r="E5207" t="s">
        <v>7</v>
      </c>
      <c r="F5207" t="s">
        <v>7</v>
      </c>
      <c r="G5207" t="s">
        <v>7</v>
      </c>
      <c r="H5207">
        <v>11533.02</v>
      </c>
      <c r="I5207">
        <v>2905.18</v>
      </c>
      <c r="J5207">
        <v>0</v>
      </c>
    </row>
    <row r="5208" spans="1:10" x14ac:dyDescent="0.35">
      <c r="A5208">
        <v>323869</v>
      </c>
      <c r="B5208" t="s">
        <v>20</v>
      </c>
      <c r="C5208">
        <v>2015</v>
      </c>
      <c r="D5208">
        <v>7</v>
      </c>
      <c r="E5208" t="s">
        <v>7</v>
      </c>
      <c r="F5208" t="s">
        <v>7</v>
      </c>
      <c r="G5208" t="s">
        <v>7</v>
      </c>
      <c r="H5208">
        <v>20521.7</v>
      </c>
      <c r="I5208">
        <v>5717.61</v>
      </c>
      <c r="J5208">
        <v>0</v>
      </c>
    </row>
    <row r="5209" spans="1:10" x14ac:dyDescent="0.35">
      <c r="A5209">
        <v>323870</v>
      </c>
      <c r="B5209" t="s">
        <v>20</v>
      </c>
      <c r="C5209">
        <v>2015</v>
      </c>
      <c r="D5209">
        <v>7</v>
      </c>
      <c r="E5209" t="s">
        <v>7</v>
      </c>
      <c r="F5209" t="s">
        <v>7</v>
      </c>
      <c r="G5209" t="s">
        <v>7</v>
      </c>
      <c r="H5209">
        <v>21359.119999999999</v>
      </c>
      <c r="I5209">
        <v>4494.8999999999996</v>
      </c>
      <c r="J5209">
        <v>0</v>
      </c>
    </row>
    <row r="5210" spans="1:10" x14ac:dyDescent="0.35">
      <c r="A5210">
        <v>323873</v>
      </c>
      <c r="B5210" t="s">
        <v>20</v>
      </c>
      <c r="C5210">
        <v>2015</v>
      </c>
      <c r="D5210">
        <v>7</v>
      </c>
      <c r="E5210" t="s">
        <v>7</v>
      </c>
      <c r="F5210" t="s">
        <v>7</v>
      </c>
      <c r="G5210" t="s">
        <v>7</v>
      </c>
      <c r="H5210">
        <v>11428.66</v>
      </c>
      <c r="I5210">
        <v>2588.81</v>
      </c>
      <c r="J5210">
        <v>0</v>
      </c>
    </row>
    <row r="5211" spans="1:10" x14ac:dyDescent="0.35">
      <c r="A5211">
        <v>323875</v>
      </c>
      <c r="B5211" t="s">
        <v>20</v>
      </c>
      <c r="C5211">
        <v>2015</v>
      </c>
      <c r="D5211">
        <v>7</v>
      </c>
      <c r="E5211" t="s">
        <v>7</v>
      </c>
      <c r="F5211" t="s">
        <v>7</v>
      </c>
      <c r="G5211" t="s">
        <v>7</v>
      </c>
      <c r="H5211">
        <v>114521.44</v>
      </c>
      <c r="I5211">
        <v>81209.98</v>
      </c>
      <c r="J5211">
        <v>0</v>
      </c>
    </row>
    <row r="5212" spans="1:10" x14ac:dyDescent="0.35">
      <c r="A5212">
        <v>323877</v>
      </c>
      <c r="B5212" t="s">
        <v>20</v>
      </c>
      <c r="C5212">
        <v>2015</v>
      </c>
      <c r="D5212">
        <v>7</v>
      </c>
      <c r="E5212" t="s">
        <v>7</v>
      </c>
      <c r="F5212" t="s">
        <v>7</v>
      </c>
      <c r="G5212" t="s">
        <v>7</v>
      </c>
      <c r="H5212">
        <v>22360.98</v>
      </c>
      <c r="I5212">
        <v>5787.49</v>
      </c>
      <c r="J5212">
        <v>0</v>
      </c>
    </row>
    <row r="5213" spans="1:10" x14ac:dyDescent="0.35">
      <c r="A5213">
        <v>323879</v>
      </c>
      <c r="B5213" t="s">
        <v>20</v>
      </c>
      <c r="C5213">
        <v>2015</v>
      </c>
      <c r="D5213">
        <v>7</v>
      </c>
      <c r="E5213" t="s">
        <v>7</v>
      </c>
      <c r="F5213" t="s">
        <v>7</v>
      </c>
      <c r="G5213" t="s">
        <v>7</v>
      </c>
      <c r="H5213">
        <v>21065.38</v>
      </c>
      <c r="I5213">
        <v>5946.08</v>
      </c>
      <c r="J5213">
        <v>0</v>
      </c>
    </row>
    <row r="5214" spans="1:10" x14ac:dyDescent="0.35">
      <c r="A5214">
        <v>323880</v>
      </c>
      <c r="B5214" t="s">
        <v>20</v>
      </c>
      <c r="C5214">
        <v>2015</v>
      </c>
      <c r="D5214">
        <v>7</v>
      </c>
      <c r="E5214" t="s">
        <v>7</v>
      </c>
      <c r="F5214" t="s">
        <v>7</v>
      </c>
      <c r="G5214" t="s">
        <v>7</v>
      </c>
      <c r="H5214">
        <v>42217.94</v>
      </c>
      <c r="I5214">
        <v>13259.82</v>
      </c>
      <c r="J5214">
        <v>0</v>
      </c>
    </row>
    <row r="5215" spans="1:10" x14ac:dyDescent="0.35">
      <c r="A5215">
        <v>323884</v>
      </c>
      <c r="B5215" t="s">
        <v>20</v>
      </c>
      <c r="C5215">
        <v>2015</v>
      </c>
      <c r="D5215">
        <v>7</v>
      </c>
      <c r="E5215" t="s">
        <v>7</v>
      </c>
      <c r="F5215" t="s">
        <v>7</v>
      </c>
      <c r="G5215" t="s">
        <v>7</v>
      </c>
      <c r="H5215">
        <v>80367.100000000006</v>
      </c>
      <c r="I5215">
        <v>52992.68</v>
      </c>
      <c r="J5215">
        <v>0</v>
      </c>
    </row>
    <row r="5216" spans="1:10" x14ac:dyDescent="0.35">
      <c r="A5216">
        <v>323885</v>
      </c>
      <c r="B5216" t="s">
        <v>20</v>
      </c>
      <c r="C5216">
        <v>2015</v>
      </c>
      <c r="D5216">
        <v>7</v>
      </c>
      <c r="E5216" t="s">
        <v>7</v>
      </c>
      <c r="F5216" t="s">
        <v>7</v>
      </c>
      <c r="G5216" t="s">
        <v>7</v>
      </c>
      <c r="H5216">
        <v>16739.560000000001</v>
      </c>
      <c r="I5216">
        <v>4398.45</v>
      </c>
      <c r="J5216">
        <v>0</v>
      </c>
    </row>
    <row r="5217" spans="1:10" x14ac:dyDescent="0.35">
      <c r="A5217">
        <v>323886</v>
      </c>
      <c r="B5217" t="s">
        <v>20</v>
      </c>
      <c r="C5217">
        <v>2015</v>
      </c>
      <c r="D5217">
        <v>7</v>
      </c>
      <c r="E5217" t="s">
        <v>7</v>
      </c>
      <c r="F5217" t="s">
        <v>7</v>
      </c>
      <c r="G5217" t="s">
        <v>7</v>
      </c>
      <c r="H5217">
        <v>28811.1</v>
      </c>
      <c r="I5217">
        <v>8252.1</v>
      </c>
      <c r="J5217">
        <v>0</v>
      </c>
    </row>
    <row r="5218" spans="1:10" x14ac:dyDescent="0.35">
      <c r="A5218">
        <v>323887</v>
      </c>
      <c r="B5218" t="s">
        <v>20</v>
      </c>
      <c r="C5218">
        <v>2015</v>
      </c>
      <c r="D5218">
        <v>7</v>
      </c>
      <c r="E5218" t="s">
        <v>7</v>
      </c>
      <c r="F5218" t="s">
        <v>7</v>
      </c>
      <c r="G5218" t="s">
        <v>7</v>
      </c>
      <c r="H5218">
        <v>20714.259999999998</v>
      </c>
      <c r="I5218">
        <v>6641.27</v>
      </c>
      <c r="J5218">
        <v>0</v>
      </c>
    </row>
    <row r="5219" spans="1:10" x14ac:dyDescent="0.35">
      <c r="A5219">
        <v>323888</v>
      </c>
      <c r="B5219" t="s">
        <v>20</v>
      </c>
      <c r="C5219">
        <v>2015</v>
      </c>
      <c r="D5219">
        <v>7</v>
      </c>
      <c r="E5219" t="s">
        <v>7</v>
      </c>
      <c r="F5219" t="s">
        <v>7</v>
      </c>
      <c r="G5219" t="s">
        <v>7</v>
      </c>
      <c r="H5219">
        <v>209817.76</v>
      </c>
      <c r="I5219">
        <v>75413.33</v>
      </c>
      <c r="J5219">
        <v>0</v>
      </c>
    </row>
    <row r="5220" spans="1:10" x14ac:dyDescent="0.35">
      <c r="A5220">
        <v>323890</v>
      </c>
      <c r="B5220" t="s">
        <v>20</v>
      </c>
      <c r="C5220">
        <v>2015</v>
      </c>
      <c r="D5220">
        <v>7</v>
      </c>
      <c r="E5220" t="s">
        <v>7</v>
      </c>
      <c r="F5220" t="s">
        <v>7</v>
      </c>
      <c r="G5220" t="s">
        <v>7</v>
      </c>
      <c r="H5220">
        <v>16352.08</v>
      </c>
      <c r="I5220">
        <v>3137.15</v>
      </c>
      <c r="J5220">
        <v>0</v>
      </c>
    </row>
    <row r="5221" spans="1:10" x14ac:dyDescent="0.35">
      <c r="A5221">
        <v>323893</v>
      </c>
      <c r="B5221" t="s">
        <v>20</v>
      </c>
      <c r="C5221">
        <v>2015</v>
      </c>
      <c r="D5221">
        <v>7</v>
      </c>
      <c r="E5221" t="s">
        <v>7</v>
      </c>
      <c r="F5221" t="s">
        <v>7</v>
      </c>
      <c r="G5221" t="s">
        <v>7</v>
      </c>
      <c r="H5221">
        <v>42034.38</v>
      </c>
      <c r="I5221">
        <v>13293.86</v>
      </c>
      <c r="J5221">
        <v>0</v>
      </c>
    </row>
    <row r="5222" spans="1:10" x14ac:dyDescent="0.35">
      <c r="A5222">
        <v>323894</v>
      </c>
      <c r="B5222" t="s">
        <v>20</v>
      </c>
      <c r="C5222">
        <v>2015</v>
      </c>
      <c r="D5222">
        <v>7</v>
      </c>
      <c r="E5222" t="s">
        <v>7</v>
      </c>
      <c r="F5222" t="s">
        <v>7</v>
      </c>
      <c r="G5222" t="s">
        <v>7</v>
      </c>
      <c r="H5222">
        <v>52635.82</v>
      </c>
      <c r="I5222">
        <v>16161.38</v>
      </c>
      <c r="J5222">
        <v>0</v>
      </c>
    </row>
    <row r="5223" spans="1:10" x14ac:dyDescent="0.35">
      <c r="A5223">
        <v>323895</v>
      </c>
      <c r="B5223" t="s">
        <v>20</v>
      </c>
      <c r="C5223">
        <v>2015</v>
      </c>
      <c r="D5223">
        <v>7</v>
      </c>
      <c r="E5223" t="s">
        <v>7</v>
      </c>
      <c r="F5223" t="s">
        <v>7</v>
      </c>
      <c r="G5223" t="s">
        <v>7</v>
      </c>
      <c r="H5223">
        <v>52190.84</v>
      </c>
      <c r="I5223">
        <v>20361.509999999998</v>
      </c>
      <c r="J5223">
        <v>0</v>
      </c>
    </row>
    <row r="5224" spans="1:10" x14ac:dyDescent="0.35">
      <c r="A5224">
        <v>323897</v>
      </c>
      <c r="B5224" t="s">
        <v>20</v>
      </c>
      <c r="C5224">
        <v>2015</v>
      </c>
      <c r="D5224">
        <v>7</v>
      </c>
      <c r="E5224" t="s">
        <v>7</v>
      </c>
      <c r="F5224" t="s">
        <v>7</v>
      </c>
      <c r="G5224" t="s">
        <v>7</v>
      </c>
      <c r="H5224">
        <v>20266.38</v>
      </c>
      <c r="I5224">
        <v>4335.78</v>
      </c>
      <c r="J5224">
        <v>0</v>
      </c>
    </row>
    <row r="5225" spans="1:10" x14ac:dyDescent="0.35">
      <c r="A5225">
        <v>323899</v>
      </c>
      <c r="B5225" t="s">
        <v>20</v>
      </c>
      <c r="C5225">
        <v>2015</v>
      </c>
      <c r="D5225">
        <v>7</v>
      </c>
      <c r="E5225" t="s">
        <v>7</v>
      </c>
      <c r="F5225" t="s">
        <v>7</v>
      </c>
      <c r="G5225" t="s">
        <v>7</v>
      </c>
      <c r="H5225">
        <v>36484.160000000003</v>
      </c>
      <c r="I5225">
        <v>10671.71</v>
      </c>
      <c r="J5225">
        <v>0</v>
      </c>
    </row>
    <row r="5226" spans="1:10" x14ac:dyDescent="0.35">
      <c r="A5226">
        <v>323902</v>
      </c>
      <c r="B5226" t="s">
        <v>20</v>
      </c>
      <c r="C5226">
        <v>2015</v>
      </c>
      <c r="D5226">
        <v>7</v>
      </c>
      <c r="E5226" t="s">
        <v>7</v>
      </c>
      <c r="F5226" t="s">
        <v>7</v>
      </c>
      <c r="G5226" t="s">
        <v>7</v>
      </c>
      <c r="H5226">
        <v>29224.44</v>
      </c>
      <c r="I5226">
        <v>8178.13</v>
      </c>
      <c r="J5226">
        <v>0</v>
      </c>
    </row>
    <row r="5227" spans="1:10" x14ac:dyDescent="0.35">
      <c r="A5227">
        <v>323903</v>
      </c>
      <c r="B5227" t="s">
        <v>20</v>
      </c>
      <c r="C5227">
        <v>2015</v>
      </c>
      <c r="D5227">
        <v>7</v>
      </c>
      <c r="E5227" t="s">
        <v>7</v>
      </c>
      <c r="F5227" t="s">
        <v>7</v>
      </c>
      <c r="G5227" t="s">
        <v>7</v>
      </c>
      <c r="H5227">
        <v>26467.54</v>
      </c>
      <c r="I5227">
        <v>7665.28</v>
      </c>
      <c r="J5227">
        <v>0</v>
      </c>
    </row>
    <row r="5228" spans="1:10" x14ac:dyDescent="0.35">
      <c r="A5228">
        <v>323904</v>
      </c>
      <c r="B5228" t="s">
        <v>20</v>
      </c>
      <c r="C5228">
        <v>2015</v>
      </c>
      <c r="D5228">
        <v>7</v>
      </c>
      <c r="E5228" t="s">
        <v>7</v>
      </c>
      <c r="F5228" t="s">
        <v>7</v>
      </c>
      <c r="G5228" t="s">
        <v>7</v>
      </c>
      <c r="H5228">
        <v>42920.68</v>
      </c>
      <c r="I5228">
        <v>13489.4</v>
      </c>
      <c r="J5228">
        <v>0</v>
      </c>
    </row>
    <row r="5229" spans="1:10" x14ac:dyDescent="0.35">
      <c r="A5229">
        <v>323906</v>
      </c>
      <c r="B5229" t="s">
        <v>20</v>
      </c>
      <c r="C5229">
        <v>2015</v>
      </c>
      <c r="D5229">
        <v>7</v>
      </c>
      <c r="E5229" t="s">
        <v>7</v>
      </c>
      <c r="F5229" t="s">
        <v>7</v>
      </c>
      <c r="G5229" t="s">
        <v>7</v>
      </c>
      <c r="H5229">
        <v>70883.360000000001</v>
      </c>
      <c r="I5229">
        <v>31879.81</v>
      </c>
      <c r="J5229">
        <v>0</v>
      </c>
    </row>
    <row r="5230" spans="1:10" x14ac:dyDescent="0.35">
      <c r="A5230">
        <v>323909</v>
      </c>
      <c r="B5230" t="s">
        <v>20</v>
      </c>
      <c r="C5230">
        <v>2015</v>
      </c>
      <c r="D5230">
        <v>7</v>
      </c>
      <c r="E5230" t="s">
        <v>7</v>
      </c>
      <c r="F5230" t="s">
        <v>7</v>
      </c>
      <c r="G5230" t="s">
        <v>7</v>
      </c>
      <c r="H5230">
        <v>40471.379999999997</v>
      </c>
      <c r="I5230">
        <v>11950.09</v>
      </c>
      <c r="J5230">
        <v>0</v>
      </c>
    </row>
    <row r="5231" spans="1:10" x14ac:dyDescent="0.35">
      <c r="A5231">
        <v>323912</v>
      </c>
      <c r="B5231" t="s">
        <v>20</v>
      </c>
      <c r="C5231">
        <v>2015</v>
      </c>
      <c r="D5231">
        <v>7</v>
      </c>
      <c r="E5231" t="s">
        <v>7</v>
      </c>
      <c r="F5231" t="s">
        <v>7</v>
      </c>
      <c r="G5231" t="s">
        <v>7</v>
      </c>
      <c r="H5231">
        <v>8078.42</v>
      </c>
      <c r="I5231">
        <v>2216.71</v>
      </c>
      <c r="J5231">
        <v>0</v>
      </c>
    </row>
    <row r="5232" spans="1:10" x14ac:dyDescent="0.35">
      <c r="A5232">
        <v>323913</v>
      </c>
      <c r="B5232" t="s">
        <v>20</v>
      </c>
      <c r="C5232">
        <v>2015</v>
      </c>
      <c r="D5232">
        <v>7</v>
      </c>
      <c r="E5232" t="s">
        <v>7</v>
      </c>
      <c r="F5232" t="s">
        <v>7</v>
      </c>
      <c r="G5232" t="s">
        <v>7</v>
      </c>
      <c r="H5232">
        <v>37899.980000000003</v>
      </c>
      <c r="I5232">
        <v>24005.040000000001</v>
      </c>
      <c r="J5232">
        <v>0</v>
      </c>
    </row>
    <row r="5233" spans="1:10" x14ac:dyDescent="0.35">
      <c r="A5233">
        <v>323914</v>
      </c>
      <c r="B5233" t="s">
        <v>20</v>
      </c>
      <c r="C5233">
        <v>2015</v>
      </c>
      <c r="D5233">
        <v>7</v>
      </c>
      <c r="E5233" t="s">
        <v>7</v>
      </c>
      <c r="F5233" t="s">
        <v>7</v>
      </c>
      <c r="G5233" t="s">
        <v>7</v>
      </c>
      <c r="H5233">
        <v>23137.02</v>
      </c>
      <c r="I5233">
        <v>6232.12</v>
      </c>
      <c r="J5233">
        <v>0</v>
      </c>
    </row>
    <row r="5234" spans="1:10" x14ac:dyDescent="0.35">
      <c r="A5234">
        <v>323915</v>
      </c>
      <c r="B5234" t="s">
        <v>20</v>
      </c>
      <c r="C5234">
        <v>2015</v>
      </c>
      <c r="D5234">
        <v>7</v>
      </c>
      <c r="E5234" t="s">
        <v>7</v>
      </c>
      <c r="F5234" t="s">
        <v>7</v>
      </c>
      <c r="G5234" t="s">
        <v>7</v>
      </c>
      <c r="H5234">
        <v>22361.14</v>
      </c>
      <c r="I5234">
        <v>6639.92</v>
      </c>
      <c r="J5234">
        <v>0</v>
      </c>
    </row>
    <row r="5235" spans="1:10" x14ac:dyDescent="0.35">
      <c r="A5235">
        <v>323916</v>
      </c>
      <c r="B5235" t="s">
        <v>20</v>
      </c>
      <c r="C5235">
        <v>2015</v>
      </c>
      <c r="D5235">
        <v>7</v>
      </c>
      <c r="E5235" t="s">
        <v>7</v>
      </c>
      <c r="F5235" t="s">
        <v>7</v>
      </c>
      <c r="G5235" t="s">
        <v>7</v>
      </c>
      <c r="H5235">
        <v>114007.62</v>
      </c>
      <c r="I5235">
        <v>51014.92</v>
      </c>
      <c r="J5235">
        <v>0</v>
      </c>
    </row>
    <row r="5236" spans="1:10" x14ac:dyDescent="0.35">
      <c r="A5236">
        <v>323919</v>
      </c>
      <c r="B5236" t="s">
        <v>20</v>
      </c>
      <c r="C5236">
        <v>2015</v>
      </c>
      <c r="D5236">
        <v>7</v>
      </c>
      <c r="E5236" t="s">
        <v>7</v>
      </c>
      <c r="F5236" t="s">
        <v>7</v>
      </c>
      <c r="G5236" t="s">
        <v>7</v>
      </c>
      <c r="H5236">
        <v>30220.62</v>
      </c>
      <c r="I5236">
        <v>8061.26</v>
      </c>
      <c r="J5236">
        <v>0</v>
      </c>
    </row>
    <row r="5237" spans="1:10" x14ac:dyDescent="0.35">
      <c r="A5237">
        <v>323920</v>
      </c>
      <c r="B5237" t="s">
        <v>20</v>
      </c>
      <c r="C5237">
        <v>2015</v>
      </c>
      <c r="D5237">
        <v>7</v>
      </c>
      <c r="E5237" t="s">
        <v>7</v>
      </c>
      <c r="F5237" t="s">
        <v>7</v>
      </c>
      <c r="G5237" t="s">
        <v>7</v>
      </c>
      <c r="H5237">
        <v>25789.9</v>
      </c>
      <c r="I5237">
        <v>7367.06</v>
      </c>
      <c r="J5237">
        <v>0</v>
      </c>
    </row>
    <row r="5238" spans="1:10" x14ac:dyDescent="0.35">
      <c r="A5238">
        <v>323921</v>
      </c>
      <c r="B5238" t="s">
        <v>20</v>
      </c>
      <c r="C5238">
        <v>2015</v>
      </c>
      <c r="D5238">
        <v>7</v>
      </c>
      <c r="E5238" t="s">
        <v>7</v>
      </c>
      <c r="F5238" t="s">
        <v>7</v>
      </c>
      <c r="G5238" t="s">
        <v>7</v>
      </c>
      <c r="H5238">
        <v>46989.68</v>
      </c>
      <c r="I5238">
        <v>26231.47</v>
      </c>
      <c r="J5238">
        <v>0</v>
      </c>
    </row>
    <row r="5239" spans="1:10" x14ac:dyDescent="0.35">
      <c r="A5239">
        <v>323922</v>
      </c>
      <c r="B5239" t="s">
        <v>20</v>
      </c>
      <c r="C5239">
        <v>2015</v>
      </c>
      <c r="D5239">
        <v>7</v>
      </c>
      <c r="E5239" t="s">
        <v>7</v>
      </c>
      <c r="F5239" t="s">
        <v>7</v>
      </c>
      <c r="G5239" t="s">
        <v>7</v>
      </c>
      <c r="H5239">
        <v>33775.58</v>
      </c>
      <c r="I5239">
        <v>8015.91</v>
      </c>
      <c r="J5239">
        <v>0</v>
      </c>
    </row>
    <row r="5240" spans="1:10" x14ac:dyDescent="0.35">
      <c r="A5240">
        <v>323923</v>
      </c>
      <c r="B5240" t="s">
        <v>20</v>
      </c>
      <c r="C5240">
        <v>2015</v>
      </c>
      <c r="D5240">
        <v>7</v>
      </c>
      <c r="E5240" t="s">
        <v>7</v>
      </c>
      <c r="F5240" t="s">
        <v>7</v>
      </c>
      <c r="G5240" t="s">
        <v>7</v>
      </c>
      <c r="H5240">
        <v>40709.54</v>
      </c>
      <c r="I5240">
        <v>12759.65</v>
      </c>
      <c r="J5240">
        <v>0</v>
      </c>
    </row>
    <row r="5241" spans="1:10" x14ac:dyDescent="0.35">
      <c r="A5241">
        <v>323924</v>
      </c>
      <c r="B5241" t="s">
        <v>20</v>
      </c>
      <c r="C5241">
        <v>2015</v>
      </c>
      <c r="D5241">
        <v>7</v>
      </c>
      <c r="E5241" t="s">
        <v>7</v>
      </c>
      <c r="F5241" t="s">
        <v>7</v>
      </c>
      <c r="G5241" t="s">
        <v>7</v>
      </c>
      <c r="H5241">
        <v>56564.86</v>
      </c>
      <c r="I5241">
        <v>16968.25</v>
      </c>
      <c r="J5241">
        <v>0</v>
      </c>
    </row>
    <row r="5242" spans="1:10" x14ac:dyDescent="0.35">
      <c r="A5242">
        <v>323925</v>
      </c>
      <c r="B5242" t="s">
        <v>20</v>
      </c>
      <c r="C5242">
        <v>2015</v>
      </c>
      <c r="D5242">
        <v>7</v>
      </c>
      <c r="E5242" t="s">
        <v>7</v>
      </c>
      <c r="F5242" t="s">
        <v>7</v>
      </c>
      <c r="G5242" t="s">
        <v>7</v>
      </c>
      <c r="H5242">
        <v>37115.019999999997</v>
      </c>
      <c r="I5242">
        <v>25458.69</v>
      </c>
      <c r="J5242">
        <v>0</v>
      </c>
    </row>
    <row r="5243" spans="1:10" x14ac:dyDescent="0.35">
      <c r="A5243">
        <v>323926</v>
      </c>
      <c r="B5243" t="s">
        <v>20</v>
      </c>
      <c r="C5243">
        <v>2015</v>
      </c>
      <c r="D5243">
        <v>7</v>
      </c>
      <c r="E5243" t="s">
        <v>7</v>
      </c>
      <c r="F5243" t="s">
        <v>7</v>
      </c>
      <c r="G5243" t="s">
        <v>7</v>
      </c>
      <c r="H5243">
        <v>33505.82</v>
      </c>
      <c r="I5243">
        <v>9431.0400000000009</v>
      </c>
      <c r="J5243">
        <v>0</v>
      </c>
    </row>
    <row r="5244" spans="1:10" x14ac:dyDescent="0.35">
      <c r="A5244">
        <v>323927</v>
      </c>
      <c r="B5244" t="s">
        <v>20</v>
      </c>
      <c r="C5244">
        <v>2015</v>
      </c>
      <c r="D5244">
        <v>7</v>
      </c>
      <c r="E5244" t="s">
        <v>7</v>
      </c>
      <c r="F5244" t="s">
        <v>7</v>
      </c>
      <c r="G5244" t="s">
        <v>7</v>
      </c>
      <c r="H5244">
        <v>36061.800000000003</v>
      </c>
      <c r="I5244">
        <v>11166.56</v>
      </c>
      <c r="J5244">
        <v>0</v>
      </c>
    </row>
    <row r="5245" spans="1:10" x14ac:dyDescent="0.35">
      <c r="A5245">
        <v>323929</v>
      </c>
      <c r="B5245" t="s">
        <v>20</v>
      </c>
      <c r="C5245">
        <v>2015</v>
      </c>
      <c r="D5245">
        <v>7</v>
      </c>
      <c r="E5245" t="s">
        <v>7</v>
      </c>
      <c r="F5245" t="s">
        <v>7</v>
      </c>
      <c r="G5245" t="s">
        <v>7</v>
      </c>
      <c r="H5245">
        <v>19274.22</v>
      </c>
      <c r="I5245">
        <v>5473.98</v>
      </c>
      <c r="J5245">
        <v>0</v>
      </c>
    </row>
    <row r="5246" spans="1:10" x14ac:dyDescent="0.35">
      <c r="A5246">
        <v>323930</v>
      </c>
      <c r="B5246" t="s">
        <v>20</v>
      </c>
      <c r="C5246">
        <v>2015</v>
      </c>
      <c r="D5246">
        <v>7</v>
      </c>
      <c r="E5246" t="s">
        <v>7</v>
      </c>
      <c r="F5246" t="s">
        <v>7</v>
      </c>
      <c r="G5246" t="s">
        <v>7</v>
      </c>
      <c r="H5246">
        <v>30259.1</v>
      </c>
      <c r="I5246">
        <v>9075.2000000000007</v>
      </c>
      <c r="J5246">
        <v>0</v>
      </c>
    </row>
    <row r="5247" spans="1:10" x14ac:dyDescent="0.35">
      <c r="A5247">
        <v>323932</v>
      </c>
      <c r="B5247" t="s">
        <v>20</v>
      </c>
      <c r="C5247">
        <v>2015</v>
      </c>
      <c r="D5247">
        <v>7</v>
      </c>
      <c r="E5247" t="s">
        <v>7</v>
      </c>
      <c r="F5247" t="s">
        <v>7</v>
      </c>
      <c r="G5247" t="s">
        <v>7</v>
      </c>
      <c r="H5247">
        <v>26804.42</v>
      </c>
      <c r="I5247">
        <v>7768.51</v>
      </c>
      <c r="J5247">
        <v>0</v>
      </c>
    </row>
    <row r="5248" spans="1:10" x14ac:dyDescent="0.35">
      <c r="A5248">
        <v>323936</v>
      </c>
      <c r="B5248" t="s">
        <v>20</v>
      </c>
      <c r="C5248">
        <v>2015</v>
      </c>
      <c r="D5248">
        <v>7</v>
      </c>
      <c r="E5248" t="s">
        <v>7</v>
      </c>
      <c r="F5248" t="s">
        <v>7</v>
      </c>
      <c r="G5248" t="s">
        <v>7</v>
      </c>
      <c r="H5248">
        <v>28494.34</v>
      </c>
      <c r="I5248">
        <v>14875.9</v>
      </c>
      <c r="J5248">
        <v>0</v>
      </c>
    </row>
    <row r="5249" spans="1:10" x14ac:dyDescent="0.35">
      <c r="A5249">
        <v>323937</v>
      </c>
      <c r="B5249" t="s">
        <v>20</v>
      </c>
      <c r="C5249">
        <v>2015</v>
      </c>
      <c r="D5249">
        <v>7</v>
      </c>
      <c r="E5249" t="s">
        <v>7</v>
      </c>
      <c r="F5249" t="s">
        <v>7</v>
      </c>
      <c r="G5249" t="s">
        <v>7</v>
      </c>
      <c r="H5249">
        <v>54813.440000000002</v>
      </c>
      <c r="I5249">
        <v>16295.82</v>
      </c>
      <c r="J5249">
        <v>0</v>
      </c>
    </row>
    <row r="5250" spans="1:10" x14ac:dyDescent="0.35">
      <c r="A5250">
        <v>323939</v>
      </c>
      <c r="B5250" t="s">
        <v>20</v>
      </c>
      <c r="C5250">
        <v>2015</v>
      </c>
      <c r="D5250">
        <v>7</v>
      </c>
      <c r="E5250" t="s">
        <v>7</v>
      </c>
      <c r="F5250" t="s">
        <v>7</v>
      </c>
      <c r="G5250" t="s">
        <v>7</v>
      </c>
      <c r="H5250">
        <v>23961.38</v>
      </c>
      <c r="I5250">
        <v>6294.41</v>
      </c>
      <c r="J5250">
        <v>0</v>
      </c>
    </row>
    <row r="5251" spans="1:10" x14ac:dyDescent="0.35">
      <c r="A5251">
        <v>323940</v>
      </c>
      <c r="B5251" t="s">
        <v>20</v>
      </c>
      <c r="C5251">
        <v>2015</v>
      </c>
      <c r="D5251">
        <v>7</v>
      </c>
      <c r="E5251" t="s">
        <v>7</v>
      </c>
      <c r="F5251" t="s">
        <v>7</v>
      </c>
      <c r="G5251" t="s">
        <v>7</v>
      </c>
      <c r="H5251">
        <v>13219.5</v>
      </c>
      <c r="I5251">
        <v>3697.58</v>
      </c>
      <c r="J5251">
        <v>0</v>
      </c>
    </row>
    <row r="5252" spans="1:10" x14ac:dyDescent="0.35">
      <c r="A5252">
        <v>323942</v>
      </c>
      <c r="B5252" t="s">
        <v>20</v>
      </c>
      <c r="C5252">
        <v>2015</v>
      </c>
      <c r="D5252">
        <v>7</v>
      </c>
      <c r="E5252" t="s">
        <v>7</v>
      </c>
      <c r="F5252" t="s">
        <v>7</v>
      </c>
      <c r="G5252" t="s">
        <v>7</v>
      </c>
      <c r="H5252">
        <v>9404.92</v>
      </c>
      <c r="I5252">
        <v>2558.62</v>
      </c>
      <c r="J5252">
        <v>0</v>
      </c>
    </row>
    <row r="5253" spans="1:10" x14ac:dyDescent="0.35">
      <c r="A5253">
        <v>323944</v>
      </c>
      <c r="B5253" t="s">
        <v>20</v>
      </c>
      <c r="C5253">
        <v>2015</v>
      </c>
      <c r="D5253">
        <v>7</v>
      </c>
      <c r="E5253" t="s">
        <v>7</v>
      </c>
      <c r="F5253" t="s">
        <v>7</v>
      </c>
      <c r="G5253" t="s">
        <v>7</v>
      </c>
      <c r="H5253">
        <v>14188.2</v>
      </c>
      <c r="I5253">
        <v>3095.67</v>
      </c>
      <c r="J5253">
        <v>0</v>
      </c>
    </row>
    <row r="5254" spans="1:10" x14ac:dyDescent="0.35">
      <c r="A5254">
        <v>323945</v>
      </c>
      <c r="B5254" t="s">
        <v>20</v>
      </c>
      <c r="C5254">
        <v>2015</v>
      </c>
      <c r="D5254">
        <v>7</v>
      </c>
      <c r="E5254" t="s">
        <v>7</v>
      </c>
      <c r="F5254" t="s">
        <v>7</v>
      </c>
      <c r="G5254" t="s">
        <v>7</v>
      </c>
      <c r="H5254">
        <v>29483</v>
      </c>
      <c r="I5254">
        <v>8623.61</v>
      </c>
      <c r="J5254">
        <v>0</v>
      </c>
    </row>
    <row r="5255" spans="1:10" x14ac:dyDescent="0.35">
      <c r="A5255">
        <v>323946</v>
      </c>
      <c r="B5255" t="s">
        <v>20</v>
      </c>
      <c r="C5255">
        <v>2015</v>
      </c>
      <c r="D5255">
        <v>7</v>
      </c>
      <c r="E5255" t="s">
        <v>7</v>
      </c>
      <c r="F5255" t="s">
        <v>7</v>
      </c>
      <c r="G5255" t="s">
        <v>7</v>
      </c>
      <c r="H5255">
        <v>47339.9</v>
      </c>
      <c r="I5255">
        <v>14108.71</v>
      </c>
      <c r="J5255">
        <v>0</v>
      </c>
    </row>
    <row r="5256" spans="1:10" x14ac:dyDescent="0.35">
      <c r="A5256">
        <v>323947</v>
      </c>
      <c r="B5256" t="s">
        <v>20</v>
      </c>
      <c r="C5256">
        <v>2015</v>
      </c>
      <c r="D5256">
        <v>7</v>
      </c>
      <c r="E5256" t="s">
        <v>7</v>
      </c>
      <c r="F5256" t="s">
        <v>7</v>
      </c>
      <c r="G5256" t="s">
        <v>7</v>
      </c>
      <c r="H5256">
        <v>23074</v>
      </c>
      <c r="I5256">
        <v>5254.89</v>
      </c>
      <c r="J5256">
        <v>0</v>
      </c>
    </row>
    <row r="5257" spans="1:10" x14ac:dyDescent="0.35">
      <c r="A5257">
        <v>323949</v>
      </c>
      <c r="B5257" t="s">
        <v>20</v>
      </c>
      <c r="C5257">
        <v>2015</v>
      </c>
      <c r="D5257">
        <v>7</v>
      </c>
      <c r="E5257" t="s">
        <v>7</v>
      </c>
      <c r="F5257" t="s">
        <v>7</v>
      </c>
      <c r="G5257" t="s">
        <v>7</v>
      </c>
      <c r="H5257">
        <v>27689.56</v>
      </c>
      <c r="I5257">
        <v>8642.8799999999992</v>
      </c>
      <c r="J5257">
        <v>0</v>
      </c>
    </row>
    <row r="5258" spans="1:10" x14ac:dyDescent="0.35">
      <c r="A5258">
        <v>323951</v>
      </c>
      <c r="B5258" t="s">
        <v>20</v>
      </c>
      <c r="C5258">
        <v>2015</v>
      </c>
      <c r="D5258">
        <v>7</v>
      </c>
      <c r="E5258" t="s">
        <v>7</v>
      </c>
      <c r="F5258" t="s">
        <v>7</v>
      </c>
      <c r="G5258" t="s">
        <v>7</v>
      </c>
      <c r="H5258">
        <v>81218.399999999994</v>
      </c>
      <c r="I5258">
        <v>38090.42</v>
      </c>
      <c r="J5258">
        <v>0</v>
      </c>
    </row>
    <row r="5259" spans="1:10" x14ac:dyDescent="0.35">
      <c r="A5259">
        <v>323952</v>
      </c>
      <c r="B5259" t="s">
        <v>20</v>
      </c>
      <c r="C5259">
        <v>2015</v>
      </c>
      <c r="D5259">
        <v>7</v>
      </c>
      <c r="E5259" t="s">
        <v>7</v>
      </c>
      <c r="F5259" t="s">
        <v>7</v>
      </c>
      <c r="G5259" t="s">
        <v>7</v>
      </c>
      <c r="H5259">
        <v>22140</v>
      </c>
      <c r="I5259">
        <v>6235.09</v>
      </c>
      <c r="J5259">
        <v>0</v>
      </c>
    </row>
    <row r="5260" spans="1:10" x14ac:dyDescent="0.35">
      <c r="A5260">
        <v>323953</v>
      </c>
      <c r="B5260" t="s">
        <v>20</v>
      </c>
      <c r="C5260">
        <v>2015</v>
      </c>
      <c r="D5260">
        <v>7</v>
      </c>
      <c r="E5260" t="s">
        <v>7</v>
      </c>
      <c r="F5260" t="s">
        <v>7</v>
      </c>
      <c r="G5260" t="s">
        <v>7</v>
      </c>
      <c r="H5260">
        <v>60404.959999999999</v>
      </c>
      <c r="I5260">
        <v>15733.98</v>
      </c>
      <c r="J5260">
        <v>0</v>
      </c>
    </row>
    <row r="5261" spans="1:10" x14ac:dyDescent="0.35">
      <c r="A5261">
        <v>323954</v>
      </c>
      <c r="B5261" t="s">
        <v>20</v>
      </c>
      <c r="C5261">
        <v>2015</v>
      </c>
      <c r="D5261">
        <v>7</v>
      </c>
      <c r="E5261" t="s">
        <v>7</v>
      </c>
      <c r="F5261" t="s">
        <v>7</v>
      </c>
      <c r="G5261" t="s">
        <v>7</v>
      </c>
      <c r="H5261">
        <v>10731.38</v>
      </c>
      <c r="I5261">
        <v>2672.34</v>
      </c>
      <c r="J5261">
        <v>0</v>
      </c>
    </row>
    <row r="5262" spans="1:10" x14ac:dyDescent="0.35">
      <c r="A5262">
        <v>323955</v>
      </c>
      <c r="B5262" t="s">
        <v>20</v>
      </c>
      <c r="C5262">
        <v>2015</v>
      </c>
      <c r="D5262">
        <v>7</v>
      </c>
      <c r="E5262" t="s">
        <v>7</v>
      </c>
      <c r="F5262" t="s">
        <v>7</v>
      </c>
      <c r="G5262" t="s">
        <v>7</v>
      </c>
      <c r="H5262">
        <v>26830.1</v>
      </c>
      <c r="I5262">
        <v>7117.97</v>
      </c>
      <c r="J5262">
        <v>0</v>
      </c>
    </row>
    <row r="5263" spans="1:10" x14ac:dyDescent="0.35">
      <c r="A5263">
        <v>323957</v>
      </c>
      <c r="B5263" t="s">
        <v>20</v>
      </c>
      <c r="C5263">
        <v>2015</v>
      </c>
      <c r="D5263">
        <v>7</v>
      </c>
      <c r="E5263" t="s">
        <v>7</v>
      </c>
      <c r="F5263" t="s">
        <v>7</v>
      </c>
      <c r="G5263" t="s">
        <v>7</v>
      </c>
      <c r="H5263">
        <v>94322.46</v>
      </c>
      <c r="I5263">
        <v>40541.47</v>
      </c>
      <c r="J5263">
        <v>0</v>
      </c>
    </row>
    <row r="5264" spans="1:10" x14ac:dyDescent="0.35">
      <c r="A5264">
        <v>323958</v>
      </c>
      <c r="B5264" t="s">
        <v>20</v>
      </c>
      <c r="C5264">
        <v>2015</v>
      </c>
      <c r="D5264">
        <v>7</v>
      </c>
      <c r="E5264" t="s">
        <v>7</v>
      </c>
      <c r="F5264" t="s">
        <v>7</v>
      </c>
      <c r="G5264" t="s">
        <v>7</v>
      </c>
      <c r="H5264">
        <v>20467.740000000002</v>
      </c>
      <c r="I5264">
        <v>5041.16</v>
      </c>
      <c r="J5264">
        <v>0</v>
      </c>
    </row>
    <row r="5265" spans="1:10" x14ac:dyDescent="0.35">
      <c r="A5265">
        <v>323959</v>
      </c>
      <c r="B5265" t="s">
        <v>20</v>
      </c>
      <c r="C5265">
        <v>2015</v>
      </c>
      <c r="D5265">
        <v>7</v>
      </c>
      <c r="E5265" t="s">
        <v>7</v>
      </c>
      <c r="F5265" t="s">
        <v>7</v>
      </c>
      <c r="G5265" t="s">
        <v>7</v>
      </c>
      <c r="H5265">
        <v>150639.48000000001</v>
      </c>
      <c r="I5265">
        <v>49466.67</v>
      </c>
      <c r="J5265">
        <v>0</v>
      </c>
    </row>
    <row r="5266" spans="1:10" x14ac:dyDescent="0.35">
      <c r="A5266">
        <v>323961</v>
      </c>
      <c r="B5266" t="s">
        <v>20</v>
      </c>
      <c r="C5266">
        <v>2015</v>
      </c>
      <c r="D5266">
        <v>7</v>
      </c>
      <c r="E5266" t="s">
        <v>7</v>
      </c>
      <c r="F5266" t="s">
        <v>7</v>
      </c>
      <c r="G5266" t="s">
        <v>7</v>
      </c>
      <c r="H5266">
        <v>23002.080000000002</v>
      </c>
      <c r="I5266">
        <v>6344.93</v>
      </c>
      <c r="J5266">
        <v>0</v>
      </c>
    </row>
    <row r="5267" spans="1:10" x14ac:dyDescent="0.35">
      <c r="A5267">
        <v>323962</v>
      </c>
      <c r="B5267" t="s">
        <v>20</v>
      </c>
      <c r="C5267">
        <v>2015</v>
      </c>
      <c r="D5267">
        <v>7</v>
      </c>
      <c r="E5267" t="s">
        <v>7</v>
      </c>
      <c r="F5267" t="s">
        <v>7</v>
      </c>
      <c r="G5267" t="s">
        <v>7</v>
      </c>
      <c r="H5267">
        <v>19515.52</v>
      </c>
      <c r="I5267">
        <v>5697.1</v>
      </c>
      <c r="J5267">
        <v>0</v>
      </c>
    </row>
    <row r="5268" spans="1:10" x14ac:dyDescent="0.35">
      <c r="A5268">
        <v>323963</v>
      </c>
      <c r="B5268" t="s">
        <v>20</v>
      </c>
      <c r="C5268">
        <v>2015</v>
      </c>
      <c r="D5268">
        <v>7</v>
      </c>
      <c r="E5268" t="s">
        <v>7</v>
      </c>
      <c r="F5268" t="s">
        <v>7</v>
      </c>
      <c r="G5268" t="s">
        <v>7</v>
      </c>
      <c r="H5268">
        <v>124074.28</v>
      </c>
      <c r="I5268">
        <v>48658.22</v>
      </c>
      <c r="J5268">
        <v>0</v>
      </c>
    </row>
    <row r="5269" spans="1:10" x14ac:dyDescent="0.35">
      <c r="A5269">
        <v>323964</v>
      </c>
      <c r="B5269" t="s">
        <v>20</v>
      </c>
      <c r="C5269">
        <v>2015</v>
      </c>
      <c r="D5269">
        <v>7</v>
      </c>
      <c r="E5269" t="s">
        <v>7</v>
      </c>
      <c r="F5269" t="s">
        <v>7</v>
      </c>
      <c r="G5269" t="s">
        <v>7</v>
      </c>
      <c r="H5269">
        <v>18045.939999999999</v>
      </c>
      <c r="I5269">
        <v>4690.04</v>
      </c>
      <c r="J5269">
        <v>0</v>
      </c>
    </row>
    <row r="5270" spans="1:10" x14ac:dyDescent="0.35">
      <c r="A5270">
        <v>323965</v>
      </c>
      <c r="B5270" t="s">
        <v>20</v>
      </c>
      <c r="C5270">
        <v>2015</v>
      </c>
      <c r="D5270">
        <v>7</v>
      </c>
      <c r="E5270" t="s">
        <v>7</v>
      </c>
      <c r="F5270" t="s">
        <v>7</v>
      </c>
      <c r="G5270" t="s">
        <v>7</v>
      </c>
      <c r="H5270">
        <v>52778.8</v>
      </c>
      <c r="I5270">
        <v>28109.51</v>
      </c>
      <c r="J5270">
        <v>0</v>
      </c>
    </row>
    <row r="5271" spans="1:10" x14ac:dyDescent="0.35">
      <c r="A5271">
        <v>323966</v>
      </c>
      <c r="B5271" t="s">
        <v>20</v>
      </c>
      <c r="C5271">
        <v>2015</v>
      </c>
      <c r="D5271">
        <v>7</v>
      </c>
      <c r="E5271" t="s">
        <v>7</v>
      </c>
      <c r="F5271" t="s">
        <v>7</v>
      </c>
      <c r="G5271" t="s">
        <v>7</v>
      </c>
      <c r="H5271">
        <v>13547.42</v>
      </c>
      <c r="I5271">
        <v>3179.55</v>
      </c>
      <c r="J5271">
        <v>0</v>
      </c>
    </row>
    <row r="5272" spans="1:10" x14ac:dyDescent="0.35">
      <c r="A5272">
        <v>323967</v>
      </c>
      <c r="B5272" t="s">
        <v>20</v>
      </c>
      <c r="C5272">
        <v>2015</v>
      </c>
      <c r="D5272">
        <v>7</v>
      </c>
      <c r="E5272" t="s">
        <v>7</v>
      </c>
      <c r="F5272" t="s">
        <v>7</v>
      </c>
      <c r="G5272" t="s">
        <v>7</v>
      </c>
      <c r="H5272">
        <v>22613.02</v>
      </c>
      <c r="I5272">
        <v>6534.27</v>
      </c>
      <c r="J5272">
        <v>0</v>
      </c>
    </row>
    <row r="5273" spans="1:10" x14ac:dyDescent="0.35">
      <c r="A5273">
        <v>323968</v>
      </c>
      <c r="B5273" t="s">
        <v>20</v>
      </c>
      <c r="C5273">
        <v>2015</v>
      </c>
      <c r="D5273">
        <v>7</v>
      </c>
      <c r="E5273" t="s">
        <v>7</v>
      </c>
      <c r="F5273" t="s">
        <v>7</v>
      </c>
      <c r="G5273" t="s">
        <v>7</v>
      </c>
      <c r="H5273">
        <v>18118.439999999999</v>
      </c>
      <c r="I5273">
        <v>4158.5</v>
      </c>
      <c r="J5273">
        <v>0</v>
      </c>
    </row>
    <row r="5274" spans="1:10" x14ac:dyDescent="0.35">
      <c r="A5274">
        <v>323970</v>
      </c>
      <c r="B5274" t="s">
        <v>20</v>
      </c>
      <c r="C5274">
        <v>2015</v>
      </c>
      <c r="D5274">
        <v>7</v>
      </c>
      <c r="E5274" t="s">
        <v>7</v>
      </c>
      <c r="F5274" t="s">
        <v>7</v>
      </c>
      <c r="G5274" t="s">
        <v>7</v>
      </c>
      <c r="H5274">
        <v>32978.080000000002</v>
      </c>
      <c r="I5274">
        <v>9686.2099999999991</v>
      </c>
      <c r="J5274">
        <v>0</v>
      </c>
    </row>
    <row r="5275" spans="1:10" x14ac:dyDescent="0.35">
      <c r="A5275">
        <v>323972</v>
      </c>
      <c r="B5275" t="s">
        <v>20</v>
      </c>
      <c r="C5275">
        <v>2015</v>
      </c>
      <c r="D5275">
        <v>7</v>
      </c>
      <c r="E5275" t="s">
        <v>7</v>
      </c>
      <c r="F5275" t="s">
        <v>7</v>
      </c>
      <c r="G5275" t="s">
        <v>7</v>
      </c>
      <c r="H5275">
        <v>74799.94</v>
      </c>
      <c r="I5275">
        <v>22667.43</v>
      </c>
      <c r="J5275">
        <v>0</v>
      </c>
    </row>
    <row r="5276" spans="1:10" x14ac:dyDescent="0.35">
      <c r="A5276">
        <v>323973</v>
      </c>
      <c r="B5276" t="s">
        <v>20</v>
      </c>
      <c r="C5276">
        <v>2015</v>
      </c>
      <c r="D5276">
        <v>7</v>
      </c>
      <c r="E5276" t="s">
        <v>7</v>
      </c>
      <c r="F5276" t="s">
        <v>7</v>
      </c>
      <c r="G5276" t="s">
        <v>7</v>
      </c>
      <c r="H5276">
        <v>25038.3</v>
      </c>
      <c r="I5276">
        <v>9679.11</v>
      </c>
      <c r="J5276">
        <v>0</v>
      </c>
    </row>
    <row r="5277" spans="1:10" x14ac:dyDescent="0.35">
      <c r="A5277">
        <v>323974</v>
      </c>
      <c r="B5277" t="s">
        <v>20</v>
      </c>
      <c r="C5277">
        <v>2015</v>
      </c>
      <c r="D5277">
        <v>7</v>
      </c>
      <c r="E5277" t="s">
        <v>7</v>
      </c>
      <c r="F5277" t="s">
        <v>7</v>
      </c>
      <c r="G5277" t="s">
        <v>7</v>
      </c>
      <c r="H5277">
        <v>20735.48</v>
      </c>
      <c r="I5277">
        <v>5482.28</v>
      </c>
      <c r="J5277">
        <v>0</v>
      </c>
    </row>
    <row r="5278" spans="1:10" x14ac:dyDescent="0.35">
      <c r="A5278">
        <v>323977</v>
      </c>
      <c r="B5278" t="s">
        <v>20</v>
      </c>
      <c r="C5278">
        <v>2015</v>
      </c>
      <c r="D5278">
        <v>7</v>
      </c>
      <c r="E5278" t="s">
        <v>7</v>
      </c>
      <c r="F5278" t="s">
        <v>7</v>
      </c>
      <c r="G5278" t="s">
        <v>7</v>
      </c>
      <c r="H5278">
        <v>50729.52</v>
      </c>
      <c r="I5278">
        <v>14817.46</v>
      </c>
      <c r="J5278">
        <v>0</v>
      </c>
    </row>
    <row r="5279" spans="1:10" x14ac:dyDescent="0.35">
      <c r="A5279">
        <v>323978</v>
      </c>
      <c r="B5279" t="s">
        <v>20</v>
      </c>
      <c r="C5279">
        <v>2015</v>
      </c>
      <c r="D5279">
        <v>7</v>
      </c>
      <c r="E5279" t="s">
        <v>7</v>
      </c>
      <c r="F5279" t="s">
        <v>7</v>
      </c>
      <c r="G5279" t="s">
        <v>7</v>
      </c>
      <c r="H5279">
        <v>260648.06</v>
      </c>
      <c r="I5279">
        <v>150595.26999999999</v>
      </c>
      <c r="J5279">
        <v>0</v>
      </c>
    </row>
    <row r="5280" spans="1:10" x14ac:dyDescent="0.35">
      <c r="A5280">
        <v>323979</v>
      </c>
      <c r="B5280" t="s">
        <v>20</v>
      </c>
      <c r="C5280">
        <v>2015</v>
      </c>
      <c r="D5280">
        <v>7</v>
      </c>
      <c r="E5280" t="s">
        <v>7</v>
      </c>
      <c r="F5280" t="s">
        <v>7</v>
      </c>
      <c r="G5280" t="s">
        <v>7</v>
      </c>
      <c r="H5280">
        <v>52157.54</v>
      </c>
      <c r="I5280">
        <v>27815.68</v>
      </c>
      <c r="J5280">
        <v>0</v>
      </c>
    </row>
    <row r="5281" spans="1:10" x14ac:dyDescent="0.35">
      <c r="A5281">
        <v>323980</v>
      </c>
      <c r="B5281" t="s">
        <v>20</v>
      </c>
      <c r="C5281">
        <v>2015</v>
      </c>
      <c r="D5281">
        <v>7</v>
      </c>
      <c r="E5281" t="s">
        <v>7</v>
      </c>
      <c r="F5281" t="s">
        <v>7</v>
      </c>
      <c r="G5281" t="s">
        <v>7</v>
      </c>
      <c r="H5281">
        <v>6474.06</v>
      </c>
      <c r="I5281">
        <v>1906.19</v>
      </c>
      <c r="J5281">
        <v>0</v>
      </c>
    </row>
    <row r="5282" spans="1:10" x14ac:dyDescent="0.35">
      <c r="A5282">
        <v>323981</v>
      </c>
      <c r="B5282" t="s">
        <v>20</v>
      </c>
      <c r="C5282">
        <v>2015</v>
      </c>
      <c r="D5282">
        <v>7</v>
      </c>
      <c r="E5282" t="s">
        <v>7</v>
      </c>
      <c r="F5282" t="s">
        <v>7</v>
      </c>
      <c r="G5282" t="s">
        <v>7</v>
      </c>
      <c r="H5282">
        <v>12624.6</v>
      </c>
      <c r="I5282">
        <v>3470.96</v>
      </c>
      <c r="J5282">
        <v>0</v>
      </c>
    </row>
    <row r="5283" spans="1:10" x14ac:dyDescent="0.35">
      <c r="A5283">
        <v>323982</v>
      </c>
      <c r="B5283" t="s">
        <v>20</v>
      </c>
      <c r="C5283">
        <v>2015</v>
      </c>
      <c r="D5283">
        <v>7</v>
      </c>
      <c r="E5283" t="s">
        <v>7</v>
      </c>
      <c r="F5283" t="s">
        <v>7</v>
      </c>
      <c r="G5283" t="s">
        <v>7</v>
      </c>
      <c r="H5283">
        <v>29156.48</v>
      </c>
      <c r="I5283">
        <v>7796.92</v>
      </c>
      <c r="J5283">
        <v>0</v>
      </c>
    </row>
    <row r="5284" spans="1:10" x14ac:dyDescent="0.35">
      <c r="A5284">
        <v>323986</v>
      </c>
      <c r="B5284" t="s">
        <v>20</v>
      </c>
      <c r="C5284">
        <v>2015</v>
      </c>
      <c r="D5284">
        <v>7</v>
      </c>
      <c r="E5284" t="s">
        <v>7</v>
      </c>
      <c r="F5284" t="s">
        <v>7</v>
      </c>
      <c r="G5284" t="s">
        <v>7</v>
      </c>
      <c r="H5284">
        <v>207479.84</v>
      </c>
      <c r="I5284">
        <v>112607.58</v>
      </c>
      <c r="J5284">
        <v>0</v>
      </c>
    </row>
    <row r="5285" spans="1:10" x14ac:dyDescent="0.35">
      <c r="A5285">
        <v>323987</v>
      </c>
      <c r="B5285" t="s">
        <v>20</v>
      </c>
      <c r="C5285">
        <v>2015</v>
      </c>
      <c r="D5285">
        <v>7</v>
      </c>
      <c r="E5285" t="s">
        <v>7</v>
      </c>
      <c r="F5285" t="s">
        <v>7</v>
      </c>
      <c r="G5285" t="s">
        <v>7</v>
      </c>
      <c r="H5285">
        <v>19486.66</v>
      </c>
      <c r="I5285">
        <v>5248.11</v>
      </c>
      <c r="J5285">
        <v>0</v>
      </c>
    </row>
    <row r="5286" spans="1:10" x14ac:dyDescent="0.35">
      <c r="A5286">
        <v>323990</v>
      </c>
      <c r="B5286" t="s">
        <v>20</v>
      </c>
      <c r="C5286">
        <v>2015</v>
      </c>
      <c r="D5286">
        <v>7</v>
      </c>
      <c r="E5286" t="s">
        <v>7</v>
      </c>
      <c r="F5286" t="s">
        <v>7</v>
      </c>
      <c r="G5286" t="s">
        <v>7</v>
      </c>
      <c r="H5286">
        <v>24875.82</v>
      </c>
      <c r="I5286">
        <v>5902.27</v>
      </c>
      <c r="J5286">
        <v>0</v>
      </c>
    </row>
    <row r="5287" spans="1:10" x14ac:dyDescent="0.35">
      <c r="A5287">
        <v>323991</v>
      </c>
      <c r="B5287" t="s">
        <v>20</v>
      </c>
      <c r="C5287">
        <v>2015</v>
      </c>
      <c r="D5287">
        <v>7</v>
      </c>
      <c r="E5287" t="s">
        <v>7</v>
      </c>
      <c r="F5287" t="s">
        <v>7</v>
      </c>
      <c r="G5287" t="s">
        <v>7</v>
      </c>
      <c r="H5287">
        <v>37226.94</v>
      </c>
      <c r="I5287">
        <v>8236.2999999999993</v>
      </c>
      <c r="J5287">
        <v>0</v>
      </c>
    </row>
    <row r="5288" spans="1:10" x14ac:dyDescent="0.35">
      <c r="A5288">
        <v>323993</v>
      </c>
      <c r="B5288" t="s">
        <v>20</v>
      </c>
      <c r="C5288">
        <v>2015</v>
      </c>
      <c r="D5288">
        <v>7</v>
      </c>
      <c r="E5288" t="s">
        <v>7</v>
      </c>
      <c r="F5288" t="s">
        <v>7</v>
      </c>
      <c r="G5288" t="s">
        <v>7</v>
      </c>
      <c r="H5288">
        <v>93936.54</v>
      </c>
      <c r="I5288">
        <v>49178.68</v>
      </c>
      <c r="J5288">
        <v>0</v>
      </c>
    </row>
    <row r="5289" spans="1:10" x14ac:dyDescent="0.35">
      <c r="A5289">
        <v>323994</v>
      </c>
      <c r="B5289" t="s">
        <v>20</v>
      </c>
      <c r="C5289">
        <v>2015</v>
      </c>
      <c r="D5289">
        <v>7</v>
      </c>
      <c r="E5289" t="s">
        <v>7</v>
      </c>
      <c r="F5289" t="s">
        <v>7</v>
      </c>
      <c r="G5289" t="s">
        <v>7</v>
      </c>
      <c r="H5289">
        <v>54407.54</v>
      </c>
      <c r="I5289">
        <v>16764.8</v>
      </c>
      <c r="J5289">
        <v>0</v>
      </c>
    </row>
    <row r="5290" spans="1:10" x14ac:dyDescent="0.35">
      <c r="A5290">
        <v>323995</v>
      </c>
      <c r="B5290" t="s">
        <v>20</v>
      </c>
      <c r="C5290">
        <v>2015</v>
      </c>
      <c r="D5290">
        <v>7</v>
      </c>
      <c r="E5290" t="s">
        <v>7</v>
      </c>
      <c r="F5290" t="s">
        <v>7</v>
      </c>
      <c r="G5290" t="s">
        <v>7</v>
      </c>
      <c r="H5290">
        <v>41072.199999999997</v>
      </c>
      <c r="I5290">
        <v>11988.87</v>
      </c>
      <c r="J5290">
        <v>0</v>
      </c>
    </row>
    <row r="5291" spans="1:10" x14ac:dyDescent="0.35">
      <c r="A5291">
        <v>323996</v>
      </c>
      <c r="B5291" t="s">
        <v>20</v>
      </c>
      <c r="C5291">
        <v>2015</v>
      </c>
      <c r="D5291">
        <v>7</v>
      </c>
      <c r="E5291" t="s">
        <v>7</v>
      </c>
      <c r="F5291" t="s">
        <v>7</v>
      </c>
      <c r="G5291" t="s">
        <v>7</v>
      </c>
      <c r="H5291">
        <v>58205.74</v>
      </c>
      <c r="I5291">
        <v>16483.91</v>
      </c>
      <c r="J5291">
        <v>0</v>
      </c>
    </row>
    <row r="5292" spans="1:10" x14ac:dyDescent="0.35">
      <c r="A5292">
        <v>323998</v>
      </c>
      <c r="B5292" t="s">
        <v>20</v>
      </c>
      <c r="C5292">
        <v>2015</v>
      </c>
      <c r="D5292">
        <v>7</v>
      </c>
      <c r="E5292" t="s">
        <v>7</v>
      </c>
      <c r="F5292" t="s">
        <v>7</v>
      </c>
      <c r="G5292" t="s">
        <v>7</v>
      </c>
      <c r="H5292">
        <v>77064.92</v>
      </c>
      <c r="I5292">
        <v>34039.279999999999</v>
      </c>
      <c r="J5292">
        <v>0</v>
      </c>
    </row>
    <row r="5293" spans="1:10" x14ac:dyDescent="0.35">
      <c r="A5293">
        <v>323999</v>
      </c>
      <c r="B5293" t="s">
        <v>20</v>
      </c>
      <c r="C5293">
        <v>2015</v>
      </c>
      <c r="D5293">
        <v>7</v>
      </c>
      <c r="E5293" t="s">
        <v>7</v>
      </c>
      <c r="F5293" t="s">
        <v>7</v>
      </c>
      <c r="G5293" t="s">
        <v>7</v>
      </c>
      <c r="H5293">
        <v>21477.759999999998</v>
      </c>
      <c r="I5293">
        <v>5398.11</v>
      </c>
      <c r="J5293">
        <v>0</v>
      </c>
    </row>
    <row r="5294" spans="1:10" x14ac:dyDescent="0.35">
      <c r="A5294">
        <v>324000</v>
      </c>
      <c r="B5294" t="s">
        <v>20</v>
      </c>
      <c r="C5294">
        <v>2015</v>
      </c>
      <c r="D5294">
        <v>7</v>
      </c>
      <c r="E5294" t="s">
        <v>7</v>
      </c>
      <c r="F5294" t="s">
        <v>7</v>
      </c>
      <c r="G5294" t="s">
        <v>7</v>
      </c>
      <c r="H5294">
        <v>51611.72</v>
      </c>
      <c r="I5294">
        <v>16316.55</v>
      </c>
      <c r="J5294">
        <v>0</v>
      </c>
    </row>
    <row r="5295" spans="1:10" x14ac:dyDescent="0.35">
      <c r="A5295">
        <v>324003</v>
      </c>
      <c r="B5295" t="s">
        <v>20</v>
      </c>
      <c r="C5295">
        <v>2015</v>
      </c>
      <c r="D5295">
        <v>7</v>
      </c>
      <c r="E5295" t="s">
        <v>7</v>
      </c>
      <c r="F5295" t="s">
        <v>7</v>
      </c>
      <c r="G5295" t="s">
        <v>7</v>
      </c>
      <c r="H5295">
        <v>13958.32</v>
      </c>
      <c r="I5295">
        <v>4131.8</v>
      </c>
      <c r="J5295">
        <v>0</v>
      </c>
    </row>
    <row r="5296" spans="1:10" x14ac:dyDescent="0.35">
      <c r="A5296">
        <v>324005</v>
      </c>
      <c r="B5296" t="s">
        <v>20</v>
      </c>
      <c r="C5296">
        <v>2015</v>
      </c>
      <c r="D5296">
        <v>7</v>
      </c>
      <c r="E5296" t="s">
        <v>7</v>
      </c>
      <c r="F5296" t="s">
        <v>7</v>
      </c>
      <c r="G5296" t="s">
        <v>7</v>
      </c>
      <c r="H5296">
        <v>12868.64</v>
      </c>
      <c r="I5296">
        <v>2868.26</v>
      </c>
      <c r="J5296">
        <v>0</v>
      </c>
    </row>
    <row r="5297" spans="1:10" x14ac:dyDescent="0.35">
      <c r="A5297">
        <v>324007</v>
      </c>
      <c r="B5297" t="s">
        <v>20</v>
      </c>
      <c r="C5297">
        <v>2015</v>
      </c>
      <c r="D5297">
        <v>7</v>
      </c>
      <c r="E5297" t="s">
        <v>7</v>
      </c>
      <c r="F5297" t="s">
        <v>7</v>
      </c>
      <c r="G5297" t="s">
        <v>7</v>
      </c>
      <c r="H5297">
        <v>49951.96</v>
      </c>
      <c r="I5297">
        <v>15033.59</v>
      </c>
      <c r="J5297">
        <v>0</v>
      </c>
    </row>
    <row r="5298" spans="1:10" x14ac:dyDescent="0.35">
      <c r="A5298">
        <v>324008</v>
      </c>
      <c r="B5298" t="s">
        <v>20</v>
      </c>
      <c r="C5298">
        <v>2015</v>
      </c>
      <c r="D5298">
        <v>7</v>
      </c>
      <c r="E5298" t="s">
        <v>7</v>
      </c>
      <c r="F5298" t="s">
        <v>7</v>
      </c>
      <c r="G5298" t="s">
        <v>7</v>
      </c>
      <c r="H5298">
        <v>17384.900000000001</v>
      </c>
      <c r="I5298">
        <v>5150.51</v>
      </c>
      <c r="J5298">
        <v>0</v>
      </c>
    </row>
    <row r="5299" spans="1:10" x14ac:dyDescent="0.35">
      <c r="A5299">
        <v>324010</v>
      </c>
      <c r="B5299" t="s">
        <v>20</v>
      </c>
      <c r="C5299">
        <v>2015</v>
      </c>
      <c r="D5299">
        <v>7</v>
      </c>
      <c r="E5299" t="s">
        <v>7</v>
      </c>
      <c r="F5299" t="s">
        <v>7</v>
      </c>
      <c r="G5299" t="s">
        <v>7</v>
      </c>
      <c r="H5299">
        <v>33292.42</v>
      </c>
      <c r="I5299">
        <v>10701.91</v>
      </c>
      <c r="J5299">
        <v>0</v>
      </c>
    </row>
    <row r="5300" spans="1:10" x14ac:dyDescent="0.35">
      <c r="A5300">
        <v>324011</v>
      </c>
      <c r="B5300" t="s">
        <v>20</v>
      </c>
      <c r="C5300">
        <v>2015</v>
      </c>
      <c r="D5300">
        <v>7</v>
      </c>
      <c r="E5300" t="s">
        <v>7</v>
      </c>
      <c r="F5300" t="s">
        <v>7</v>
      </c>
      <c r="G5300" t="s">
        <v>7</v>
      </c>
      <c r="H5300">
        <v>52505.66</v>
      </c>
      <c r="I5300">
        <v>16644.87</v>
      </c>
      <c r="J5300">
        <v>0</v>
      </c>
    </row>
    <row r="5301" spans="1:10" x14ac:dyDescent="0.35">
      <c r="A5301">
        <v>324013</v>
      </c>
      <c r="B5301" t="s">
        <v>20</v>
      </c>
      <c r="C5301">
        <v>2015</v>
      </c>
      <c r="D5301">
        <v>7</v>
      </c>
      <c r="E5301" t="s">
        <v>7</v>
      </c>
      <c r="F5301" t="s">
        <v>7</v>
      </c>
      <c r="G5301" t="s">
        <v>7</v>
      </c>
      <c r="H5301">
        <v>10225.120000000001</v>
      </c>
      <c r="I5301">
        <v>2851.1</v>
      </c>
      <c r="J5301">
        <v>0</v>
      </c>
    </row>
    <row r="5302" spans="1:10" x14ac:dyDescent="0.35">
      <c r="A5302">
        <v>324014</v>
      </c>
      <c r="B5302" t="s">
        <v>20</v>
      </c>
      <c r="C5302">
        <v>2015</v>
      </c>
      <c r="D5302">
        <v>7</v>
      </c>
      <c r="E5302" t="s">
        <v>7</v>
      </c>
      <c r="F5302" t="s">
        <v>7</v>
      </c>
      <c r="G5302" t="s">
        <v>7</v>
      </c>
      <c r="H5302">
        <v>11924.02</v>
      </c>
      <c r="I5302">
        <v>2765.54</v>
      </c>
      <c r="J5302">
        <v>0</v>
      </c>
    </row>
    <row r="5303" spans="1:10" x14ac:dyDescent="0.35">
      <c r="A5303">
        <v>324015</v>
      </c>
      <c r="B5303" t="s">
        <v>20</v>
      </c>
      <c r="C5303">
        <v>2015</v>
      </c>
      <c r="D5303">
        <v>7</v>
      </c>
      <c r="E5303" t="s">
        <v>7</v>
      </c>
      <c r="F5303" t="s">
        <v>7</v>
      </c>
      <c r="G5303" t="s">
        <v>7</v>
      </c>
      <c r="H5303">
        <v>28629.5</v>
      </c>
      <c r="I5303">
        <v>6612.9</v>
      </c>
      <c r="J5303">
        <v>0</v>
      </c>
    </row>
    <row r="5304" spans="1:10" x14ac:dyDescent="0.35">
      <c r="A5304">
        <v>324016</v>
      </c>
      <c r="B5304" t="s">
        <v>20</v>
      </c>
      <c r="C5304">
        <v>2015</v>
      </c>
      <c r="D5304">
        <v>7</v>
      </c>
      <c r="E5304" t="s">
        <v>7</v>
      </c>
      <c r="F5304" t="s">
        <v>7</v>
      </c>
      <c r="G5304" t="s">
        <v>7</v>
      </c>
      <c r="H5304">
        <v>12769.98</v>
      </c>
      <c r="I5304">
        <v>2889.34</v>
      </c>
      <c r="J5304">
        <v>0</v>
      </c>
    </row>
    <row r="5305" spans="1:10" x14ac:dyDescent="0.35">
      <c r="A5305">
        <v>324018</v>
      </c>
      <c r="B5305" t="s">
        <v>20</v>
      </c>
      <c r="C5305">
        <v>2015</v>
      </c>
      <c r="D5305">
        <v>7</v>
      </c>
      <c r="E5305" t="s">
        <v>7</v>
      </c>
      <c r="F5305" t="s">
        <v>7</v>
      </c>
      <c r="G5305" t="s">
        <v>7</v>
      </c>
      <c r="H5305">
        <v>56351.02</v>
      </c>
      <c r="I5305">
        <v>16008.58</v>
      </c>
      <c r="J5305">
        <v>0</v>
      </c>
    </row>
    <row r="5306" spans="1:10" x14ac:dyDescent="0.35">
      <c r="A5306">
        <v>324019</v>
      </c>
      <c r="B5306" t="s">
        <v>20</v>
      </c>
      <c r="C5306">
        <v>2015</v>
      </c>
      <c r="D5306">
        <v>7</v>
      </c>
      <c r="E5306" t="s">
        <v>7</v>
      </c>
      <c r="F5306" t="s">
        <v>7</v>
      </c>
      <c r="G5306" t="s">
        <v>7</v>
      </c>
      <c r="H5306">
        <v>20487.419999999998</v>
      </c>
      <c r="I5306">
        <v>6221.77</v>
      </c>
      <c r="J5306">
        <v>0</v>
      </c>
    </row>
    <row r="5307" spans="1:10" x14ac:dyDescent="0.35">
      <c r="A5307">
        <v>324020</v>
      </c>
      <c r="B5307" t="s">
        <v>20</v>
      </c>
      <c r="C5307">
        <v>2015</v>
      </c>
      <c r="D5307">
        <v>7</v>
      </c>
      <c r="E5307" t="s">
        <v>7</v>
      </c>
      <c r="F5307" t="s">
        <v>7</v>
      </c>
      <c r="G5307" t="s">
        <v>7</v>
      </c>
      <c r="H5307">
        <v>24112.400000000001</v>
      </c>
      <c r="I5307">
        <v>7508.05</v>
      </c>
      <c r="J5307">
        <v>0</v>
      </c>
    </row>
    <row r="5308" spans="1:10" x14ac:dyDescent="0.35">
      <c r="A5308">
        <v>324024</v>
      </c>
      <c r="B5308" t="s">
        <v>20</v>
      </c>
      <c r="C5308">
        <v>2015</v>
      </c>
      <c r="D5308">
        <v>7</v>
      </c>
      <c r="E5308" t="s">
        <v>7</v>
      </c>
      <c r="F5308" t="s">
        <v>7</v>
      </c>
      <c r="G5308" t="s">
        <v>7</v>
      </c>
      <c r="H5308">
        <v>27006.560000000001</v>
      </c>
      <c r="I5308">
        <v>4793.92</v>
      </c>
      <c r="J5308">
        <v>0</v>
      </c>
    </row>
    <row r="5309" spans="1:10" x14ac:dyDescent="0.35">
      <c r="A5309">
        <v>324028</v>
      </c>
      <c r="B5309" t="s">
        <v>20</v>
      </c>
      <c r="C5309">
        <v>2015</v>
      </c>
      <c r="D5309">
        <v>7</v>
      </c>
      <c r="E5309" t="s">
        <v>7</v>
      </c>
      <c r="F5309" t="s">
        <v>7</v>
      </c>
      <c r="G5309" t="s">
        <v>7</v>
      </c>
      <c r="H5309">
        <v>13483.82</v>
      </c>
      <c r="I5309">
        <v>2645.47</v>
      </c>
      <c r="J5309">
        <v>0</v>
      </c>
    </row>
    <row r="5310" spans="1:10" x14ac:dyDescent="0.35">
      <c r="A5310">
        <v>324029</v>
      </c>
      <c r="B5310" t="s">
        <v>20</v>
      </c>
      <c r="C5310">
        <v>2015</v>
      </c>
      <c r="D5310">
        <v>7</v>
      </c>
      <c r="E5310" t="s">
        <v>7</v>
      </c>
      <c r="F5310" t="s">
        <v>7</v>
      </c>
      <c r="G5310" t="s">
        <v>7</v>
      </c>
      <c r="H5310">
        <v>48242.26</v>
      </c>
      <c r="I5310">
        <v>13261.61</v>
      </c>
      <c r="J5310">
        <v>0</v>
      </c>
    </row>
    <row r="5311" spans="1:10" x14ac:dyDescent="0.35">
      <c r="A5311">
        <v>324031</v>
      </c>
      <c r="B5311" t="s">
        <v>20</v>
      </c>
      <c r="C5311">
        <v>2015</v>
      </c>
      <c r="D5311">
        <v>7</v>
      </c>
      <c r="E5311" t="s">
        <v>7</v>
      </c>
      <c r="F5311" t="s">
        <v>7</v>
      </c>
      <c r="G5311" t="s">
        <v>7</v>
      </c>
      <c r="H5311">
        <v>14605.4</v>
      </c>
      <c r="I5311">
        <v>3021.54</v>
      </c>
      <c r="J5311">
        <v>0</v>
      </c>
    </row>
    <row r="5312" spans="1:10" x14ac:dyDescent="0.35">
      <c r="A5312">
        <v>324033</v>
      </c>
      <c r="B5312" t="s">
        <v>20</v>
      </c>
      <c r="C5312">
        <v>2015</v>
      </c>
      <c r="D5312">
        <v>7</v>
      </c>
      <c r="E5312" t="s">
        <v>7</v>
      </c>
      <c r="F5312" t="s">
        <v>7</v>
      </c>
      <c r="G5312" t="s">
        <v>7</v>
      </c>
      <c r="H5312">
        <v>22855.06</v>
      </c>
      <c r="I5312">
        <v>6891.17</v>
      </c>
      <c r="J5312">
        <v>0</v>
      </c>
    </row>
    <row r="5313" spans="1:10" x14ac:dyDescent="0.35">
      <c r="A5313">
        <v>324034</v>
      </c>
      <c r="B5313" t="s">
        <v>20</v>
      </c>
      <c r="C5313">
        <v>2015</v>
      </c>
      <c r="D5313">
        <v>7</v>
      </c>
      <c r="E5313" t="s">
        <v>7</v>
      </c>
      <c r="F5313" t="s">
        <v>7</v>
      </c>
      <c r="G5313" t="s">
        <v>7</v>
      </c>
      <c r="H5313">
        <v>19203.64</v>
      </c>
      <c r="I5313">
        <v>5873.66</v>
      </c>
      <c r="J5313">
        <v>0</v>
      </c>
    </row>
    <row r="5314" spans="1:10" x14ac:dyDescent="0.35">
      <c r="A5314">
        <v>324035</v>
      </c>
      <c r="B5314" t="s">
        <v>20</v>
      </c>
      <c r="C5314">
        <v>2015</v>
      </c>
      <c r="D5314">
        <v>7</v>
      </c>
      <c r="E5314" t="s">
        <v>7</v>
      </c>
      <c r="F5314" t="s">
        <v>7</v>
      </c>
      <c r="G5314" t="s">
        <v>7</v>
      </c>
      <c r="H5314">
        <v>36914.58</v>
      </c>
      <c r="I5314">
        <v>11035.07</v>
      </c>
      <c r="J5314">
        <v>0</v>
      </c>
    </row>
    <row r="5315" spans="1:10" x14ac:dyDescent="0.35">
      <c r="A5315">
        <v>324036</v>
      </c>
      <c r="B5315" t="s">
        <v>20</v>
      </c>
      <c r="C5315">
        <v>2015</v>
      </c>
      <c r="D5315">
        <v>7</v>
      </c>
      <c r="E5315" t="s">
        <v>7</v>
      </c>
      <c r="F5315" t="s">
        <v>7</v>
      </c>
      <c r="G5315" t="s">
        <v>7</v>
      </c>
      <c r="H5315">
        <v>24126.560000000001</v>
      </c>
      <c r="I5315">
        <v>5843.47</v>
      </c>
      <c r="J5315">
        <v>0</v>
      </c>
    </row>
    <row r="5316" spans="1:10" x14ac:dyDescent="0.35">
      <c r="A5316">
        <v>324037</v>
      </c>
      <c r="B5316" t="s">
        <v>20</v>
      </c>
      <c r="C5316">
        <v>2015</v>
      </c>
      <c r="D5316">
        <v>7</v>
      </c>
      <c r="E5316" t="s">
        <v>7</v>
      </c>
      <c r="F5316" t="s">
        <v>7</v>
      </c>
      <c r="G5316" t="s">
        <v>7</v>
      </c>
      <c r="H5316">
        <v>10352.16</v>
      </c>
      <c r="I5316">
        <v>2820.09</v>
      </c>
      <c r="J5316">
        <v>0</v>
      </c>
    </row>
    <row r="5317" spans="1:10" x14ac:dyDescent="0.35">
      <c r="A5317">
        <v>324039</v>
      </c>
      <c r="B5317" t="s">
        <v>20</v>
      </c>
      <c r="C5317">
        <v>2015</v>
      </c>
      <c r="D5317">
        <v>7</v>
      </c>
      <c r="E5317" t="s">
        <v>7</v>
      </c>
      <c r="F5317" t="s">
        <v>7</v>
      </c>
      <c r="G5317" t="s">
        <v>7</v>
      </c>
      <c r="H5317">
        <v>30923.48</v>
      </c>
      <c r="I5317">
        <v>9697.2999999999993</v>
      </c>
      <c r="J5317">
        <v>0</v>
      </c>
    </row>
    <row r="5318" spans="1:10" x14ac:dyDescent="0.35">
      <c r="A5318">
        <v>324040</v>
      </c>
      <c r="B5318" t="s">
        <v>20</v>
      </c>
      <c r="C5318">
        <v>2015</v>
      </c>
      <c r="D5318">
        <v>7</v>
      </c>
      <c r="E5318" t="s">
        <v>7</v>
      </c>
      <c r="F5318" t="s">
        <v>7</v>
      </c>
      <c r="G5318" t="s">
        <v>7</v>
      </c>
      <c r="H5318">
        <v>18726.14</v>
      </c>
      <c r="I5318">
        <v>5757.07</v>
      </c>
      <c r="J5318">
        <v>0</v>
      </c>
    </row>
    <row r="5319" spans="1:10" x14ac:dyDescent="0.35">
      <c r="A5319">
        <v>324041</v>
      </c>
      <c r="B5319" t="s">
        <v>20</v>
      </c>
      <c r="C5319">
        <v>2015</v>
      </c>
      <c r="D5319">
        <v>7</v>
      </c>
      <c r="E5319" t="s">
        <v>7</v>
      </c>
      <c r="F5319" t="s">
        <v>7</v>
      </c>
      <c r="G5319" t="s">
        <v>7</v>
      </c>
      <c r="H5319">
        <v>119899.52</v>
      </c>
      <c r="I5319">
        <v>52791.57</v>
      </c>
      <c r="J5319">
        <v>0</v>
      </c>
    </row>
    <row r="5320" spans="1:10" x14ac:dyDescent="0.35">
      <c r="A5320">
        <v>324042</v>
      </c>
      <c r="B5320" t="s">
        <v>20</v>
      </c>
      <c r="C5320">
        <v>2015</v>
      </c>
      <c r="D5320">
        <v>7</v>
      </c>
      <c r="E5320" t="s">
        <v>7</v>
      </c>
      <c r="F5320" t="s">
        <v>7</v>
      </c>
      <c r="G5320" t="s">
        <v>7</v>
      </c>
      <c r="H5320">
        <v>21477.72</v>
      </c>
      <c r="I5320">
        <v>5264.72</v>
      </c>
      <c r="J5320">
        <v>0</v>
      </c>
    </row>
    <row r="5321" spans="1:10" x14ac:dyDescent="0.35">
      <c r="A5321">
        <v>324043</v>
      </c>
      <c r="B5321" t="s">
        <v>20</v>
      </c>
      <c r="C5321">
        <v>2015</v>
      </c>
      <c r="D5321">
        <v>7</v>
      </c>
      <c r="E5321" t="s">
        <v>7</v>
      </c>
      <c r="F5321" t="s">
        <v>7</v>
      </c>
      <c r="G5321" t="s">
        <v>7</v>
      </c>
      <c r="H5321">
        <v>13253.3</v>
      </c>
      <c r="I5321">
        <v>3118.89</v>
      </c>
      <c r="J5321">
        <v>0</v>
      </c>
    </row>
    <row r="5322" spans="1:10" x14ac:dyDescent="0.35">
      <c r="A5322">
        <v>324045</v>
      </c>
      <c r="B5322" t="s">
        <v>20</v>
      </c>
      <c r="C5322">
        <v>2015</v>
      </c>
      <c r="D5322">
        <v>7</v>
      </c>
      <c r="E5322" t="s">
        <v>7</v>
      </c>
      <c r="F5322" t="s">
        <v>7</v>
      </c>
      <c r="G5322" t="s">
        <v>7</v>
      </c>
      <c r="H5322">
        <v>48720.480000000003</v>
      </c>
      <c r="I5322">
        <v>14450.91</v>
      </c>
      <c r="J5322">
        <v>0</v>
      </c>
    </row>
    <row r="5323" spans="1:10" x14ac:dyDescent="0.35">
      <c r="A5323">
        <v>324046</v>
      </c>
      <c r="B5323" t="s">
        <v>20</v>
      </c>
      <c r="C5323">
        <v>2015</v>
      </c>
      <c r="D5323">
        <v>7</v>
      </c>
      <c r="E5323" t="s">
        <v>7</v>
      </c>
      <c r="F5323" t="s">
        <v>7</v>
      </c>
      <c r="G5323" t="s">
        <v>7</v>
      </c>
      <c r="H5323">
        <v>34129.22</v>
      </c>
      <c r="I5323">
        <v>9035.9</v>
      </c>
      <c r="J5323">
        <v>0</v>
      </c>
    </row>
    <row r="5324" spans="1:10" x14ac:dyDescent="0.35">
      <c r="A5324">
        <v>324047</v>
      </c>
      <c r="B5324" t="s">
        <v>20</v>
      </c>
      <c r="C5324">
        <v>2015</v>
      </c>
      <c r="D5324">
        <v>7</v>
      </c>
      <c r="E5324" t="s">
        <v>7</v>
      </c>
      <c r="F5324" t="s">
        <v>7</v>
      </c>
      <c r="G5324" t="s">
        <v>7</v>
      </c>
      <c r="H5324">
        <v>18239.099999999999</v>
      </c>
      <c r="I5324">
        <v>2988.84</v>
      </c>
      <c r="J5324">
        <v>0</v>
      </c>
    </row>
    <row r="5325" spans="1:10" x14ac:dyDescent="0.35">
      <c r="A5325">
        <v>324050</v>
      </c>
      <c r="B5325" t="s">
        <v>20</v>
      </c>
      <c r="C5325">
        <v>2015</v>
      </c>
      <c r="D5325">
        <v>7</v>
      </c>
      <c r="E5325" t="s">
        <v>7</v>
      </c>
      <c r="F5325" t="s">
        <v>7</v>
      </c>
      <c r="G5325" t="s">
        <v>7</v>
      </c>
      <c r="H5325">
        <v>19661.16</v>
      </c>
      <c r="I5325">
        <v>5935.42</v>
      </c>
      <c r="J5325">
        <v>0</v>
      </c>
    </row>
    <row r="5326" spans="1:10" x14ac:dyDescent="0.35">
      <c r="A5326">
        <v>324052</v>
      </c>
      <c r="B5326" t="s">
        <v>20</v>
      </c>
      <c r="C5326">
        <v>2015</v>
      </c>
      <c r="D5326">
        <v>7</v>
      </c>
      <c r="E5326" t="s">
        <v>7</v>
      </c>
      <c r="F5326" t="s">
        <v>7</v>
      </c>
      <c r="G5326" t="s">
        <v>7</v>
      </c>
      <c r="H5326">
        <v>13244.36</v>
      </c>
      <c r="I5326">
        <v>3845.15</v>
      </c>
      <c r="J5326">
        <v>0</v>
      </c>
    </row>
    <row r="5327" spans="1:10" x14ac:dyDescent="0.35">
      <c r="A5327">
        <v>324053</v>
      </c>
      <c r="B5327" t="s">
        <v>20</v>
      </c>
      <c r="C5327">
        <v>2015</v>
      </c>
      <c r="D5327">
        <v>7</v>
      </c>
      <c r="E5327" t="s">
        <v>7</v>
      </c>
      <c r="F5327" t="s">
        <v>7</v>
      </c>
      <c r="G5327" t="s">
        <v>7</v>
      </c>
      <c r="H5327">
        <v>22895.84</v>
      </c>
      <c r="I5327">
        <v>6415.36</v>
      </c>
      <c r="J5327">
        <v>0</v>
      </c>
    </row>
    <row r="5328" spans="1:10" x14ac:dyDescent="0.35">
      <c r="A5328">
        <v>324054</v>
      </c>
      <c r="B5328" t="s">
        <v>20</v>
      </c>
      <c r="C5328">
        <v>2015</v>
      </c>
      <c r="D5328">
        <v>7</v>
      </c>
      <c r="E5328" t="s">
        <v>7</v>
      </c>
      <c r="F5328" t="s">
        <v>7</v>
      </c>
      <c r="G5328" t="s">
        <v>7</v>
      </c>
      <c r="H5328">
        <v>20335.82</v>
      </c>
      <c r="I5328">
        <v>12128.83</v>
      </c>
      <c r="J5328">
        <v>0</v>
      </c>
    </row>
    <row r="5329" spans="1:10" x14ac:dyDescent="0.35">
      <c r="A5329">
        <v>324055</v>
      </c>
      <c r="B5329" t="s">
        <v>20</v>
      </c>
      <c r="C5329">
        <v>2015</v>
      </c>
      <c r="D5329">
        <v>7</v>
      </c>
      <c r="E5329" t="s">
        <v>7</v>
      </c>
      <c r="F5329" t="s">
        <v>7</v>
      </c>
      <c r="G5329" t="s">
        <v>7</v>
      </c>
      <c r="H5329">
        <v>49870.14</v>
      </c>
      <c r="I5329">
        <v>14412.23</v>
      </c>
      <c r="J5329">
        <v>0</v>
      </c>
    </row>
    <row r="5330" spans="1:10" x14ac:dyDescent="0.35">
      <c r="A5330">
        <v>324056</v>
      </c>
      <c r="B5330" t="s">
        <v>20</v>
      </c>
      <c r="C5330">
        <v>2015</v>
      </c>
      <c r="D5330">
        <v>7</v>
      </c>
      <c r="E5330" t="s">
        <v>7</v>
      </c>
      <c r="F5330" t="s">
        <v>7</v>
      </c>
      <c r="G5330" t="s">
        <v>7</v>
      </c>
      <c r="H5330">
        <v>16202.86</v>
      </c>
      <c r="I5330">
        <v>4773.41</v>
      </c>
      <c r="J5330">
        <v>0</v>
      </c>
    </row>
    <row r="5331" spans="1:10" x14ac:dyDescent="0.35">
      <c r="A5331">
        <v>324060</v>
      </c>
      <c r="B5331" t="s">
        <v>20</v>
      </c>
      <c r="C5331">
        <v>2015</v>
      </c>
      <c r="D5331">
        <v>7</v>
      </c>
      <c r="E5331" t="s">
        <v>7</v>
      </c>
      <c r="F5331" t="s">
        <v>7</v>
      </c>
      <c r="G5331" t="s">
        <v>7</v>
      </c>
      <c r="H5331">
        <v>17241.82</v>
      </c>
      <c r="I5331">
        <v>4870.32</v>
      </c>
      <c r="J5331">
        <v>0</v>
      </c>
    </row>
    <row r="5332" spans="1:10" x14ac:dyDescent="0.35">
      <c r="A5332">
        <v>324063</v>
      </c>
      <c r="B5332" t="s">
        <v>20</v>
      </c>
      <c r="C5332">
        <v>2015</v>
      </c>
      <c r="D5332">
        <v>7</v>
      </c>
      <c r="E5332" t="s">
        <v>7</v>
      </c>
      <c r="F5332" t="s">
        <v>7</v>
      </c>
      <c r="G5332" t="s">
        <v>7</v>
      </c>
      <c r="H5332">
        <v>73253.37</v>
      </c>
      <c r="I5332">
        <v>23493.53</v>
      </c>
      <c r="J5332">
        <v>0</v>
      </c>
    </row>
    <row r="5333" spans="1:10" x14ac:dyDescent="0.35">
      <c r="A5333">
        <v>324064</v>
      </c>
      <c r="B5333" t="s">
        <v>20</v>
      </c>
      <c r="C5333">
        <v>2015</v>
      </c>
      <c r="D5333">
        <v>7</v>
      </c>
      <c r="E5333" t="s">
        <v>7</v>
      </c>
      <c r="F5333" t="s">
        <v>7</v>
      </c>
      <c r="G5333" t="s">
        <v>7</v>
      </c>
      <c r="H5333">
        <v>67060.259999999995</v>
      </c>
      <c r="I5333">
        <v>41954.13</v>
      </c>
      <c r="J5333">
        <v>0</v>
      </c>
    </row>
    <row r="5334" spans="1:10" x14ac:dyDescent="0.35">
      <c r="A5334">
        <v>324065</v>
      </c>
      <c r="B5334" t="s">
        <v>20</v>
      </c>
      <c r="C5334">
        <v>2015</v>
      </c>
      <c r="D5334">
        <v>7</v>
      </c>
      <c r="E5334" t="s">
        <v>7</v>
      </c>
      <c r="F5334" t="s">
        <v>7</v>
      </c>
      <c r="G5334" t="s">
        <v>7</v>
      </c>
      <c r="H5334">
        <v>8621.42</v>
      </c>
      <c r="I5334">
        <v>2372.4299999999998</v>
      </c>
      <c r="J5334">
        <v>0</v>
      </c>
    </row>
    <row r="5335" spans="1:10" x14ac:dyDescent="0.35">
      <c r="A5335">
        <v>324066</v>
      </c>
      <c r="B5335" t="s">
        <v>20</v>
      </c>
      <c r="C5335">
        <v>2015</v>
      </c>
      <c r="D5335">
        <v>7</v>
      </c>
      <c r="E5335" t="s">
        <v>7</v>
      </c>
      <c r="F5335" t="s">
        <v>7</v>
      </c>
      <c r="G5335" t="s">
        <v>7</v>
      </c>
      <c r="H5335">
        <v>91690.84</v>
      </c>
      <c r="I5335">
        <v>28662.52</v>
      </c>
      <c r="J5335">
        <v>0</v>
      </c>
    </row>
    <row r="5336" spans="1:10" x14ac:dyDescent="0.35">
      <c r="A5336">
        <v>324067</v>
      </c>
      <c r="B5336" t="s">
        <v>20</v>
      </c>
      <c r="C5336">
        <v>2015</v>
      </c>
      <c r="D5336">
        <v>7</v>
      </c>
      <c r="E5336" t="s">
        <v>7</v>
      </c>
      <c r="F5336" t="s">
        <v>7</v>
      </c>
      <c r="G5336" t="s">
        <v>7</v>
      </c>
      <c r="H5336">
        <v>32152.26</v>
      </c>
      <c r="I5336">
        <v>9566.32</v>
      </c>
      <c r="J5336">
        <v>0</v>
      </c>
    </row>
    <row r="5337" spans="1:10" x14ac:dyDescent="0.35">
      <c r="A5337">
        <v>324070</v>
      </c>
      <c r="B5337" t="s">
        <v>20</v>
      </c>
      <c r="C5337">
        <v>2015</v>
      </c>
      <c r="D5337">
        <v>7</v>
      </c>
      <c r="E5337" t="s">
        <v>7</v>
      </c>
      <c r="F5337" t="s">
        <v>7</v>
      </c>
      <c r="G5337" t="s">
        <v>7</v>
      </c>
      <c r="H5337">
        <v>13184.82</v>
      </c>
      <c r="I5337">
        <v>3375.98</v>
      </c>
      <c r="J5337">
        <v>0</v>
      </c>
    </row>
    <row r="5338" spans="1:10" x14ac:dyDescent="0.35">
      <c r="A5338">
        <v>324071</v>
      </c>
      <c r="B5338" t="s">
        <v>20</v>
      </c>
      <c r="C5338">
        <v>2015</v>
      </c>
      <c r="D5338">
        <v>7</v>
      </c>
      <c r="E5338" t="s">
        <v>7</v>
      </c>
      <c r="F5338" t="s">
        <v>7</v>
      </c>
      <c r="G5338" t="s">
        <v>7</v>
      </c>
      <c r="H5338">
        <v>13624.6</v>
      </c>
      <c r="I5338">
        <v>4033.7</v>
      </c>
      <c r="J5338">
        <v>0</v>
      </c>
    </row>
    <row r="5339" spans="1:10" x14ac:dyDescent="0.35">
      <c r="A5339">
        <v>324072</v>
      </c>
      <c r="B5339" t="s">
        <v>20</v>
      </c>
      <c r="C5339">
        <v>2015</v>
      </c>
      <c r="D5339">
        <v>7</v>
      </c>
      <c r="E5339" t="s">
        <v>7</v>
      </c>
      <c r="F5339" t="s">
        <v>7</v>
      </c>
      <c r="G5339" t="s">
        <v>7</v>
      </c>
      <c r="H5339">
        <v>19910.52</v>
      </c>
      <c r="I5339">
        <v>6102.23</v>
      </c>
      <c r="J5339">
        <v>0</v>
      </c>
    </row>
    <row r="5340" spans="1:10" x14ac:dyDescent="0.35">
      <c r="A5340">
        <v>324073</v>
      </c>
      <c r="B5340" t="s">
        <v>20</v>
      </c>
      <c r="C5340">
        <v>2015</v>
      </c>
      <c r="D5340">
        <v>7</v>
      </c>
      <c r="E5340" t="s">
        <v>7</v>
      </c>
      <c r="F5340" t="s">
        <v>7</v>
      </c>
      <c r="G5340" t="s">
        <v>7</v>
      </c>
      <c r="H5340">
        <v>27065.759999999998</v>
      </c>
      <c r="I5340">
        <v>7223.67</v>
      </c>
      <c r="J5340">
        <v>0</v>
      </c>
    </row>
    <row r="5341" spans="1:10" x14ac:dyDescent="0.35">
      <c r="A5341">
        <v>324074</v>
      </c>
      <c r="B5341" t="s">
        <v>20</v>
      </c>
      <c r="C5341">
        <v>2015</v>
      </c>
      <c r="D5341">
        <v>7</v>
      </c>
      <c r="E5341" t="s">
        <v>7</v>
      </c>
      <c r="F5341" t="s">
        <v>7</v>
      </c>
      <c r="G5341" t="s">
        <v>7</v>
      </c>
      <c r="H5341">
        <v>24498.400000000001</v>
      </c>
      <c r="I5341">
        <v>6820.15</v>
      </c>
      <c r="J5341">
        <v>0</v>
      </c>
    </row>
    <row r="5342" spans="1:10" x14ac:dyDescent="0.35">
      <c r="A5342">
        <v>324075</v>
      </c>
      <c r="B5342" t="s">
        <v>20</v>
      </c>
      <c r="C5342">
        <v>2015</v>
      </c>
      <c r="D5342">
        <v>7</v>
      </c>
      <c r="E5342" t="s">
        <v>7</v>
      </c>
      <c r="F5342" t="s">
        <v>7</v>
      </c>
      <c r="G5342" t="s">
        <v>7</v>
      </c>
      <c r="H5342">
        <v>35783.279999999999</v>
      </c>
      <c r="I5342">
        <v>10100.02</v>
      </c>
      <c r="J5342">
        <v>0</v>
      </c>
    </row>
    <row r="5343" spans="1:10" x14ac:dyDescent="0.35">
      <c r="A5343">
        <v>324076</v>
      </c>
      <c r="B5343" t="s">
        <v>20</v>
      </c>
      <c r="C5343">
        <v>2015</v>
      </c>
      <c r="D5343">
        <v>7</v>
      </c>
      <c r="E5343" t="s">
        <v>7</v>
      </c>
      <c r="F5343" t="s">
        <v>7</v>
      </c>
      <c r="G5343" t="s">
        <v>7</v>
      </c>
      <c r="H5343">
        <v>31048.02</v>
      </c>
      <c r="I5343">
        <v>9058.82</v>
      </c>
      <c r="J5343">
        <v>0</v>
      </c>
    </row>
    <row r="5344" spans="1:10" x14ac:dyDescent="0.35">
      <c r="A5344">
        <v>324077</v>
      </c>
      <c r="B5344" t="s">
        <v>20</v>
      </c>
      <c r="C5344">
        <v>2015</v>
      </c>
      <c r="D5344">
        <v>7</v>
      </c>
      <c r="E5344" t="s">
        <v>7</v>
      </c>
      <c r="F5344" t="s">
        <v>7</v>
      </c>
      <c r="G5344" t="s">
        <v>7</v>
      </c>
      <c r="H5344">
        <v>47501.02</v>
      </c>
      <c r="I5344">
        <v>15580.9</v>
      </c>
      <c r="J5344">
        <v>0</v>
      </c>
    </row>
    <row r="5345" spans="1:10" x14ac:dyDescent="0.35">
      <c r="A5345">
        <v>324078</v>
      </c>
      <c r="B5345" t="s">
        <v>20</v>
      </c>
      <c r="C5345">
        <v>2015</v>
      </c>
      <c r="D5345">
        <v>7</v>
      </c>
      <c r="E5345" t="s">
        <v>7</v>
      </c>
      <c r="F5345" t="s">
        <v>7</v>
      </c>
      <c r="G5345" t="s">
        <v>7</v>
      </c>
      <c r="H5345">
        <v>119187.6</v>
      </c>
      <c r="I5345">
        <v>66233.25</v>
      </c>
      <c r="J5345">
        <v>0</v>
      </c>
    </row>
    <row r="5346" spans="1:10" x14ac:dyDescent="0.35">
      <c r="A5346">
        <v>324079</v>
      </c>
      <c r="B5346" t="s">
        <v>20</v>
      </c>
      <c r="C5346">
        <v>2015</v>
      </c>
      <c r="D5346">
        <v>7</v>
      </c>
      <c r="E5346" t="s">
        <v>7</v>
      </c>
      <c r="F5346" t="s">
        <v>7</v>
      </c>
      <c r="G5346" t="s">
        <v>7</v>
      </c>
      <c r="H5346">
        <v>50590.96</v>
      </c>
      <c r="I5346">
        <v>16127.16</v>
      </c>
      <c r="J5346">
        <v>0</v>
      </c>
    </row>
    <row r="5347" spans="1:10" x14ac:dyDescent="0.35">
      <c r="A5347">
        <v>324080</v>
      </c>
      <c r="B5347" t="s">
        <v>20</v>
      </c>
      <c r="C5347">
        <v>2015</v>
      </c>
      <c r="D5347">
        <v>7</v>
      </c>
      <c r="E5347" t="s">
        <v>7</v>
      </c>
      <c r="F5347" t="s">
        <v>7</v>
      </c>
      <c r="G5347" t="s">
        <v>7</v>
      </c>
      <c r="H5347">
        <v>58741.72</v>
      </c>
      <c r="I5347">
        <v>24575.27</v>
      </c>
      <c r="J5347">
        <v>0</v>
      </c>
    </row>
    <row r="5348" spans="1:10" x14ac:dyDescent="0.35">
      <c r="A5348">
        <v>324081</v>
      </c>
      <c r="B5348" t="s">
        <v>20</v>
      </c>
      <c r="C5348">
        <v>2015</v>
      </c>
      <c r="D5348">
        <v>7</v>
      </c>
      <c r="E5348" t="s">
        <v>7</v>
      </c>
      <c r="F5348" t="s">
        <v>7</v>
      </c>
      <c r="G5348" t="s">
        <v>7</v>
      </c>
      <c r="H5348">
        <v>31289.84</v>
      </c>
      <c r="I5348">
        <v>8567.73</v>
      </c>
      <c r="J5348">
        <v>0</v>
      </c>
    </row>
    <row r="5349" spans="1:10" x14ac:dyDescent="0.35">
      <c r="A5349">
        <v>324082</v>
      </c>
      <c r="B5349" t="s">
        <v>20</v>
      </c>
      <c r="C5349">
        <v>2015</v>
      </c>
      <c r="D5349">
        <v>7</v>
      </c>
      <c r="E5349" t="s">
        <v>7</v>
      </c>
      <c r="F5349" t="s">
        <v>7</v>
      </c>
      <c r="G5349" t="s">
        <v>7</v>
      </c>
      <c r="H5349">
        <v>99555.08</v>
      </c>
      <c r="I5349">
        <v>39490</v>
      </c>
      <c r="J5349">
        <v>0</v>
      </c>
    </row>
    <row r="5350" spans="1:10" x14ac:dyDescent="0.35">
      <c r="A5350">
        <v>324083</v>
      </c>
      <c r="B5350" t="s">
        <v>20</v>
      </c>
      <c r="C5350">
        <v>2015</v>
      </c>
      <c r="D5350">
        <v>7</v>
      </c>
      <c r="E5350" t="s">
        <v>7</v>
      </c>
      <c r="F5350" t="s">
        <v>7</v>
      </c>
      <c r="G5350" t="s">
        <v>7</v>
      </c>
      <c r="H5350">
        <v>26328.84</v>
      </c>
      <c r="I5350">
        <v>7240.5</v>
      </c>
      <c r="J5350">
        <v>0</v>
      </c>
    </row>
    <row r="5351" spans="1:10" x14ac:dyDescent="0.35">
      <c r="A5351">
        <v>324084</v>
      </c>
      <c r="B5351" t="s">
        <v>20</v>
      </c>
      <c r="C5351">
        <v>2015</v>
      </c>
      <c r="D5351">
        <v>7</v>
      </c>
      <c r="E5351" t="s">
        <v>7</v>
      </c>
      <c r="F5351" t="s">
        <v>7</v>
      </c>
      <c r="G5351" t="s">
        <v>7</v>
      </c>
      <c r="H5351">
        <v>34321.300000000003</v>
      </c>
      <c r="I5351">
        <v>10038.290000000001</v>
      </c>
      <c r="J5351">
        <v>0</v>
      </c>
    </row>
    <row r="5352" spans="1:10" x14ac:dyDescent="0.35">
      <c r="A5352">
        <v>324085</v>
      </c>
      <c r="B5352" t="s">
        <v>20</v>
      </c>
      <c r="C5352">
        <v>2015</v>
      </c>
      <c r="D5352">
        <v>7</v>
      </c>
      <c r="E5352" t="s">
        <v>7</v>
      </c>
      <c r="F5352" t="s">
        <v>7</v>
      </c>
      <c r="G5352" t="s">
        <v>7</v>
      </c>
      <c r="H5352">
        <v>74116.72</v>
      </c>
      <c r="I5352">
        <v>36730.76</v>
      </c>
      <c r="J5352">
        <v>0</v>
      </c>
    </row>
    <row r="5353" spans="1:10" x14ac:dyDescent="0.35">
      <c r="A5353">
        <v>324086</v>
      </c>
      <c r="B5353" t="s">
        <v>20</v>
      </c>
      <c r="C5353">
        <v>2015</v>
      </c>
      <c r="D5353">
        <v>7</v>
      </c>
      <c r="E5353" t="s">
        <v>7</v>
      </c>
      <c r="F5353" t="s">
        <v>7</v>
      </c>
      <c r="G5353" t="s">
        <v>7</v>
      </c>
      <c r="H5353">
        <v>22416.34</v>
      </c>
      <c r="I5353">
        <v>6660.22</v>
      </c>
      <c r="J5353">
        <v>0</v>
      </c>
    </row>
    <row r="5354" spans="1:10" x14ac:dyDescent="0.35">
      <c r="A5354">
        <v>324087</v>
      </c>
      <c r="B5354" t="s">
        <v>20</v>
      </c>
      <c r="C5354">
        <v>2015</v>
      </c>
      <c r="D5354">
        <v>7</v>
      </c>
      <c r="E5354" t="s">
        <v>7</v>
      </c>
      <c r="F5354" t="s">
        <v>7</v>
      </c>
      <c r="G5354" t="s">
        <v>7</v>
      </c>
      <c r="H5354">
        <v>74388.800000000003</v>
      </c>
      <c r="I5354">
        <v>29133.21</v>
      </c>
      <c r="J5354">
        <v>0</v>
      </c>
    </row>
    <row r="5355" spans="1:10" x14ac:dyDescent="0.35">
      <c r="A5355">
        <v>324089</v>
      </c>
      <c r="B5355" t="s">
        <v>20</v>
      </c>
      <c r="C5355">
        <v>2015</v>
      </c>
      <c r="D5355">
        <v>7</v>
      </c>
      <c r="E5355" t="s">
        <v>7</v>
      </c>
      <c r="F5355" t="s">
        <v>7</v>
      </c>
      <c r="G5355" t="s">
        <v>7</v>
      </c>
      <c r="H5355">
        <v>22961.42</v>
      </c>
      <c r="I5355">
        <v>6670.85</v>
      </c>
      <c r="J5355">
        <v>0</v>
      </c>
    </row>
    <row r="5356" spans="1:10" x14ac:dyDescent="0.35">
      <c r="A5356">
        <v>324090</v>
      </c>
      <c r="B5356" t="s">
        <v>20</v>
      </c>
      <c r="C5356">
        <v>2015</v>
      </c>
      <c r="D5356">
        <v>7</v>
      </c>
      <c r="E5356" t="s">
        <v>7</v>
      </c>
      <c r="F5356" t="s">
        <v>7</v>
      </c>
      <c r="G5356" t="s">
        <v>7</v>
      </c>
      <c r="H5356">
        <v>26753.08</v>
      </c>
      <c r="I5356">
        <v>7426.55</v>
      </c>
      <c r="J5356">
        <v>0</v>
      </c>
    </row>
    <row r="5357" spans="1:10" x14ac:dyDescent="0.35">
      <c r="A5357">
        <v>324091</v>
      </c>
      <c r="B5357" t="s">
        <v>20</v>
      </c>
      <c r="C5357">
        <v>2015</v>
      </c>
      <c r="D5357">
        <v>7</v>
      </c>
      <c r="E5357" t="s">
        <v>7</v>
      </c>
      <c r="F5357" t="s">
        <v>7</v>
      </c>
      <c r="G5357" t="s">
        <v>7</v>
      </c>
      <c r="H5357">
        <v>8796.06</v>
      </c>
      <c r="I5357">
        <v>2334.33</v>
      </c>
      <c r="J5357">
        <v>0</v>
      </c>
    </row>
    <row r="5358" spans="1:10" x14ac:dyDescent="0.35">
      <c r="A5358">
        <v>324093</v>
      </c>
      <c r="B5358" t="s">
        <v>20</v>
      </c>
      <c r="C5358">
        <v>2015</v>
      </c>
      <c r="D5358">
        <v>7</v>
      </c>
      <c r="E5358" t="s">
        <v>7</v>
      </c>
      <c r="F5358" t="s">
        <v>7</v>
      </c>
      <c r="G5358" t="s">
        <v>7</v>
      </c>
      <c r="H5358">
        <v>27825.88</v>
      </c>
      <c r="I5358">
        <v>6308.05</v>
      </c>
      <c r="J5358">
        <v>0</v>
      </c>
    </row>
    <row r="5359" spans="1:10" x14ac:dyDescent="0.35">
      <c r="A5359">
        <v>324094</v>
      </c>
      <c r="B5359" t="s">
        <v>20</v>
      </c>
      <c r="C5359">
        <v>2015</v>
      </c>
      <c r="D5359">
        <v>7</v>
      </c>
      <c r="E5359" t="s">
        <v>7</v>
      </c>
      <c r="F5359" t="s">
        <v>7</v>
      </c>
      <c r="G5359" t="s">
        <v>7</v>
      </c>
      <c r="H5359">
        <v>51523</v>
      </c>
      <c r="I5359">
        <v>14299.03</v>
      </c>
      <c r="J5359">
        <v>0</v>
      </c>
    </row>
    <row r="5360" spans="1:10" x14ac:dyDescent="0.35">
      <c r="A5360">
        <v>324095</v>
      </c>
      <c r="B5360" t="s">
        <v>20</v>
      </c>
      <c r="C5360">
        <v>2015</v>
      </c>
      <c r="D5360">
        <v>7</v>
      </c>
      <c r="E5360" t="s">
        <v>7</v>
      </c>
      <c r="F5360" t="s">
        <v>7</v>
      </c>
      <c r="G5360" t="s">
        <v>7</v>
      </c>
      <c r="H5360">
        <v>82999.42</v>
      </c>
      <c r="I5360">
        <v>40246.61</v>
      </c>
      <c r="J5360">
        <v>0</v>
      </c>
    </row>
    <row r="5361" spans="1:10" x14ac:dyDescent="0.35">
      <c r="A5361">
        <v>324096</v>
      </c>
      <c r="B5361" t="s">
        <v>20</v>
      </c>
      <c r="C5361">
        <v>2015</v>
      </c>
      <c r="D5361">
        <v>7</v>
      </c>
      <c r="E5361" t="s">
        <v>7</v>
      </c>
      <c r="F5361" t="s">
        <v>7</v>
      </c>
      <c r="G5361" t="s">
        <v>7</v>
      </c>
      <c r="H5361">
        <v>63851.9</v>
      </c>
      <c r="I5361">
        <v>20630.63</v>
      </c>
      <c r="J5361">
        <v>0</v>
      </c>
    </row>
    <row r="5362" spans="1:10" x14ac:dyDescent="0.35">
      <c r="A5362">
        <v>324097</v>
      </c>
      <c r="B5362" t="s">
        <v>20</v>
      </c>
      <c r="C5362">
        <v>2015</v>
      </c>
      <c r="D5362">
        <v>7</v>
      </c>
      <c r="E5362" t="s">
        <v>7</v>
      </c>
      <c r="F5362" t="s">
        <v>7</v>
      </c>
      <c r="G5362" t="s">
        <v>7</v>
      </c>
      <c r="H5362">
        <v>24650.02</v>
      </c>
      <c r="I5362">
        <v>10156.5</v>
      </c>
      <c r="J5362">
        <v>0</v>
      </c>
    </row>
    <row r="5363" spans="1:10" x14ac:dyDescent="0.35">
      <c r="A5363">
        <v>324098</v>
      </c>
      <c r="B5363" t="s">
        <v>20</v>
      </c>
      <c r="C5363">
        <v>2015</v>
      </c>
      <c r="D5363">
        <v>7</v>
      </c>
      <c r="E5363" t="s">
        <v>7</v>
      </c>
      <c r="F5363" t="s">
        <v>7</v>
      </c>
      <c r="G5363" t="s">
        <v>7</v>
      </c>
      <c r="H5363">
        <v>34041.54</v>
      </c>
      <c r="I5363">
        <v>9516.42</v>
      </c>
      <c r="J5363">
        <v>0</v>
      </c>
    </row>
    <row r="5364" spans="1:10" x14ac:dyDescent="0.35">
      <c r="A5364">
        <v>324103</v>
      </c>
      <c r="B5364" t="s">
        <v>20</v>
      </c>
      <c r="C5364">
        <v>2015</v>
      </c>
      <c r="D5364">
        <v>7</v>
      </c>
      <c r="E5364" t="s">
        <v>7</v>
      </c>
      <c r="F5364" t="s">
        <v>7</v>
      </c>
      <c r="G5364" t="s">
        <v>7</v>
      </c>
      <c r="H5364">
        <v>18124.5</v>
      </c>
      <c r="I5364">
        <v>3397.31</v>
      </c>
      <c r="J5364">
        <v>0</v>
      </c>
    </row>
    <row r="5365" spans="1:10" x14ac:dyDescent="0.35">
      <c r="A5365">
        <v>324105</v>
      </c>
      <c r="B5365" t="s">
        <v>20</v>
      </c>
      <c r="C5365">
        <v>2015</v>
      </c>
      <c r="D5365">
        <v>7</v>
      </c>
      <c r="E5365" t="s">
        <v>7</v>
      </c>
      <c r="F5365" t="s">
        <v>7</v>
      </c>
      <c r="G5365" t="s">
        <v>7</v>
      </c>
      <c r="H5365">
        <v>21718.959999999999</v>
      </c>
      <c r="I5365">
        <v>5131.4399999999996</v>
      </c>
      <c r="J5365">
        <v>0</v>
      </c>
    </row>
    <row r="5366" spans="1:10" x14ac:dyDescent="0.35">
      <c r="A5366">
        <v>324108</v>
      </c>
      <c r="B5366" t="s">
        <v>20</v>
      </c>
      <c r="C5366">
        <v>2015</v>
      </c>
      <c r="D5366">
        <v>7</v>
      </c>
      <c r="E5366" t="s">
        <v>7</v>
      </c>
      <c r="F5366" t="s">
        <v>7</v>
      </c>
      <c r="G5366" t="s">
        <v>7</v>
      </c>
      <c r="H5366">
        <v>276264.44</v>
      </c>
      <c r="I5366">
        <v>69302.38</v>
      </c>
      <c r="J5366">
        <v>0</v>
      </c>
    </row>
    <row r="5367" spans="1:10" x14ac:dyDescent="0.35">
      <c r="A5367">
        <v>324109</v>
      </c>
      <c r="B5367" t="s">
        <v>20</v>
      </c>
      <c r="C5367">
        <v>2015</v>
      </c>
      <c r="D5367">
        <v>7</v>
      </c>
      <c r="E5367" t="s">
        <v>7</v>
      </c>
      <c r="F5367" t="s">
        <v>7</v>
      </c>
      <c r="G5367" t="s">
        <v>7</v>
      </c>
      <c r="H5367">
        <v>22020.44</v>
      </c>
      <c r="I5367">
        <v>5263.91</v>
      </c>
      <c r="J5367">
        <v>0</v>
      </c>
    </row>
    <row r="5368" spans="1:10" x14ac:dyDescent="0.35">
      <c r="A5368">
        <v>324110</v>
      </c>
      <c r="B5368" t="s">
        <v>20</v>
      </c>
      <c r="C5368">
        <v>2015</v>
      </c>
      <c r="D5368">
        <v>7</v>
      </c>
      <c r="E5368" t="s">
        <v>7</v>
      </c>
      <c r="F5368" t="s">
        <v>7</v>
      </c>
      <c r="G5368" t="s">
        <v>7</v>
      </c>
      <c r="H5368">
        <v>25138.14</v>
      </c>
      <c r="I5368">
        <v>6870.11</v>
      </c>
      <c r="J5368">
        <v>0</v>
      </c>
    </row>
    <row r="5369" spans="1:10" x14ac:dyDescent="0.35">
      <c r="A5369">
        <v>324111</v>
      </c>
      <c r="B5369" t="s">
        <v>20</v>
      </c>
      <c r="C5369">
        <v>2015</v>
      </c>
      <c r="D5369">
        <v>7</v>
      </c>
      <c r="E5369" t="s">
        <v>7</v>
      </c>
      <c r="F5369" t="s">
        <v>7</v>
      </c>
      <c r="G5369" t="s">
        <v>7</v>
      </c>
      <c r="H5369">
        <v>58624.84</v>
      </c>
      <c r="I5369">
        <v>15170.13</v>
      </c>
      <c r="J5369">
        <v>0</v>
      </c>
    </row>
    <row r="5370" spans="1:10" x14ac:dyDescent="0.35">
      <c r="A5370">
        <v>324113</v>
      </c>
      <c r="B5370" t="s">
        <v>20</v>
      </c>
      <c r="C5370">
        <v>2015</v>
      </c>
      <c r="D5370">
        <v>7</v>
      </c>
      <c r="E5370" t="s">
        <v>7</v>
      </c>
      <c r="F5370" t="s">
        <v>7</v>
      </c>
      <c r="G5370" t="s">
        <v>7</v>
      </c>
      <c r="H5370">
        <v>43522.22</v>
      </c>
      <c r="I5370">
        <v>12894.72</v>
      </c>
      <c r="J5370">
        <v>0</v>
      </c>
    </row>
    <row r="5371" spans="1:10" x14ac:dyDescent="0.35">
      <c r="A5371">
        <v>324114</v>
      </c>
      <c r="B5371" t="s">
        <v>20</v>
      </c>
      <c r="C5371">
        <v>2015</v>
      </c>
      <c r="D5371">
        <v>7</v>
      </c>
      <c r="E5371" t="s">
        <v>7</v>
      </c>
      <c r="F5371" t="s">
        <v>7</v>
      </c>
      <c r="G5371" t="s">
        <v>7</v>
      </c>
      <c r="H5371">
        <v>23025.08</v>
      </c>
      <c r="I5371">
        <v>6970.38</v>
      </c>
      <c r="J5371">
        <v>0</v>
      </c>
    </row>
    <row r="5372" spans="1:10" x14ac:dyDescent="0.35">
      <c r="A5372">
        <v>324115</v>
      </c>
      <c r="B5372" t="s">
        <v>20</v>
      </c>
      <c r="C5372">
        <v>2015</v>
      </c>
      <c r="D5372">
        <v>7</v>
      </c>
      <c r="E5372" t="s">
        <v>7</v>
      </c>
      <c r="F5372" t="s">
        <v>7</v>
      </c>
      <c r="G5372" t="s">
        <v>7</v>
      </c>
      <c r="H5372">
        <v>115024.92</v>
      </c>
      <c r="I5372">
        <v>36826.79</v>
      </c>
      <c r="J5372">
        <v>0</v>
      </c>
    </row>
    <row r="5373" spans="1:10" x14ac:dyDescent="0.35">
      <c r="A5373">
        <v>324118</v>
      </c>
      <c r="B5373" t="s">
        <v>20</v>
      </c>
      <c r="C5373">
        <v>2015</v>
      </c>
      <c r="D5373">
        <v>7</v>
      </c>
      <c r="E5373" t="s">
        <v>7</v>
      </c>
      <c r="F5373" t="s">
        <v>7</v>
      </c>
      <c r="G5373" t="s">
        <v>7</v>
      </c>
      <c r="H5373">
        <v>123352.68</v>
      </c>
      <c r="I5373">
        <v>48537.83</v>
      </c>
      <c r="J5373">
        <v>0</v>
      </c>
    </row>
    <row r="5374" spans="1:10" x14ac:dyDescent="0.35">
      <c r="A5374">
        <v>324120</v>
      </c>
      <c r="B5374" t="s">
        <v>20</v>
      </c>
      <c r="C5374">
        <v>2015</v>
      </c>
      <c r="D5374">
        <v>7</v>
      </c>
      <c r="E5374" t="s">
        <v>7</v>
      </c>
      <c r="F5374" t="s">
        <v>7</v>
      </c>
      <c r="G5374" t="s">
        <v>7</v>
      </c>
      <c r="H5374">
        <v>28295.52</v>
      </c>
      <c r="I5374">
        <v>8471.6200000000008</v>
      </c>
      <c r="J5374">
        <v>0</v>
      </c>
    </row>
    <row r="5375" spans="1:10" x14ac:dyDescent="0.35">
      <c r="A5375">
        <v>324121</v>
      </c>
      <c r="B5375" t="s">
        <v>20</v>
      </c>
      <c r="C5375">
        <v>2015</v>
      </c>
      <c r="D5375">
        <v>7</v>
      </c>
      <c r="E5375" t="s">
        <v>7</v>
      </c>
      <c r="F5375" t="s">
        <v>7</v>
      </c>
      <c r="G5375" t="s">
        <v>7</v>
      </c>
      <c r="H5375">
        <v>125178.52</v>
      </c>
      <c r="I5375">
        <v>64568.02</v>
      </c>
      <c r="J5375">
        <v>0</v>
      </c>
    </row>
    <row r="5376" spans="1:10" x14ac:dyDescent="0.35">
      <c r="A5376">
        <v>324122</v>
      </c>
      <c r="B5376" t="s">
        <v>20</v>
      </c>
      <c r="C5376">
        <v>2015</v>
      </c>
      <c r="D5376">
        <v>7</v>
      </c>
      <c r="E5376" t="s">
        <v>7</v>
      </c>
      <c r="F5376" t="s">
        <v>7</v>
      </c>
      <c r="G5376" t="s">
        <v>7</v>
      </c>
      <c r="H5376">
        <v>39941.06</v>
      </c>
      <c r="I5376">
        <v>18549.04</v>
      </c>
      <c r="J5376">
        <v>0</v>
      </c>
    </row>
    <row r="5377" spans="1:10" x14ac:dyDescent="0.35">
      <c r="A5377">
        <v>324123</v>
      </c>
      <c r="B5377" t="s">
        <v>20</v>
      </c>
      <c r="C5377">
        <v>2015</v>
      </c>
      <c r="D5377">
        <v>7</v>
      </c>
      <c r="E5377" t="s">
        <v>7</v>
      </c>
      <c r="F5377" t="s">
        <v>7</v>
      </c>
      <c r="G5377" t="s">
        <v>7</v>
      </c>
      <c r="H5377">
        <v>98463.15</v>
      </c>
      <c r="I5377">
        <v>52278.29</v>
      </c>
      <c r="J5377">
        <v>0</v>
      </c>
    </row>
    <row r="5378" spans="1:10" x14ac:dyDescent="0.35">
      <c r="A5378">
        <v>324124</v>
      </c>
      <c r="B5378" t="s">
        <v>20</v>
      </c>
      <c r="C5378">
        <v>2015</v>
      </c>
      <c r="D5378">
        <v>7</v>
      </c>
      <c r="E5378" t="s">
        <v>7</v>
      </c>
      <c r="F5378" t="s">
        <v>7</v>
      </c>
      <c r="G5378" t="s">
        <v>7</v>
      </c>
      <c r="H5378">
        <v>44284.78</v>
      </c>
      <c r="I5378">
        <v>13987.6</v>
      </c>
      <c r="J5378">
        <v>0</v>
      </c>
    </row>
    <row r="5379" spans="1:10" x14ac:dyDescent="0.35">
      <c r="A5379">
        <v>324125</v>
      </c>
      <c r="B5379" t="s">
        <v>20</v>
      </c>
      <c r="C5379">
        <v>2015</v>
      </c>
      <c r="D5379">
        <v>7</v>
      </c>
      <c r="E5379" t="s">
        <v>7</v>
      </c>
      <c r="F5379" t="s">
        <v>7</v>
      </c>
      <c r="G5379" t="s">
        <v>7</v>
      </c>
      <c r="H5379">
        <v>18059.52</v>
      </c>
      <c r="I5379">
        <v>4960.21</v>
      </c>
      <c r="J5379">
        <v>0</v>
      </c>
    </row>
    <row r="5380" spans="1:10" x14ac:dyDescent="0.35">
      <c r="A5380">
        <v>324127</v>
      </c>
      <c r="B5380" t="s">
        <v>20</v>
      </c>
      <c r="C5380">
        <v>2015</v>
      </c>
      <c r="D5380">
        <v>7</v>
      </c>
      <c r="E5380" t="s">
        <v>7</v>
      </c>
      <c r="F5380" t="s">
        <v>7</v>
      </c>
      <c r="G5380" t="s">
        <v>7</v>
      </c>
      <c r="H5380">
        <v>54218.400000000001</v>
      </c>
      <c r="I5380">
        <v>14491.16</v>
      </c>
      <c r="J5380">
        <v>0</v>
      </c>
    </row>
    <row r="5381" spans="1:10" x14ac:dyDescent="0.35">
      <c r="A5381">
        <v>324129</v>
      </c>
      <c r="B5381" t="s">
        <v>20</v>
      </c>
      <c r="C5381">
        <v>2015</v>
      </c>
      <c r="D5381">
        <v>7</v>
      </c>
      <c r="E5381" t="s">
        <v>7</v>
      </c>
      <c r="F5381" t="s">
        <v>7</v>
      </c>
      <c r="G5381" t="s">
        <v>7</v>
      </c>
      <c r="H5381">
        <v>14898.2</v>
      </c>
      <c r="I5381">
        <v>3429.02</v>
      </c>
      <c r="J5381">
        <v>0</v>
      </c>
    </row>
    <row r="5382" spans="1:10" x14ac:dyDescent="0.35">
      <c r="A5382">
        <v>324130</v>
      </c>
      <c r="B5382" t="s">
        <v>20</v>
      </c>
      <c r="C5382">
        <v>2015</v>
      </c>
      <c r="D5382">
        <v>7</v>
      </c>
      <c r="E5382" t="s">
        <v>7</v>
      </c>
      <c r="F5382" t="s">
        <v>7</v>
      </c>
      <c r="G5382" t="s">
        <v>7</v>
      </c>
      <c r="H5382">
        <v>64255.78</v>
      </c>
      <c r="I5382">
        <v>26714.59</v>
      </c>
      <c r="J5382">
        <v>0</v>
      </c>
    </row>
    <row r="5383" spans="1:10" x14ac:dyDescent="0.35">
      <c r="A5383">
        <v>324131</v>
      </c>
      <c r="B5383" t="s">
        <v>20</v>
      </c>
      <c r="C5383">
        <v>2015</v>
      </c>
      <c r="D5383">
        <v>7</v>
      </c>
      <c r="E5383" t="s">
        <v>7</v>
      </c>
      <c r="F5383" t="s">
        <v>7</v>
      </c>
      <c r="G5383" t="s">
        <v>7</v>
      </c>
      <c r="H5383">
        <v>30895.46</v>
      </c>
      <c r="I5383">
        <v>9611.06</v>
      </c>
      <c r="J5383">
        <v>0</v>
      </c>
    </row>
    <row r="5384" spans="1:10" x14ac:dyDescent="0.35">
      <c r="A5384">
        <v>324132</v>
      </c>
      <c r="B5384" t="s">
        <v>20</v>
      </c>
      <c r="C5384">
        <v>2015</v>
      </c>
      <c r="D5384">
        <v>7</v>
      </c>
      <c r="E5384" t="s">
        <v>7</v>
      </c>
      <c r="F5384" t="s">
        <v>7</v>
      </c>
      <c r="G5384" t="s">
        <v>7</v>
      </c>
      <c r="H5384">
        <v>54429.5</v>
      </c>
      <c r="I5384">
        <v>17621.349999999999</v>
      </c>
      <c r="J5384">
        <v>0</v>
      </c>
    </row>
    <row r="5385" spans="1:10" x14ac:dyDescent="0.35">
      <c r="A5385">
        <v>324136</v>
      </c>
      <c r="B5385" t="s">
        <v>20</v>
      </c>
      <c r="C5385">
        <v>2015</v>
      </c>
      <c r="D5385">
        <v>7</v>
      </c>
      <c r="E5385" t="s">
        <v>7</v>
      </c>
      <c r="F5385" t="s">
        <v>7</v>
      </c>
      <c r="G5385" t="s">
        <v>7</v>
      </c>
      <c r="H5385">
        <v>49741.5</v>
      </c>
      <c r="I5385">
        <v>15651.18</v>
      </c>
      <c r="J5385">
        <v>0</v>
      </c>
    </row>
    <row r="5386" spans="1:10" x14ac:dyDescent="0.35">
      <c r="A5386">
        <v>324139</v>
      </c>
      <c r="B5386" t="s">
        <v>20</v>
      </c>
      <c r="C5386">
        <v>2015</v>
      </c>
      <c r="D5386">
        <v>7</v>
      </c>
      <c r="E5386" t="s">
        <v>7</v>
      </c>
      <c r="F5386" t="s">
        <v>7</v>
      </c>
      <c r="G5386" t="s">
        <v>7</v>
      </c>
      <c r="H5386">
        <v>97239.28</v>
      </c>
      <c r="I5386">
        <v>29789.69</v>
      </c>
      <c r="J5386">
        <v>0</v>
      </c>
    </row>
    <row r="5387" spans="1:10" x14ac:dyDescent="0.35">
      <c r="A5387">
        <v>324141</v>
      </c>
      <c r="B5387" t="s">
        <v>20</v>
      </c>
      <c r="C5387">
        <v>2015</v>
      </c>
      <c r="D5387">
        <v>7</v>
      </c>
      <c r="E5387" t="s">
        <v>7</v>
      </c>
      <c r="F5387" t="s">
        <v>7</v>
      </c>
      <c r="G5387" t="s">
        <v>7</v>
      </c>
      <c r="H5387">
        <v>42625.279999999999</v>
      </c>
      <c r="I5387">
        <v>12331.33</v>
      </c>
      <c r="J5387">
        <v>0</v>
      </c>
    </row>
    <row r="5388" spans="1:10" x14ac:dyDescent="0.35">
      <c r="A5388">
        <v>324142</v>
      </c>
      <c r="B5388" t="s">
        <v>20</v>
      </c>
      <c r="C5388">
        <v>2015</v>
      </c>
      <c r="D5388">
        <v>7</v>
      </c>
      <c r="E5388" t="s">
        <v>7</v>
      </c>
      <c r="F5388" t="s">
        <v>7</v>
      </c>
      <c r="G5388" t="s">
        <v>7</v>
      </c>
      <c r="H5388">
        <v>10505.16</v>
      </c>
      <c r="I5388">
        <v>2714.84</v>
      </c>
      <c r="J5388">
        <v>0</v>
      </c>
    </row>
    <row r="5389" spans="1:10" x14ac:dyDescent="0.35">
      <c r="A5389">
        <v>324143</v>
      </c>
      <c r="B5389" t="s">
        <v>20</v>
      </c>
      <c r="C5389">
        <v>2015</v>
      </c>
      <c r="D5389">
        <v>7</v>
      </c>
      <c r="E5389" t="s">
        <v>7</v>
      </c>
      <c r="F5389" t="s">
        <v>7</v>
      </c>
      <c r="G5389" t="s">
        <v>7</v>
      </c>
      <c r="H5389">
        <v>25132.48</v>
      </c>
      <c r="I5389">
        <v>7255.58</v>
      </c>
      <c r="J5389">
        <v>0</v>
      </c>
    </row>
    <row r="5390" spans="1:10" x14ac:dyDescent="0.35">
      <c r="A5390">
        <v>324144</v>
      </c>
      <c r="B5390" t="s">
        <v>20</v>
      </c>
      <c r="C5390">
        <v>2015</v>
      </c>
      <c r="D5390">
        <v>7</v>
      </c>
      <c r="E5390" t="s">
        <v>7</v>
      </c>
      <c r="F5390" t="s">
        <v>7</v>
      </c>
      <c r="G5390" t="s">
        <v>7</v>
      </c>
      <c r="H5390">
        <v>18932.64</v>
      </c>
      <c r="I5390">
        <v>5978.41</v>
      </c>
      <c r="J5390">
        <v>0</v>
      </c>
    </row>
    <row r="5391" spans="1:10" x14ac:dyDescent="0.35">
      <c r="A5391">
        <v>324145</v>
      </c>
      <c r="B5391" t="s">
        <v>20</v>
      </c>
      <c r="C5391">
        <v>2015</v>
      </c>
      <c r="D5391">
        <v>7</v>
      </c>
      <c r="E5391" t="s">
        <v>7</v>
      </c>
      <c r="F5391" t="s">
        <v>7</v>
      </c>
      <c r="G5391" t="s">
        <v>7</v>
      </c>
      <c r="H5391">
        <v>104576.32000000001</v>
      </c>
      <c r="I5391">
        <v>30935.99</v>
      </c>
      <c r="J5391">
        <v>0</v>
      </c>
    </row>
    <row r="5392" spans="1:10" x14ac:dyDescent="0.35">
      <c r="A5392">
        <v>324146</v>
      </c>
      <c r="B5392" t="s">
        <v>20</v>
      </c>
      <c r="C5392">
        <v>2015</v>
      </c>
      <c r="D5392">
        <v>7</v>
      </c>
      <c r="E5392" t="s">
        <v>7</v>
      </c>
      <c r="F5392" t="s">
        <v>7</v>
      </c>
      <c r="G5392" t="s">
        <v>7</v>
      </c>
      <c r="H5392">
        <v>15557.68</v>
      </c>
      <c r="I5392">
        <v>4464.9399999999996</v>
      </c>
      <c r="J5392">
        <v>0</v>
      </c>
    </row>
    <row r="5393" spans="1:10" x14ac:dyDescent="0.35">
      <c r="A5393">
        <v>324147</v>
      </c>
      <c r="B5393" t="s">
        <v>20</v>
      </c>
      <c r="C5393">
        <v>2015</v>
      </c>
      <c r="D5393">
        <v>7</v>
      </c>
      <c r="E5393" t="s">
        <v>7</v>
      </c>
      <c r="F5393" t="s">
        <v>7</v>
      </c>
      <c r="G5393" t="s">
        <v>7</v>
      </c>
      <c r="H5393">
        <v>30370.34</v>
      </c>
      <c r="I5393">
        <v>8858.26</v>
      </c>
      <c r="J5393">
        <v>0</v>
      </c>
    </row>
    <row r="5394" spans="1:10" x14ac:dyDescent="0.35">
      <c r="A5394">
        <v>324149</v>
      </c>
      <c r="B5394" t="s">
        <v>20</v>
      </c>
      <c r="C5394">
        <v>2015</v>
      </c>
      <c r="D5394">
        <v>7</v>
      </c>
      <c r="E5394" t="s">
        <v>7</v>
      </c>
      <c r="F5394" t="s">
        <v>7</v>
      </c>
      <c r="G5394" t="s">
        <v>7</v>
      </c>
      <c r="H5394">
        <v>17962.060000000001</v>
      </c>
      <c r="I5394">
        <v>4844.21</v>
      </c>
      <c r="J5394">
        <v>0</v>
      </c>
    </row>
    <row r="5395" spans="1:10" x14ac:dyDescent="0.35">
      <c r="A5395">
        <v>324151</v>
      </c>
      <c r="B5395" t="s">
        <v>20</v>
      </c>
      <c r="C5395">
        <v>2015</v>
      </c>
      <c r="D5395">
        <v>7</v>
      </c>
      <c r="E5395" t="s">
        <v>7</v>
      </c>
      <c r="F5395" t="s">
        <v>7</v>
      </c>
      <c r="G5395" t="s">
        <v>7</v>
      </c>
      <c r="H5395">
        <v>68279.17</v>
      </c>
      <c r="I5395">
        <v>37340.69</v>
      </c>
      <c r="J5395">
        <v>0</v>
      </c>
    </row>
    <row r="5396" spans="1:10" x14ac:dyDescent="0.35">
      <c r="A5396">
        <v>324155</v>
      </c>
      <c r="B5396" t="s">
        <v>20</v>
      </c>
      <c r="C5396">
        <v>2015</v>
      </c>
      <c r="D5396">
        <v>7</v>
      </c>
      <c r="E5396" t="s">
        <v>7</v>
      </c>
      <c r="F5396" t="s">
        <v>7</v>
      </c>
      <c r="G5396" t="s">
        <v>7</v>
      </c>
      <c r="H5396">
        <v>88145</v>
      </c>
      <c r="I5396">
        <v>34700.78</v>
      </c>
      <c r="J5396">
        <v>0</v>
      </c>
    </row>
    <row r="5397" spans="1:10" x14ac:dyDescent="0.35">
      <c r="A5397">
        <v>324156</v>
      </c>
      <c r="B5397" t="s">
        <v>20</v>
      </c>
      <c r="C5397">
        <v>2015</v>
      </c>
      <c r="D5397">
        <v>7</v>
      </c>
      <c r="E5397" t="s">
        <v>7</v>
      </c>
      <c r="F5397" t="s">
        <v>7</v>
      </c>
      <c r="G5397" t="s">
        <v>7</v>
      </c>
      <c r="H5397">
        <v>42909.98</v>
      </c>
      <c r="I5397">
        <v>14567.62</v>
      </c>
      <c r="J5397">
        <v>0</v>
      </c>
    </row>
    <row r="5398" spans="1:10" x14ac:dyDescent="0.35">
      <c r="A5398">
        <v>324157</v>
      </c>
      <c r="B5398" t="s">
        <v>20</v>
      </c>
      <c r="C5398">
        <v>2015</v>
      </c>
      <c r="D5398">
        <v>7</v>
      </c>
      <c r="E5398" t="s">
        <v>7</v>
      </c>
      <c r="F5398" t="s">
        <v>7</v>
      </c>
      <c r="G5398" t="s">
        <v>7</v>
      </c>
      <c r="H5398">
        <v>18968.939999999999</v>
      </c>
      <c r="I5398">
        <v>4775.6499999999996</v>
      </c>
      <c r="J5398">
        <v>0</v>
      </c>
    </row>
    <row r="5399" spans="1:10" x14ac:dyDescent="0.35">
      <c r="A5399">
        <v>324159</v>
      </c>
      <c r="B5399" t="s">
        <v>20</v>
      </c>
      <c r="C5399">
        <v>2015</v>
      </c>
      <c r="D5399">
        <v>7</v>
      </c>
      <c r="E5399" t="s">
        <v>7</v>
      </c>
      <c r="F5399" t="s">
        <v>7</v>
      </c>
      <c r="G5399" t="s">
        <v>7</v>
      </c>
      <c r="H5399">
        <v>20314.8</v>
      </c>
      <c r="I5399">
        <v>6278.56</v>
      </c>
      <c r="J5399">
        <v>0</v>
      </c>
    </row>
    <row r="5400" spans="1:10" x14ac:dyDescent="0.35">
      <c r="A5400">
        <v>324161</v>
      </c>
      <c r="B5400" t="s">
        <v>20</v>
      </c>
      <c r="C5400">
        <v>2015</v>
      </c>
      <c r="D5400">
        <v>7</v>
      </c>
      <c r="E5400" t="s">
        <v>7</v>
      </c>
      <c r="F5400" t="s">
        <v>7</v>
      </c>
      <c r="G5400" t="s">
        <v>7</v>
      </c>
      <c r="H5400">
        <v>11269.9</v>
      </c>
      <c r="I5400">
        <v>2891.2</v>
      </c>
      <c r="J5400">
        <v>0</v>
      </c>
    </row>
    <row r="5401" spans="1:10" x14ac:dyDescent="0.35">
      <c r="A5401">
        <v>324162</v>
      </c>
      <c r="B5401" t="s">
        <v>20</v>
      </c>
      <c r="C5401">
        <v>2015</v>
      </c>
      <c r="D5401">
        <v>7</v>
      </c>
      <c r="E5401" t="s">
        <v>7</v>
      </c>
      <c r="F5401" t="s">
        <v>7</v>
      </c>
      <c r="G5401" t="s">
        <v>7</v>
      </c>
      <c r="H5401">
        <v>25744.240000000002</v>
      </c>
      <c r="I5401">
        <v>8072.31</v>
      </c>
      <c r="J5401">
        <v>0</v>
      </c>
    </row>
    <row r="5402" spans="1:10" x14ac:dyDescent="0.35">
      <c r="A5402">
        <v>324164</v>
      </c>
      <c r="B5402" t="s">
        <v>20</v>
      </c>
      <c r="C5402">
        <v>2015</v>
      </c>
      <c r="D5402">
        <v>7</v>
      </c>
      <c r="E5402" t="s">
        <v>7</v>
      </c>
      <c r="F5402" t="s">
        <v>7</v>
      </c>
      <c r="G5402" t="s">
        <v>7</v>
      </c>
      <c r="H5402">
        <v>33022.699999999997</v>
      </c>
      <c r="I5402">
        <v>9053.34</v>
      </c>
      <c r="J5402">
        <v>0</v>
      </c>
    </row>
    <row r="5403" spans="1:10" x14ac:dyDescent="0.35">
      <c r="A5403">
        <v>324165</v>
      </c>
      <c r="B5403" t="s">
        <v>20</v>
      </c>
      <c r="C5403">
        <v>2015</v>
      </c>
      <c r="D5403">
        <v>7</v>
      </c>
      <c r="E5403" t="s">
        <v>7</v>
      </c>
      <c r="F5403" t="s">
        <v>7</v>
      </c>
      <c r="G5403" t="s">
        <v>7</v>
      </c>
      <c r="H5403">
        <v>25576.06</v>
      </c>
      <c r="I5403">
        <v>7217.53</v>
      </c>
      <c r="J5403">
        <v>0</v>
      </c>
    </row>
    <row r="5404" spans="1:10" x14ac:dyDescent="0.35">
      <c r="A5404">
        <v>324166</v>
      </c>
      <c r="B5404" t="s">
        <v>20</v>
      </c>
      <c r="C5404">
        <v>2015</v>
      </c>
      <c r="D5404">
        <v>7</v>
      </c>
      <c r="E5404" t="s">
        <v>7</v>
      </c>
      <c r="F5404" t="s">
        <v>7</v>
      </c>
      <c r="G5404" t="s">
        <v>7</v>
      </c>
      <c r="H5404">
        <v>16131.98</v>
      </c>
      <c r="I5404">
        <v>4182</v>
      </c>
      <c r="J5404">
        <v>0</v>
      </c>
    </row>
    <row r="5405" spans="1:10" x14ac:dyDescent="0.35">
      <c r="A5405">
        <v>324167</v>
      </c>
      <c r="B5405" t="s">
        <v>20</v>
      </c>
      <c r="C5405">
        <v>2015</v>
      </c>
      <c r="D5405">
        <v>7</v>
      </c>
      <c r="E5405" t="s">
        <v>7</v>
      </c>
      <c r="F5405" t="s">
        <v>7</v>
      </c>
      <c r="G5405" t="s">
        <v>7</v>
      </c>
      <c r="H5405">
        <v>9907.5</v>
      </c>
      <c r="I5405">
        <v>2733.2</v>
      </c>
      <c r="J5405">
        <v>0</v>
      </c>
    </row>
    <row r="5406" spans="1:10" x14ac:dyDescent="0.35">
      <c r="A5406">
        <v>324171</v>
      </c>
      <c r="B5406" t="s">
        <v>20</v>
      </c>
      <c r="C5406">
        <v>2015</v>
      </c>
      <c r="D5406">
        <v>7</v>
      </c>
      <c r="E5406" t="s">
        <v>7</v>
      </c>
      <c r="F5406" t="s">
        <v>7</v>
      </c>
      <c r="G5406" t="s">
        <v>7</v>
      </c>
      <c r="H5406">
        <v>33643.08</v>
      </c>
      <c r="I5406">
        <v>9417.67</v>
      </c>
      <c r="J5406">
        <v>0</v>
      </c>
    </row>
    <row r="5407" spans="1:10" x14ac:dyDescent="0.35">
      <c r="A5407">
        <v>324173</v>
      </c>
      <c r="B5407" t="s">
        <v>20</v>
      </c>
      <c r="C5407">
        <v>2015</v>
      </c>
      <c r="D5407">
        <v>7</v>
      </c>
      <c r="E5407" t="s">
        <v>7</v>
      </c>
      <c r="F5407" t="s">
        <v>7</v>
      </c>
      <c r="G5407" t="s">
        <v>7</v>
      </c>
      <c r="H5407">
        <v>20281.72</v>
      </c>
      <c r="I5407">
        <v>5178.43</v>
      </c>
      <c r="J5407">
        <v>0</v>
      </c>
    </row>
    <row r="5408" spans="1:10" x14ac:dyDescent="0.35">
      <c r="A5408">
        <v>324174</v>
      </c>
      <c r="B5408" t="s">
        <v>20</v>
      </c>
      <c r="C5408">
        <v>2015</v>
      </c>
      <c r="D5408">
        <v>7</v>
      </c>
      <c r="E5408" t="s">
        <v>7</v>
      </c>
      <c r="F5408" t="s">
        <v>7</v>
      </c>
      <c r="G5408" t="s">
        <v>7</v>
      </c>
      <c r="H5408">
        <v>23908.22</v>
      </c>
      <c r="I5408">
        <v>7341.09</v>
      </c>
      <c r="J5408">
        <v>0</v>
      </c>
    </row>
    <row r="5409" spans="1:10" x14ac:dyDescent="0.35">
      <c r="A5409">
        <v>324177</v>
      </c>
      <c r="B5409" t="s">
        <v>20</v>
      </c>
      <c r="C5409">
        <v>2015</v>
      </c>
      <c r="D5409">
        <v>7</v>
      </c>
      <c r="E5409" t="s">
        <v>7</v>
      </c>
      <c r="F5409" t="s">
        <v>7</v>
      </c>
      <c r="G5409" t="s">
        <v>7</v>
      </c>
      <c r="H5409">
        <v>47634.080000000002</v>
      </c>
      <c r="I5409">
        <v>16458.8</v>
      </c>
      <c r="J5409">
        <v>0</v>
      </c>
    </row>
    <row r="5410" spans="1:10" x14ac:dyDescent="0.35">
      <c r="A5410">
        <v>324178</v>
      </c>
      <c r="B5410" t="s">
        <v>20</v>
      </c>
      <c r="C5410">
        <v>2015</v>
      </c>
      <c r="D5410">
        <v>7</v>
      </c>
      <c r="E5410" t="s">
        <v>7</v>
      </c>
      <c r="F5410" t="s">
        <v>7</v>
      </c>
      <c r="G5410" t="s">
        <v>7</v>
      </c>
      <c r="H5410">
        <v>19288.16</v>
      </c>
      <c r="I5410">
        <v>6370.92</v>
      </c>
      <c r="J5410">
        <v>0</v>
      </c>
    </row>
    <row r="5411" spans="1:10" x14ac:dyDescent="0.35">
      <c r="A5411">
        <v>324179</v>
      </c>
      <c r="B5411" t="s">
        <v>20</v>
      </c>
      <c r="C5411">
        <v>2015</v>
      </c>
      <c r="D5411">
        <v>7</v>
      </c>
      <c r="E5411" t="s">
        <v>7</v>
      </c>
      <c r="F5411" t="s">
        <v>7</v>
      </c>
      <c r="G5411" t="s">
        <v>7</v>
      </c>
      <c r="H5411">
        <v>25779.279999999999</v>
      </c>
      <c r="I5411">
        <v>6305.93</v>
      </c>
      <c r="J5411">
        <v>0</v>
      </c>
    </row>
    <row r="5412" spans="1:10" x14ac:dyDescent="0.35">
      <c r="A5412">
        <v>324180</v>
      </c>
      <c r="B5412" t="s">
        <v>20</v>
      </c>
      <c r="C5412">
        <v>2015</v>
      </c>
      <c r="D5412">
        <v>7</v>
      </c>
      <c r="E5412" t="s">
        <v>7</v>
      </c>
      <c r="F5412" t="s">
        <v>7</v>
      </c>
      <c r="G5412" t="s">
        <v>7</v>
      </c>
      <c r="H5412">
        <v>25000.1</v>
      </c>
      <c r="I5412">
        <v>7423.76</v>
      </c>
      <c r="J5412">
        <v>0</v>
      </c>
    </row>
    <row r="5413" spans="1:10" x14ac:dyDescent="0.35">
      <c r="A5413">
        <v>324181</v>
      </c>
      <c r="B5413" t="s">
        <v>20</v>
      </c>
      <c r="C5413">
        <v>2015</v>
      </c>
      <c r="D5413">
        <v>7</v>
      </c>
      <c r="E5413" t="s">
        <v>7</v>
      </c>
      <c r="F5413" t="s">
        <v>7</v>
      </c>
      <c r="G5413" t="s">
        <v>7</v>
      </c>
      <c r="H5413">
        <v>28349.96</v>
      </c>
      <c r="I5413">
        <v>9302.5499999999993</v>
      </c>
      <c r="J5413">
        <v>0</v>
      </c>
    </row>
    <row r="5414" spans="1:10" x14ac:dyDescent="0.35">
      <c r="A5414">
        <v>324183</v>
      </c>
      <c r="B5414" t="s">
        <v>20</v>
      </c>
      <c r="C5414">
        <v>2015</v>
      </c>
      <c r="D5414">
        <v>7</v>
      </c>
      <c r="E5414" t="s">
        <v>7</v>
      </c>
      <c r="F5414" t="s">
        <v>7</v>
      </c>
      <c r="G5414" t="s">
        <v>7</v>
      </c>
      <c r="H5414">
        <v>52079.56</v>
      </c>
      <c r="I5414">
        <v>16403.61</v>
      </c>
      <c r="J5414">
        <v>0</v>
      </c>
    </row>
    <row r="5415" spans="1:10" x14ac:dyDescent="0.35">
      <c r="A5415">
        <v>324184</v>
      </c>
      <c r="B5415" t="s">
        <v>20</v>
      </c>
      <c r="C5415">
        <v>2015</v>
      </c>
      <c r="D5415">
        <v>7</v>
      </c>
      <c r="E5415" t="s">
        <v>7</v>
      </c>
      <c r="F5415" t="s">
        <v>7</v>
      </c>
      <c r="G5415" t="s">
        <v>7</v>
      </c>
      <c r="H5415">
        <v>54798.080000000002</v>
      </c>
      <c r="I5415">
        <v>29780.37</v>
      </c>
      <c r="J5415">
        <v>0</v>
      </c>
    </row>
    <row r="5416" spans="1:10" x14ac:dyDescent="0.35">
      <c r="A5416">
        <v>324185</v>
      </c>
      <c r="B5416" t="s">
        <v>20</v>
      </c>
      <c r="C5416">
        <v>2015</v>
      </c>
      <c r="D5416">
        <v>7</v>
      </c>
      <c r="E5416" t="s">
        <v>7</v>
      </c>
      <c r="F5416" t="s">
        <v>7</v>
      </c>
      <c r="G5416" t="s">
        <v>7</v>
      </c>
      <c r="H5416">
        <v>46318.400000000001</v>
      </c>
      <c r="I5416">
        <v>14409.77</v>
      </c>
      <c r="J5416">
        <v>0</v>
      </c>
    </row>
    <row r="5417" spans="1:10" x14ac:dyDescent="0.35">
      <c r="A5417">
        <v>324186</v>
      </c>
      <c r="B5417" t="s">
        <v>20</v>
      </c>
      <c r="C5417">
        <v>2015</v>
      </c>
      <c r="D5417">
        <v>7</v>
      </c>
      <c r="E5417" t="s">
        <v>7</v>
      </c>
      <c r="F5417" t="s">
        <v>7</v>
      </c>
      <c r="G5417" t="s">
        <v>7</v>
      </c>
      <c r="H5417">
        <v>37449.660000000003</v>
      </c>
      <c r="I5417">
        <v>9238.61</v>
      </c>
      <c r="J5417">
        <v>0</v>
      </c>
    </row>
    <row r="5418" spans="1:10" x14ac:dyDescent="0.35">
      <c r="A5418">
        <v>324187</v>
      </c>
      <c r="B5418" t="s">
        <v>20</v>
      </c>
      <c r="C5418">
        <v>2015</v>
      </c>
      <c r="D5418">
        <v>7</v>
      </c>
      <c r="E5418" t="s">
        <v>7</v>
      </c>
      <c r="F5418" t="s">
        <v>7</v>
      </c>
      <c r="G5418" t="s">
        <v>7</v>
      </c>
      <c r="H5418">
        <v>89689.62</v>
      </c>
      <c r="I5418">
        <v>27066.71</v>
      </c>
      <c r="J5418">
        <v>0</v>
      </c>
    </row>
    <row r="5419" spans="1:10" x14ac:dyDescent="0.35">
      <c r="A5419">
        <v>324189</v>
      </c>
      <c r="B5419" t="s">
        <v>20</v>
      </c>
      <c r="C5419">
        <v>2015</v>
      </c>
      <c r="D5419">
        <v>7</v>
      </c>
      <c r="E5419" t="s">
        <v>7</v>
      </c>
      <c r="F5419" t="s">
        <v>7</v>
      </c>
      <c r="G5419" t="s">
        <v>7</v>
      </c>
      <c r="H5419">
        <v>62464.68</v>
      </c>
      <c r="I5419">
        <v>27377.96</v>
      </c>
      <c r="J5419">
        <v>0</v>
      </c>
    </row>
    <row r="5420" spans="1:10" x14ac:dyDescent="0.35">
      <c r="A5420">
        <v>324190</v>
      </c>
      <c r="B5420" t="s">
        <v>20</v>
      </c>
      <c r="C5420">
        <v>2015</v>
      </c>
      <c r="D5420">
        <v>7</v>
      </c>
      <c r="E5420" t="s">
        <v>7</v>
      </c>
      <c r="F5420" t="s">
        <v>7</v>
      </c>
      <c r="G5420" t="s">
        <v>7</v>
      </c>
      <c r="H5420">
        <v>15964.16</v>
      </c>
      <c r="I5420">
        <v>4636.78</v>
      </c>
      <c r="J5420">
        <v>0</v>
      </c>
    </row>
    <row r="5421" spans="1:10" x14ac:dyDescent="0.35">
      <c r="A5421">
        <v>324191</v>
      </c>
      <c r="B5421" t="s">
        <v>20</v>
      </c>
      <c r="C5421">
        <v>2015</v>
      </c>
      <c r="D5421">
        <v>7</v>
      </c>
      <c r="E5421" t="s">
        <v>7</v>
      </c>
      <c r="F5421" t="s">
        <v>7</v>
      </c>
      <c r="G5421" t="s">
        <v>7</v>
      </c>
      <c r="H5421">
        <v>70349.460000000006</v>
      </c>
      <c r="I5421">
        <v>17199.16</v>
      </c>
      <c r="J5421">
        <v>0</v>
      </c>
    </row>
    <row r="5422" spans="1:10" x14ac:dyDescent="0.35">
      <c r="A5422">
        <v>324192</v>
      </c>
      <c r="B5422" t="s">
        <v>20</v>
      </c>
      <c r="C5422">
        <v>2015</v>
      </c>
      <c r="D5422">
        <v>7</v>
      </c>
      <c r="E5422" t="s">
        <v>7</v>
      </c>
      <c r="F5422" t="s">
        <v>7</v>
      </c>
      <c r="G5422" t="s">
        <v>7</v>
      </c>
      <c r="H5422">
        <v>30321.3</v>
      </c>
      <c r="I5422">
        <v>15653.84</v>
      </c>
      <c r="J5422">
        <v>0</v>
      </c>
    </row>
    <row r="5423" spans="1:10" x14ac:dyDescent="0.35">
      <c r="A5423">
        <v>324193</v>
      </c>
      <c r="B5423" t="s">
        <v>20</v>
      </c>
      <c r="C5423">
        <v>2015</v>
      </c>
      <c r="D5423">
        <v>7</v>
      </c>
      <c r="E5423" t="s">
        <v>7</v>
      </c>
      <c r="F5423" t="s">
        <v>7</v>
      </c>
      <c r="G5423" t="s">
        <v>7</v>
      </c>
      <c r="H5423">
        <v>29804.26</v>
      </c>
      <c r="I5423">
        <v>7293.73</v>
      </c>
      <c r="J5423">
        <v>0</v>
      </c>
    </row>
    <row r="5424" spans="1:10" x14ac:dyDescent="0.35">
      <c r="A5424">
        <v>324194</v>
      </c>
      <c r="B5424" t="s">
        <v>20</v>
      </c>
      <c r="C5424">
        <v>2015</v>
      </c>
      <c r="D5424">
        <v>7</v>
      </c>
      <c r="E5424" t="s">
        <v>7</v>
      </c>
      <c r="F5424" t="s">
        <v>7</v>
      </c>
      <c r="G5424" t="s">
        <v>7</v>
      </c>
      <c r="H5424">
        <v>15860.36</v>
      </c>
      <c r="I5424">
        <v>3527.52</v>
      </c>
      <c r="J5424">
        <v>0</v>
      </c>
    </row>
    <row r="5425" spans="1:10" x14ac:dyDescent="0.35">
      <c r="A5425">
        <v>324197</v>
      </c>
      <c r="B5425" t="s">
        <v>20</v>
      </c>
      <c r="C5425">
        <v>2015</v>
      </c>
      <c r="D5425">
        <v>7</v>
      </c>
      <c r="E5425" t="s">
        <v>7</v>
      </c>
      <c r="F5425" t="s">
        <v>7</v>
      </c>
      <c r="G5425" t="s">
        <v>7</v>
      </c>
      <c r="H5425">
        <v>17414.18</v>
      </c>
      <c r="I5425">
        <v>2644.61</v>
      </c>
      <c r="J5425">
        <v>0</v>
      </c>
    </row>
    <row r="5426" spans="1:10" x14ac:dyDescent="0.35">
      <c r="A5426">
        <v>324198</v>
      </c>
      <c r="B5426" t="s">
        <v>20</v>
      </c>
      <c r="C5426">
        <v>2015</v>
      </c>
      <c r="D5426">
        <v>7</v>
      </c>
      <c r="E5426" t="s">
        <v>7</v>
      </c>
      <c r="F5426" t="s">
        <v>7</v>
      </c>
      <c r="G5426" t="s">
        <v>7</v>
      </c>
      <c r="H5426">
        <v>8294.66</v>
      </c>
      <c r="I5426">
        <v>2211.5100000000002</v>
      </c>
      <c r="J5426">
        <v>0</v>
      </c>
    </row>
    <row r="5427" spans="1:10" x14ac:dyDescent="0.35">
      <c r="A5427">
        <v>324199</v>
      </c>
      <c r="B5427" t="s">
        <v>20</v>
      </c>
      <c r="C5427">
        <v>2015</v>
      </c>
      <c r="D5427">
        <v>7</v>
      </c>
      <c r="E5427" t="s">
        <v>7</v>
      </c>
      <c r="F5427" t="s">
        <v>7</v>
      </c>
      <c r="G5427" t="s">
        <v>7</v>
      </c>
      <c r="H5427">
        <v>30550.58</v>
      </c>
      <c r="I5427">
        <v>6780.8</v>
      </c>
      <c r="J5427">
        <v>0</v>
      </c>
    </row>
    <row r="5428" spans="1:10" x14ac:dyDescent="0.35">
      <c r="A5428">
        <v>324200</v>
      </c>
      <c r="B5428" t="s">
        <v>20</v>
      </c>
      <c r="C5428">
        <v>2015</v>
      </c>
      <c r="D5428">
        <v>7</v>
      </c>
      <c r="E5428" t="s">
        <v>7</v>
      </c>
      <c r="F5428" t="s">
        <v>7</v>
      </c>
      <c r="G5428" t="s">
        <v>7</v>
      </c>
      <c r="H5428">
        <v>60364.38</v>
      </c>
      <c r="I5428">
        <v>32120.92</v>
      </c>
      <c r="J5428">
        <v>0</v>
      </c>
    </row>
    <row r="5429" spans="1:10" x14ac:dyDescent="0.35">
      <c r="A5429">
        <v>324204</v>
      </c>
      <c r="B5429" t="s">
        <v>20</v>
      </c>
      <c r="C5429">
        <v>2015</v>
      </c>
      <c r="D5429">
        <v>7</v>
      </c>
      <c r="E5429" t="s">
        <v>7</v>
      </c>
      <c r="F5429" t="s">
        <v>7</v>
      </c>
      <c r="G5429" t="s">
        <v>7</v>
      </c>
      <c r="H5429">
        <v>67284.52</v>
      </c>
      <c r="I5429">
        <v>37211.15</v>
      </c>
      <c r="J5429">
        <v>0</v>
      </c>
    </row>
    <row r="5430" spans="1:10" x14ac:dyDescent="0.35">
      <c r="A5430">
        <v>324205</v>
      </c>
      <c r="B5430" t="s">
        <v>20</v>
      </c>
      <c r="C5430">
        <v>2015</v>
      </c>
      <c r="D5430">
        <v>7</v>
      </c>
      <c r="E5430" t="s">
        <v>7</v>
      </c>
      <c r="F5430" t="s">
        <v>7</v>
      </c>
      <c r="G5430" t="s">
        <v>7</v>
      </c>
      <c r="H5430">
        <v>112718.62</v>
      </c>
      <c r="I5430">
        <v>70029.83</v>
      </c>
      <c r="J5430">
        <v>0</v>
      </c>
    </row>
    <row r="5431" spans="1:10" x14ac:dyDescent="0.35">
      <c r="A5431">
        <v>324206</v>
      </c>
      <c r="B5431" t="s">
        <v>20</v>
      </c>
      <c r="C5431">
        <v>2015</v>
      </c>
      <c r="D5431">
        <v>7</v>
      </c>
      <c r="E5431" t="s">
        <v>7</v>
      </c>
      <c r="F5431" t="s">
        <v>7</v>
      </c>
      <c r="G5431" t="s">
        <v>7</v>
      </c>
      <c r="H5431">
        <v>20316.3</v>
      </c>
      <c r="I5431">
        <v>6237.21</v>
      </c>
      <c r="J5431">
        <v>0</v>
      </c>
    </row>
    <row r="5432" spans="1:10" x14ac:dyDescent="0.35">
      <c r="A5432">
        <v>324213</v>
      </c>
      <c r="B5432" t="s">
        <v>20</v>
      </c>
      <c r="C5432">
        <v>2015</v>
      </c>
      <c r="D5432">
        <v>7</v>
      </c>
      <c r="E5432" t="s">
        <v>7</v>
      </c>
      <c r="F5432" t="s">
        <v>7</v>
      </c>
      <c r="G5432" t="s">
        <v>7</v>
      </c>
      <c r="H5432">
        <v>26476.98</v>
      </c>
      <c r="I5432">
        <v>13356.9</v>
      </c>
      <c r="J5432">
        <v>0</v>
      </c>
    </row>
    <row r="5433" spans="1:10" x14ac:dyDescent="0.35">
      <c r="A5433">
        <v>324214</v>
      </c>
      <c r="B5433" t="s">
        <v>20</v>
      </c>
      <c r="C5433">
        <v>2015</v>
      </c>
      <c r="D5433">
        <v>7</v>
      </c>
      <c r="E5433" t="s">
        <v>7</v>
      </c>
      <c r="F5433" t="s">
        <v>7</v>
      </c>
      <c r="G5433" t="s">
        <v>7</v>
      </c>
      <c r="H5433">
        <v>15382.58</v>
      </c>
      <c r="I5433">
        <v>3689.02</v>
      </c>
      <c r="J5433">
        <v>0</v>
      </c>
    </row>
    <row r="5434" spans="1:10" x14ac:dyDescent="0.35">
      <c r="A5434">
        <v>324218</v>
      </c>
      <c r="B5434" t="s">
        <v>20</v>
      </c>
      <c r="C5434">
        <v>2015</v>
      </c>
      <c r="D5434">
        <v>7</v>
      </c>
      <c r="E5434" t="s">
        <v>7</v>
      </c>
      <c r="F5434" t="s">
        <v>7</v>
      </c>
      <c r="G5434" t="s">
        <v>7</v>
      </c>
      <c r="H5434">
        <v>25999.94</v>
      </c>
      <c r="I5434">
        <v>7925.89</v>
      </c>
      <c r="J5434">
        <v>0</v>
      </c>
    </row>
    <row r="5435" spans="1:10" x14ac:dyDescent="0.35">
      <c r="A5435">
        <v>324219</v>
      </c>
      <c r="B5435" t="s">
        <v>20</v>
      </c>
      <c r="C5435">
        <v>2015</v>
      </c>
      <c r="D5435">
        <v>7</v>
      </c>
      <c r="E5435" t="s">
        <v>7</v>
      </c>
      <c r="F5435" t="s">
        <v>7</v>
      </c>
      <c r="G5435" t="s">
        <v>7</v>
      </c>
      <c r="H5435">
        <v>9686.7000000000007</v>
      </c>
      <c r="I5435">
        <v>2654.32</v>
      </c>
      <c r="J5435">
        <v>0</v>
      </c>
    </row>
    <row r="5436" spans="1:10" x14ac:dyDescent="0.35">
      <c r="A5436">
        <v>324220</v>
      </c>
      <c r="B5436" t="s">
        <v>20</v>
      </c>
      <c r="C5436">
        <v>2015</v>
      </c>
      <c r="D5436">
        <v>7</v>
      </c>
      <c r="E5436" t="s">
        <v>7</v>
      </c>
      <c r="F5436" t="s">
        <v>7</v>
      </c>
      <c r="G5436" t="s">
        <v>7</v>
      </c>
      <c r="H5436">
        <v>20421.12</v>
      </c>
      <c r="I5436">
        <v>5039.67</v>
      </c>
      <c r="J5436">
        <v>0</v>
      </c>
    </row>
    <row r="5437" spans="1:10" x14ac:dyDescent="0.35">
      <c r="A5437">
        <v>324221</v>
      </c>
      <c r="B5437" t="s">
        <v>20</v>
      </c>
      <c r="C5437">
        <v>2015</v>
      </c>
      <c r="D5437">
        <v>7</v>
      </c>
      <c r="E5437" t="s">
        <v>7</v>
      </c>
      <c r="F5437" t="s">
        <v>7</v>
      </c>
      <c r="G5437" t="s">
        <v>7</v>
      </c>
      <c r="H5437">
        <v>26658.06</v>
      </c>
      <c r="I5437">
        <v>6534.79</v>
      </c>
      <c r="J5437">
        <v>0</v>
      </c>
    </row>
    <row r="5438" spans="1:10" x14ac:dyDescent="0.35">
      <c r="A5438">
        <v>324223</v>
      </c>
      <c r="B5438" t="s">
        <v>20</v>
      </c>
      <c r="C5438">
        <v>2015</v>
      </c>
      <c r="D5438">
        <v>7</v>
      </c>
      <c r="E5438" t="s">
        <v>7</v>
      </c>
      <c r="F5438" t="s">
        <v>7</v>
      </c>
      <c r="G5438" t="s">
        <v>7</v>
      </c>
      <c r="H5438">
        <v>28065.18</v>
      </c>
      <c r="I5438">
        <v>6766.66</v>
      </c>
      <c r="J5438">
        <v>0</v>
      </c>
    </row>
    <row r="5439" spans="1:10" x14ac:dyDescent="0.35">
      <c r="A5439">
        <v>324224</v>
      </c>
      <c r="B5439" t="s">
        <v>20</v>
      </c>
      <c r="C5439">
        <v>2015</v>
      </c>
      <c r="D5439">
        <v>7</v>
      </c>
      <c r="E5439" t="s">
        <v>7</v>
      </c>
      <c r="F5439" t="s">
        <v>7</v>
      </c>
      <c r="G5439" t="s">
        <v>7</v>
      </c>
      <c r="H5439">
        <v>32492.58</v>
      </c>
      <c r="I5439">
        <v>9063.1</v>
      </c>
      <c r="J5439">
        <v>0</v>
      </c>
    </row>
    <row r="5440" spans="1:10" x14ac:dyDescent="0.35">
      <c r="A5440">
        <v>324225</v>
      </c>
      <c r="B5440" t="s">
        <v>20</v>
      </c>
      <c r="C5440">
        <v>2015</v>
      </c>
      <c r="D5440">
        <v>7</v>
      </c>
      <c r="E5440" t="s">
        <v>7</v>
      </c>
      <c r="F5440" t="s">
        <v>7</v>
      </c>
      <c r="G5440" t="s">
        <v>7</v>
      </c>
      <c r="H5440">
        <v>19986.16</v>
      </c>
      <c r="I5440">
        <v>5181.76</v>
      </c>
      <c r="J5440">
        <v>0</v>
      </c>
    </row>
    <row r="5441" spans="1:10" x14ac:dyDescent="0.35">
      <c r="A5441">
        <v>324228</v>
      </c>
      <c r="B5441" t="s">
        <v>20</v>
      </c>
      <c r="C5441">
        <v>2015</v>
      </c>
      <c r="D5441">
        <v>7</v>
      </c>
      <c r="E5441" t="s">
        <v>7</v>
      </c>
      <c r="F5441" t="s">
        <v>7</v>
      </c>
      <c r="G5441" t="s">
        <v>7</v>
      </c>
      <c r="H5441">
        <v>125740.88</v>
      </c>
      <c r="I5441">
        <v>43335.19</v>
      </c>
      <c r="J5441">
        <v>0</v>
      </c>
    </row>
    <row r="5442" spans="1:10" x14ac:dyDescent="0.35">
      <c r="A5442">
        <v>324231</v>
      </c>
      <c r="B5442" t="s">
        <v>20</v>
      </c>
      <c r="C5442">
        <v>2015</v>
      </c>
      <c r="D5442">
        <v>7</v>
      </c>
      <c r="E5442" t="s">
        <v>7</v>
      </c>
      <c r="F5442" t="s">
        <v>7</v>
      </c>
      <c r="G5442" t="s">
        <v>7</v>
      </c>
      <c r="H5442">
        <v>104928.38</v>
      </c>
      <c r="I5442">
        <v>79832.820000000007</v>
      </c>
      <c r="J5442">
        <v>0</v>
      </c>
    </row>
    <row r="5443" spans="1:10" x14ac:dyDescent="0.35">
      <c r="A5443">
        <v>324232</v>
      </c>
      <c r="B5443" t="s">
        <v>20</v>
      </c>
      <c r="C5443">
        <v>2015</v>
      </c>
      <c r="D5443">
        <v>7</v>
      </c>
      <c r="E5443" t="s">
        <v>7</v>
      </c>
      <c r="F5443" t="s">
        <v>7</v>
      </c>
      <c r="G5443" t="s">
        <v>7</v>
      </c>
      <c r="H5443">
        <v>16355.88</v>
      </c>
      <c r="I5443">
        <v>3069.23</v>
      </c>
      <c r="J5443">
        <v>0</v>
      </c>
    </row>
    <row r="5444" spans="1:10" x14ac:dyDescent="0.35">
      <c r="A5444">
        <v>324236</v>
      </c>
      <c r="B5444" t="s">
        <v>20</v>
      </c>
      <c r="C5444">
        <v>2015</v>
      </c>
      <c r="D5444">
        <v>7</v>
      </c>
      <c r="E5444" t="s">
        <v>7</v>
      </c>
      <c r="F5444" t="s">
        <v>7</v>
      </c>
      <c r="G5444" t="s">
        <v>7</v>
      </c>
      <c r="H5444">
        <v>17678.46</v>
      </c>
      <c r="I5444">
        <v>4831.5600000000004</v>
      </c>
      <c r="J5444">
        <v>0</v>
      </c>
    </row>
    <row r="5445" spans="1:10" x14ac:dyDescent="0.35">
      <c r="A5445">
        <v>324237</v>
      </c>
      <c r="B5445" t="s">
        <v>20</v>
      </c>
      <c r="C5445">
        <v>2015</v>
      </c>
      <c r="D5445">
        <v>7</v>
      </c>
      <c r="E5445" t="s">
        <v>7</v>
      </c>
      <c r="F5445" t="s">
        <v>7</v>
      </c>
      <c r="G5445" t="s">
        <v>7</v>
      </c>
      <c r="H5445">
        <v>33927.800000000003</v>
      </c>
      <c r="I5445">
        <v>8573.3799999999992</v>
      </c>
      <c r="J5445">
        <v>0</v>
      </c>
    </row>
    <row r="5446" spans="1:10" x14ac:dyDescent="0.35">
      <c r="A5446">
        <v>324239</v>
      </c>
      <c r="B5446" t="s">
        <v>20</v>
      </c>
      <c r="C5446">
        <v>2015</v>
      </c>
      <c r="D5446">
        <v>7</v>
      </c>
      <c r="E5446" t="s">
        <v>7</v>
      </c>
      <c r="F5446" t="s">
        <v>7</v>
      </c>
      <c r="G5446" t="s">
        <v>7</v>
      </c>
      <c r="H5446">
        <v>17056.32</v>
      </c>
      <c r="I5446">
        <v>5278.71</v>
      </c>
      <c r="J5446">
        <v>0</v>
      </c>
    </row>
    <row r="5447" spans="1:10" x14ac:dyDescent="0.35">
      <c r="A5447">
        <v>324240</v>
      </c>
      <c r="B5447" t="s">
        <v>20</v>
      </c>
      <c r="C5447">
        <v>2015</v>
      </c>
      <c r="D5447">
        <v>7</v>
      </c>
      <c r="E5447" t="s">
        <v>7</v>
      </c>
      <c r="F5447" t="s">
        <v>7</v>
      </c>
      <c r="G5447" t="s">
        <v>7</v>
      </c>
      <c r="H5447">
        <v>31213.56</v>
      </c>
      <c r="I5447">
        <v>7771.81</v>
      </c>
      <c r="J5447">
        <v>0</v>
      </c>
    </row>
    <row r="5448" spans="1:10" x14ac:dyDescent="0.35">
      <c r="A5448">
        <v>324241</v>
      </c>
      <c r="B5448" t="s">
        <v>20</v>
      </c>
      <c r="C5448">
        <v>2015</v>
      </c>
      <c r="D5448">
        <v>7</v>
      </c>
      <c r="E5448" t="s">
        <v>7</v>
      </c>
      <c r="F5448" t="s">
        <v>7</v>
      </c>
      <c r="G5448" t="s">
        <v>7</v>
      </c>
      <c r="H5448">
        <v>28681.78</v>
      </c>
      <c r="I5448">
        <v>8103.74</v>
      </c>
      <c r="J5448">
        <v>0</v>
      </c>
    </row>
    <row r="5449" spans="1:10" x14ac:dyDescent="0.35">
      <c r="A5449">
        <v>324242</v>
      </c>
      <c r="B5449" t="s">
        <v>20</v>
      </c>
      <c r="C5449">
        <v>2015</v>
      </c>
      <c r="D5449">
        <v>7</v>
      </c>
      <c r="E5449" t="s">
        <v>7</v>
      </c>
      <c r="F5449" t="s">
        <v>7</v>
      </c>
      <c r="G5449" t="s">
        <v>7</v>
      </c>
      <c r="H5449">
        <v>82712.42</v>
      </c>
      <c r="I5449">
        <v>33278.449999999997</v>
      </c>
      <c r="J5449">
        <v>0</v>
      </c>
    </row>
    <row r="5450" spans="1:10" x14ac:dyDescent="0.35">
      <c r="A5450">
        <v>324243</v>
      </c>
      <c r="B5450" t="s">
        <v>20</v>
      </c>
      <c r="C5450">
        <v>2015</v>
      </c>
      <c r="D5450">
        <v>7</v>
      </c>
      <c r="E5450" t="s">
        <v>7</v>
      </c>
      <c r="F5450" t="s">
        <v>7</v>
      </c>
      <c r="G5450" t="s">
        <v>7</v>
      </c>
      <c r="H5450">
        <v>33334.300000000003</v>
      </c>
      <c r="I5450">
        <v>9508.9</v>
      </c>
      <c r="J5450">
        <v>0</v>
      </c>
    </row>
    <row r="5451" spans="1:10" x14ac:dyDescent="0.35">
      <c r="A5451">
        <v>324244</v>
      </c>
      <c r="B5451" t="s">
        <v>20</v>
      </c>
      <c r="C5451">
        <v>2015</v>
      </c>
      <c r="D5451">
        <v>7</v>
      </c>
      <c r="E5451" t="s">
        <v>7</v>
      </c>
      <c r="F5451" t="s">
        <v>7</v>
      </c>
      <c r="G5451" t="s">
        <v>7</v>
      </c>
      <c r="H5451">
        <v>27710.98</v>
      </c>
      <c r="I5451">
        <v>8922.6299999999992</v>
      </c>
      <c r="J5451">
        <v>0</v>
      </c>
    </row>
    <row r="5452" spans="1:10" x14ac:dyDescent="0.35">
      <c r="A5452">
        <v>324246</v>
      </c>
      <c r="B5452" t="s">
        <v>20</v>
      </c>
      <c r="C5452">
        <v>2015</v>
      </c>
      <c r="D5452">
        <v>7</v>
      </c>
      <c r="E5452" t="s">
        <v>7</v>
      </c>
      <c r="F5452" t="s">
        <v>7</v>
      </c>
      <c r="G5452" t="s">
        <v>7</v>
      </c>
      <c r="H5452">
        <v>12204.14</v>
      </c>
      <c r="I5452">
        <v>3248.6</v>
      </c>
      <c r="J5452">
        <v>0</v>
      </c>
    </row>
    <row r="5453" spans="1:10" x14ac:dyDescent="0.35">
      <c r="A5453">
        <v>324249</v>
      </c>
      <c r="B5453" t="s">
        <v>20</v>
      </c>
      <c r="C5453">
        <v>2015</v>
      </c>
      <c r="D5453">
        <v>7</v>
      </c>
      <c r="E5453" t="s">
        <v>7</v>
      </c>
      <c r="F5453" t="s">
        <v>7</v>
      </c>
      <c r="G5453" t="s">
        <v>7</v>
      </c>
      <c r="H5453">
        <v>41060.199999999997</v>
      </c>
      <c r="I5453">
        <v>12773.06</v>
      </c>
      <c r="J5453">
        <v>0</v>
      </c>
    </row>
    <row r="5454" spans="1:10" x14ac:dyDescent="0.35">
      <c r="A5454">
        <v>324251</v>
      </c>
      <c r="B5454" t="s">
        <v>20</v>
      </c>
      <c r="C5454">
        <v>2015</v>
      </c>
      <c r="D5454">
        <v>7</v>
      </c>
      <c r="E5454" t="s">
        <v>7</v>
      </c>
      <c r="F5454" t="s">
        <v>7</v>
      </c>
      <c r="G5454" t="s">
        <v>7</v>
      </c>
      <c r="H5454">
        <v>39975.019999999997</v>
      </c>
      <c r="I5454">
        <v>12530.11</v>
      </c>
      <c r="J5454">
        <v>0</v>
      </c>
    </row>
    <row r="5455" spans="1:10" x14ac:dyDescent="0.35">
      <c r="A5455">
        <v>324252</v>
      </c>
      <c r="B5455" t="s">
        <v>20</v>
      </c>
      <c r="C5455">
        <v>2015</v>
      </c>
      <c r="D5455">
        <v>7</v>
      </c>
      <c r="E5455" t="s">
        <v>7</v>
      </c>
      <c r="F5455" t="s">
        <v>7</v>
      </c>
      <c r="G5455" t="s">
        <v>7</v>
      </c>
      <c r="H5455">
        <v>13780.66</v>
      </c>
      <c r="I5455">
        <v>3202.8</v>
      </c>
      <c r="J5455">
        <v>0</v>
      </c>
    </row>
    <row r="5456" spans="1:10" x14ac:dyDescent="0.35">
      <c r="A5456">
        <v>324253</v>
      </c>
      <c r="B5456" t="s">
        <v>20</v>
      </c>
      <c r="C5456">
        <v>2015</v>
      </c>
      <c r="D5456">
        <v>7</v>
      </c>
      <c r="E5456" t="s">
        <v>7</v>
      </c>
      <c r="F5456" t="s">
        <v>7</v>
      </c>
      <c r="G5456" t="s">
        <v>7</v>
      </c>
      <c r="H5456">
        <v>48234.98</v>
      </c>
      <c r="I5456">
        <v>14234.04</v>
      </c>
      <c r="J5456">
        <v>0</v>
      </c>
    </row>
    <row r="5457" spans="1:10" x14ac:dyDescent="0.35">
      <c r="A5457">
        <v>324254</v>
      </c>
      <c r="B5457" t="s">
        <v>20</v>
      </c>
      <c r="C5457">
        <v>2015</v>
      </c>
      <c r="D5457">
        <v>7</v>
      </c>
      <c r="E5457" t="s">
        <v>7</v>
      </c>
      <c r="F5457" t="s">
        <v>7</v>
      </c>
      <c r="G5457" t="s">
        <v>7</v>
      </c>
      <c r="H5457">
        <v>28648.84</v>
      </c>
      <c r="I5457">
        <v>8126.96</v>
      </c>
      <c r="J5457">
        <v>0</v>
      </c>
    </row>
    <row r="5458" spans="1:10" x14ac:dyDescent="0.35">
      <c r="A5458">
        <v>324255</v>
      </c>
      <c r="B5458" t="s">
        <v>20</v>
      </c>
      <c r="C5458">
        <v>2015</v>
      </c>
      <c r="D5458">
        <v>7</v>
      </c>
      <c r="E5458" t="s">
        <v>7</v>
      </c>
      <c r="F5458" t="s">
        <v>7</v>
      </c>
      <c r="G5458" t="s">
        <v>7</v>
      </c>
      <c r="H5458">
        <v>119543.32</v>
      </c>
      <c r="I5458">
        <v>35071.760000000002</v>
      </c>
      <c r="J5458">
        <v>0</v>
      </c>
    </row>
    <row r="5459" spans="1:10" x14ac:dyDescent="0.35">
      <c r="A5459">
        <v>324256</v>
      </c>
      <c r="B5459" t="s">
        <v>20</v>
      </c>
      <c r="C5459">
        <v>2015</v>
      </c>
      <c r="D5459">
        <v>7</v>
      </c>
      <c r="E5459" t="s">
        <v>7</v>
      </c>
      <c r="F5459" t="s">
        <v>7</v>
      </c>
      <c r="G5459" t="s">
        <v>7</v>
      </c>
      <c r="H5459">
        <v>73979.399999999994</v>
      </c>
      <c r="I5459">
        <v>42315.040000000001</v>
      </c>
      <c r="J5459">
        <v>0</v>
      </c>
    </row>
    <row r="5460" spans="1:10" x14ac:dyDescent="0.35">
      <c r="A5460">
        <v>324258</v>
      </c>
      <c r="B5460" t="s">
        <v>20</v>
      </c>
      <c r="C5460">
        <v>2015</v>
      </c>
      <c r="D5460">
        <v>7</v>
      </c>
      <c r="E5460" t="s">
        <v>7</v>
      </c>
      <c r="F5460" t="s">
        <v>7</v>
      </c>
      <c r="G5460" t="s">
        <v>7</v>
      </c>
      <c r="H5460">
        <v>17410.96</v>
      </c>
      <c r="I5460">
        <v>7041.37</v>
      </c>
      <c r="J5460">
        <v>0</v>
      </c>
    </row>
    <row r="5461" spans="1:10" x14ac:dyDescent="0.35">
      <c r="A5461">
        <v>324259</v>
      </c>
      <c r="B5461" t="s">
        <v>20</v>
      </c>
      <c r="C5461">
        <v>2015</v>
      </c>
      <c r="D5461">
        <v>7</v>
      </c>
      <c r="E5461" t="s">
        <v>7</v>
      </c>
      <c r="F5461" t="s">
        <v>7</v>
      </c>
      <c r="G5461" t="s">
        <v>7</v>
      </c>
      <c r="H5461">
        <v>54226</v>
      </c>
      <c r="I5461">
        <v>15847.46</v>
      </c>
      <c r="J5461">
        <v>0</v>
      </c>
    </row>
    <row r="5462" spans="1:10" x14ac:dyDescent="0.35">
      <c r="A5462">
        <v>324260</v>
      </c>
      <c r="B5462" t="s">
        <v>20</v>
      </c>
      <c r="C5462">
        <v>2015</v>
      </c>
      <c r="D5462">
        <v>7</v>
      </c>
      <c r="E5462" t="s">
        <v>7</v>
      </c>
      <c r="F5462" t="s">
        <v>7</v>
      </c>
      <c r="G5462" t="s">
        <v>7</v>
      </c>
      <c r="H5462">
        <v>45139.12</v>
      </c>
      <c r="I5462">
        <v>14652.97</v>
      </c>
      <c r="J5462">
        <v>0</v>
      </c>
    </row>
    <row r="5463" spans="1:10" x14ac:dyDescent="0.35">
      <c r="A5463">
        <v>324261</v>
      </c>
      <c r="B5463" t="s">
        <v>20</v>
      </c>
      <c r="C5463">
        <v>2015</v>
      </c>
      <c r="D5463">
        <v>7</v>
      </c>
      <c r="E5463" t="s">
        <v>7</v>
      </c>
      <c r="F5463" t="s">
        <v>7</v>
      </c>
      <c r="G5463" t="s">
        <v>7</v>
      </c>
      <c r="H5463">
        <v>10050.82</v>
      </c>
      <c r="I5463">
        <v>2746.55</v>
      </c>
      <c r="J5463">
        <v>0</v>
      </c>
    </row>
    <row r="5464" spans="1:10" x14ac:dyDescent="0.35">
      <c r="A5464">
        <v>324262</v>
      </c>
      <c r="B5464" t="s">
        <v>20</v>
      </c>
      <c r="C5464">
        <v>2015</v>
      </c>
      <c r="D5464">
        <v>7</v>
      </c>
      <c r="E5464" t="s">
        <v>7</v>
      </c>
      <c r="F5464" t="s">
        <v>7</v>
      </c>
      <c r="G5464" t="s">
        <v>7</v>
      </c>
      <c r="H5464">
        <v>21146.959999999999</v>
      </c>
      <c r="I5464">
        <v>5917.01</v>
      </c>
      <c r="J5464">
        <v>0</v>
      </c>
    </row>
    <row r="5465" spans="1:10" x14ac:dyDescent="0.35">
      <c r="A5465">
        <v>324265</v>
      </c>
      <c r="B5465" t="s">
        <v>20</v>
      </c>
      <c r="C5465">
        <v>2015</v>
      </c>
      <c r="D5465">
        <v>7</v>
      </c>
      <c r="E5465" t="s">
        <v>7</v>
      </c>
      <c r="F5465" t="s">
        <v>7</v>
      </c>
      <c r="G5465" t="s">
        <v>7</v>
      </c>
      <c r="H5465">
        <v>63534.13</v>
      </c>
      <c r="I5465">
        <v>28430.74</v>
      </c>
      <c r="J5465">
        <v>0</v>
      </c>
    </row>
    <row r="5466" spans="1:10" x14ac:dyDescent="0.35">
      <c r="A5466">
        <v>324267</v>
      </c>
      <c r="B5466" t="s">
        <v>20</v>
      </c>
      <c r="C5466">
        <v>2015</v>
      </c>
      <c r="D5466">
        <v>7</v>
      </c>
      <c r="E5466" t="s">
        <v>7</v>
      </c>
      <c r="F5466" t="s">
        <v>7</v>
      </c>
      <c r="G5466" t="s">
        <v>7</v>
      </c>
      <c r="H5466">
        <v>28401.58</v>
      </c>
      <c r="I5466">
        <v>6140.8</v>
      </c>
      <c r="J5466">
        <v>0</v>
      </c>
    </row>
    <row r="5467" spans="1:10" x14ac:dyDescent="0.35">
      <c r="A5467">
        <v>324270</v>
      </c>
      <c r="B5467" t="s">
        <v>20</v>
      </c>
      <c r="C5467">
        <v>2015</v>
      </c>
      <c r="D5467">
        <v>7</v>
      </c>
      <c r="E5467" t="s">
        <v>7</v>
      </c>
      <c r="F5467" t="s">
        <v>7</v>
      </c>
      <c r="G5467" t="s">
        <v>7</v>
      </c>
      <c r="H5467">
        <v>103333.75999999999</v>
      </c>
      <c r="I5467">
        <v>39373.120000000003</v>
      </c>
      <c r="J5467">
        <v>0</v>
      </c>
    </row>
    <row r="5468" spans="1:10" x14ac:dyDescent="0.35">
      <c r="A5468">
        <v>324272</v>
      </c>
      <c r="B5468" t="s">
        <v>20</v>
      </c>
      <c r="C5468">
        <v>2015</v>
      </c>
      <c r="D5468">
        <v>7</v>
      </c>
      <c r="E5468" t="s">
        <v>7</v>
      </c>
      <c r="F5468" t="s">
        <v>7</v>
      </c>
      <c r="G5468" t="s">
        <v>7</v>
      </c>
      <c r="H5468">
        <v>30822.080000000002</v>
      </c>
      <c r="I5468">
        <v>7448.64</v>
      </c>
      <c r="J5468">
        <v>0</v>
      </c>
    </row>
    <row r="5469" spans="1:10" x14ac:dyDescent="0.35">
      <c r="A5469">
        <v>324273</v>
      </c>
      <c r="B5469" t="s">
        <v>20</v>
      </c>
      <c r="C5469">
        <v>2015</v>
      </c>
      <c r="D5469">
        <v>7</v>
      </c>
      <c r="E5469" t="s">
        <v>7</v>
      </c>
      <c r="F5469" t="s">
        <v>7</v>
      </c>
      <c r="G5469" t="s">
        <v>7</v>
      </c>
      <c r="H5469">
        <v>33628</v>
      </c>
      <c r="I5469">
        <v>9776.5300000000007</v>
      </c>
      <c r="J5469">
        <v>0</v>
      </c>
    </row>
    <row r="5470" spans="1:10" x14ac:dyDescent="0.35">
      <c r="A5470">
        <v>324274</v>
      </c>
      <c r="B5470" t="s">
        <v>20</v>
      </c>
      <c r="C5470">
        <v>2015</v>
      </c>
      <c r="D5470">
        <v>7</v>
      </c>
      <c r="E5470" t="s">
        <v>7</v>
      </c>
      <c r="F5470" t="s">
        <v>7</v>
      </c>
      <c r="G5470" t="s">
        <v>7</v>
      </c>
      <c r="H5470">
        <v>51074.84</v>
      </c>
      <c r="I5470">
        <v>15920.06</v>
      </c>
      <c r="J5470">
        <v>0</v>
      </c>
    </row>
    <row r="5471" spans="1:10" x14ac:dyDescent="0.35">
      <c r="A5471">
        <v>324275</v>
      </c>
      <c r="B5471" t="s">
        <v>20</v>
      </c>
      <c r="C5471">
        <v>2015</v>
      </c>
      <c r="D5471">
        <v>7</v>
      </c>
      <c r="E5471" t="s">
        <v>7</v>
      </c>
      <c r="F5471" t="s">
        <v>7</v>
      </c>
      <c r="G5471" t="s">
        <v>7</v>
      </c>
      <c r="H5471">
        <v>16585.88</v>
      </c>
      <c r="I5471">
        <v>4664.09</v>
      </c>
      <c r="J5471">
        <v>0</v>
      </c>
    </row>
    <row r="5472" spans="1:10" x14ac:dyDescent="0.35">
      <c r="A5472">
        <v>324276</v>
      </c>
      <c r="B5472" t="s">
        <v>20</v>
      </c>
      <c r="C5472">
        <v>2015</v>
      </c>
      <c r="D5472">
        <v>7</v>
      </c>
      <c r="E5472" t="s">
        <v>7</v>
      </c>
      <c r="F5472" t="s">
        <v>7</v>
      </c>
      <c r="G5472" t="s">
        <v>7</v>
      </c>
      <c r="H5472">
        <v>36926.480000000003</v>
      </c>
      <c r="I5472">
        <v>10929.99</v>
      </c>
      <c r="J5472">
        <v>0</v>
      </c>
    </row>
    <row r="5473" spans="1:10" x14ac:dyDescent="0.35">
      <c r="A5473">
        <v>324277</v>
      </c>
      <c r="B5473" t="s">
        <v>20</v>
      </c>
      <c r="C5473">
        <v>2015</v>
      </c>
      <c r="D5473">
        <v>7</v>
      </c>
      <c r="E5473" t="s">
        <v>7</v>
      </c>
      <c r="F5473" t="s">
        <v>7</v>
      </c>
      <c r="G5473" t="s">
        <v>7</v>
      </c>
      <c r="H5473">
        <v>82410.64</v>
      </c>
      <c r="I5473">
        <v>47700.31</v>
      </c>
      <c r="J5473">
        <v>0</v>
      </c>
    </row>
    <row r="5474" spans="1:10" x14ac:dyDescent="0.35">
      <c r="A5474">
        <v>324278</v>
      </c>
      <c r="B5474" t="s">
        <v>20</v>
      </c>
      <c r="C5474">
        <v>2015</v>
      </c>
      <c r="D5474">
        <v>7</v>
      </c>
      <c r="E5474" t="s">
        <v>7</v>
      </c>
      <c r="F5474" t="s">
        <v>7</v>
      </c>
      <c r="G5474" t="s">
        <v>7</v>
      </c>
      <c r="H5474">
        <v>18063.52</v>
      </c>
      <c r="I5474">
        <v>4761.63</v>
      </c>
      <c r="J5474">
        <v>0</v>
      </c>
    </row>
    <row r="5475" spans="1:10" x14ac:dyDescent="0.35">
      <c r="A5475">
        <v>324279</v>
      </c>
      <c r="B5475" t="s">
        <v>20</v>
      </c>
      <c r="C5475">
        <v>2015</v>
      </c>
      <c r="D5475">
        <v>7</v>
      </c>
      <c r="E5475" t="s">
        <v>7</v>
      </c>
      <c r="F5475" t="s">
        <v>7</v>
      </c>
      <c r="G5475" t="s">
        <v>7</v>
      </c>
      <c r="H5475">
        <v>37406.42</v>
      </c>
      <c r="I5475">
        <v>11640.72</v>
      </c>
      <c r="J5475">
        <v>0</v>
      </c>
    </row>
    <row r="5476" spans="1:10" x14ac:dyDescent="0.35">
      <c r="A5476">
        <v>324280</v>
      </c>
      <c r="B5476" t="s">
        <v>20</v>
      </c>
      <c r="C5476">
        <v>2015</v>
      </c>
      <c r="D5476">
        <v>7</v>
      </c>
      <c r="E5476" t="s">
        <v>7</v>
      </c>
      <c r="F5476" t="s">
        <v>7</v>
      </c>
      <c r="G5476" t="s">
        <v>7</v>
      </c>
      <c r="H5476">
        <v>18802.599999999999</v>
      </c>
      <c r="I5476">
        <v>5371.09</v>
      </c>
      <c r="J5476">
        <v>0</v>
      </c>
    </row>
    <row r="5477" spans="1:10" x14ac:dyDescent="0.35">
      <c r="A5477">
        <v>324281</v>
      </c>
      <c r="B5477" t="s">
        <v>20</v>
      </c>
      <c r="C5477">
        <v>2015</v>
      </c>
      <c r="D5477">
        <v>7</v>
      </c>
      <c r="E5477" t="s">
        <v>7</v>
      </c>
      <c r="F5477" t="s">
        <v>7</v>
      </c>
      <c r="G5477" t="s">
        <v>7</v>
      </c>
      <c r="H5477">
        <v>8645.1200000000008</v>
      </c>
      <c r="I5477">
        <v>2225.0100000000002</v>
      </c>
      <c r="J5477">
        <v>0</v>
      </c>
    </row>
    <row r="5478" spans="1:10" x14ac:dyDescent="0.35">
      <c r="A5478">
        <v>324282</v>
      </c>
      <c r="B5478" t="s">
        <v>20</v>
      </c>
      <c r="C5478">
        <v>2015</v>
      </c>
      <c r="D5478">
        <v>7</v>
      </c>
      <c r="E5478" t="s">
        <v>7</v>
      </c>
      <c r="F5478" t="s">
        <v>7</v>
      </c>
      <c r="G5478" t="s">
        <v>7</v>
      </c>
      <c r="H5478">
        <v>78951</v>
      </c>
      <c r="I5478">
        <v>30916.32</v>
      </c>
      <c r="J5478">
        <v>0</v>
      </c>
    </row>
    <row r="5479" spans="1:10" x14ac:dyDescent="0.35">
      <c r="A5479">
        <v>324283</v>
      </c>
      <c r="B5479" t="s">
        <v>20</v>
      </c>
      <c r="C5479">
        <v>2015</v>
      </c>
      <c r="D5479">
        <v>7</v>
      </c>
      <c r="E5479" t="s">
        <v>7</v>
      </c>
      <c r="F5479" t="s">
        <v>7</v>
      </c>
      <c r="G5479" t="s">
        <v>7</v>
      </c>
      <c r="H5479">
        <v>82844.34</v>
      </c>
      <c r="I5479">
        <v>36440.01</v>
      </c>
      <c r="J5479">
        <v>0</v>
      </c>
    </row>
    <row r="5480" spans="1:10" x14ac:dyDescent="0.35">
      <c r="A5480">
        <v>324285</v>
      </c>
      <c r="B5480" t="s">
        <v>20</v>
      </c>
      <c r="C5480">
        <v>2015</v>
      </c>
      <c r="D5480">
        <v>7</v>
      </c>
      <c r="E5480" t="s">
        <v>7</v>
      </c>
      <c r="F5480" t="s">
        <v>7</v>
      </c>
      <c r="G5480" t="s">
        <v>7</v>
      </c>
      <c r="H5480">
        <v>26683.34</v>
      </c>
      <c r="I5480">
        <v>7210.51</v>
      </c>
      <c r="J5480">
        <v>0</v>
      </c>
    </row>
    <row r="5481" spans="1:10" x14ac:dyDescent="0.35">
      <c r="A5481">
        <v>324286</v>
      </c>
      <c r="B5481" t="s">
        <v>20</v>
      </c>
      <c r="C5481">
        <v>2015</v>
      </c>
      <c r="D5481">
        <v>7</v>
      </c>
      <c r="E5481" t="s">
        <v>7</v>
      </c>
      <c r="F5481" t="s">
        <v>7</v>
      </c>
      <c r="G5481" t="s">
        <v>7</v>
      </c>
      <c r="H5481">
        <v>90255.14</v>
      </c>
      <c r="I5481">
        <v>52280.56</v>
      </c>
      <c r="J5481">
        <v>0</v>
      </c>
    </row>
    <row r="5482" spans="1:10" x14ac:dyDescent="0.35">
      <c r="A5482">
        <v>324287</v>
      </c>
      <c r="B5482" t="s">
        <v>20</v>
      </c>
      <c r="C5482">
        <v>2015</v>
      </c>
      <c r="D5482">
        <v>7</v>
      </c>
      <c r="E5482" t="s">
        <v>7</v>
      </c>
      <c r="F5482" t="s">
        <v>7</v>
      </c>
      <c r="G5482" t="s">
        <v>7</v>
      </c>
      <c r="H5482">
        <v>33052.14</v>
      </c>
      <c r="I5482">
        <v>9672.81</v>
      </c>
      <c r="J5482">
        <v>0</v>
      </c>
    </row>
    <row r="5483" spans="1:10" x14ac:dyDescent="0.35">
      <c r="A5483">
        <v>324289</v>
      </c>
      <c r="B5483" t="s">
        <v>20</v>
      </c>
      <c r="C5483">
        <v>2015</v>
      </c>
      <c r="D5483">
        <v>7</v>
      </c>
      <c r="E5483" t="s">
        <v>7</v>
      </c>
      <c r="F5483" t="s">
        <v>7</v>
      </c>
      <c r="G5483" t="s">
        <v>7</v>
      </c>
      <c r="H5483">
        <v>74967.48</v>
      </c>
      <c r="I5483">
        <v>31997.81</v>
      </c>
      <c r="J5483">
        <v>0</v>
      </c>
    </row>
    <row r="5484" spans="1:10" x14ac:dyDescent="0.35">
      <c r="A5484">
        <v>324291</v>
      </c>
      <c r="B5484" t="s">
        <v>20</v>
      </c>
      <c r="C5484">
        <v>2015</v>
      </c>
      <c r="D5484">
        <v>7</v>
      </c>
      <c r="E5484" t="s">
        <v>7</v>
      </c>
      <c r="F5484" t="s">
        <v>7</v>
      </c>
      <c r="G5484" t="s">
        <v>7</v>
      </c>
      <c r="H5484">
        <v>62735.22</v>
      </c>
      <c r="I5484">
        <v>18844.16</v>
      </c>
      <c r="J5484">
        <v>0</v>
      </c>
    </row>
    <row r="5485" spans="1:10" x14ac:dyDescent="0.35">
      <c r="A5485">
        <v>324292</v>
      </c>
      <c r="B5485" t="s">
        <v>20</v>
      </c>
      <c r="C5485">
        <v>2015</v>
      </c>
      <c r="D5485">
        <v>7</v>
      </c>
      <c r="E5485" t="s">
        <v>7</v>
      </c>
      <c r="F5485" t="s">
        <v>7</v>
      </c>
      <c r="G5485" t="s">
        <v>7</v>
      </c>
      <c r="H5485">
        <v>38131.08</v>
      </c>
      <c r="I5485">
        <v>10964.32</v>
      </c>
      <c r="J5485">
        <v>0</v>
      </c>
    </row>
    <row r="5486" spans="1:10" x14ac:dyDescent="0.35">
      <c r="A5486">
        <v>324294</v>
      </c>
      <c r="B5486" t="s">
        <v>20</v>
      </c>
      <c r="C5486">
        <v>2015</v>
      </c>
      <c r="D5486">
        <v>7</v>
      </c>
      <c r="E5486" t="s">
        <v>7</v>
      </c>
      <c r="F5486" t="s">
        <v>7</v>
      </c>
      <c r="G5486" t="s">
        <v>7</v>
      </c>
      <c r="H5486">
        <v>22341.599999999999</v>
      </c>
      <c r="I5486">
        <v>6723.33</v>
      </c>
      <c r="J5486">
        <v>0</v>
      </c>
    </row>
    <row r="5487" spans="1:10" x14ac:dyDescent="0.35">
      <c r="A5487">
        <v>324295</v>
      </c>
      <c r="B5487" t="s">
        <v>20</v>
      </c>
      <c r="C5487">
        <v>2015</v>
      </c>
      <c r="D5487">
        <v>7</v>
      </c>
      <c r="E5487" t="s">
        <v>7</v>
      </c>
      <c r="F5487" t="s">
        <v>7</v>
      </c>
      <c r="G5487" t="s">
        <v>7</v>
      </c>
      <c r="H5487">
        <v>28627.42</v>
      </c>
      <c r="I5487">
        <v>8200.74</v>
      </c>
      <c r="J5487">
        <v>0</v>
      </c>
    </row>
    <row r="5488" spans="1:10" x14ac:dyDescent="0.35">
      <c r="A5488">
        <v>324296</v>
      </c>
      <c r="B5488" t="s">
        <v>20</v>
      </c>
      <c r="C5488">
        <v>2015</v>
      </c>
      <c r="D5488">
        <v>7</v>
      </c>
      <c r="E5488" t="s">
        <v>7</v>
      </c>
      <c r="F5488" t="s">
        <v>7</v>
      </c>
      <c r="G5488" t="s">
        <v>7</v>
      </c>
      <c r="H5488">
        <v>42762.93</v>
      </c>
      <c r="I5488">
        <v>18905.240000000002</v>
      </c>
      <c r="J5488">
        <v>0</v>
      </c>
    </row>
    <row r="5489" spans="1:10" x14ac:dyDescent="0.35">
      <c r="A5489">
        <v>324297</v>
      </c>
      <c r="B5489" t="s">
        <v>20</v>
      </c>
      <c r="C5489">
        <v>2015</v>
      </c>
      <c r="D5489">
        <v>7</v>
      </c>
      <c r="E5489" t="s">
        <v>7</v>
      </c>
      <c r="F5489" t="s">
        <v>7</v>
      </c>
      <c r="G5489" t="s">
        <v>7</v>
      </c>
      <c r="H5489">
        <v>18035.52</v>
      </c>
      <c r="I5489">
        <v>5638.53</v>
      </c>
      <c r="J5489">
        <v>0</v>
      </c>
    </row>
    <row r="5490" spans="1:10" x14ac:dyDescent="0.35">
      <c r="A5490">
        <v>324298</v>
      </c>
      <c r="B5490" t="s">
        <v>20</v>
      </c>
      <c r="C5490">
        <v>2015</v>
      </c>
      <c r="D5490">
        <v>7</v>
      </c>
      <c r="E5490" t="s">
        <v>7</v>
      </c>
      <c r="F5490" t="s">
        <v>7</v>
      </c>
      <c r="G5490" t="s">
        <v>7</v>
      </c>
      <c r="H5490">
        <v>33845.96</v>
      </c>
      <c r="I5490">
        <v>8495.3700000000008</v>
      </c>
      <c r="J5490">
        <v>0</v>
      </c>
    </row>
    <row r="5491" spans="1:10" x14ac:dyDescent="0.35">
      <c r="A5491">
        <v>324301</v>
      </c>
      <c r="B5491" t="s">
        <v>20</v>
      </c>
      <c r="C5491">
        <v>2015</v>
      </c>
      <c r="D5491">
        <v>7</v>
      </c>
      <c r="E5491" t="s">
        <v>7</v>
      </c>
      <c r="F5491" t="s">
        <v>7</v>
      </c>
      <c r="G5491" t="s">
        <v>7</v>
      </c>
      <c r="H5491">
        <v>74637.64</v>
      </c>
      <c r="I5491">
        <v>19456.66</v>
      </c>
      <c r="J5491">
        <v>0</v>
      </c>
    </row>
    <row r="5492" spans="1:10" x14ac:dyDescent="0.35">
      <c r="A5492">
        <v>324303</v>
      </c>
      <c r="B5492" t="s">
        <v>20</v>
      </c>
      <c r="C5492">
        <v>2015</v>
      </c>
      <c r="D5492">
        <v>7</v>
      </c>
      <c r="E5492" t="s">
        <v>7</v>
      </c>
      <c r="F5492" t="s">
        <v>7</v>
      </c>
      <c r="G5492" t="s">
        <v>7</v>
      </c>
      <c r="H5492">
        <v>21813.64</v>
      </c>
      <c r="I5492">
        <v>4634.2700000000004</v>
      </c>
      <c r="J5492">
        <v>0</v>
      </c>
    </row>
    <row r="5493" spans="1:10" x14ac:dyDescent="0.35">
      <c r="A5493">
        <v>324305</v>
      </c>
      <c r="B5493" t="s">
        <v>20</v>
      </c>
      <c r="C5493">
        <v>2015</v>
      </c>
      <c r="D5493">
        <v>7</v>
      </c>
      <c r="E5493" t="s">
        <v>7</v>
      </c>
      <c r="F5493" t="s">
        <v>7</v>
      </c>
      <c r="G5493" t="s">
        <v>7</v>
      </c>
      <c r="H5493">
        <v>15316.74</v>
      </c>
      <c r="I5493">
        <v>5419.81</v>
      </c>
      <c r="J5493">
        <v>0</v>
      </c>
    </row>
    <row r="5494" spans="1:10" x14ac:dyDescent="0.35">
      <c r="A5494">
        <v>324306</v>
      </c>
      <c r="B5494" t="s">
        <v>20</v>
      </c>
      <c r="C5494">
        <v>2015</v>
      </c>
      <c r="D5494">
        <v>7</v>
      </c>
      <c r="E5494" t="s">
        <v>7</v>
      </c>
      <c r="F5494" t="s">
        <v>7</v>
      </c>
      <c r="G5494" t="s">
        <v>7</v>
      </c>
      <c r="H5494">
        <v>14834.5</v>
      </c>
      <c r="I5494">
        <v>3701.79</v>
      </c>
      <c r="J5494">
        <v>0</v>
      </c>
    </row>
    <row r="5495" spans="1:10" x14ac:dyDescent="0.35">
      <c r="A5495">
        <v>324307</v>
      </c>
      <c r="B5495" t="s">
        <v>20</v>
      </c>
      <c r="C5495">
        <v>2015</v>
      </c>
      <c r="D5495">
        <v>7</v>
      </c>
      <c r="E5495" t="s">
        <v>7</v>
      </c>
      <c r="F5495" t="s">
        <v>7</v>
      </c>
      <c r="G5495" t="s">
        <v>7</v>
      </c>
      <c r="H5495">
        <v>19536.740000000002</v>
      </c>
      <c r="I5495">
        <v>3520.48</v>
      </c>
      <c r="J5495">
        <v>0</v>
      </c>
    </row>
    <row r="5496" spans="1:10" x14ac:dyDescent="0.35">
      <c r="A5496">
        <v>324308</v>
      </c>
      <c r="B5496" t="s">
        <v>20</v>
      </c>
      <c r="C5496">
        <v>2015</v>
      </c>
      <c r="D5496">
        <v>7</v>
      </c>
      <c r="E5496" t="s">
        <v>7</v>
      </c>
      <c r="F5496" t="s">
        <v>7</v>
      </c>
      <c r="G5496" t="s">
        <v>7</v>
      </c>
      <c r="H5496">
        <v>49098.98</v>
      </c>
      <c r="I5496">
        <v>15494.58</v>
      </c>
      <c r="J5496">
        <v>0</v>
      </c>
    </row>
    <row r="5497" spans="1:10" x14ac:dyDescent="0.35">
      <c r="A5497">
        <v>324311</v>
      </c>
      <c r="B5497" t="s">
        <v>20</v>
      </c>
      <c r="C5497">
        <v>2015</v>
      </c>
      <c r="D5497">
        <v>7</v>
      </c>
      <c r="E5497" t="s">
        <v>7</v>
      </c>
      <c r="F5497" t="s">
        <v>7</v>
      </c>
      <c r="G5497" t="s">
        <v>7</v>
      </c>
      <c r="H5497">
        <v>19728.060000000001</v>
      </c>
      <c r="I5497">
        <v>5965.58</v>
      </c>
      <c r="J5497">
        <v>0</v>
      </c>
    </row>
    <row r="5498" spans="1:10" x14ac:dyDescent="0.35">
      <c r="A5498">
        <v>324313</v>
      </c>
      <c r="B5498" t="s">
        <v>20</v>
      </c>
      <c r="C5498">
        <v>2015</v>
      </c>
      <c r="D5498">
        <v>7</v>
      </c>
      <c r="E5498" t="s">
        <v>7</v>
      </c>
      <c r="F5498" t="s">
        <v>7</v>
      </c>
      <c r="G5498" t="s">
        <v>7</v>
      </c>
      <c r="H5498">
        <v>66995.399999999994</v>
      </c>
      <c r="I5498">
        <v>26968.41</v>
      </c>
      <c r="J5498">
        <v>0</v>
      </c>
    </row>
    <row r="5499" spans="1:10" x14ac:dyDescent="0.35">
      <c r="A5499">
        <v>324314</v>
      </c>
      <c r="B5499" t="s">
        <v>20</v>
      </c>
      <c r="C5499">
        <v>2015</v>
      </c>
      <c r="D5499">
        <v>7</v>
      </c>
      <c r="E5499" t="s">
        <v>7</v>
      </c>
      <c r="F5499" t="s">
        <v>7</v>
      </c>
      <c r="G5499" t="s">
        <v>7</v>
      </c>
      <c r="H5499">
        <v>44229.279999999999</v>
      </c>
      <c r="I5499">
        <v>13353.03</v>
      </c>
      <c r="J5499">
        <v>0</v>
      </c>
    </row>
    <row r="5500" spans="1:10" x14ac:dyDescent="0.35">
      <c r="A5500">
        <v>324317</v>
      </c>
      <c r="B5500" t="s">
        <v>20</v>
      </c>
      <c r="C5500">
        <v>2015</v>
      </c>
      <c r="D5500">
        <v>7</v>
      </c>
      <c r="E5500" t="s">
        <v>7</v>
      </c>
      <c r="F5500" t="s">
        <v>7</v>
      </c>
      <c r="G5500" t="s">
        <v>7</v>
      </c>
      <c r="H5500">
        <v>21331.84</v>
      </c>
      <c r="I5500">
        <v>6258.55</v>
      </c>
      <c r="J5500">
        <v>0</v>
      </c>
    </row>
    <row r="5501" spans="1:10" x14ac:dyDescent="0.35">
      <c r="A5501">
        <v>324318</v>
      </c>
      <c r="B5501" t="s">
        <v>20</v>
      </c>
      <c r="C5501">
        <v>2015</v>
      </c>
      <c r="D5501">
        <v>7</v>
      </c>
      <c r="E5501" t="s">
        <v>7</v>
      </c>
      <c r="F5501" t="s">
        <v>7</v>
      </c>
      <c r="G5501" t="s">
        <v>7</v>
      </c>
      <c r="H5501">
        <v>22496.12</v>
      </c>
      <c r="I5501">
        <v>7348.28</v>
      </c>
      <c r="J5501">
        <v>0</v>
      </c>
    </row>
    <row r="5502" spans="1:10" x14ac:dyDescent="0.35">
      <c r="A5502">
        <v>324319</v>
      </c>
      <c r="B5502" t="s">
        <v>20</v>
      </c>
      <c r="C5502">
        <v>2015</v>
      </c>
      <c r="D5502">
        <v>7</v>
      </c>
      <c r="E5502" t="s">
        <v>7</v>
      </c>
      <c r="F5502" t="s">
        <v>7</v>
      </c>
      <c r="G5502" t="s">
        <v>7</v>
      </c>
      <c r="H5502">
        <v>27082.12</v>
      </c>
      <c r="I5502">
        <v>8656.92</v>
      </c>
      <c r="J5502">
        <v>0</v>
      </c>
    </row>
    <row r="5503" spans="1:10" x14ac:dyDescent="0.35">
      <c r="A5503">
        <v>324320</v>
      </c>
      <c r="B5503" t="s">
        <v>20</v>
      </c>
      <c r="C5503">
        <v>2015</v>
      </c>
      <c r="D5503">
        <v>7</v>
      </c>
      <c r="E5503" t="s">
        <v>7</v>
      </c>
      <c r="F5503" t="s">
        <v>7</v>
      </c>
      <c r="G5503" t="s">
        <v>7</v>
      </c>
      <c r="H5503">
        <v>15055.58</v>
      </c>
      <c r="I5503">
        <v>3954.34</v>
      </c>
      <c r="J5503">
        <v>0</v>
      </c>
    </row>
    <row r="5504" spans="1:10" x14ac:dyDescent="0.35">
      <c r="A5504">
        <v>324322</v>
      </c>
      <c r="B5504" t="s">
        <v>20</v>
      </c>
      <c r="C5504">
        <v>2015</v>
      </c>
      <c r="D5504">
        <v>7</v>
      </c>
      <c r="E5504" t="s">
        <v>7</v>
      </c>
      <c r="F5504" t="s">
        <v>7</v>
      </c>
      <c r="G5504" t="s">
        <v>7</v>
      </c>
      <c r="H5504">
        <v>13568.06</v>
      </c>
      <c r="I5504">
        <v>3478.85</v>
      </c>
      <c r="J5504">
        <v>0</v>
      </c>
    </row>
    <row r="5505" spans="1:10" x14ac:dyDescent="0.35">
      <c r="A5505">
        <v>324323</v>
      </c>
      <c r="B5505" t="s">
        <v>20</v>
      </c>
      <c r="C5505">
        <v>2015</v>
      </c>
      <c r="D5505">
        <v>7</v>
      </c>
      <c r="E5505" t="s">
        <v>7</v>
      </c>
      <c r="F5505" t="s">
        <v>7</v>
      </c>
      <c r="G5505" t="s">
        <v>7</v>
      </c>
      <c r="H5505">
        <v>55200.56</v>
      </c>
      <c r="I5505">
        <v>16867.48</v>
      </c>
      <c r="J5505">
        <v>0</v>
      </c>
    </row>
    <row r="5506" spans="1:10" x14ac:dyDescent="0.35">
      <c r="A5506">
        <v>324324</v>
      </c>
      <c r="B5506" t="s">
        <v>20</v>
      </c>
      <c r="C5506">
        <v>2015</v>
      </c>
      <c r="D5506">
        <v>7</v>
      </c>
      <c r="E5506" t="s">
        <v>7</v>
      </c>
      <c r="F5506" t="s">
        <v>7</v>
      </c>
      <c r="G5506" t="s">
        <v>7</v>
      </c>
      <c r="H5506">
        <v>22622.18</v>
      </c>
      <c r="I5506">
        <v>6901.71</v>
      </c>
      <c r="J5506">
        <v>0</v>
      </c>
    </row>
    <row r="5507" spans="1:10" x14ac:dyDescent="0.35">
      <c r="A5507">
        <v>324325</v>
      </c>
      <c r="B5507" t="s">
        <v>20</v>
      </c>
      <c r="C5507">
        <v>2015</v>
      </c>
      <c r="D5507">
        <v>7</v>
      </c>
      <c r="E5507" t="s">
        <v>7</v>
      </c>
      <c r="F5507" t="s">
        <v>7</v>
      </c>
      <c r="G5507" t="s">
        <v>7</v>
      </c>
      <c r="H5507">
        <v>73719.12</v>
      </c>
      <c r="I5507">
        <v>36135.61</v>
      </c>
      <c r="J5507">
        <v>0</v>
      </c>
    </row>
    <row r="5508" spans="1:10" x14ac:dyDescent="0.35">
      <c r="A5508">
        <v>324326</v>
      </c>
      <c r="B5508" t="s">
        <v>20</v>
      </c>
      <c r="C5508">
        <v>2015</v>
      </c>
      <c r="D5508">
        <v>7</v>
      </c>
      <c r="E5508" t="s">
        <v>7</v>
      </c>
      <c r="F5508" t="s">
        <v>7</v>
      </c>
      <c r="G5508" t="s">
        <v>7</v>
      </c>
      <c r="H5508">
        <v>56571.56</v>
      </c>
      <c r="I5508">
        <v>16301.75</v>
      </c>
      <c r="J5508">
        <v>0</v>
      </c>
    </row>
    <row r="5509" spans="1:10" x14ac:dyDescent="0.35">
      <c r="A5509">
        <v>324327</v>
      </c>
      <c r="B5509" t="s">
        <v>20</v>
      </c>
      <c r="C5509">
        <v>2015</v>
      </c>
      <c r="D5509">
        <v>7</v>
      </c>
      <c r="E5509" t="s">
        <v>7</v>
      </c>
      <c r="F5509" t="s">
        <v>7</v>
      </c>
      <c r="G5509" t="s">
        <v>7</v>
      </c>
      <c r="H5509">
        <v>50781.98</v>
      </c>
      <c r="I5509">
        <v>14852.44</v>
      </c>
      <c r="J5509">
        <v>0</v>
      </c>
    </row>
    <row r="5510" spans="1:10" x14ac:dyDescent="0.35">
      <c r="A5510">
        <v>324329</v>
      </c>
      <c r="B5510" t="s">
        <v>20</v>
      </c>
      <c r="C5510">
        <v>2015</v>
      </c>
      <c r="D5510">
        <v>7</v>
      </c>
      <c r="E5510" t="s">
        <v>7</v>
      </c>
      <c r="F5510" t="s">
        <v>7</v>
      </c>
      <c r="G5510" t="s">
        <v>7</v>
      </c>
      <c r="H5510">
        <v>18595.34</v>
      </c>
      <c r="I5510">
        <v>4728.12</v>
      </c>
      <c r="J5510">
        <v>0</v>
      </c>
    </row>
    <row r="5511" spans="1:10" x14ac:dyDescent="0.35">
      <c r="A5511">
        <v>324330</v>
      </c>
      <c r="B5511" t="s">
        <v>20</v>
      </c>
      <c r="C5511">
        <v>2015</v>
      </c>
      <c r="D5511">
        <v>7</v>
      </c>
      <c r="E5511" t="s">
        <v>7</v>
      </c>
      <c r="F5511" t="s">
        <v>7</v>
      </c>
      <c r="G5511" t="s">
        <v>7</v>
      </c>
      <c r="H5511">
        <v>42006.76</v>
      </c>
      <c r="I5511">
        <v>16178.36</v>
      </c>
      <c r="J5511">
        <v>0</v>
      </c>
    </row>
    <row r="5512" spans="1:10" x14ac:dyDescent="0.35">
      <c r="A5512">
        <v>324333</v>
      </c>
      <c r="B5512" t="s">
        <v>20</v>
      </c>
      <c r="C5512">
        <v>2015</v>
      </c>
      <c r="D5512">
        <v>7</v>
      </c>
      <c r="E5512" t="s">
        <v>7</v>
      </c>
      <c r="F5512" t="s">
        <v>7</v>
      </c>
      <c r="G5512" t="s">
        <v>7</v>
      </c>
      <c r="H5512">
        <v>19088.080000000002</v>
      </c>
      <c r="I5512">
        <v>5857.34</v>
      </c>
      <c r="J5512">
        <v>0</v>
      </c>
    </row>
    <row r="5513" spans="1:10" x14ac:dyDescent="0.35">
      <c r="A5513">
        <v>324334</v>
      </c>
      <c r="B5513" t="s">
        <v>20</v>
      </c>
      <c r="C5513">
        <v>2015</v>
      </c>
      <c r="D5513">
        <v>7</v>
      </c>
      <c r="E5513" t="s">
        <v>7</v>
      </c>
      <c r="F5513" t="s">
        <v>7</v>
      </c>
      <c r="G5513" t="s">
        <v>7</v>
      </c>
      <c r="H5513">
        <v>25146.82</v>
      </c>
      <c r="I5513">
        <v>7549.56</v>
      </c>
      <c r="J5513">
        <v>0</v>
      </c>
    </row>
    <row r="5514" spans="1:10" x14ac:dyDescent="0.35">
      <c r="A5514">
        <v>324335</v>
      </c>
      <c r="B5514" t="s">
        <v>20</v>
      </c>
      <c r="C5514">
        <v>2015</v>
      </c>
      <c r="D5514">
        <v>7</v>
      </c>
      <c r="E5514" t="s">
        <v>7</v>
      </c>
      <c r="F5514" t="s">
        <v>7</v>
      </c>
      <c r="G5514" t="s">
        <v>7</v>
      </c>
      <c r="H5514">
        <v>19185.78</v>
      </c>
      <c r="I5514">
        <v>11654.52</v>
      </c>
      <c r="J5514">
        <v>0</v>
      </c>
    </row>
    <row r="5515" spans="1:10" x14ac:dyDescent="0.35">
      <c r="A5515">
        <v>324336</v>
      </c>
      <c r="B5515" t="s">
        <v>20</v>
      </c>
      <c r="C5515">
        <v>2015</v>
      </c>
      <c r="D5515">
        <v>7</v>
      </c>
      <c r="E5515" t="s">
        <v>7</v>
      </c>
      <c r="F5515" t="s">
        <v>7</v>
      </c>
      <c r="G5515" t="s">
        <v>7</v>
      </c>
      <c r="H5515">
        <v>93622.3</v>
      </c>
      <c r="I5515">
        <v>60076.67</v>
      </c>
      <c r="J5515">
        <v>0</v>
      </c>
    </row>
    <row r="5516" spans="1:10" x14ac:dyDescent="0.35">
      <c r="A5516">
        <v>324338</v>
      </c>
      <c r="B5516" t="s">
        <v>20</v>
      </c>
      <c r="C5516">
        <v>2015</v>
      </c>
      <c r="D5516">
        <v>7</v>
      </c>
      <c r="E5516" t="s">
        <v>7</v>
      </c>
      <c r="F5516" t="s">
        <v>7</v>
      </c>
      <c r="G5516" t="s">
        <v>7</v>
      </c>
      <c r="H5516">
        <v>56117.58</v>
      </c>
      <c r="I5516">
        <v>16727.38</v>
      </c>
      <c r="J5516">
        <v>0</v>
      </c>
    </row>
    <row r="5517" spans="1:10" x14ac:dyDescent="0.35">
      <c r="A5517">
        <v>324340</v>
      </c>
      <c r="B5517" t="s">
        <v>20</v>
      </c>
      <c r="C5517">
        <v>2015</v>
      </c>
      <c r="D5517">
        <v>7</v>
      </c>
      <c r="E5517" t="s">
        <v>7</v>
      </c>
      <c r="F5517" t="s">
        <v>7</v>
      </c>
      <c r="G5517" t="s">
        <v>7</v>
      </c>
      <c r="H5517">
        <v>28596.66</v>
      </c>
      <c r="I5517">
        <v>17904.07</v>
      </c>
      <c r="J5517">
        <v>0</v>
      </c>
    </row>
    <row r="5518" spans="1:10" x14ac:dyDescent="0.35">
      <c r="A5518">
        <v>324342</v>
      </c>
      <c r="B5518" t="s">
        <v>20</v>
      </c>
      <c r="C5518">
        <v>2015</v>
      </c>
      <c r="D5518">
        <v>7</v>
      </c>
      <c r="E5518" t="s">
        <v>7</v>
      </c>
      <c r="F5518" t="s">
        <v>7</v>
      </c>
      <c r="G5518" t="s">
        <v>7</v>
      </c>
      <c r="H5518">
        <v>37656.68</v>
      </c>
      <c r="I5518">
        <v>8622.7199999999993</v>
      </c>
      <c r="J5518">
        <v>0</v>
      </c>
    </row>
    <row r="5519" spans="1:10" x14ac:dyDescent="0.35">
      <c r="A5519">
        <v>324345</v>
      </c>
      <c r="B5519" t="s">
        <v>20</v>
      </c>
      <c r="C5519">
        <v>2015</v>
      </c>
      <c r="D5519">
        <v>7</v>
      </c>
      <c r="E5519" t="s">
        <v>7</v>
      </c>
      <c r="F5519" t="s">
        <v>7</v>
      </c>
      <c r="G5519" t="s">
        <v>7</v>
      </c>
      <c r="H5519">
        <v>33517.839999999997</v>
      </c>
      <c r="I5519">
        <v>9865.74</v>
      </c>
      <c r="J5519">
        <v>0</v>
      </c>
    </row>
    <row r="5520" spans="1:10" x14ac:dyDescent="0.35">
      <c r="A5520">
        <v>324346</v>
      </c>
      <c r="B5520" t="s">
        <v>20</v>
      </c>
      <c r="C5520">
        <v>2015</v>
      </c>
      <c r="D5520">
        <v>7</v>
      </c>
      <c r="E5520" t="s">
        <v>7</v>
      </c>
      <c r="F5520" t="s">
        <v>7</v>
      </c>
      <c r="G5520" t="s">
        <v>7</v>
      </c>
      <c r="H5520">
        <v>53294.3</v>
      </c>
      <c r="I5520">
        <v>16658.64</v>
      </c>
      <c r="J5520">
        <v>0</v>
      </c>
    </row>
    <row r="5521" spans="1:10" x14ac:dyDescent="0.35">
      <c r="A5521">
        <v>324348</v>
      </c>
      <c r="B5521" t="s">
        <v>20</v>
      </c>
      <c r="C5521">
        <v>2015</v>
      </c>
      <c r="D5521">
        <v>7</v>
      </c>
      <c r="E5521" t="s">
        <v>7</v>
      </c>
      <c r="F5521" t="s">
        <v>7</v>
      </c>
      <c r="G5521" t="s">
        <v>7</v>
      </c>
      <c r="H5521">
        <v>12336.58</v>
      </c>
      <c r="I5521">
        <v>2395.1799999999998</v>
      </c>
      <c r="J5521">
        <v>0</v>
      </c>
    </row>
    <row r="5522" spans="1:10" x14ac:dyDescent="0.35">
      <c r="A5522">
        <v>324349</v>
      </c>
      <c r="B5522" t="s">
        <v>20</v>
      </c>
      <c r="C5522">
        <v>2015</v>
      </c>
      <c r="D5522">
        <v>7</v>
      </c>
      <c r="E5522" t="s">
        <v>7</v>
      </c>
      <c r="F5522" t="s">
        <v>7</v>
      </c>
      <c r="G5522" t="s">
        <v>7</v>
      </c>
      <c r="H5522">
        <v>41653.120000000003</v>
      </c>
      <c r="I5522">
        <v>18747.32</v>
      </c>
      <c r="J5522">
        <v>0</v>
      </c>
    </row>
    <row r="5523" spans="1:10" x14ac:dyDescent="0.35">
      <c r="A5523">
        <v>324351</v>
      </c>
      <c r="B5523" t="s">
        <v>20</v>
      </c>
      <c r="C5523">
        <v>2015</v>
      </c>
      <c r="D5523">
        <v>7</v>
      </c>
      <c r="E5523" t="s">
        <v>7</v>
      </c>
      <c r="F5523" t="s">
        <v>7</v>
      </c>
      <c r="G5523" t="s">
        <v>7</v>
      </c>
      <c r="H5523">
        <v>39274.660000000003</v>
      </c>
      <c r="I5523">
        <v>11118.49</v>
      </c>
      <c r="J5523">
        <v>0</v>
      </c>
    </row>
    <row r="5524" spans="1:10" x14ac:dyDescent="0.35">
      <c r="A5524">
        <v>324353</v>
      </c>
      <c r="B5524" t="s">
        <v>20</v>
      </c>
      <c r="C5524">
        <v>2015</v>
      </c>
      <c r="D5524">
        <v>7</v>
      </c>
      <c r="E5524" t="s">
        <v>7</v>
      </c>
      <c r="F5524" t="s">
        <v>7</v>
      </c>
      <c r="G5524" t="s">
        <v>7</v>
      </c>
      <c r="H5524">
        <v>19308.46</v>
      </c>
      <c r="I5524">
        <v>4322.63</v>
      </c>
      <c r="J5524">
        <v>0</v>
      </c>
    </row>
    <row r="5525" spans="1:10" x14ac:dyDescent="0.35">
      <c r="A5525">
        <v>324355</v>
      </c>
      <c r="B5525" t="s">
        <v>20</v>
      </c>
      <c r="C5525">
        <v>2015</v>
      </c>
      <c r="D5525">
        <v>7</v>
      </c>
      <c r="E5525" t="s">
        <v>7</v>
      </c>
      <c r="F5525" t="s">
        <v>7</v>
      </c>
      <c r="G5525" t="s">
        <v>7</v>
      </c>
      <c r="H5525">
        <v>75076.320000000007</v>
      </c>
      <c r="I5525">
        <v>28193.86</v>
      </c>
      <c r="J5525">
        <v>0</v>
      </c>
    </row>
    <row r="5526" spans="1:10" x14ac:dyDescent="0.35">
      <c r="A5526">
        <v>324357</v>
      </c>
      <c r="B5526" t="s">
        <v>20</v>
      </c>
      <c r="C5526">
        <v>2015</v>
      </c>
      <c r="D5526">
        <v>7</v>
      </c>
      <c r="E5526" t="s">
        <v>7</v>
      </c>
      <c r="F5526" t="s">
        <v>7</v>
      </c>
      <c r="G5526" t="s">
        <v>7</v>
      </c>
      <c r="H5526">
        <v>50174.720000000001</v>
      </c>
      <c r="I5526">
        <v>12153.17</v>
      </c>
      <c r="J5526">
        <v>0</v>
      </c>
    </row>
    <row r="5527" spans="1:10" x14ac:dyDescent="0.35">
      <c r="A5527">
        <v>324359</v>
      </c>
      <c r="B5527" t="s">
        <v>20</v>
      </c>
      <c r="C5527">
        <v>2015</v>
      </c>
      <c r="D5527">
        <v>7</v>
      </c>
      <c r="E5527" t="s">
        <v>7</v>
      </c>
      <c r="F5527" t="s">
        <v>7</v>
      </c>
      <c r="G5527" t="s">
        <v>7</v>
      </c>
      <c r="H5527">
        <v>23198.74</v>
      </c>
      <c r="I5527">
        <v>4562.58</v>
      </c>
      <c r="J5527">
        <v>0</v>
      </c>
    </row>
    <row r="5528" spans="1:10" x14ac:dyDescent="0.35">
      <c r="A5528">
        <v>324360</v>
      </c>
      <c r="B5528" t="s">
        <v>20</v>
      </c>
      <c r="C5528">
        <v>2015</v>
      </c>
      <c r="D5528">
        <v>7</v>
      </c>
      <c r="E5528" t="s">
        <v>7</v>
      </c>
      <c r="F5528" t="s">
        <v>7</v>
      </c>
      <c r="G5528" t="s">
        <v>7</v>
      </c>
      <c r="H5528">
        <v>31968.53</v>
      </c>
      <c r="I5528">
        <v>12027.62</v>
      </c>
      <c r="J5528">
        <v>0</v>
      </c>
    </row>
    <row r="5529" spans="1:10" x14ac:dyDescent="0.35">
      <c r="A5529">
        <v>324362</v>
      </c>
      <c r="B5529" t="s">
        <v>20</v>
      </c>
      <c r="C5529">
        <v>2015</v>
      </c>
      <c r="D5529">
        <v>7</v>
      </c>
      <c r="E5529" t="s">
        <v>7</v>
      </c>
      <c r="F5529" t="s">
        <v>7</v>
      </c>
      <c r="G5529" t="s">
        <v>7</v>
      </c>
      <c r="H5529">
        <v>34285.08</v>
      </c>
      <c r="I5529">
        <v>9934.2900000000009</v>
      </c>
      <c r="J5529">
        <v>0</v>
      </c>
    </row>
    <row r="5530" spans="1:10" x14ac:dyDescent="0.35">
      <c r="A5530">
        <v>324363</v>
      </c>
      <c r="B5530" t="s">
        <v>20</v>
      </c>
      <c r="C5530">
        <v>2015</v>
      </c>
      <c r="D5530">
        <v>7</v>
      </c>
      <c r="E5530" t="s">
        <v>7</v>
      </c>
      <c r="F5530" t="s">
        <v>7</v>
      </c>
      <c r="G5530" t="s">
        <v>7</v>
      </c>
      <c r="H5530">
        <v>12153.66</v>
      </c>
      <c r="I5530">
        <v>2745.05</v>
      </c>
      <c r="J5530">
        <v>0</v>
      </c>
    </row>
    <row r="5531" spans="1:10" x14ac:dyDescent="0.35">
      <c r="A5531">
        <v>324364</v>
      </c>
      <c r="B5531" t="s">
        <v>20</v>
      </c>
      <c r="C5531">
        <v>2015</v>
      </c>
      <c r="D5531">
        <v>7</v>
      </c>
      <c r="E5531" t="s">
        <v>7</v>
      </c>
      <c r="F5531" t="s">
        <v>7</v>
      </c>
      <c r="G5531" t="s">
        <v>7</v>
      </c>
      <c r="H5531">
        <v>19825.099999999999</v>
      </c>
      <c r="I5531">
        <v>5249.49</v>
      </c>
      <c r="J5531">
        <v>0</v>
      </c>
    </row>
    <row r="5532" spans="1:10" x14ac:dyDescent="0.35">
      <c r="A5532">
        <v>324365</v>
      </c>
      <c r="B5532" t="s">
        <v>20</v>
      </c>
      <c r="C5532">
        <v>2015</v>
      </c>
      <c r="D5532">
        <v>7</v>
      </c>
      <c r="E5532" t="s">
        <v>7</v>
      </c>
      <c r="F5532" t="s">
        <v>7</v>
      </c>
      <c r="G5532" t="s">
        <v>7</v>
      </c>
      <c r="H5532">
        <v>46610.8</v>
      </c>
      <c r="I5532">
        <v>12364.65</v>
      </c>
      <c r="J5532">
        <v>0</v>
      </c>
    </row>
    <row r="5533" spans="1:10" x14ac:dyDescent="0.35">
      <c r="A5533">
        <v>324367</v>
      </c>
      <c r="B5533" t="s">
        <v>20</v>
      </c>
      <c r="C5533">
        <v>2015</v>
      </c>
      <c r="D5533">
        <v>7</v>
      </c>
      <c r="E5533" t="s">
        <v>7</v>
      </c>
      <c r="F5533" t="s">
        <v>7</v>
      </c>
      <c r="G5533" t="s">
        <v>7</v>
      </c>
      <c r="H5533">
        <v>95104.18</v>
      </c>
      <c r="I5533">
        <v>65061.36</v>
      </c>
      <c r="J5533">
        <v>0</v>
      </c>
    </row>
    <row r="5534" spans="1:10" x14ac:dyDescent="0.35">
      <c r="A5534">
        <v>324368</v>
      </c>
      <c r="B5534" t="s">
        <v>20</v>
      </c>
      <c r="C5534">
        <v>2015</v>
      </c>
      <c r="D5534">
        <v>7</v>
      </c>
      <c r="E5534" t="s">
        <v>7</v>
      </c>
      <c r="F5534" t="s">
        <v>7</v>
      </c>
      <c r="G5534" t="s">
        <v>7</v>
      </c>
      <c r="H5534">
        <v>40881.42</v>
      </c>
      <c r="I5534">
        <v>11656.29</v>
      </c>
      <c r="J5534">
        <v>0</v>
      </c>
    </row>
    <row r="5535" spans="1:10" x14ac:dyDescent="0.35">
      <c r="A5535">
        <v>324369</v>
      </c>
      <c r="B5535" t="s">
        <v>20</v>
      </c>
      <c r="C5535">
        <v>2015</v>
      </c>
      <c r="D5535">
        <v>7</v>
      </c>
      <c r="E5535" t="s">
        <v>7</v>
      </c>
      <c r="F5535" t="s">
        <v>7</v>
      </c>
      <c r="G5535" t="s">
        <v>7</v>
      </c>
      <c r="H5535">
        <v>25936.639999999999</v>
      </c>
      <c r="I5535">
        <v>7803.26</v>
      </c>
      <c r="J5535">
        <v>0</v>
      </c>
    </row>
    <row r="5536" spans="1:10" x14ac:dyDescent="0.35">
      <c r="A5536">
        <v>324371</v>
      </c>
      <c r="B5536" t="s">
        <v>20</v>
      </c>
      <c r="C5536">
        <v>2015</v>
      </c>
      <c r="D5536">
        <v>7</v>
      </c>
      <c r="E5536" t="s">
        <v>7</v>
      </c>
      <c r="F5536" t="s">
        <v>7</v>
      </c>
      <c r="G5536" t="s">
        <v>7</v>
      </c>
      <c r="H5536">
        <v>20200.52</v>
      </c>
      <c r="I5536">
        <v>4593.68</v>
      </c>
      <c r="J5536">
        <v>0</v>
      </c>
    </row>
    <row r="5537" spans="1:10" x14ac:dyDescent="0.35">
      <c r="A5537">
        <v>324373</v>
      </c>
      <c r="B5537" t="s">
        <v>20</v>
      </c>
      <c r="C5537">
        <v>2015</v>
      </c>
      <c r="D5537">
        <v>7</v>
      </c>
      <c r="E5537" t="s">
        <v>7</v>
      </c>
      <c r="F5537" t="s">
        <v>7</v>
      </c>
      <c r="G5537" t="s">
        <v>7</v>
      </c>
      <c r="H5537">
        <v>11641.14</v>
      </c>
      <c r="I5537">
        <v>3002.24</v>
      </c>
      <c r="J5537">
        <v>0</v>
      </c>
    </row>
    <row r="5538" spans="1:10" x14ac:dyDescent="0.35">
      <c r="A5538">
        <v>324374</v>
      </c>
      <c r="B5538" t="s">
        <v>20</v>
      </c>
      <c r="C5538">
        <v>2015</v>
      </c>
      <c r="D5538">
        <v>7</v>
      </c>
      <c r="E5538" t="s">
        <v>7</v>
      </c>
      <c r="F5538" t="s">
        <v>7</v>
      </c>
      <c r="G5538" t="s">
        <v>7</v>
      </c>
      <c r="H5538">
        <v>20575.72</v>
      </c>
      <c r="I5538">
        <v>6233.7</v>
      </c>
      <c r="J5538">
        <v>0</v>
      </c>
    </row>
    <row r="5539" spans="1:10" x14ac:dyDescent="0.35">
      <c r="A5539">
        <v>324375</v>
      </c>
      <c r="B5539" t="s">
        <v>20</v>
      </c>
      <c r="C5539">
        <v>2015</v>
      </c>
      <c r="D5539">
        <v>7</v>
      </c>
      <c r="E5539" t="s">
        <v>7</v>
      </c>
      <c r="F5539" t="s">
        <v>7</v>
      </c>
      <c r="G5539" t="s">
        <v>7</v>
      </c>
      <c r="H5539">
        <v>40039.24</v>
      </c>
      <c r="I5539">
        <v>12018.12</v>
      </c>
      <c r="J5539">
        <v>0</v>
      </c>
    </row>
    <row r="5540" spans="1:10" x14ac:dyDescent="0.35">
      <c r="A5540">
        <v>324376</v>
      </c>
      <c r="B5540" t="s">
        <v>20</v>
      </c>
      <c r="C5540">
        <v>2015</v>
      </c>
      <c r="D5540">
        <v>7</v>
      </c>
      <c r="E5540" t="s">
        <v>7</v>
      </c>
      <c r="F5540" t="s">
        <v>7</v>
      </c>
      <c r="G5540" t="s">
        <v>7</v>
      </c>
      <c r="H5540">
        <v>77403.16</v>
      </c>
      <c r="I5540">
        <v>23779.200000000001</v>
      </c>
      <c r="J5540">
        <v>0</v>
      </c>
    </row>
    <row r="5541" spans="1:10" x14ac:dyDescent="0.35">
      <c r="A5541">
        <v>324378</v>
      </c>
      <c r="B5541" t="s">
        <v>20</v>
      </c>
      <c r="C5541">
        <v>2015</v>
      </c>
      <c r="D5541">
        <v>7</v>
      </c>
      <c r="E5541" t="s">
        <v>7</v>
      </c>
      <c r="F5541" t="s">
        <v>7</v>
      </c>
      <c r="G5541" t="s">
        <v>7</v>
      </c>
      <c r="H5541">
        <v>13736.26</v>
      </c>
      <c r="I5541">
        <v>2714.05</v>
      </c>
      <c r="J5541">
        <v>0</v>
      </c>
    </row>
    <row r="5542" spans="1:10" x14ac:dyDescent="0.35">
      <c r="A5542">
        <v>324379</v>
      </c>
      <c r="B5542" t="s">
        <v>20</v>
      </c>
      <c r="C5542">
        <v>2015</v>
      </c>
      <c r="D5542">
        <v>7</v>
      </c>
      <c r="E5542" t="s">
        <v>7</v>
      </c>
      <c r="F5542" t="s">
        <v>7</v>
      </c>
      <c r="G5542" t="s">
        <v>7</v>
      </c>
      <c r="H5542">
        <v>23030.22</v>
      </c>
      <c r="I5542">
        <v>6325.39</v>
      </c>
      <c r="J5542">
        <v>0</v>
      </c>
    </row>
    <row r="5543" spans="1:10" x14ac:dyDescent="0.35">
      <c r="A5543">
        <v>324380</v>
      </c>
      <c r="B5543" t="s">
        <v>20</v>
      </c>
      <c r="C5543">
        <v>2015</v>
      </c>
      <c r="D5543">
        <v>7</v>
      </c>
      <c r="E5543" t="s">
        <v>7</v>
      </c>
      <c r="F5543" t="s">
        <v>7</v>
      </c>
      <c r="G5543" t="s">
        <v>7</v>
      </c>
      <c r="H5543">
        <v>15123.78</v>
      </c>
      <c r="I5543">
        <v>4074.42</v>
      </c>
      <c r="J5543">
        <v>0</v>
      </c>
    </row>
    <row r="5544" spans="1:10" x14ac:dyDescent="0.35">
      <c r="A5544">
        <v>324381</v>
      </c>
      <c r="B5544" t="s">
        <v>20</v>
      </c>
      <c r="C5544">
        <v>2015</v>
      </c>
      <c r="D5544">
        <v>7</v>
      </c>
      <c r="E5544" t="s">
        <v>7</v>
      </c>
      <c r="F5544" t="s">
        <v>7</v>
      </c>
      <c r="G5544" t="s">
        <v>7</v>
      </c>
      <c r="H5544">
        <v>16275.02</v>
      </c>
      <c r="I5544">
        <v>4995.92</v>
      </c>
      <c r="J5544">
        <v>0</v>
      </c>
    </row>
    <row r="5545" spans="1:10" x14ac:dyDescent="0.35">
      <c r="A5545">
        <v>324382</v>
      </c>
      <c r="B5545" t="s">
        <v>20</v>
      </c>
      <c r="C5545">
        <v>2015</v>
      </c>
      <c r="D5545">
        <v>7</v>
      </c>
      <c r="E5545" t="s">
        <v>7</v>
      </c>
      <c r="F5545" t="s">
        <v>7</v>
      </c>
      <c r="G5545" t="s">
        <v>7</v>
      </c>
      <c r="H5545">
        <v>51014.080000000002</v>
      </c>
      <c r="I5545">
        <v>13470.93</v>
      </c>
      <c r="J5545">
        <v>0</v>
      </c>
    </row>
    <row r="5546" spans="1:10" x14ac:dyDescent="0.35">
      <c r="A5546">
        <v>324383</v>
      </c>
      <c r="B5546" t="s">
        <v>20</v>
      </c>
      <c r="C5546">
        <v>2015</v>
      </c>
      <c r="D5546">
        <v>7</v>
      </c>
      <c r="E5546" t="s">
        <v>7</v>
      </c>
      <c r="F5546" t="s">
        <v>7</v>
      </c>
      <c r="G5546" t="s">
        <v>7</v>
      </c>
      <c r="H5546">
        <v>133586.54</v>
      </c>
      <c r="I5546">
        <v>80121.45</v>
      </c>
      <c r="J5546">
        <v>0</v>
      </c>
    </row>
    <row r="5547" spans="1:10" x14ac:dyDescent="0.35">
      <c r="A5547">
        <v>324384</v>
      </c>
      <c r="B5547" t="s">
        <v>20</v>
      </c>
      <c r="C5547">
        <v>2015</v>
      </c>
      <c r="D5547">
        <v>7</v>
      </c>
      <c r="E5547" t="s">
        <v>7</v>
      </c>
      <c r="F5547" t="s">
        <v>7</v>
      </c>
      <c r="G5547" t="s">
        <v>7</v>
      </c>
      <c r="H5547">
        <v>64091.28</v>
      </c>
      <c r="I5547">
        <v>18091.43</v>
      </c>
      <c r="J5547">
        <v>0</v>
      </c>
    </row>
    <row r="5548" spans="1:10" x14ac:dyDescent="0.35">
      <c r="A5548">
        <v>324386</v>
      </c>
      <c r="B5548" t="s">
        <v>20</v>
      </c>
      <c r="C5548">
        <v>2015</v>
      </c>
      <c r="D5548">
        <v>7</v>
      </c>
      <c r="E5548" t="s">
        <v>7</v>
      </c>
      <c r="F5548" t="s">
        <v>7</v>
      </c>
      <c r="G5548" t="s">
        <v>7</v>
      </c>
      <c r="H5548">
        <v>37064.92</v>
      </c>
      <c r="I5548">
        <v>8957.1299999999992</v>
      </c>
      <c r="J5548">
        <v>0</v>
      </c>
    </row>
    <row r="5549" spans="1:10" x14ac:dyDescent="0.35">
      <c r="A5549">
        <v>324388</v>
      </c>
      <c r="B5549" t="s">
        <v>20</v>
      </c>
      <c r="C5549">
        <v>2015</v>
      </c>
      <c r="D5549">
        <v>7</v>
      </c>
      <c r="E5549" t="s">
        <v>7</v>
      </c>
      <c r="F5549" t="s">
        <v>7</v>
      </c>
      <c r="G5549" t="s">
        <v>7</v>
      </c>
      <c r="H5549">
        <v>65867.12</v>
      </c>
      <c r="I5549">
        <v>19695.38</v>
      </c>
      <c r="J5549">
        <v>0</v>
      </c>
    </row>
    <row r="5550" spans="1:10" x14ac:dyDescent="0.35">
      <c r="A5550">
        <v>324389</v>
      </c>
      <c r="B5550" t="s">
        <v>20</v>
      </c>
      <c r="C5550">
        <v>2015</v>
      </c>
      <c r="D5550">
        <v>7</v>
      </c>
      <c r="E5550" t="s">
        <v>7</v>
      </c>
      <c r="F5550" t="s">
        <v>7</v>
      </c>
      <c r="G5550" t="s">
        <v>7</v>
      </c>
      <c r="H5550">
        <v>54778.74</v>
      </c>
      <c r="I5550">
        <v>26012.23</v>
      </c>
      <c r="J5550">
        <v>0</v>
      </c>
    </row>
    <row r="5551" spans="1:10" x14ac:dyDescent="0.35">
      <c r="A5551">
        <v>324390</v>
      </c>
      <c r="B5551" t="s">
        <v>20</v>
      </c>
      <c r="C5551">
        <v>2015</v>
      </c>
      <c r="D5551">
        <v>7</v>
      </c>
      <c r="E5551" t="s">
        <v>7</v>
      </c>
      <c r="F5551" t="s">
        <v>7</v>
      </c>
      <c r="G5551" t="s">
        <v>7</v>
      </c>
      <c r="H5551">
        <v>18205.939999999999</v>
      </c>
      <c r="I5551">
        <v>4664.01</v>
      </c>
      <c r="J5551">
        <v>0</v>
      </c>
    </row>
    <row r="5552" spans="1:10" x14ac:dyDescent="0.35">
      <c r="A5552">
        <v>324391</v>
      </c>
      <c r="B5552" t="s">
        <v>20</v>
      </c>
      <c r="C5552">
        <v>2015</v>
      </c>
      <c r="D5552">
        <v>7</v>
      </c>
      <c r="E5552" t="s">
        <v>7</v>
      </c>
      <c r="F5552" t="s">
        <v>7</v>
      </c>
      <c r="G5552" t="s">
        <v>7</v>
      </c>
      <c r="H5552">
        <v>25828.799999999999</v>
      </c>
      <c r="I5552">
        <v>6270.2</v>
      </c>
      <c r="J5552">
        <v>0</v>
      </c>
    </row>
    <row r="5553" spans="1:10" x14ac:dyDescent="0.35">
      <c r="A5553">
        <v>324392</v>
      </c>
      <c r="B5553" t="s">
        <v>20</v>
      </c>
      <c r="C5553">
        <v>2015</v>
      </c>
      <c r="D5553">
        <v>7</v>
      </c>
      <c r="E5553" t="s">
        <v>7</v>
      </c>
      <c r="F5553" t="s">
        <v>7</v>
      </c>
      <c r="G5553" t="s">
        <v>7</v>
      </c>
      <c r="H5553">
        <v>29808.42</v>
      </c>
      <c r="I5553">
        <v>8424.08</v>
      </c>
      <c r="J5553">
        <v>0</v>
      </c>
    </row>
    <row r="5554" spans="1:10" x14ac:dyDescent="0.35">
      <c r="A5554">
        <v>324393</v>
      </c>
      <c r="B5554" t="s">
        <v>20</v>
      </c>
      <c r="C5554">
        <v>2015</v>
      </c>
      <c r="D5554">
        <v>7</v>
      </c>
      <c r="E5554" t="s">
        <v>7</v>
      </c>
      <c r="F5554" t="s">
        <v>7</v>
      </c>
      <c r="G5554" t="s">
        <v>7</v>
      </c>
      <c r="H5554">
        <v>40519.72</v>
      </c>
      <c r="I5554">
        <v>7186.95</v>
      </c>
      <c r="J5554">
        <v>0</v>
      </c>
    </row>
    <row r="5555" spans="1:10" x14ac:dyDescent="0.35">
      <c r="A5555">
        <v>324394</v>
      </c>
      <c r="B5555" t="s">
        <v>20</v>
      </c>
      <c r="C5555">
        <v>2015</v>
      </c>
      <c r="D5555">
        <v>7</v>
      </c>
      <c r="E5555" t="s">
        <v>7</v>
      </c>
      <c r="F5555" t="s">
        <v>7</v>
      </c>
      <c r="G5555" t="s">
        <v>7</v>
      </c>
      <c r="H5555">
        <v>8620.18</v>
      </c>
      <c r="I5555">
        <v>2278.5</v>
      </c>
      <c r="J5555">
        <v>0</v>
      </c>
    </row>
    <row r="5556" spans="1:10" x14ac:dyDescent="0.35">
      <c r="A5556">
        <v>324396</v>
      </c>
      <c r="B5556" t="s">
        <v>20</v>
      </c>
      <c r="C5556">
        <v>2015</v>
      </c>
      <c r="D5556">
        <v>7</v>
      </c>
      <c r="E5556" t="s">
        <v>7</v>
      </c>
      <c r="F5556" t="s">
        <v>7</v>
      </c>
      <c r="G5556" t="s">
        <v>7</v>
      </c>
      <c r="H5556">
        <v>16020.74</v>
      </c>
      <c r="I5556">
        <v>4095.82</v>
      </c>
      <c r="J5556">
        <v>0</v>
      </c>
    </row>
    <row r="5557" spans="1:10" x14ac:dyDescent="0.35">
      <c r="A5557">
        <v>324399</v>
      </c>
      <c r="B5557" t="s">
        <v>20</v>
      </c>
      <c r="C5557">
        <v>2015</v>
      </c>
      <c r="D5557">
        <v>7</v>
      </c>
      <c r="E5557" t="s">
        <v>7</v>
      </c>
      <c r="F5557" t="s">
        <v>7</v>
      </c>
      <c r="G5557" t="s">
        <v>7</v>
      </c>
      <c r="H5557">
        <v>22967.14</v>
      </c>
      <c r="I5557">
        <v>5779.5</v>
      </c>
      <c r="J5557">
        <v>0</v>
      </c>
    </row>
    <row r="5558" spans="1:10" x14ac:dyDescent="0.35">
      <c r="A5558">
        <v>324406</v>
      </c>
      <c r="B5558" t="s">
        <v>20</v>
      </c>
      <c r="C5558">
        <v>2015</v>
      </c>
      <c r="D5558">
        <v>7</v>
      </c>
      <c r="E5558" t="s">
        <v>7</v>
      </c>
      <c r="F5558" t="s">
        <v>7</v>
      </c>
      <c r="G5558" t="s">
        <v>7</v>
      </c>
      <c r="H5558">
        <v>10188.08</v>
      </c>
      <c r="I5558">
        <v>2706.56</v>
      </c>
      <c r="J5558">
        <v>0</v>
      </c>
    </row>
    <row r="5559" spans="1:10" x14ac:dyDescent="0.35">
      <c r="A5559">
        <v>324407</v>
      </c>
      <c r="B5559" t="s">
        <v>20</v>
      </c>
      <c r="C5559">
        <v>2015</v>
      </c>
      <c r="D5559">
        <v>7</v>
      </c>
      <c r="E5559" t="s">
        <v>7</v>
      </c>
      <c r="F5559" t="s">
        <v>7</v>
      </c>
      <c r="G5559" t="s">
        <v>7</v>
      </c>
      <c r="H5559">
        <v>49674.1</v>
      </c>
      <c r="I5559">
        <v>13620.06</v>
      </c>
      <c r="J5559">
        <v>0</v>
      </c>
    </row>
    <row r="5560" spans="1:10" x14ac:dyDescent="0.35">
      <c r="A5560">
        <v>324408</v>
      </c>
      <c r="B5560" t="s">
        <v>20</v>
      </c>
      <c r="C5560">
        <v>2015</v>
      </c>
      <c r="D5560">
        <v>7</v>
      </c>
      <c r="E5560" t="s">
        <v>7</v>
      </c>
      <c r="F5560" t="s">
        <v>7</v>
      </c>
      <c r="G5560" t="s">
        <v>7</v>
      </c>
      <c r="H5560">
        <v>11766.08</v>
      </c>
      <c r="I5560">
        <v>3332.11</v>
      </c>
      <c r="J5560">
        <v>0</v>
      </c>
    </row>
    <row r="5561" spans="1:10" x14ac:dyDescent="0.35">
      <c r="A5561">
        <v>324409</v>
      </c>
      <c r="B5561" t="s">
        <v>20</v>
      </c>
      <c r="C5561">
        <v>2015</v>
      </c>
      <c r="D5561">
        <v>7</v>
      </c>
      <c r="E5561" t="s">
        <v>7</v>
      </c>
      <c r="F5561" t="s">
        <v>7</v>
      </c>
      <c r="G5561" t="s">
        <v>7</v>
      </c>
      <c r="H5561">
        <v>21444.639999999999</v>
      </c>
      <c r="I5561">
        <v>6285.32</v>
      </c>
      <c r="J5561">
        <v>0</v>
      </c>
    </row>
    <row r="5562" spans="1:10" x14ac:dyDescent="0.35">
      <c r="A5562">
        <v>324410</v>
      </c>
      <c r="B5562" t="s">
        <v>20</v>
      </c>
      <c r="C5562">
        <v>2015</v>
      </c>
      <c r="D5562">
        <v>7</v>
      </c>
      <c r="E5562" t="s">
        <v>7</v>
      </c>
      <c r="F5562" t="s">
        <v>7</v>
      </c>
      <c r="G5562" t="s">
        <v>7</v>
      </c>
      <c r="H5562">
        <v>100911.34</v>
      </c>
      <c r="I5562">
        <v>47364.12</v>
      </c>
      <c r="J5562">
        <v>0</v>
      </c>
    </row>
    <row r="5563" spans="1:10" x14ac:dyDescent="0.35">
      <c r="A5563">
        <v>324411</v>
      </c>
      <c r="B5563" t="s">
        <v>20</v>
      </c>
      <c r="C5563">
        <v>2015</v>
      </c>
      <c r="D5563">
        <v>7</v>
      </c>
      <c r="E5563" t="s">
        <v>7</v>
      </c>
      <c r="F5563" t="s">
        <v>7</v>
      </c>
      <c r="G5563" t="s">
        <v>7</v>
      </c>
      <c r="H5563">
        <v>15193.44</v>
      </c>
      <c r="I5563">
        <v>3289.16</v>
      </c>
      <c r="J5563">
        <v>0</v>
      </c>
    </row>
    <row r="5564" spans="1:10" x14ac:dyDescent="0.35">
      <c r="A5564">
        <v>324412</v>
      </c>
      <c r="B5564" t="s">
        <v>20</v>
      </c>
      <c r="C5564">
        <v>2015</v>
      </c>
      <c r="D5564">
        <v>7</v>
      </c>
      <c r="E5564" t="s">
        <v>7</v>
      </c>
      <c r="F5564" t="s">
        <v>7</v>
      </c>
      <c r="G5564" t="s">
        <v>7</v>
      </c>
      <c r="H5564">
        <v>39828.18</v>
      </c>
      <c r="I5564">
        <v>11289.85</v>
      </c>
      <c r="J5564">
        <v>0</v>
      </c>
    </row>
    <row r="5565" spans="1:10" x14ac:dyDescent="0.35">
      <c r="A5565">
        <v>324414</v>
      </c>
      <c r="B5565" t="s">
        <v>20</v>
      </c>
      <c r="C5565">
        <v>2015</v>
      </c>
      <c r="D5565">
        <v>7</v>
      </c>
      <c r="E5565" t="s">
        <v>7</v>
      </c>
      <c r="F5565" t="s">
        <v>7</v>
      </c>
      <c r="G5565" t="s">
        <v>7</v>
      </c>
      <c r="H5565">
        <v>14210.4</v>
      </c>
      <c r="I5565">
        <v>2739.5</v>
      </c>
      <c r="J5565">
        <v>0</v>
      </c>
    </row>
    <row r="5566" spans="1:10" x14ac:dyDescent="0.35">
      <c r="A5566">
        <v>324415</v>
      </c>
      <c r="B5566" t="s">
        <v>20</v>
      </c>
      <c r="C5566">
        <v>2015</v>
      </c>
      <c r="D5566">
        <v>7</v>
      </c>
      <c r="E5566" t="s">
        <v>7</v>
      </c>
      <c r="F5566" t="s">
        <v>7</v>
      </c>
      <c r="G5566" t="s">
        <v>7</v>
      </c>
      <c r="H5566">
        <v>25662.48</v>
      </c>
      <c r="I5566">
        <v>3184.06</v>
      </c>
      <c r="J5566">
        <v>0</v>
      </c>
    </row>
    <row r="5567" spans="1:10" x14ac:dyDescent="0.35">
      <c r="A5567">
        <v>324416</v>
      </c>
      <c r="B5567" t="s">
        <v>20</v>
      </c>
      <c r="C5567">
        <v>2015</v>
      </c>
      <c r="D5567">
        <v>7</v>
      </c>
      <c r="E5567" t="s">
        <v>7</v>
      </c>
      <c r="F5567" t="s">
        <v>7</v>
      </c>
      <c r="G5567" t="s">
        <v>7</v>
      </c>
      <c r="H5567">
        <v>9319.7000000000007</v>
      </c>
      <c r="I5567">
        <v>2464.34</v>
      </c>
      <c r="J5567">
        <v>0</v>
      </c>
    </row>
    <row r="5568" spans="1:10" x14ac:dyDescent="0.35">
      <c r="A5568">
        <v>324417</v>
      </c>
      <c r="B5568" t="s">
        <v>20</v>
      </c>
      <c r="C5568">
        <v>2015</v>
      </c>
      <c r="D5568">
        <v>7</v>
      </c>
      <c r="E5568" t="s">
        <v>7</v>
      </c>
      <c r="F5568" t="s">
        <v>7</v>
      </c>
      <c r="G5568" t="s">
        <v>7</v>
      </c>
      <c r="H5568">
        <v>150987.42000000001</v>
      </c>
      <c r="I5568">
        <v>82038.759999999995</v>
      </c>
      <c r="J5568">
        <v>0</v>
      </c>
    </row>
    <row r="5569" spans="1:10" x14ac:dyDescent="0.35">
      <c r="A5569">
        <v>324418</v>
      </c>
      <c r="B5569" t="s">
        <v>20</v>
      </c>
      <c r="C5569">
        <v>2015</v>
      </c>
      <c r="D5569">
        <v>7</v>
      </c>
      <c r="E5569" t="s">
        <v>7</v>
      </c>
      <c r="F5569" t="s">
        <v>7</v>
      </c>
      <c r="G5569" t="s">
        <v>7</v>
      </c>
      <c r="H5569">
        <v>141313.94</v>
      </c>
      <c r="I5569">
        <v>41661.730000000003</v>
      </c>
      <c r="J5569">
        <v>0</v>
      </c>
    </row>
    <row r="5570" spans="1:10" x14ac:dyDescent="0.35">
      <c r="A5570">
        <v>324420</v>
      </c>
      <c r="B5570" t="s">
        <v>20</v>
      </c>
      <c r="C5570">
        <v>2015</v>
      </c>
      <c r="D5570">
        <v>7</v>
      </c>
      <c r="E5570" t="s">
        <v>7</v>
      </c>
      <c r="F5570" t="s">
        <v>7</v>
      </c>
      <c r="G5570" t="s">
        <v>7</v>
      </c>
      <c r="H5570">
        <v>24955.919999999998</v>
      </c>
      <c r="I5570">
        <v>7151.92</v>
      </c>
      <c r="J5570">
        <v>0</v>
      </c>
    </row>
    <row r="5571" spans="1:10" x14ac:dyDescent="0.35">
      <c r="A5571">
        <v>324421</v>
      </c>
      <c r="B5571" t="s">
        <v>20</v>
      </c>
      <c r="C5571">
        <v>2015</v>
      </c>
      <c r="D5571">
        <v>7</v>
      </c>
      <c r="E5571" t="s">
        <v>7</v>
      </c>
      <c r="F5571" t="s">
        <v>7</v>
      </c>
      <c r="G5571" t="s">
        <v>7</v>
      </c>
      <c r="H5571">
        <v>132678.49</v>
      </c>
      <c r="I5571">
        <v>76386.070000000007</v>
      </c>
      <c r="J5571">
        <v>0</v>
      </c>
    </row>
    <row r="5572" spans="1:10" x14ac:dyDescent="0.35">
      <c r="A5572">
        <v>324423</v>
      </c>
      <c r="B5572" t="s">
        <v>20</v>
      </c>
      <c r="C5572">
        <v>2015</v>
      </c>
      <c r="D5572">
        <v>7</v>
      </c>
      <c r="E5572" t="s">
        <v>7</v>
      </c>
      <c r="F5572" t="s">
        <v>7</v>
      </c>
      <c r="G5572" t="s">
        <v>7</v>
      </c>
      <c r="H5572">
        <v>30413.16</v>
      </c>
      <c r="I5572">
        <v>9455.6</v>
      </c>
      <c r="J5572">
        <v>0</v>
      </c>
    </row>
    <row r="5573" spans="1:10" x14ac:dyDescent="0.35">
      <c r="A5573">
        <v>324425</v>
      </c>
      <c r="B5573" t="s">
        <v>20</v>
      </c>
      <c r="C5573">
        <v>2015</v>
      </c>
      <c r="D5573">
        <v>7</v>
      </c>
      <c r="E5573" t="s">
        <v>7</v>
      </c>
      <c r="F5573" t="s">
        <v>7</v>
      </c>
      <c r="G5573" t="s">
        <v>7</v>
      </c>
      <c r="H5573">
        <v>34157.78</v>
      </c>
      <c r="I5573">
        <v>9922</v>
      </c>
      <c r="J5573">
        <v>0</v>
      </c>
    </row>
    <row r="5574" spans="1:10" x14ac:dyDescent="0.35">
      <c r="A5574">
        <v>324426</v>
      </c>
      <c r="B5574" t="s">
        <v>20</v>
      </c>
      <c r="C5574">
        <v>2015</v>
      </c>
      <c r="D5574">
        <v>7</v>
      </c>
      <c r="E5574" t="s">
        <v>7</v>
      </c>
      <c r="F5574" t="s">
        <v>7</v>
      </c>
      <c r="G5574" t="s">
        <v>7</v>
      </c>
      <c r="H5574">
        <v>68403.12</v>
      </c>
      <c r="I5574">
        <v>36873.379999999997</v>
      </c>
      <c r="J5574">
        <v>0</v>
      </c>
    </row>
    <row r="5575" spans="1:10" x14ac:dyDescent="0.35">
      <c r="A5575">
        <v>324428</v>
      </c>
      <c r="B5575" t="s">
        <v>20</v>
      </c>
      <c r="C5575">
        <v>2015</v>
      </c>
      <c r="D5575">
        <v>7</v>
      </c>
      <c r="E5575" t="s">
        <v>7</v>
      </c>
      <c r="F5575" t="s">
        <v>7</v>
      </c>
      <c r="G5575" t="s">
        <v>7</v>
      </c>
      <c r="H5575">
        <v>7926.92</v>
      </c>
      <c r="I5575">
        <v>2178.66</v>
      </c>
      <c r="J5575">
        <v>0</v>
      </c>
    </row>
    <row r="5576" spans="1:10" x14ac:dyDescent="0.35">
      <c r="A5576">
        <v>324430</v>
      </c>
      <c r="B5576" t="s">
        <v>20</v>
      </c>
      <c r="C5576">
        <v>2015</v>
      </c>
      <c r="D5576">
        <v>7</v>
      </c>
      <c r="E5576" t="s">
        <v>7</v>
      </c>
      <c r="F5576" t="s">
        <v>7</v>
      </c>
      <c r="G5576" t="s">
        <v>7</v>
      </c>
      <c r="H5576">
        <v>30852.7</v>
      </c>
      <c r="I5576">
        <v>9248.7099999999991</v>
      </c>
      <c r="J5576">
        <v>0</v>
      </c>
    </row>
    <row r="5577" spans="1:10" x14ac:dyDescent="0.35">
      <c r="A5577">
        <v>324431</v>
      </c>
      <c r="B5577" t="s">
        <v>20</v>
      </c>
      <c r="C5577">
        <v>2015</v>
      </c>
      <c r="D5577">
        <v>7</v>
      </c>
      <c r="E5577" t="s">
        <v>7</v>
      </c>
      <c r="F5577" t="s">
        <v>7</v>
      </c>
      <c r="G5577" t="s">
        <v>7</v>
      </c>
      <c r="H5577">
        <v>36185.839999999997</v>
      </c>
      <c r="I5577">
        <v>11686.49</v>
      </c>
      <c r="J5577">
        <v>0</v>
      </c>
    </row>
    <row r="5578" spans="1:10" x14ac:dyDescent="0.35">
      <c r="A5578">
        <v>324432</v>
      </c>
      <c r="B5578" t="s">
        <v>20</v>
      </c>
      <c r="C5578">
        <v>2015</v>
      </c>
      <c r="D5578">
        <v>7</v>
      </c>
      <c r="E5578" t="s">
        <v>7</v>
      </c>
      <c r="F5578" t="s">
        <v>7</v>
      </c>
      <c r="G5578" t="s">
        <v>7</v>
      </c>
      <c r="H5578">
        <v>20328.14</v>
      </c>
      <c r="I5578">
        <v>5874.72</v>
      </c>
      <c r="J5578">
        <v>0</v>
      </c>
    </row>
    <row r="5579" spans="1:10" x14ac:dyDescent="0.35">
      <c r="A5579">
        <v>324433</v>
      </c>
      <c r="B5579" t="s">
        <v>20</v>
      </c>
      <c r="C5579">
        <v>2015</v>
      </c>
      <c r="D5579">
        <v>7</v>
      </c>
      <c r="E5579" t="s">
        <v>7</v>
      </c>
      <c r="F5579" t="s">
        <v>7</v>
      </c>
      <c r="G5579" t="s">
        <v>7</v>
      </c>
      <c r="H5579">
        <v>15304.32</v>
      </c>
      <c r="I5579">
        <v>4346.22</v>
      </c>
      <c r="J5579">
        <v>0</v>
      </c>
    </row>
    <row r="5580" spans="1:10" x14ac:dyDescent="0.35">
      <c r="A5580">
        <v>324434</v>
      </c>
      <c r="B5580" t="s">
        <v>20</v>
      </c>
      <c r="C5580">
        <v>2015</v>
      </c>
      <c r="D5580">
        <v>7</v>
      </c>
      <c r="E5580" t="s">
        <v>7</v>
      </c>
      <c r="F5580" t="s">
        <v>7</v>
      </c>
      <c r="G5580" t="s">
        <v>7</v>
      </c>
      <c r="H5580">
        <v>34297.4</v>
      </c>
      <c r="I5580">
        <v>10110.6</v>
      </c>
      <c r="J5580">
        <v>0</v>
      </c>
    </row>
    <row r="5581" spans="1:10" x14ac:dyDescent="0.35">
      <c r="A5581">
        <v>324435</v>
      </c>
      <c r="B5581" t="s">
        <v>20</v>
      </c>
      <c r="C5581">
        <v>2015</v>
      </c>
      <c r="D5581">
        <v>7</v>
      </c>
      <c r="E5581" t="s">
        <v>7</v>
      </c>
      <c r="F5581" t="s">
        <v>7</v>
      </c>
      <c r="G5581" t="s">
        <v>7</v>
      </c>
      <c r="H5581">
        <v>245540.8</v>
      </c>
      <c r="I5581">
        <v>132957.96</v>
      </c>
      <c r="J5581">
        <v>0</v>
      </c>
    </row>
    <row r="5582" spans="1:10" x14ac:dyDescent="0.35">
      <c r="A5582">
        <v>324436</v>
      </c>
      <c r="B5582" t="s">
        <v>20</v>
      </c>
      <c r="C5582">
        <v>2015</v>
      </c>
      <c r="D5582">
        <v>7</v>
      </c>
      <c r="E5582" t="s">
        <v>7</v>
      </c>
      <c r="F5582" t="s">
        <v>7</v>
      </c>
      <c r="G5582" t="s">
        <v>7</v>
      </c>
      <c r="H5582">
        <v>30431.52</v>
      </c>
      <c r="I5582">
        <v>7379.66</v>
      </c>
      <c r="J5582">
        <v>0</v>
      </c>
    </row>
    <row r="5583" spans="1:10" x14ac:dyDescent="0.35">
      <c r="A5583">
        <v>324437</v>
      </c>
      <c r="B5583" t="s">
        <v>20</v>
      </c>
      <c r="C5583">
        <v>2015</v>
      </c>
      <c r="D5583">
        <v>7</v>
      </c>
      <c r="E5583" t="s">
        <v>7</v>
      </c>
      <c r="F5583" t="s">
        <v>7</v>
      </c>
      <c r="G5583" t="s">
        <v>7</v>
      </c>
      <c r="H5583">
        <v>34568.26</v>
      </c>
      <c r="I5583">
        <v>10363.780000000001</v>
      </c>
      <c r="J5583">
        <v>0</v>
      </c>
    </row>
    <row r="5584" spans="1:10" x14ac:dyDescent="0.35">
      <c r="A5584">
        <v>324438</v>
      </c>
      <c r="B5584" t="s">
        <v>20</v>
      </c>
      <c r="C5584">
        <v>2015</v>
      </c>
      <c r="D5584">
        <v>7</v>
      </c>
      <c r="E5584" t="s">
        <v>7</v>
      </c>
      <c r="F5584" t="s">
        <v>7</v>
      </c>
      <c r="G5584" t="s">
        <v>7</v>
      </c>
      <c r="H5584">
        <v>118937.66</v>
      </c>
      <c r="I5584">
        <v>63873.71</v>
      </c>
      <c r="J5584">
        <v>0</v>
      </c>
    </row>
    <row r="5585" spans="1:10" x14ac:dyDescent="0.35">
      <c r="A5585">
        <v>324439</v>
      </c>
      <c r="B5585" t="s">
        <v>20</v>
      </c>
      <c r="C5585">
        <v>2015</v>
      </c>
      <c r="D5585">
        <v>7</v>
      </c>
      <c r="E5585" t="s">
        <v>7</v>
      </c>
      <c r="F5585" t="s">
        <v>7</v>
      </c>
      <c r="G5585" t="s">
        <v>7</v>
      </c>
      <c r="H5585">
        <v>87724.56</v>
      </c>
      <c r="I5585">
        <v>49155.3</v>
      </c>
      <c r="J5585">
        <v>0</v>
      </c>
    </row>
    <row r="5586" spans="1:10" x14ac:dyDescent="0.35">
      <c r="A5586">
        <v>324440</v>
      </c>
      <c r="B5586" t="s">
        <v>20</v>
      </c>
      <c r="C5586">
        <v>2015</v>
      </c>
      <c r="D5586">
        <v>7</v>
      </c>
      <c r="E5586" t="s">
        <v>7</v>
      </c>
      <c r="F5586" t="s">
        <v>7</v>
      </c>
      <c r="G5586" t="s">
        <v>7</v>
      </c>
      <c r="H5586">
        <v>45055.08</v>
      </c>
      <c r="I5586">
        <v>13907.87</v>
      </c>
      <c r="J5586">
        <v>0</v>
      </c>
    </row>
    <row r="5587" spans="1:10" x14ac:dyDescent="0.35">
      <c r="A5587">
        <v>324442</v>
      </c>
      <c r="B5587" t="s">
        <v>20</v>
      </c>
      <c r="C5587">
        <v>2015</v>
      </c>
      <c r="D5587">
        <v>7</v>
      </c>
      <c r="E5587" t="s">
        <v>7</v>
      </c>
      <c r="F5587" t="s">
        <v>7</v>
      </c>
      <c r="G5587" t="s">
        <v>7</v>
      </c>
      <c r="H5587">
        <v>17814.16</v>
      </c>
      <c r="I5587">
        <v>4731.46</v>
      </c>
      <c r="J5587">
        <v>0</v>
      </c>
    </row>
    <row r="5588" spans="1:10" x14ac:dyDescent="0.35">
      <c r="A5588">
        <v>324443</v>
      </c>
      <c r="B5588" t="s">
        <v>20</v>
      </c>
      <c r="C5588">
        <v>2015</v>
      </c>
      <c r="D5588">
        <v>7</v>
      </c>
      <c r="E5588" t="s">
        <v>7</v>
      </c>
      <c r="F5588" t="s">
        <v>7</v>
      </c>
      <c r="G5588" t="s">
        <v>7</v>
      </c>
      <c r="H5588">
        <v>80714.899999999994</v>
      </c>
      <c r="I5588">
        <v>34314.17</v>
      </c>
      <c r="J5588">
        <v>0</v>
      </c>
    </row>
    <row r="5589" spans="1:10" x14ac:dyDescent="0.35">
      <c r="A5589">
        <v>324444</v>
      </c>
      <c r="B5589" t="s">
        <v>20</v>
      </c>
      <c r="C5589">
        <v>2015</v>
      </c>
      <c r="D5589">
        <v>7</v>
      </c>
      <c r="E5589" t="s">
        <v>7</v>
      </c>
      <c r="F5589" t="s">
        <v>7</v>
      </c>
      <c r="G5589" t="s">
        <v>7</v>
      </c>
      <c r="H5589">
        <v>64061</v>
      </c>
      <c r="I5589">
        <v>20137.47</v>
      </c>
      <c r="J5589">
        <v>0</v>
      </c>
    </row>
    <row r="5590" spans="1:10" x14ac:dyDescent="0.35">
      <c r="A5590">
        <v>324445</v>
      </c>
      <c r="B5590" t="s">
        <v>20</v>
      </c>
      <c r="C5590">
        <v>2015</v>
      </c>
      <c r="D5590">
        <v>7</v>
      </c>
      <c r="E5590" t="s">
        <v>7</v>
      </c>
      <c r="F5590" t="s">
        <v>7</v>
      </c>
      <c r="G5590" t="s">
        <v>7</v>
      </c>
      <c r="H5590">
        <v>23893.7</v>
      </c>
      <c r="I5590">
        <v>7094.34</v>
      </c>
      <c r="J5590">
        <v>0</v>
      </c>
    </row>
    <row r="5591" spans="1:10" x14ac:dyDescent="0.35">
      <c r="A5591">
        <v>324446</v>
      </c>
      <c r="B5591" t="s">
        <v>20</v>
      </c>
      <c r="C5591">
        <v>2015</v>
      </c>
      <c r="D5591">
        <v>7</v>
      </c>
      <c r="E5591" t="s">
        <v>7</v>
      </c>
      <c r="F5591" t="s">
        <v>7</v>
      </c>
      <c r="G5591" t="s">
        <v>7</v>
      </c>
      <c r="H5591">
        <v>39268.86</v>
      </c>
      <c r="I5591">
        <v>19274.07</v>
      </c>
      <c r="J5591">
        <v>0</v>
      </c>
    </row>
    <row r="5592" spans="1:10" x14ac:dyDescent="0.35">
      <c r="A5592">
        <v>324452</v>
      </c>
      <c r="B5592" t="s">
        <v>20</v>
      </c>
      <c r="C5592">
        <v>2015</v>
      </c>
      <c r="D5592">
        <v>7</v>
      </c>
      <c r="E5592" t="s">
        <v>7</v>
      </c>
      <c r="F5592" t="s">
        <v>7</v>
      </c>
      <c r="G5592" t="s">
        <v>7</v>
      </c>
      <c r="H5592">
        <v>100083.88</v>
      </c>
      <c r="I5592">
        <v>48778.87</v>
      </c>
      <c r="J5592">
        <v>0</v>
      </c>
    </row>
    <row r="5593" spans="1:10" x14ac:dyDescent="0.35">
      <c r="A5593">
        <v>324453</v>
      </c>
      <c r="B5593" t="s">
        <v>20</v>
      </c>
      <c r="C5593">
        <v>2015</v>
      </c>
      <c r="D5593">
        <v>7</v>
      </c>
      <c r="E5593" t="s">
        <v>7</v>
      </c>
      <c r="F5593" t="s">
        <v>7</v>
      </c>
      <c r="G5593" t="s">
        <v>7</v>
      </c>
      <c r="H5593">
        <v>28606.880000000001</v>
      </c>
      <c r="I5593">
        <v>8454.33</v>
      </c>
      <c r="J5593">
        <v>0</v>
      </c>
    </row>
    <row r="5594" spans="1:10" x14ac:dyDescent="0.35">
      <c r="A5594">
        <v>324455</v>
      </c>
      <c r="B5594" t="s">
        <v>20</v>
      </c>
      <c r="C5594">
        <v>2015</v>
      </c>
      <c r="D5594">
        <v>7</v>
      </c>
      <c r="E5594" t="s">
        <v>7</v>
      </c>
      <c r="F5594" t="s">
        <v>7</v>
      </c>
      <c r="G5594" t="s">
        <v>7</v>
      </c>
      <c r="H5594">
        <v>16161.84</v>
      </c>
      <c r="I5594">
        <v>5146.18</v>
      </c>
      <c r="J5594">
        <v>0</v>
      </c>
    </row>
    <row r="5595" spans="1:10" x14ac:dyDescent="0.35">
      <c r="A5595">
        <v>324458</v>
      </c>
      <c r="B5595" t="s">
        <v>20</v>
      </c>
      <c r="C5595">
        <v>2015</v>
      </c>
      <c r="D5595">
        <v>7</v>
      </c>
      <c r="E5595" t="s">
        <v>7</v>
      </c>
      <c r="F5595" t="s">
        <v>7</v>
      </c>
      <c r="G5595" t="s">
        <v>7</v>
      </c>
      <c r="H5595">
        <v>65373.26</v>
      </c>
      <c r="I5595">
        <v>19754.57</v>
      </c>
      <c r="J5595">
        <v>0</v>
      </c>
    </row>
    <row r="5596" spans="1:10" x14ac:dyDescent="0.35">
      <c r="A5596">
        <v>324461</v>
      </c>
      <c r="B5596" t="s">
        <v>20</v>
      </c>
      <c r="C5596">
        <v>2015</v>
      </c>
      <c r="D5596">
        <v>7</v>
      </c>
      <c r="E5596" t="s">
        <v>7</v>
      </c>
      <c r="F5596" t="s">
        <v>7</v>
      </c>
      <c r="G5596" t="s">
        <v>7</v>
      </c>
      <c r="H5596">
        <v>51853.120000000003</v>
      </c>
      <c r="I5596">
        <v>34748.120000000003</v>
      </c>
      <c r="J5596">
        <v>0</v>
      </c>
    </row>
    <row r="5597" spans="1:10" x14ac:dyDescent="0.35">
      <c r="A5597">
        <v>324462</v>
      </c>
      <c r="B5597" t="s">
        <v>20</v>
      </c>
      <c r="C5597">
        <v>2015</v>
      </c>
      <c r="D5597">
        <v>7</v>
      </c>
      <c r="E5597" t="s">
        <v>7</v>
      </c>
      <c r="F5597" t="s">
        <v>7</v>
      </c>
      <c r="G5597" t="s">
        <v>7</v>
      </c>
      <c r="H5597">
        <v>56476.160000000003</v>
      </c>
      <c r="I5597">
        <v>17978.68</v>
      </c>
      <c r="J5597">
        <v>0</v>
      </c>
    </row>
    <row r="5598" spans="1:10" x14ac:dyDescent="0.35">
      <c r="A5598">
        <v>324463</v>
      </c>
      <c r="B5598" t="s">
        <v>20</v>
      </c>
      <c r="C5598">
        <v>2015</v>
      </c>
      <c r="D5598">
        <v>7</v>
      </c>
      <c r="E5598" t="s">
        <v>7</v>
      </c>
      <c r="F5598" t="s">
        <v>7</v>
      </c>
      <c r="G5598" t="s">
        <v>7</v>
      </c>
      <c r="H5598">
        <v>16700.919999999998</v>
      </c>
      <c r="I5598">
        <v>2548.52</v>
      </c>
      <c r="J5598">
        <v>0</v>
      </c>
    </row>
    <row r="5599" spans="1:10" x14ac:dyDescent="0.35">
      <c r="A5599">
        <v>324465</v>
      </c>
      <c r="B5599" t="s">
        <v>20</v>
      </c>
      <c r="C5599">
        <v>2015</v>
      </c>
      <c r="D5599">
        <v>7</v>
      </c>
      <c r="E5599" t="s">
        <v>7</v>
      </c>
      <c r="F5599" t="s">
        <v>7</v>
      </c>
      <c r="G5599" t="s">
        <v>7</v>
      </c>
      <c r="H5599">
        <v>22164.14</v>
      </c>
      <c r="I5599">
        <v>6673.36</v>
      </c>
      <c r="J5599">
        <v>0</v>
      </c>
    </row>
    <row r="5600" spans="1:10" x14ac:dyDescent="0.35">
      <c r="A5600">
        <v>324468</v>
      </c>
      <c r="B5600" t="s">
        <v>20</v>
      </c>
      <c r="C5600">
        <v>2015</v>
      </c>
      <c r="D5600">
        <v>7</v>
      </c>
      <c r="E5600" t="s">
        <v>7</v>
      </c>
      <c r="F5600" t="s">
        <v>7</v>
      </c>
      <c r="G5600" t="s">
        <v>7</v>
      </c>
      <c r="H5600">
        <v>31535.24</v>
      </c>
      <c r="I5600">
        <v>7242.06</v>
      </c>
      <c r="J5600">
        <v>0</v>
      </c>
    </row>
    <row r="5601" spans="1:10" x14ac:dyDescent="0.35">
      <c r="A5601">
        <v>324469</v>
      </c>
      <c r="B5601" t="s">
        <v>20</v>
      </c>
      <c r="C5601">
        <v>2015</v>
      </c>
      <c r="D5601">
        <v>7</v>
      </c>
      <c r="E5601" t="s">
        <v>7</v>
      </c>
      <c r="F5601" t="s">
        <v>7</v>
      </c>
      <c r="G5601" t="s">
        <v>7</v>
      </c>
      <c r="H5601">
        <v>58657.3</v>
      </c>
      <c r="I5601">
        <v>35277.199999999997</v>
      </c>
      <c r="J5601">
        <v>0</v>
      </c>
    </row>
    <row r="5602" spans="1:10" x14ac:dyDescent="0.35">
      <c r="A5602">
        <v>324470</v>
      </c>
      <c r="B5602" t="s">
        <v>20</v>
      </c>
      <c r="C5602">
        <v>2015</v>
      </c>
      <c r="D5602">
        <v>7</v>
      </c>
      <c r="E5602" t="s">
        <v>7</v>
      </c>
      <c r="F5602" t="s">
        <v>7</v>
      </c>
      <c r="G5602" t="s">
        <v>7</v>
      </c>
      <c r="H5602">
        <v>10422.9</v>
      </c>
      <c r="I5602">
        <v>2383.0300000000002</v>
      </c>
      <c r="J5602">
        <v>0</v>
      </c>
    </row>
    <row r="5603" spans="1:10" x14ac:dyDescent="0.35">
      <c r="A5603">
        <v>324471</v>
      </c>
      <c r="B5603" t="s">
        <v>20</v>
      </c>
      <c r="C5603">
        <v>2015</v>
      </c>
      <c r="D5603">
        <v>7</v>
      </c>
      <c r="E5603" t="s">
        <v>7</v>
      </c>
      <c r="F5603" t="s">
        <v>7</v>
      </c>
      <c r="G5603" t="s">
        <v>7</v>
      </c>
      <c r="H5603">
        <v>12312.8</v>
      </c>
      <c r="I5603">
        <v>3423.73</v>
      </c>
      <c r="J5603">
        <v>0</v>
      </c>
    </row>
    <row r="5604" spans="1:10" x14ac:dyDescent="0.35">
      <c r="A5604">
        <v>324473</v>
      </c>
      <c r="B5604" t="s">
        <v>20</v>
      </c>
      <c r="C5604">
        <v>2015</v>
      </c>
      <c r="D5604">
        <v>7</v>
      </c>
      <c r="E5604" t="s">
        <v>7</v>
      </c>
      <c r="F5604" t="s">
        <v>7</v>
      </c>
      <c r="G5604" t="s">
        <v>7</v>
      </c>
      <c r="H5604">
        <v>18739.64</v>
      </c>
      <c r="I5604">
        <v>4645.38</v>
      </c>
      <c r="J5604">
        <v>0</v>
      </c>
    </row>
    <row r="5605" spans="1:10" x14ac:dyDescent="0.35">
      <c r="A5605">
        <v>324474</v>
      </c>
      <c r="B5605" t="s">
        <v>20</v>
      </c>
      <c r="C5605">
        <v>2015</v>
      </c>
      <c r="D5605">
        <v>7</v>
      </c>
      <c r="E5605" t="s">
        <v>7</v>
      </c>
      <c r="F5605" t="s">
        <v>7</v>
      </c>
      <c r="G5605" t="s">
        <v>7</v>
      </c>
      <c r="H5605">
        <v>79776.179999999993</v>
      </c>
      <c r="I5605">
        <v>24962.959999999999</v>
      </c>
      <c r="J5605">
        <v>0</v>
      </c>
    </row>
    <row r="5606" spans="1:10" x14ac:dyDescent="0.35">
      <c r="A5606">
        <v>324476</v>
      </c>
      <c r="B5606" t="s">
        <v>20</v>
      </c>
      <c r="C5606">
        <v>2015</v>
      </c>
      <c r="D5606">
        <v>7</v>
      </c>
      <c r="E5606" t="s">
        <v>7</v>
      </c>
      <c r="F5606" t="s">
        <v>7</v>
      </c>
      <c r="G5606" t="s">
        <v>7</v>
      </c>
      <c r="H5606">
        <v>43491.5</v>
      </c>
      <c r="I5606">
        <v>12041.8</v>
      </c>
      <c r="J5606">
        <v>0</v>
      </c>
    </row>
    <row r="5607" spans="1:10" x14ac:dyDescent="0.35">
      <c r="A5607">
        <v>324477</v>
      </c>
      <c r="B5607" t="s">
        <v>20</v>
      </c>
      <c r="C5607">
        <v>2015</v>
      </c>
      <c r="D5607">
        <v>7</v>
      </c>
      <c r="E5607" t="s">
        <v>7</v>
      </c>
      <c r="F5607" t="s">
        <v>7</v>
      </c>
      <c r="G5607" t="s">
        <v>7</v>
      </c>
      <c r="H5607">
        <v>60386.46</v>
      </c>
      <c r="I5607">
        <v>26254.78</v>
      </c>
      <c r="J5607">
        <v>0</v>
      </c>
    </row>
    <row r="5608" spans="1:10" x14ac:dyDescent="0.35">
      <c r="A5608">
        <v>324478</v>
      </c>
      <c r="B5608" t="s">
        <v>20</v>
      </c>
      <c r="C5608">
        <v>2015</v>
      </c>
      <c r="D5608">
        <v>7</v>
      </c>
      <c r="E5608" t="s">
        <v>7</v>
      </c>
      <c r="F5608" t="s">
        <v>7</v>
      </c>
      <c r="G5608" t="s">
        <v>7</v>
      </c>
      <c r="H5608">
        <v>20320.400000000001</v>
      </c>
      <c r="I5608">
        <v>6319.09</v>
      </c>
      <c r="J5608">
        <v>0</v>
      </c>
    </row>
    <row r="5609" spans="1:10" x14ac:dyDescent="0.35">
      <c r="A5609">
        <v>324479</v>
      </c>
      <c r="B5609" t="s">
        <v>20</v>
      </c>
      <c r="C5609">
        <v>2015</v>
      </c>
      <c r="D5609">
        <v>7</v>
      </c>
      <c r="E5609" t="s">
        <v>7</v>
      </c>
      <c r="F5609" t="s">
        <v>7</v>
      </c>
      <c r="G5609" t="s">
        <v>7</v>
      </c>
      <c r="H5609">
        <v>11345.14</v>
      </c>
      <c r="I5609">
        <v>2392.31</v>
      </c>
      <c r="J5609">
        <v>0</v>
      </c>
    </row>
    <row r="5610" spans="1:10" x14ac:dyDescent="0.35">
      <c r="A5610">
        <v>324480</v>
      </c>
      <c r="B5610" t="s">
        <v>20</v>
      </c>
      <c r="C5610">
        <v>2015</v>
      </c>
      <c r="D5610">
        <v>7</v>
      </c>
      <c r="E5610" t="s">
        <v>7</v>
      </c>
      <c r="F5610" t="s">
        <v>7</v>
      </c>
      <c r="G5610" t="s">
        <v>7</v>
      </c>
      <c r="H5610">
        <v>20220.16</v>
      </c>
      <c r="I5610">
        <v>6037.18</v>
      </c>
      <c r="J5610">
        <v>0</v>
      </c>
    </row>
    <row r="5611" spans="1:10" x14ac:dyDescent="0.35">
      <c r="A5611">
        <v>324482</v>
      </c>
      <c r="B5611" t="s">
        <v>20</v>
      </c>
      <c r="C5611">
        <v>2015</v>
      </c>
      <c r="D5611">
        <v>7</v>
      </c>
      <c r="E5611" t="s">
        <v>7</v>
      </c>
      <c r="F5611" t="s">
        <v>7</v>
      </c>
      <c r="G5611" t="s">
        <v>7</v>
      </c>
      <c r="H5611">
        <v>29862.94</v>
      </c>
      <c r="I5611">
        <v>8923.84</v>
      </c>
      <c r="J5611">
        <v>0</v>
      </c>
    </row>
    <row r="5612" spans="1:10" x14ac:dyDescent="0.35">
      <c r="A5612">
        <v>324485</v>
      </c>
      <c r="B5612" t="s">
        <v>20</v>
      </c>
      <c r="C5612">
        <v>2015</v>
      </c>
      <c r="D5612">
        <v>7</v>
      </c>
      <c r="E5612" t="s">
        <v>7</v>
      </c>
      <c r="F5612" t="s">
        <v>7</v>
      </c>
      <c r="G5612" t="s">
        <v>7</v>
      </c>
      <c r="H5612">
        <v>13523.06</v>
      </c>
      <c r="I5612">
        <v>4015.61</v>
      </c>
      <c r="J5612">
        <v>0</v>
      </c>
    </row>
    <row r="5613" spans="1:10" x14ac:dyDescent="0.35">
      <c r="A5613">
        <v>324487</v>
      </c>
      <c r="B5613" t="s">
        <v>20</v>
      </c>
      <c r="C5613">
        <v>2015</v>
      </c>
      <c r="D5613">
        <v>7</v>
      </c>
      <c r="E5613" t="s">
        <v>7</v>
      </c>
      <c r="F5613" t="s">
        <v>7</v>
      </c>
      <c r="G5613" t="s">
        <v>7</v>
      </c>
      <c r="H5613">
        <v>35790.58</v>
      </c>
      <c r="I5613">
        <v>11292.03</v>
      </c>
      <c r="J5613">
        <v>0</v>
      </c>
    </row>
    <row r="5614" spans="1:10" x14ac:dyDescent="0.35">
      <c r="A5614">
        <v>324489</v>
      </c>
      <c r="B5614" t="s">
        <v>20</v>
      </c>
      <c r="C5614">
        <v>2015</v>
      </c>
      <c r="D5614">
        <v>7</v>
      </c>
      <c r="E5614" t="s">
        <v>7</v>
      </c>
      <c r="F5614" t="s">
        <v>7</v>
      </c>
      <c r="G5614" t="s">
        <v>7</v>
      </c>
      <c r="H5614">
        <v>47789.120000000003</v>
      </c>
      <c r="I5614">
        <v>12482.69</v>
      </c>
      <c r="J5614">
        <v>0</v>
      </c>
    </row>
    <row r="5615" spans="1:10" x14ac:dyDescent="0.35">
      <c r="A5615">
        <v>324493</v>
      </c>
      <c r="B5615" t="s">
        <v>20</v>
      </c>
      <c r="C5615">
        <v>2015</v>
      </c>
      <c r="D5615">
        <v>7</v>
      </c>
      <c r="E5615" t="s">
        <v>7</v>
      </c>
      <c r="F5615" t="s">
        <v>7</v>
      </c>
      <c r="G5615" t="s">
        <v>7</v>
      </c>
      <c r="H5615">
        <v>14909.52</v>
      </c>
      <c r="I5615">
        <v>4288.8900000000003</v>
      </c>
      <c r="J5615">
        <v>0</v>
      </c>
    </row>
    <row r="5616" spans="1:10" x14ac:dyDescent="0.35">
      <c r="A5616">
        <v>324494</v>
      </c>
      <c r="B5616" t="s">
        <v>20</v>
      </c>
      <c r="C5616">
        <v>2015</v>
      </c>
      <c r="D5616">
        <v>7</v>
      </c>
      <c r="E5616" t="s">
        <v>7</v>
      </c>
      <c r="F5616" t="s">
        <v>7</v>
      </c>
      <c r="G5616" t="s">
        <v>7</v>
      </c>
      <c r="H5616">
        <v>22483.8</v>
      </c>
      <c r="I5616">
        <v>6216.91</v>
      </c>
      <c r="J5616">
        <v>0</v>
      </c>
    </row>
    <row r="5617" spans="1:10" x14ac:dyDescent="0.35">
      <c r="A5617">
        <v>324495</v>
      </c>
      <c r="B5617" t="s">
        <v>20</v>
      </c>
      <c r="C5617">
        <v>2015</v>
      </c>
      <c r="D5617">
        <v>7</v>
      </c>
      <c r="E5617" t="s">
        <v>7</v>
      </c>
      <c r="F5617" t="s">
        <v>7</v>
      </c>
      <c r="G5617" t="s">
        <v>7</v>
      </c>
      <c r="H5617">
        <v>64882.52</v>
      </c>
      <c r="I5617">
        <v>16692.77</v>
      </c>
      <c r="J5617">
        <v>0</v>
      </c>
    </row>
    <row r="5618" spans="1:10" x14ac:dyDescent="0.35">
      <c r="A5618">
        <v>324496</v>
      </c>
      <c r="B5618" t="s">
        <v>20</v>
      </c>
      <c r="C5618">
        <v>2015</v>
      </c>
      <c r="D5618">
        <v>7</v>
      </c>
      <c r="E5618" t="s">
        <v>7</v>
      </c>
      <c r="F5618" t="s">
        <v>7</v>
      </c>
      <c r="G5618" t="s">
        <v>7</v>
      </c>
      <c r="H5618">
        <v>13996.2</v>
      </c>
      <c r="I5618">
        <v>3162.69</v>
      </c>
      <c r="J5618">
        <v>0</v>
      </c>
    </row>
    <row r="5619" spans="1:10" x14ac:dyDescent="0.35">
      <c r="A5619">
        <v>324497</v>
      </c>
      <c r="B5619" t="s">
        <v>20</v>
      </c>
      <c r="C5619">
        <v>2015</v>
      </c>
      <c r="D5619">
        <v>7</v>
      </c>
      <c r="E5619" t="s">
        <v>7</v>
      </c>
      <c r="F5619" t="s">
        <v>7</v>
      </c>
      <c r="G5619" t="s">
        <v>7</v>
      </c>
      <c r="H5619">
        <v>33963.22</v>
      </c>
      <c r="I5619">
        <v>9372.09</v>
      </c>
      <c r="J5619">
        <v>0</v>
      </c>
    </row>
    <row r="5620" spans="1:10" x14ac:dyDescent="0.35">
      <c r="A5620">
        <v>324498</v>
      </c>
      <c r="B5620" t="s">
        <v>20</v>
      </c>
      <c r="C5620">
        <v>2015</v>
      </c>
      <c r="D5620">
        <v>7</v>
      </c>
      <c r="E5620" t="s">
        <v>7</v>
      </c>
      <c r="F5620" t="s">
        <v>7</v>
      </c>
      <c r="G5620" t="s">
        <v>7</v>
      </c>
      <c r="H5620">
        <v>11448.26</v>
      </c>
      <c r="I5620">
        <v>2970.56</v>
      </c>
      <c r="J5620">
        <v>0</v>
      </c>
    </row>
    <row r="5621" spans="1:10" x14ac:dyDescent="0.35">
      <c r="A5621">
        <v>324499</v>
      </c>
      <c r="B5621" t="s">
        <v>20</v>
      </c>
      <c r="C5621">
        <v>2015</v>
      </c>
      <c r="D5621">
        <v>7</v>
      </c>
      <c r="E5621" t="s">
        <v>7</v>
      </c>
      <c r="F5621" t="s">
        <v>7</v>
      </c>
      <c r="G5621" t="s">
        <v>7</v>
      </c>
      <c r="H5621">
        <v>18926.259999999998</v>
      </c>
      <c r="I5621">
        <v>5311.76</v>
      </c>
      <c r="J5621">
        <v>0</v>
      </c>
    </row>
    <row r="5622" spans="1:10" x14ac:dyDescent="0.35">
      <c r="A5622">
        <v>324500</v>
      </c>
      <c r="B5622" t="s">
        <v>20</v>
      </c>
      <c r="C5622">
        <v>2015</v>
      </c>
      <c r="D5622">
        <v>7</v>
      </c>
      <c r="E5622" t="s">
        <v>7</v>
      </c>
      <c r="F5622" t="s">
        <v>7</v>
      </c>
      <c r="G5622" t="s">
        <v>7</v>
      </c>
      <c r="H5622">
        <v>19241.46</v>
      </c>
      <c r="I5622">
        <v>4853.0200000000004</v>
      </c>
      <c r="J5622">
        <v>0</v>
      </c>
    </row>
    <row r="5623" spans="1:10" x14ac:dyDescent="0.35">
      <c r="A5623">
        <v>324501</v>
      </c>
      <c r="B5623" t="s">
        <v>20</v>
      </c>
      <c r="C5623">
        <v>2015</v>
      </c>
      <c r="D5623">
        <v>7</v>
      </c>
      <c r="E5623" t="s">
        <v>7</v>
      </c>
      <c r="F5623" t="s">
        <v>7</v>
      </c>
      <c r="G5623" t="s">
        <v>7</v>
      </c>
      <c r="H5623">
        <v>27967.360000000001</v>
      </c>
      <c r="I5623">
        <v>8367.01</v>
      </c>
      <c r="J5623">
        <v>0</v>
      </c>
    </row>
    <row r="5624" spans="1:10" x14ac:dyDescent="0.35">
      <c r="A5624">
        <v>324505</v>
      </c>
      <c r="B5624" t="s">
        <v>20</v>
      </c>
      <c r="C5624">
        <v>2015</v>
      </c>
      <c r="D5624">
        <v>7</v>
      </c>
      <c r="E5624" t="s">
        <v>7</v>
      </c>
      <c r="F5624" t="s">
        <v>7</v>
      </c>
      <c r="G5624" t="s">
        <v>7</v>
      </c>
      <c r="H5624">
        <v>16630.740000000002</v>
      </c>
      <c r="I5624">
        <v>4897.6099999999997</v>
      </c>
      <c r="J5624">
        <v>0</v>
      </c>
    </row>
    <row r="5625" spans="1:10" x14ac:dyDescent="0.35">
      <c r="A5625">
        <v>324506</v>
      </c>
      <c r="B5625" t="s">
        <v>20</v>
      </c>
      <c r="C5625">
        <v>2015</v>
      </c>
      <c r="D5625">
        <v>7</v>
      </c>
      <c r="E5625" t="s">
        <v>7</v>
      </c>
      <c r="F5625" t="s">
        <v>7</v>
      </c>
      <c r="G5625" t="s">
        <v>7</v>
      </c>
      <c r="H5625">
        <v>39255.339999999997</v>
      </c>
      <c r="I5625">
        <v>12270.98</v>
      </c>
      <c r="J5625">
        <v>0</v>
      </c>
    </row>
    <row r="5626" spans="1:10" x14ac:dyDescent="0.35">
      <c r="A5626">
        <v>324507</v>
      </c>
      <c r="B5626" t="s">
        <v>20</v>
      </c>
      <c r="C5626">
        <v>2015</v>
      </c>
      <c r="D5626">
        <v>7</v>
      </c>
      <c r="E5626" t="s">
        <v>7</v>
      </c>
      <c r="F5626" t="s">
        <v>7</v>
      </c>
      <c r="G5626" t="s">
        <v>7</v>
      </c>
      <c r="H5626">
        <v>66501.42</v>
      </c>
      <c r="I5626">
        <v>33234.85</v>
      </c>
      <c r="J5626">
        <v>0</v>
      </c>
    </row>
    <row r="5627" spans="1:10" x14ac:dyDescent="0.35">
      <c r="A5627">
        <v>324508</v>
      </c>
      <c r="B5627" t="s">
        <v>20</v>
      </c>
      <c r="C5627">
        <v>2015</v>
      </c>
      <c r="D5627">
        <v>7</v>
      </c>
      <c r="E5627" t="s">
        <v>7</v>
      </c>
      <c r="F5627" t="s">
        <v>7</v>
      </c>
      <c r="G5627" t="s">
        <v>7</v>
      </c>
      <c r="H5627">
        <v>31710.04</v>
      </c>
      <c r="I5627">
        <v>8005.8</v>
      </c>
      <c r="J5627">
        <v>0</v>
      </c>
    </row>
    <row r="5628" spans="1:10" x14ac:dyDescent="0.35">
      <c r="A5628">
        <v>324509</v>
      </c>
      <c r="B5628" t="s">
        <v>20</v>
      </c>
      <c r="C5628">
        <v>2015</v>
      </c>
      <c r="D5628">
        <v>7</v>
      </c>
      <c r="E5628" t="s">
        <v>7</v>
      </c>
      <c r="F5628" t="s">
        <v>7</v>
      </c>
      <c r="G5628" t="s">
        <v>7</v>
      </c>
      <c r="H5628">
        <v>15042.48</v>
      </c>
      <c r="I5628">
        <v>3984.92</v>
      </c>
      <c r="J5628">
        <v>0</v>
      </c>
    </row>
    <row r="5629" spans="1:10" x14ac:dyDescent="0.35">
      <c r="A5629">
        <v>324510</v>
      </c>
      <c r="B5629" t="s">
        <v>20</v>
      </c>
      <c r="C5629">
        <v>2015</v>
      </c>
      <c r="D5629">
        <v>7</v>
      </c>
      <c r="E5629" t="s">
        <v>7</v>
      </c>
      <c r="F5629" t="s">
        <v>7</v>
      </c>
      <c r="G5629" t="s">
        <v>7</v>
      </c>
      <c r="H5629">
        <v>22085.74</v>
      </c>
      <c r="I5629">
        <v>3265.85</v>
      </c>
      <c r="J5629">
        <v>0</v>
      </c>
    </row>
    <row r="5630" spans="1:10" x14ac:dyDescent="0.35">
      <c r="A5630">
        <v>324512</v>
      </c>
      <c r="B5630" t="s">
        <v>20</v>
      </c>
      <c r="C5630">
        <v>2015</v>
      </c>
      <c r="D5630">
        <v>7</v>
      </c>
      <c r="E5630" t="s">
        <v>7</v>
      </c>
      <c r="F5630" t="s">
        <v>7</v>
      </c>
      <c r="G5630" t="s">
        <v>7</v>
      </c>
      <c r="H5630">
        <v>16738.580000000002</v>
      </c>
      <c r="I5630">
        <v>4446.3100000000004</v>
      </c>
      <c r="J5630">
        <v>0</v>
      </c>
    </row>
    <row r="5631" spans="1:10" x14ac:dyDescent="0.35">
      <c r="A5631">
        <v>324513</v>
      </c>
      <c r="B5631" t="s">
        <v>20</v>
      </c>
      <c r="C5631">
        <v>2015</v>
      </c>
      <c r="D5631">
        <v>7</v>
      </c>
      <c r="E5631" t="s">
        <v>7</v>
      </c>
      <c r="F5631" t="s">
        <v>7</v>
      </c>
      <c r="G5631" t="s">
        <v>7</v>
      </c>
      <c r="H5631">
        <v>33112.339999999997</v>
      </c>
      <c r="I5631">
        <v>10223.16</v>
      </c>
      <c r="J5631">
        <v>0</v>
      </c>
    </row>
    <row r="5632" spans="1:10" x14ac:dyDescent="0.35">
      <c r="A5632">
        <v>324514</v>
      </c>
      <c r="B5632" t="s">
        <v>20</v>
      </c>
      <c r="C5632">
        <v>2015</v>
      </c>
      <c r="D5632">
        <v>7</v>
      </c>
      <c r="E5632" t="s">
        <v>7</v>
      </c>
      <c r="F5632" t="s">
        <v>7</v>
      </c>
      <c r="G5632" t="s">
        <v>7</v>
      </c>
      <c r="H5632">
        <v>54369.86</v>
      </c>
      <c r="I5632">
        <v>13476.6</v>
      </c>
      <c r="J5632">
        <v>0</v>
      </c>
    </row>
    <row r="5633" spans="1:10" x14ac:dyDescent="0.35">
      <c r="A5633">
        <v>324515</v>
      </c>
      <c r="B5633" t="s">
        <v>20</v>
      </c>
      <c r="C5633">
        <v>2015</v>
      </c>
      <c r="D5633">
        <v>7</v>
      </c>
      <c r="E5633" t="s">
        <v>7</v>
      </c>
      <c r="F5633" t="s">
        <v>7</v>
      </c>
      <c r="G5633" t="s">
        <v>7</v>
      </c>
      <c r="H5633">
        <v>33181.519999999997</v>
      </c>
      <c r="I5633">
        <v>9831.01</v>
      </c>
      <c r="J5633">
        <v>0</v>
      </c>
    </row>
    <row r="5634" spans="1:10" x14ac:dyDescent="0.35">
      <c r="A5634">
        <v>324516</v>
      </c>
      <c r="B5634" t="s">
        <v>20</v>
      </c>
      <c r="C5634">
        <v>2015</v>
      </c>
      <c r="D5634">
        <v>7</v>
      </c>
      <c r="E5634" t="s">
        <v>7</v>
      </c>
      <c r="F5634" t="s">
        <v>7</v>
      </c>
      <c r="G5634" t="s">
        <v>7</v>
      </c>
      <c r="H5634">
        <v>35755.980000000003</v>
      </c>
      <c r="I5634">
        <v>10429.08</v>
      </c>
      <c r="J5634">
        <v>0</v>
      </c>
    </row>
    <row r="5635" spans="1:10" x14ac:dyDescent="0.35">
      <c r="A5635">
        <v>324517</v>
      </c>
      <c r="B5635" t="s">
        <v>20</v>
      </c>
      <c r="C5635">
        <v>2015</v>
      </c>
      <c r="D5635">
        <v>7</v>
      </c>
      <c r="E5635" t="s">
        <v>7</v>
      </c>
      <c r="F5635" t="s">
        <v>7</v>
      </c>
      <c r="G5635" t="s">
        <v>7</v>
      </c>
      <c r="H5635">
        <v>31199.040000000001</v>
      </c>
      <c r="I5635">
        <v>9742.4699999999993</v>
      </c>
      <c r="J5635">
        <v>0</v>
      </c>
    </row>
    <row r="5636" spans="1:10" x14ac:dyDescent="0.35">
      <c r="A5636">
        <v>324518</v>
      </c>
      <c r="B5636" t="s">
        <v>20</v>
      </c>
      <c r="C5636">
        <v>2015</v>
      </c>
      <c r="D5636">
        <v>7</v>
      </c>
      <c r="E5636" t="s">
        <v>7</v>
      </c>
      <c r="F5636" t="s">
        <v>7</v>
      </c>
      <c r="G5636" t="s">
        <v>7</v>
      </c>
      <c r="H5636">
        <v>35841.5</v>
      </c>
      <c r="I5636">
        <v>11186.2</v>
      </c>
      <c r="J5636">
        <v>0</v>
      </c>
    </row>
    <row r="5637" spans="1:10" x14ac:dyDescent="0.35">
      <c r="A5637">
        <v>324519</v>
      </c>
      <c r="B5637" t="s">
        <v>20</v>
      </c>
      <c r="C5637">
        <v>2015</v>
      </c>
      <c r="D5637">
        <v>7</v>
      </c>
      <c r="E5637" t="s">
        <v>7</v>
      </c>
      <c r="F5637" t="s">
        <v>7</v>
      </c>
      <c r="G5637" t="s">
        <v>7</v>
      </c>
      <c r="H5637">
        <v>19505.16</v>
      </c>
      <c r="I5637">
        <v>5634.36</v>
      </c>
      <c r="J5637">
        <v>0</v>
      </c>
    </row>
    <row r="5638" spans="1:10" x14ac:dyDescent="0.35">
      <c r="A5638">
        <v>324523</v>
      </c>
      <c r="B5638" t="s">
        <v>20</v>
      </c>
      <c r="C5638">
        <v>2015</v>
      </c>
      <c r="D5638">
        <v>7</v>
      </c>
      <c r="E5638" t="s">
        <v>7</v>
      </c>
      <c r="F5638" t="s">
        <v>7</v>
      </c>
      <c r="G5638" t="s">
        <v>7</v>
      </c>
      <c r="H5638">
        <v>76762.039999999994</v>
      </c>
      <c r="I5638">
        <v>26246.22</v>
      </c>
      <c r="J5638">
        <v>0</v>
      </c>
    </row>
    <row r="5639" spans="1:10" x14ac:dyDescent="0.35">
      <c r="A5639">
        <v>324526</v>
      </c>
      <c r="B5639" t="s">
        <v>20</v>
      </c>
      <c r="C5639">
        <v>2015</v>
      </c>
      <c r="D5639">
        <v>7</v>
      </c>
      <c r="E5639" t="s">
        <v>7</v>
      </c>
      <c r="F5639" t="s">
        <v>7</v>
      </c>
      <c r="G5639" t="s">
        <v>7</v>
      </c>
      <c r="H5639">
        <v>23843.8</v>
      </c>
      <c r="I5639">
        <v>7554.36</v>
      </c>
      <c r="J5639">
        <v>0</v>
      </c>
    </row>
    <row r="5640" spans="1:10" x14ac:dyDescent="0.35">
      <c r="A5640">
        <v>324527</v>
      </c>
      <c r="B5640" t="s">
        <v>20</v>
      </c>
      <c r="C5640">
        <v>2015</v>
      </c>
      <c r="D5640">
        <v>7</v>
      </c>
      <c r="E5640" t="s">
        <v>7</v>
      </c>
      <c r="F5640" t="s">
        <v>7</v>
      </c>
      <c r="G5640" t="s">
        <v>7</v>
      </c>
      <c r="H5640">
        <v>37340.18</v>
      </c>
      <c r="I5640">
        <v>19693.560000000001</v>
      </c>
      <c r="J5640">
        <v>0</v>
      </c>
    </row>
    <row r="5641" spans="1:10" x14ac:dyDescent="0.35">
      <c r="A5641">
        <v>324528</v>
      </c>
      <c r="B5641" t="s">
        <v>20</v>
      </c>
      <c r="C5641">
        <v>2015</v>
      </c>
      <c r="D5641">
        <v>7</v>
      </c>
      <c r="E5641" t="s">
        <v>7</v>
      </c>
      <c r="F5641" t="s">
        <v>7</v>
      </c>
      <c r="G5641" t="s">
        <v>7</v>
      </c>
      <c r="H5641">
        <v>28425.68</v>
      </c>
      <c r="I5641">
        <v>8626.02</v>
      </c>
      <c r="J5641">
        <v>0</v>
      </c>
    </row>
    <row r="5642" spans="1:10" x14ac:dyDescent="0.35">
      <c r="A5642">
        <v>324529</v>
      </c>
      <c r="B5642" t="s">
        <v>20</v>
      </c>
      <c r="C5642">
        <v>2015</v>
      </c>
      <c r="D5642">
        <v>7</v>
      </c>
      <c r="E5642" t="s">
        <v>7</v>
      </c>
      <c r="F5642" t="s">
        <v>7</v>
      </c>
      <c r="G5642" t="s">
        <v>7</v>
      </c>
      <c r="H5642">
        <v>43366.62</v>
      </c>
      <c r="I5642">
        <v>11738.01</v>
      </c>
      <c r="J5642">
        <v>0</v>
      </c>
    </row>
    <row r="5643" spans="1:10" x14ac:dyDescent="0.35">
      <c r="A5643">
        <v>324532</v>
      </c>
      <c r="B5643" t="s">
        <v>20</v>
      </c>
      <c r="C5643">
        <v>2015</v>
      </c>
      <c r="D5643">
        <v>7</v>
      </c>
      <c r="E5643" t="s">
        <v>7</v>
      </c>
      <c r="F5643" t="s">
        <v>7</v>
      </c>
      <c r="G5643" t="s">
        <v>7</v>
      </c>
      <c r="H5643">
        <v>27567.040000000001</v>
      </c>
      <c r="I5643">
        <v>8563.34</v>
      </c>
      <c r="J5643">
        <v>0</v>
      </c>
    </row>
    <row r="5644" spans="1:10" x14ac:dyDescent="0.35">
      <c r="A5644">
        <v>324533</v>
      </c>
      <c r="B5644" t="s">
        <v>20</v>
      </c>
      <c r="C5644">
        <v>2015</v>
      </c>
      <c r="D5644">
        <v>7</v>
      </c>
      <c r="E5644" t="s">
        <v>7</v>
      </c>
      <c r="F5644" t="s">
        <v>7</v>
      </c>
      <c r="G5644" t="s">
        <v>7</v>
      </c>
      <c r="H5644">
        <v>26881.1</v>
      </c>
      <c r="I5644">
        <v>6903.55</v>
      </c>
      <c r="J5644">
        <v>0</v>
      </c>
    </row>
    <row r="5645" spans="1:10" x14ac:dyDescent="0.35">
      <c r="A5645">
        <v>324535</v>
      </c>
      <c r="B5645" t="s">
        <v>20</v>
      </c>
      <c r="C5645">
        <v>2015</v>
      </c>
      <c r="D5645">
        <v>7</v>
      </c>
      <c r="E5645" t="s">
        <v>7</v>
      </c>
      <c r="F5645" t="s">
        <v>7</v>
      </c>
      <c r="G5645" t="s">
        <v>7</v>
      </c>
      <c r="H5645">
        <v>23131.26</v>
      </c>
      <c r="I5645">
        <v>5125.3</v>
      </c>
      <c r="J5645">
        <v>0</v>
      </c>
    </row>
    <row r="5646" spans="1:10" x14ac:dyDescent="0.35">
      <c r="A5646">
        <v>324536</v>
      </c>
      <c r="B5646" t="s">
        <v>20</v>
      </c>
      <c r="C5646">
        <v>2015</v>
      </c>
      <c r="D5646">
        <v>7</v>
      </c>
      <c r="E5646" t="s">
        <v>7</v>
      </c>
      <c r="F5646" t="s">
        <v>7</v>
      </c>
      <c r="G5646" t="s">
        <v>7</v>
      </c>
      <c r="H5646">
        <v>18123.259999999998</v>
      </c>
      <c r="I5646">
        <v>2878.37</v>
      </c>
      <c r="J5646">
        <v>0</v>
      </c>
    </row>
    <row r="5647" spans="1:10" x14ac:dyDescent="0.35">
      <c r="A5647">
        <v>324537</v>
      </c>
      <c r="B5647" t="s">
        <v>20</v>
      </c>
      <c r="C5647">
        <v>2015</v>
      </c>
      <c r="D5647">
        <v>7</v>
      </c>
      <c r="E5647" t="s">
        <v>7</v>
      </c>
      <c r="F5647" t="s">
        <v>7</v>
      </c>
      <c r="G5647" t="s">
        <v>7</v>
      </c>
      <c r="H5647">
        <v>89021.759999999995</v>
      </c>
      <c r="I5647">
        <v>38993.21</v>
      </c>
      <c r="J5647">
        <v>0</v>
      </c>
    </row>
    <row r="5648" spans="1:10" x14ac:dyDescent="0.35">
      <c r="A5648">
        <v>324538</v>
      </c>
      <c r="B5648" t="s">
        <v>20</v>
      </c>
      <c r="C5648">
        <v>2015</v>
      </c>
      <c r="D5648">
        <v>7</v>
      </c>
      <c r="E5648" t="s">
        <v>7</v>
      </c>
      <c r="F5648" t="s">
        <v>7</v>
      </c>
      <c r="G5648" t="s">
        <v>7</v>
      </c>
      <c r="H5648">
        <v>24141.439999999999</v>
      </c>
      <c r="I5648">
        <v>6600.83</v>
      </c>
      <c r="J5648">
        <v>0</v>
      </c>
    </row>
    <row r="5649" spans="1:10" x14ac:dyDescent="0.35">
      <c r="A5649">
        <v>324541</v>
      </c>
      <c r="B5649" t="s">
        <v>20</v>
      </c>
      <c r="C5649">
        <v>2015</v>
      </c>
      <c r="D5649">
        <v>7</v>
      </c>
      <c r="E5649" t="s">
        <v>7</v>
      </c>
      <c r="F5649" t="s">
        <v>7</v>
      </c>
      <c r="G5649" t="s">
        <v>7</v>
      </c>
      <c r="H5649">
        <v>69042.42</v>
      </c>
      <c r="I5649">
        <v>21589.82</v>
      </c>
      <c r="J5649">
        <v>0</v>
      </c>
    </row>
    <row r="5650" spans="1:10" x14ac:dyDescent="0.35">
      <c r="A5650">
        <v>324542</v>
      </c>
      <c r="B5650" t="s">
        <v>20</v>
      </c>
      <c r="C5650">
        <v>2015</v>
      </c>
      <c r="D5650">
        <v>7</v>
      </c>
      <c r="E5650" t="s">
        <v>7</v>
      </c>
      <c r="F5650" t="s">
        <v>7</v>
      </c>
      <c r="G5650" t="s">
        <v>7</v>
      </c>
      <c r="H5650">
        <v>34864.68</v>
      </c>
      <c r="I5650">
        <v>9009.09</v>
      </c>
      <c r="J5650">
        <v>0</v>
      </c>
    </row>
    <row r="5651" spans="1:10" x14ac:dyDescent="0.35">
      <c r="A5651">
        <v>324543</v>
      </c>
      <c r="B5651" t="s">
        <v>20</v>
      </c>
      <c r="C5651">
        <v>2015</v>
      </c>
      <c r="D5651">
        <v>7</v>
      </c>
      <c r="E5651" t="s">
        <v>7</v>
      </c>
      <c r="F5651" t="s">
        <v>7</v>
      </c>
      <c r="G5651" t="s">
        <v>7</v>
      </c>
      <c r="H5651">
        <v>21154.02</v>
      </c>
      <c r="I5651">
        <v>6359.51</v>
      </c>
      <c r="J5651">
        <v>0</v>
      </c>
    </row>
    <row r="5652" spans="1:10" x14ac:dyDescent="0.35">
      <c r="A5652">
        <v>324545</v>
      </c>
      <c r="B5652" t="s">
        <v>20</v>
      </c>
      <c r="C5652">
        <v>2015</v>
      </c>
      <c r="D5652">
        <v>7</v>
      </c>
      <c r="E5652" t="s">
        <v>7</v>
      </c>
      <c r="F5652" t="s">
        <v>7</v>
      </c>
      <c r="G5652" t="s">
        <v>7</v>
      </c>
      <c r="H5652">
        <v>21566.68</v>
      </c>
      <c r="I5652">
        <v>5911.39</v>
      </c>
      <c r="J5652">
        <v>0</v>
      </c>
    </row>
    <row r="5653" spans="1:10" x14ac:dyDescent="0.35">
      <c r="A5653">
        <v>324547</v>
      </c>
      <c r="B5653" t="s">
        <v>20</v>
      </c>
      <c r="C5653">
        <v>2015</v>
      </c>
      <c r="D5653">
        <v>7</v>
      </c>
      <c r="E5653" t="s">
        <v>7</v>
      </c>
      <c r="F5653" t="s">
        <v>7</v>
      </c>
      <c r="G5653" t="s">
        <v>7</v>
      </c>
      <c r="H5653">
        <v>31260.6</v>
      </c>
      <c r="I5653">
        <v>6975.73</v>
      </c>
      <c r="J5653">
        <v>0</v>
      </c>
    </row>
    <row r="5654" spans="1:10" x14ac:dyDescent="0.35">
      <c r="A5654">
        <v>324551</v>
      </c>
      <c r="B5654" t="s">
        <v>20</v>
      </c>
      <c r="C5654">
        <v>2015</v>
      </c>
      <c r="D5654">
        <v>7</v>
      </c>
      <c r="E5654" t="s">
        <v>7</v>
      </c>
      <c r="F5654" t="s">
        <v>7</v>
      </c>
      <c r="G5654" t="s">
        <v>7</v>
      </c>
      <c r="H5654">
        <v>13581.68</v>
      </c>
      <c r="I5654">
        <v>3767.23</v>
      </c>
      <c r="J5654">
        <v>0</v>
      </c>
    </row>
    <row r="5655" spans="1:10" x14ac:dyDescent="0.35">
      <c r="A5655">
        <v>324552</v>
      </c>
      <c r="B5655" t="s">
        <v>20</v>
      </c>
      <c r="C5655">
        <v>2015</v>
      </c>
      <c r="D5655">
        <v>7</v>
      </c>
      <c r="E5655" t="s">
        <v>7</v>
      </c>
      <c r="F5655" t="s">
        <v>7</v>
      </c>
      <c r="G5655" t="s">
        <v>7</v>
      </c>
      <c r="H5655">
        <v>33247.760000000002</v>
      </c>
      <c r="I5655">
        <v>9482.33</v>
      </c>
      <c r="J5655">
        <v>0</v>
      </c>
    </row>
    <row r="5656" spans="1:10" x14ac:dyDescent="0.35">
      <c r="A5656">
        <v>324553</v>
      </c>
      <c r="B5656" t="s">
        <v>20</v>
      </c>
      <c r="C5656">
        <v>2015</v>
      </c>
      <c r="D5656">
        <v>7</v>
      </c>
      <c r="E5656" t="s">
        <v>7</v>
      </c>
      <c r="F5656" t="s">
        <v>7</v>
      </c>
      <c r="G5656" t="s">
        <v>7</v>
      </c>
      <c r="H5656">
        <v>31715.119999999999</v>
      </c>
      <c r="I5656">
        <v>9840.35</v>
      </c>
      <c r="J5656">
        <v>0</v>
      </c>
    </row>
    <row r="5657" spans="1:10" x14ac:dyDescent="0.35">
      <c r="A5657">
        <v>324554</v>
      </c>
      <c r="B5657" t="s">
        <v>20</v>
      </c>
      <c r="C5657">
        <v>2015</v>
      </c>
      <c r="D5657">
        <v>7</v>
      </c>
      <c r="E5657" t="s">
        <v>7</v>
      </c>
      <c r="F5657" t="s">
        <v>7</v>
      </c>
      <c r="G5657" t="s">
        <v>7</v>
      </c>
      <c r="H5657">
        <v>17069.759999999998</v>
      </c>
      <c r="I5657">
        <v>4395.57</v>
      </c>
      <c r="J5657">
        <v>0</v>
      </c>
    </row>
    <row r="5658" spans="1:10" x14ac:dyDescent="0.35">
      <c r="A5658">
        <v>324556</v>
      </c>
      <c r="B5658" t="s">
        <v>20</v>
      </c>
      <c r="C5658">
        <v>2015</v>
      </c>
      <c r="D5658">
        <v>7</v>
      </c>
      <c r="E5658" t="s">
        <v>7</v>
      </c>
      <c r="F5658" t="s">
        <v>7</v>
      </c>
      <c r="G5658" t="s">
        <v>7</v>
      </c>
      <c r="H5658">
        <v>46704.56</v>
      </c>
      <c r="I5658">
        <v>14917.56</v>
      </c>
      <c r="J5658">
        <v>0</v>
      </c>
    </row>
    <row r="5659" spans="1:10" x14ac:dyDescent="0.35">
      <c r="A5659">
        <v>324557</v>
      </c>
      <c r="B5659" t="s">
        <v>20</v>
      </c>
      <c r="C5659">
        <v>2015</v>
      </c>
      <c r="D5659">
        <v>7</v>
      </c>
      <c r="E5659" t="s">
        <v>7</v>
      </c>
      <c r="F5659" t="s">
        <v>7</v>
      </c>
      <c r="G5659" t="s">
        <v>7</v>
      </c>
      <c r="H5659">
        <v>34041.03</v>
      </c>
      <c r="I5659">
        <v>10596.31</v>
      </c>
      <c r="J5659">
        <v>0</v>
      </c>
    </row>
    <row r="5660" spans="1:10" x14ac:dyDescent="0.35">
      <c r="A5660">
        <v>324558</v>
      </c>
      <c r="B5660" t="s">
        <v>20</v>
      </c>
      <c r="C5660">
        <v>2015</v>
      </c>
      <c r="D5660">
        <v>7</v>
      </c>
      <c r="E5660" t="s">
        <v>7</v>
      </c>
      <c r="F5660" t="s">
        <v>7</v>
      </c>
      <c r="G5660" t="s">
        <v>7</v>
      </c>
      <c r="H5660">
        <v>30172.46</v>
      </c>
      <c r="I5660">
        <v>9098.16</v>
      </c>
      <c r="J5660">
        <v>0</v>
      </c>
    </row>
    <row r="5661" spans="1:10" x14ac:dyDescent="0.35">
      <c r="A5661">
        <v>324559</v>
      </c>
      <c r="B5661" t="s">
        <v>20</v>
      </c>
      <c r="C5661">
        <v>2015</v>
      </c>
      <c r="D5661">
        <v>7</v>
      </c>
      <c r="E5661" t="s">
        <v>7</v>
      </c>
      <c r="F5661" t="s">
        <v>7</v>
      </c>
      <c r="G5661" t="s">
        <v>7</v>
      </c>
      <c r="H5661">
        <v>69072.84</v>
      </c>
      <c r="I5661">
        <v>21184.7</v>
      </c>
      <c r="J5661">
        <v>0</v>
      </c>
    </row>
    <row r="5662" spans="1:10" x14ac:dyDescent="0.35">
      <c r="A5662">
        <v>324561</v>
      </c>
      <c r="B5662" t="s">
        <v>20</v>
      </c>
      <c r="C5662">
        <v>2015</v>
      </c>
      <c r="D5662">
        <v>7</v>
      </c>
      <c r="E5662" t="s">
        <v>7</v>
      </c>
      <c r="F5662" t="s">
        <v>7</v>
      </c>
      <c r="G5662" t="s">
        <v>7</v>
      </c>
      <c r="H5662">
        <v>15035.64</v>
      </c>
      <c r="I5662">
        <v>4442.07</v>
      </c>
      <c r="J5662">
        <v>0</v>
      </c>
    </row>
    <row r="5663" spans="1:10" x14ac:dyDescent="0.35">
      <c r="A5663">
        <v>324563</v>
      </c>
      <c r="B5663" t="s">
        <v>20</v>
      </c>
      <c r="C5663">
        <v>2015</v>
      </c>
      <c r="D5663">
        <v>7</v>
      </c>
      <c r="E5663" t="s">
        <v>7</v>
      </c>
      <c r="F5663" t="s">
        <v>7</v>
      </c>
      <c r="G5663" t="s">
        <v>7</v>
      </c>
      <c r="H5663">
        <v>26593.66</v>
      </c>
      <c r="I5663">
        <v>7947.1</v>
      </c>
      <c r="J5663">
        <v>0</v>
      </c>
    </row>
    <row r="5664" spans="1:10" x14ac:dyDescent="0.35">
      <c r="A5664">
        <v>324564</v>
      </c>
      <c r="B5664" t="s">
        <v>20</v>
      </c>
      <c r="C5664">
        <v>2015</v>
      </c>
      <c r="D5664">
        <v>7</v>
      </c>
      <c r="E5664" t="s">
        <v>7</v>
      </c>
      <c r="F5664" t="s">
        <v>7</v>
      </c>
      <c r="G5664" t="s">
        <v>7</v>
      </c>
      <c r="H5664">
        <v>32245.18</v>
      </c>
      <c r="I5664">
        <v>7118.82</v>
      </c>
      <c r="J5664">
        <v>0</v>
      </c>
    </row>
    <row r="5665" spans="1:10" x14ac:dyDescent="0.35">
      <c r="A5665">
        <v>324566</v>
      </c>
      <c r="B5665" t="s">
        <v>20</v>
      </c>
      <c r="C5665">
        <v>2015</v>
      </c>
      <c r="D5665">
        <v>7</v>
      </c>
      <c r="E5665" t="s">
        <v>7</v>
      </c>
      <c r="F5665" t="s">
        <v>7</v>
      </c>
      <c r="G5665" t="s">
        <v>7</v>
      </c>
      <c r="H5665">
        <v>44743.1</v>
      </c>
      <c r="I5665">
        <v>13000.56</v>
      </c>
      <c r="J5665">
        <v>0</v>
      </c>
    </row>
    <row r="5666" spans="1:10" x14ac:dyDescent="0.35">
      <c r="A5666">
        <v>324569</v>
      </c>
      <c r="B5666" t="s">
        <v>20</v>
      </c>
      <c r="C5666">
        <v>2015</v>
      </c>
      <c r="D5666">
        <v>7</v>
      </c>
      <c r="E5666" t="s">
        <v>7</v>
      </c>
      <c r="F5666" t="s">
        <v>7</v>
      </c>
      <c r="G5666" t="s">
        <v>7</v>
      </c>
      <c r="H5666">
        <v>65427.98</v>
      </c>
      <c r="I5666">
        <v>17175.21</v>
      </c>
      <c r="J5666">
        <v>0</v>
      </c>
    </row>
    <row r="5667" spans="1:10" x14ac:dyDescent="0.35">
      <c r="A5667">
        <v>324570</v>
      </c>
      <c r="B5667" t="s">
        <v>20</v>
      </c>
      <c r="C5667">
        <v>2015</v>
      </c>
      <c r="D5667">
        <v>7</v>
      </c>
      <c r="E5667" t="s">
        <v>7</v>
      </c>
      <c r="F5667" t="s">
        <v>7</v>
      </c>
      <c r="G5667" t="s">
        <v>7</v>
      </c>
      <c r="H5667">
        <v>14938.88</v>
      </c>
      <c r="I5667">
        <v>4503.79</v>
      </c>
      <c r="J5667">
        <v>0</v>
      </c>
    </row>
    <row r="5668" spans="1:10" x14ac:dyDescent="0.35">
      <c r="A5668">
        <v>324571</v>
      </c>
      <c r="B5668" t="s">
        <v>20</v>
      </c>
      <c r="C5668">
        <v>2015</v>
      </c>
      <c r="D5668">
        <v>7</v>
      </c>
      <c r="E5668" t="s">
        <v>7</v>
      </c>
      <c r="F5668" t="s">
        <v>7</v>
      </c>
      <c r="G5668" t="s">
        <v>7</v>
      </c>
      <c r="H5668">
        <v>19788.64</v>
      </c>
      <c r="I5668">
        <v>5134.3500000000004</v>
      </c>
      <c r="J5668">
        <v>0</v>
      </c>
    </row>
    <row r="5669" spans="1:10" x14ac:dyDescent="0.35">
      <c r="A5669">
        <v>324572</v>
      </c>
      <c r="B5669" t="s">
        <v>20</v>
      </c>
      <c r="C5669">
        <v>2015</v>
      </c>
      <c r="D5669">
        <v>7</v>
      </c>
      <c r="E5669" t="s">
        <v>7</v>
      </c>
      <c r="F5669" t="s">
        <v>7</v>
      </c>
      <c r="G5669" t="s">
        <v>7</v>
      </c>
      <c r="H5669">
        <v>8725.06</v>
      </c>
      <c r="I5669">
        <v>2371.8000000000002</v>
      </c>
      <c r="J5669">
        <v>0</v>
      </c>
    </row>
    <row r="5670" spans="1:10" x14ac:dyDescent="0.35">
      <c r="A5670">
        <v>324575</v>
      </c>
      <c r="B5670" t="s">
        <v>20</v>
      </c>
      <c r="C5670">
        <v>2015</v>
      </c>
      <c r="D5670">
        <v>7</v>
      </c>
      <c r="E5670" t="s">
        <v>7</v>
      </c>
      <c r="F5670" t="s">
        <v>7</v>
      </c>
      <c r="G5670" t="s">
        <v>7</v>
      </c>
      <c r="H5670">
        <v>79659.460000000006</v>
      </c>
      <c r="I5670">
        <v>22904.560000000001</v>
      </c>
      <c r="J5670">
        <v>0</v>
      </c>
    </row>
    <row r="5671" spans="1:10" x14ac:dyDescent="0.35">
      <c r="A5671">
        <v>324576</v>
      </c>
      <c r="B5671" t="s">
        <v>20</v>
      </c>
      <c r="C5671">
        <v>2015</v>
      </c>
      <c r="D5671">
        <v>7</v>
      </c>
      <c r="E5671" t="s">
        <v>7</v>
      </c>
      <c r="F5671" t="s">
        <v>7</v>
      </c>
      <c r="G5671" t="s">
        <v>7</v>
      </c>
      <c r="H5671">
        <v>24148.68</v>
      </c>
      <c r="I5671">
        <v>6486.11</v>
      </c>
      <c r="J5671">
        <v>0</v>
      </c>
    </row>
    <row r="5672" spans="1:10" x14ac:dyDescent="0.35">
      <c r="A5672">
        <v>324577</v>
      </c>
      <c r="B5672" t="s">
        <v>20</v>
      </c>
      <c r="C5672">
        <v>2015</v>
      </c>
      <c r="D5672">
        <v>7</v>
      </c>
      <c r="E5672" t="s">
        <v>7</v>
      </c>
      <c r="F5672" t="s">
        <v>7</v>
      </c>
      <c r="G5672" t="s">
        <v>7</v>
      </c>
      <c r="H5672">
        <v>22940.06</v>
      </c>
      <c r="I5672">
        <v>5207.55</v>
      </c>
      <c r="J5672">
        <v>0</v>
      </c>
    </row>
    <row r="5673" spans="1:10" x14ac:dyDescent="0.35">
      <c r="A5673">
        <v>324578</v>
      </c>
      <c r="B5673" t="s">
        <v>20</v>
      </c>
      <c r="C5673">
        <v>2015</v>
      </c>
      <c r="D5673">
        <v>7</v>
      </c>
      <c r="E5673" t="s">
        <v>7</v>
      </c>
      <c r="F5673" t="s">
        <v>7</v>
      </c>
      <c r="G5673" t="s">
        <v>7</v>
      </c>
      <c r="H5673">
        <v>7656.78</v>
      </c>
      <c r="I5673">
        <v>2219.0300000000002</v>
      </c>
      <c r="J5673">
        <v>0</v>
      </c>
    </row>
    <row r="5674" spans="1:10" x14ac:dyDescent="0.35">
      <c r="A5674">
        <v>324579</v>
      </c>
      <c r="B5674" t="s">
        <v>20</v>
      </c>
      <c r="C5674">
        <v>2015</v>
      </c>
      <c r="D5674">
        <v>7</v>
      </c>
      <c r="E5674" t="s">
        <v>7</v>
      </c>
      <c r="F5674" t="s">
        <v>7</v>
      </c>
      <c r="G5674" t="s">
        <v>7</v>
      </c>
      <c r="H5674">
        <v>22962.66</v>
      </c>
      <c r="I5674">
        <v>7159.13</v>
      </c>
      <c r="J5674">
        <v>0</v>
      </c>
    </row>
    <row r="5675" spans="1:10" x14ac:dyDescent="0.35">
      <c r="A5675">
        <v>324580</v>
      </c>
      <c r="B5675" t="s">
        <v>20</v>
      </c>
      <c r="C5675">
        <v>2015</v>
      </c>
      <c r="D5675">
        <v>7</v>
      </c>
      <c r="E5675" t="s">
        <v>7</v>
      </c>
      <c r="F5675" t="s">
        <v>7</v>
      </c>
      <c r="G5675" t="s">
        <v>7</v>
      </c>
      <c r="H5675">
        <v>18227.96</v>
      </c>
      <c r="I5675">
        <v>4849.54</v>
      </c>
      <c r="J5675">
        <v>0</v>
      </c>
    </row>
    <row r="5676" spans="1:10" x14ac:dyDescent="0.35">
      <c r="A5676">
        <v>324581</v>
      </c>
      <c r="B5676" t="s">
        <v>20</v>
      </c>
      <c r="C5676">
        <v>2015</v>
      </c>
      <c r="D5676">
        <v>7</v>
      </c>
      <c r="E5676" t="s">
        <v>7</v>
      </c>
      <c r="F5676" t="s">
        <v>7</v>
      </c>
      <c r="G5676" t="s">
        <v>7</v>
      </c>
      <c r="H5676">
        <v>27553.48</v>
      </c>
      <c r="I5676">
        <v>8281.4</v>
      </c>
      <c r="J5676">
        <v>0</v>
      </c>
    </row>
    <row r="5677" spans="1:10" x14ac:dyDescent="0.35">
      <c r="A5677">
        <v>324583</v>
      </c>
      <c r="B5677" t="s">
        <v>20</v>
      </c>
      <c r="C5677">
        <v>2015</v>
      </c>
      <c r="D5677">
        <v>7</v>
      </c>
      <c r="E5677" t="s">
        <v>7</v>
      </c>
      <c r="F5677" t="s">
        <v>7</v>
      </c>
      <c r="G5677" t="s">
        <v>7</v>
      </c>
      <c r="H5677">
        <v>28340.32</v>
      </c>
      <c r="I5677">
        <v>7840.02</v>
      </c>
      <c r="J5677">
        <v>0</v>
      </c>
    </row>
    <row r="5678" spans="1:10" x14ac:dyDescent="0.35">
      <c r="A5678">
        <v>324585</v>
      </c>
      <c r="B5678" t="s">
        <v>20</v>
      </c>
      <c r="C5678">
        <v>2015</v>
      </c>
      <c r="D5678">
        <v>7</v>
      </c>
      <c r="E5678" t="s">
        <v>7</v>
      </c>
      <c r="F5678" t="s">
        <v>7</v>
      </c>
      <c r="G5678" t="s">
        <v>7</v>
      </c>
      <c r="H5678">
        <v>71341.66</v>
      </c>
      <c r="I5678">
        <v>36917.199999999997</v>
      </c>
      <c r="J5678">
        <v>0</v>
      </c>
    </row>
    <row r="5679" spans="1:10" x14ac:dyDescent="0.35">
      <c r="A5679">
        <v>324586</v>
      </c>
      <c r="B5679" t="s">
        <v>20</v>
      </c>
      <c r="C5679">
        <v>2015</v>
      </c>
      <c r="D5679">
        <v>7</v>
      </c>
      <c r="E5679" t="s">
        <v>7</v>
      </c>
      <c r="F5679" t="s">
        <v>7</v>
      </c>
      <c r="G5679" t="s">
        <v>7</v>
      </c>
      <c r="H5679">
        <v>12167.32</v>
      </c>
      <c r="I5679">
        <v>2844.68</v>
      </c>
      <c r="J5679">
        <v>0</v>
      </c>
    </row>
    <row r="5680" spans="1:10" x14ac:dyDescent="0.35">
      <c r="A5680">
        <v>324590</v>
      </c>
      <c r="B5680" t="s">
        <v>20</v>
      </c>
      <c r="C5680">
        <v>2015</v>
      </c>
      <c r="D5680">
        <v>7</v>
      </c>
      <c r="E5680" t="s">
        <v>7</v>
      </c>
      <c r="F5680" t="s">
        <v>7</v>
      </c>
      <c r="G5680" t="s">
        <v>7</v>
      </c>
      <c r="H5680">
        <v>27647.24</v>
      </c>
      <c r="I5680">
        <v>6944.84</v>
      </c>
      <c r="J5680">
        <v>0</v>
      </c>
    </row>
    <row r="5681" spans="1:10" x14ac:dyDescent="0.35">
      <c r="A5681">
        <v>324591</v>
      </c>
      <c r="B5681" t="s">
        <v>20</v>
      </c>
      <c r="C5681">
        <v>2015</v>
      </c>
      <c r="D5681">
        <v>7</v>
      </c>
      <c r="E5681" t="s">
        <v>7</v>
      </c>
      <c r="F5681" t="s">
        <v>7</v>
      </c>
      <c r="G5681" t="s">
        <v>7</v>
      </c>
      <c r="H5681">
        <v>36245</v>
      </c>
      <c r="I5681">
        <v>10252.42</v>
      </c>
      <c r="J5681">
        <v>0</v>
      </c>
    </row>
    <row r="5682" spans="1:10" x14ac:dyDescent="0.35">
      <c r="A5682">
        <v>324592</v>
      </c>
      <c r="B5682" t="s">
        <v>20</v>
      </c>
      <c r="C5682">
        <v>2015</v>
      </c>
      <c r="D5682">
        <v>7</v>
      </c>
      <c r="E5682" t="s">
        <v>7</v>
      </c>
      <c r="F5682" t="s">
        <v>7</v>
      </c>
      <c r="G5682" t="s">
        <v>7</v>
      </c>
      <c r="H5682">
        <v>14051.62</v>
      </c>
      <c r="I5682">
        <v>3033.98</v>
      </c>
      <c r="J5682">
        <v>0</v>
      </c>
    </row>
    <row r="5683" spans="1:10" x14ac:dyDescent="0.35">
      <c r="A5683">
        <v>324593</v>
      </c>
      <c r="B5683" t="s">
        <v>20</v>
      </c>
      <c r="C5683">
        <v>2015</v>
      </c>
      <c r="D5683">
        <v>7</v>
      </c>
      <c r="E5683" t="s">
        <v>7</v>
      </c>
      <c r="F5683" t="s">
        <v>7</v>
      </c>
      <c r="G5683" t="s">
        <v>7</v>
      </c>
      <c r="H5683">
        <v>162209.4</v>
      </c>
      <c r="I5683">
        <v>47791.12</v>
      </c>
      <c r="J5683">
        <v>0</v>
      </c>
    </row>
    <row r="5684" spans="1:10" x14ac:dyDescent="0.35">
      <c r="A5684">
        <v>324596</v>
      </c>
      <c r="B5684" t="s">
        <v>20</v>
      </c>
      <c r="C5684">
        <v>2015</v>
      </c>
      <c r="D5684">
        <v>7</v>
      </c>
      <c r="E5684" t="s">
        <v>7</v>
      </c>
      <c r="F5684" t="s">
        <v>7</v>
      </c>
      <c r="G5684" t="s">
        <v>7</v>
      </c>
      <c r="H5684">
        <v>35942.879999999997</v>
      </c>
      <c r="I5684">
        <v>18260.79</v>
      </c>
      <c r="J5684">
        <v>0</v>
      </c>
    </row>
    <row r="5685" spans="1:10" x14ac:dyDescent="0.35">
      <c r="A5685">
        <v>324597</v>
      </c>
      <c r="B5685" t="s">
        <v>20</v>
      </c>
      <c r="C5685">
        <v>2015</v>
      </c>
      <c r="D5685">
        <v>7</v>
      </c>
      <c r="E5685" t="s">
        <v>7</v>
      </c>
      <c r="F5685" t="s">
        <v>7</v>
      </c>
      <c r="G5685" t="s">
        <v>7</v>
      </c>
      <c r="H5685">
        <v>45162.04</v>
      </c>
      <c r="I5685">
        <v>9994.61</v>
      </c>
      <c r="J5685">
        <v>0</v>
      </c>
    </row>
    <row r="5686" spans="1:10" x14ac:dyDescent="0.35">
      <c r="A5686">
        <v>324598</v>
      </c>
      <c r="B5686" t="s">
        <v>20</v>
      </c>
      <c r="C5686">
        <v>2015</v>
      </c>
      <c r="D5686">
        <v>7</v>
      </c>
      <c r="E5686" t="s">
        <v>7</v>
      </c>
      <c r="F5686" t="s">
        <v>7</v>
      </c>
      <c r="G5686" t="s">
        <v>7</v>
      </c>
      <c r="H5686">
        <v>30466.22</v>
      </c>
      <c r="I5686">
        <v>7960.31</v>
      </c>
      <c r="J5686">
        <v>0</v>
      </c>
    </row>
    <row r="5687" spans="1:10" x14ac:dyDescent="0.35">
      <c r="A5687">
        <v>324599</v>
      </c>
      <c r="B5687" t="s">
        <v>20</v>
      </c>
      <c r="C5687">
        <v>2015</v>
      </c>
      <c r="D5687">
        <v>7</v>
      </c>
      <c r="E5687" t="s">
        <v>7</v>
      </c>
      <c r="F5687" t="s">
        <v>7</v>
      </c>
      <c r="G5687" t="s">
        <v>7</v>
      </c>
      <c r="H5687">
        <v>57896.04</v>
      </c>
      <c r="I5687">
        <v>23719.72</v>
      </c>
      <c r="J5687">
        <v>0</v>
      </c>
    </row>
    <row r="5688" spans="1:10" x14ac:dyDescent="0.35">
      <c r="A5688">
        <v>324600</v>
      </c>
      <c r="B5688" t="s">
        <v>20</v>
      </c>
      <c r="C5688">
        <v>2015</v>
      </c>
      <c r="D5688">
        <v>7</v>
      </c>
      <c r="E5688" t="s">
        <v>7</v>
      </c>
      <c r="F5688" t="s">
        <v>7</v>
      </c>
      <c r="G5688" t="s">
        <v>7</v>
      </c>
      <c r="H5688">
        <v>70414.14</v>
      </c>
      <c r="I5688">
        <v>22463.599999999999</v>
      </c>
      <c r="J5688">
        <v>0</v>
      </c>
    </row>
    <row r="5689" spans="1:10" x14ac:dyDescent="0.35">
      <c r="A5689">
        <v>324601</v>
      </c>
      <c r="B5689" t="s">
        <v>20</v>
      </c>
      <c r="C5689">
        <v>2015</v>
      </c>
      <c r="D5689">
        <v>7</v>
      </c>
      <c r="E5689" t="s">
        <v>7</v>
      </c>
      <c r="F5689" t="s">
        <v>7</v>
      </c>
      <c r="G5689" t="s">
        <v>7</v>
      </c>
      <c r="H5689">
        <v>18580.439999999999</v>
      </c>
      <c r="I5689">
        <v>5954.19</v>
      </c>
      <c r="J5689">
        <v>0</v>
      </c>
    </row>
    <row r="5690" spans="1:10" x14ac:dyDescent="0.35">
      <c r="A5690">
        <v>324602</v>
      </c>
      <c r="B5690" t="s">
        <v>20</v>
      </c>
      <c r="C5690">
        <v>2015</v>
      </c>
      <c r="D5690">
        <v>7</v>
      </c>
      <c r="E5690" t="s">
        <v>7</v>
      </c>
      <c r="F5690" t="s">
        <v>7</v>
      </c>
      <c r="G5690" t="s">
        <v>7</v>
      </c>
      <c r="H5690">
        <v>17025.060000000001</v>
      </c>
      <c r="I5690">
        <v>3701.42</v>
      </c>
      <c r="J5690">
        <v>0</v>
      </c>
    </row>
    <row r="5691" spans="1:10" x14ac:dyDescent="0.35">
      <c r="A5691">
        <v>324603</v>
      </c>
      <c r="B5691" t="s">
        <v>20</v>
      </c>
      <c r="C5691">
        <v>2015</v>
      </c>
      <c r="D5691">
        <v>7</v>
      </c>
      <c r="E5691" t="s">
        <v>7</v>
      </c>
      <c r="F5691" t="s">
        <v>7</v>
      </c>
      <c r="G5691" t="s">
        <v>7</v>
      </c>
      <c r="H5691">
        <v>25058.76</v>
      </c>
      <c r="I5691">
        <v>5954.22</v>
      </c>
      <c r="J5691">
        <v>0</v>
      </c>
    </row>
    <row r="5692" spans="1:10" x14ac:dyDescent="0.35">
      <c r="A5692">
        <v>324604</v>
      </c>
      <c r="B5692" t="s">
        <v>20</v>
      </c>
      <c r="C5692">
        <v>2015</v>
      </c>
      <c r="D5692">
        <v>7</v>
      </c>
      <c r="E5692" t="s">
        <v>7</v>
      </c>
      <c r="F5692" t="s">
        <v>7</v>
      </c>
      <c r="G5692" t="s">
        <v>7</v>
      </c>
      <c r="H5692">
        <v>19674.46</v>
      </c>
      <c r="I5692">
        <v>4902.29</v>
      </c>
      <c r="J5692">
        <v>0</v>
      </c>
    </row>
    <row r="5693" spans="1:10" x14ac:dyDescent="0.35">
      <c r="A5693">
        <v>324609</v>
      </c>
      <c r="B5693" t="s">
        <v>20</v>
      </c>
      <c r="C5693">
        <v>2015</v>
      </c>
      <c r="D5693">
        <v>7</v>
      </c>
      <c r="E5693" t="s">
        <v>7</v>
      </c>
      <c r="F5693" t="s">
        <v>7</v>
      </c>
      <c r="G5693" t="s">
        <v>7</v>
      </c>
      <c r="H5693">
        <v>36135.22</v>
      </c>
      <c r="I5693">
        <v>11088</v>
      </c>
      <c r="J5693">
        <v>0</v>
      </c>
    </row>
    <row r="5694" spans="1:10" x14ac:dyDescent="0.35">
      <c r="A5694">
        <v>324610</v>
      </c>
      <c r="B5694" t="s">
        <v>20</v>
      </c>
      <c r="C5694">
        <v>2015</v>
      </c>
      <c r="D5694">
        <v>7</v>
      </c>
      <c r="E5694" t="s">
        <v>7</v>
      </c>
      <c r="F5694" t="s">
        <v>7</v>
      </c>
      <c r="G5694" t="s">
        <v>7</v>
      </c>
      <c r="H5694">
        <v>37761.72</v>
      </c>
      <c r="I5694">
        <v>10947.38</v>
      </c>
      <c r="J5694">
        <v>0</v>
      </c>
    </row>
    <row r="5695" spans="1:10" x14ac:dyDescent="0.35">
      <c r="A5695">
        <v>324611</v>
      </c>
      <c r="B5695" t="s">
        <v>20</v>
      </c>
      <c r="C5695">
        <v>2015</v>
      </c>
      <c r="D5695">
        <v>7</v>
      </c>
      <c r="E5695" t="s">
        <v>7</v>
      </c>
      <c r="F5695" t="s">
        <v>7</v>
      </c>
      <c r="G5695" t="s">
        <v>7</v>
      </c>
      <c r="H5695">
        <v>14201.04</v>
      </c>
      <c r="I5695">
        <v>2970.44</v>
      </c>
      <c r="J5695">
        <v>0</v>
      </c>
    </row>
    <row r="5696" spans="1:10" x14ac:dyDescent="0.35">
      <c r="A5696">
        <v>324613</v>
      </c>
      <c r="B5696" t="s">
        <v>20</v>
      </c>
      <c r="C5696">
        <v>2015</v>
      </c>
      <c r="D5696">
        <v>7</v>
      </c>
      <c r="E5696" t="s">
        <v>7</v>
      </c>
      <c r="F5696" t="s">
        <v>7</v>
      </c>
      <c r="G5696" t="s">
        <v>7</v>
      </c>
      <c r="H5696">
        <v>40787.94</v>
      </c>
      <c r="I5696">
        <v>12003.45</v>
      </c>
      <c r="J5696">
        <v>0</v>
      </c>
    </row>
    <row r="5697" spans="1:10" x14ac:dyDescent="0.35">
      <c r="A5697">
        <v>324614</v>
      </c>
      <c r="B5697" t="s">
        <v>20</v>
      </c>
      <c r="C5697">
        <v>2015</v>
      </c>
      <c r="D5697">
        <v>7</v>
      </c>
      <c r="E5697" t="s">
        <v>7</v>
      </c>
      <c r="F5697" t="s">
        <v>7</v>
      </c>
      <c r="G5697" t="s">
        <v>7</v>
      </c>
      <c r="H5697">
        <v>161793.9</v>
      </c>
      <c r="I5697">
        <v>65795.78</v>
      </c>
      <c r="J5697">
        <v>0</v>
      </c>
    </row>
    <row r="5698" spans="1:10" x14ac:dyDescent="0.35">
      <c r="A5698">
        <v>324615</v>
      </c>
      <c r="B5698" t="s">
        <v>20</v>
      </c>
      <c r="C5698">
        <v>2015</v>
      </c>
      <c r="D5698">
        <v>7</v>
      </c>
      <c r="E5698" t="s">
        <v>7</v>
      </c>
      <c r="F5698" t="s">
        <v>7</v>
      </c>
      <c r="G5698" t="s">
        <v>7</v>
      </c>
      <c r="H5698">
        <v>28166.02</v>
      </c>
      <c r="I5698">
        <v>8274.86</v>
      </c>
      <c r="J5698">
        <v>0</v>
      </c>
    </row>
    <row r="5699" spans="1:10" x14ac:dyDescent="0.35">
      <c r="A5699">
        <v>324616</v>
      </c>
      <c r="B5699" t="s">
        <v>20</v>
      </c>
      <c r="C5699">
        <v>2015</v>
      </c>
      <c r="D5699">
        <v>7</v>
      </c>
      <c r="E5699" t="s">
        <v>7</v>
      </c>
      <c r="F5699" t="s">
        <v>7</v>
      </c>
      <c r="G5699" t="s">
        <v>7</v>
      </c>
      <c r="H5699">
        <v>35429.120000000003</v>
      </c>
      <c r="I5699">
        <v>9386.9599999999991</v>
      </c>
      <c r="J5699">
        <v>0</v>
      </c>
    </row>
    <row r="5700" spans="1:10" x14ac:dyDescent="0.35">
      <c r="A5700">
        <v>324617</v>
      </c>
      <c r="B5700" t="s">
        <v>20</v>
      </c>
      <c r="C5700">
        <v>2015</v>
      </c>
      <c r="D5700">
        <v>7</v>
      </c>
      <c r="E5700" t="s">
        <v>7</v>
      </c>
      <c r="F5700" t="s">
        <v>7</v>
      </c>
      <c r="G5700" t="s">
        <v>7</v>
      </c>
      <c r="H5700">
        <v>40487.839999999997</v>
      </c>
      <c r="I5700">
        <v>13178.25</v>
      </c>
      <c r="J5700">
        <v>0</v>
      </c>
    </row>
    <row r="5701" spans="1:10" x14ac:dyDescent="0.35">
      <c r="A5701">
        <v>324618</v>
      </c>
      <c r="B5701" t="s">
        <v>20</v>
      </c>
      <c r="C5701">
        <v>2015</v>
      </c>
      <c r="D5701">
        <v>7</v>
      </c>
      <c r="E5701" t="s">
        <v>7</v>
      </c>
      <c r="F5701" t="s">
        <v>7</v>
      </c>
      <c r="G5701" t="s">
        <v>7</v>
      </c>
      <c r="H5701">
        <v>31565.56</v>
      </c>
      <c r="I5701">
        <v>9500.9699999999993</v>
      </c>
      <c r="J5701">
        <v>0</v>
      </c>
    </row>
    <row r="5702" spans="1:10" x14ac:dyDescent="0.35">
      <c r="A5702">
        <v>324621</v>
      </c>
      <c r="B5702" t="s">
        <v>20</v>
      </c>
      <c r="C5702">
        <v>2015</v>
      </c>
      <c r="D5702">
        <v>7</v>
      </c>
      <c r="E5702" t="s">
        <v>7</v>
      </c>
      <c r="F5702" t="s">
        <v>7</v>
      </c>
      <c r="G5702" t="s">
        <v>7</v>
      </c>
      <c r="H5702">
        <v>25633.08</v>
      </c>
      <c r="I5702">
        <v>7337.11</v>
      </c>
      <c r="J5702">
        <v>0</v>
      </c>
    </row>
    <row r="5703" spans="1:10" x14ac:dyDescent="0.35">
      <c r="A5703">
        <v>324622</v>
      </c>
      <c r="B5703" t="s">
        <v>20</v>
      </c>
      <c r="C5703">
        <v>2015</v>
      </c>
      <c r="D5703">
        <v>7</v>
      </c>
      <c r="E5703" t="s">
        <v>7</v>
      </c>
      <c r="F5703" t="s">
        <v>7</v>
      </c>
      <c r="G5703" t="s">
        <v>7</v>
      </c>
      <c r="H5703">
        <v>154583.18</v>
      </c>
      <c r="I5703">
        <v>50850.01</v>
      </c>
      <c r="J5703">
        <v>0</v>
      </c>
    </row>
    <row r="5704" spans="1:10" x14ac:dyDescent="0.35">
      <c r="A5704">
        <v>324623</v>
      </c>
      <c r="B5704" t="s">
        <v>20</v>
      </c>
      <c r="C5704">
        <v>2015</v>
      </c>
      <c r="D5704">
        <v>7</v>
      </c>
      <c r="E5704" t="s">
        <v>7</v>
      </c>
      <c r="F5704" t="s">
        <v>7</v>
      </c>
      <c r="G5704" t="s">
        <v>7</v>
      </c>
      <c r="H5704">
        <v>26155.64</v>
      </c>
      <c r="I5704">
        <v>8152.21</v>
      </c>
      <c r="J5704">
        <v>0</v>
      </c>
    </row>
    <row r="5705" spans="1:10" x14ac:dyDescent="0.35">
      <c r="A5705">
        <v>324627</v>
      </c>
      <c r="B5705" t="s">
        <v>20</v>
      </c>
      <c r="C5705">
        <v>2015</v>
      </c>
      <c r="D5705">
        <v>7</v>
      </c>
      <c r="E5705" t="s">
        <v>7</v>
      </c>
      <c r="F5705" t="s">
        <v>7</v>
      </c>
      <c r="G5705" t="s">
        <v>7</v>
      </c>
      <c r="H5705">
        <v>134302.94</v>
      </c>
      <c r="I5705">
        <v>58233.3</v>
      </c>
      <c r="J5705">
        <v>0</v>
      </c>
    </row>
    <row r="5706" spans="1:10" x14ac:dyDescent="0.35">
      <c r="A5706">
        <v>324628</v>
      </c>
      <c r="B5706" t="s">
        <v>20</v>
      </c>
      <c r="C5706">
        <v>2015</v>
      </c>
      <c r="D5706">
        <v>7</v>
      </c>
      <c r="E5706" t="s">
        <v>7</v>
      </c>
      <c r="F5706" t="s">
        <v>7</v>
      </c>
      <c r="G5706" t="s">
        <v>7</v>
      </c>
      <c r="H5706">
        <v>11908.9</v>
      </c>
      <c r="I5706">
        <v>2817.94</v>
      </c>
      <c r="J5706">
        <v>0</v>
      </c>
    </row>
    <row r="5707" spans="1:10" x14ac:dyDescent="0.35">
      <c r="A5707">
        <v>324629</v>
      </c>
      <c r="B5707" t="s">
        <v>20</v>
      </c>
      <c r="C5707">
        <v>2015</v>
      </c>
      <c r="D5707">
        <v>7</v>
      </c>
      <c r="E5707" t="s">
        <v>7</v>
      </c>
      <c r="F5707" t="s">
        <v>7</v>
      </c>
      <c r="G5707" t="s">
        <v>7</v>
      </c>
      <c r="H5707">
        <v>44457.24</v>
      </c>
      <c r="I5707">
        <v>12403.39</v>
      </c>
      <c r="J5707">
        <v>0</v>
      </c>
    </row>
    <row r="5708" spans="1:10" x14ac:dyDescent="0.35">
      <c r="A5708">
        <v>324630</v>
      </c>
      <c r="B5708" t="s">
        <v>20</v>
      </c>
      <c r="C5708">
        <v>2015</v>
      </c>
      <c r="D5708">
        <v>7</v>
      </c>
      <c r="E5708" t="s">
        <v>7</v>
      </c>
      <c r="F5708" t="s">
        <v>7</v>
      </c>
      <c r="G5708" t="s">
        <v>7</v>
      </c>
      <c r="H5708">
        <v>67147.08</v>
      </c>
      <c r="I5708">
        <v>25623.83</v>
      </c>
      <c r="J5708">
        <v>0</v>
      </c>
    </row>
    <row r="5709" spans="1:10" x14ac:dyDescent="0.35">
      <c r="A5709">
        <v>324632</v>
      </c>
      <c r="B5709" t="s">
        <v>20</v>
      </c>
      <c r="C5709">
        <v>2015</v>
      </c>
      <c r="D5709">
        <v>7</v>
      </c>
      <c r="E5709" t="s">
        <v>7</v>
      </c>
      <c r="F5709" t="s">
        <v>7</v>
      </c>
      <c r="G5709" t="s">
        <v>7</v>
      </c>
      <c r="H5709">
        <v>13838.12</v>
      </c>
      <c r="I5709">
        <v>3586.72</v>
      </c>
      <c r="J5709">
        <v>0</v>
      </c>
    </row>
    <row r="5710" spans="1:10" x14ac:dyDescent="0.35">
      <c r="A5710">
        <v>324637</v>
      </c>
      <c r="B5710" t="s">
        <v>20</v>
      </c>
      <c r="C5710">
        <v>2015</v>
      </c>
      <c r="D5710">
        <v>7</v>
      </c>
      <c r="E5710" t="s">
        <v>7</v>
      </c>
      <c r="F5710" t="s">
        <v>7</v>
      </c>
      <c r="G5710" t="s">
        <v>7</v>
      </c>
      <c r="H5710">
        <v>80122.559999999998</v>
      </c>
      <c r="I5710">
        <v>24830.38</v>
      </c>
      <c r="J5710">
        <v>0</v>
      </c>
    </row>
    <row r="5711" spans="1:10" x14ac:dyDescent="0.35">
      <c r="A5711">
        <v>324639</v>
      </c>
      <c r="B5711" t="s">
        <v>20</v>
      </c>
      <c r="C5711">
        <v>2015</v>
      </c>
      <c r="D5711">
        <v>7</v>
      </c>
      <c r="E5711" t="s">
        <v>7</v>
      </c>
      <c r="F5711" t="s">
        <v>7</v>
      </c>
      <c r="G5711" t="s">
        <v>7</v>
      </c>
      <c r="H5711">
        <v>12054.96</v>
      </c>
      <c r="I5711">
        <v>2578.52</v>
      </c>
      <c r="J5711">
        <v>0</v>
      </c>
    </row>
    <row r="5712" spans="1:10" x14ac:dyDescent="0.35">
      <c r="A5712">
        <v>324640</v>
      </c>
      <c r="B5712" t="s">
        <v>20</v>
      </c>
      <c r="C5712">
        <v>2015</v>
      </c>
      <c r="D5712">
        <v>7</v>
      </c>
      <c r="E5712" t="s">
        <v>7</v>
      </c>
      <c r="F5712" t="s">
        <v>7</v>
      </c>
      <c r="G5712" t="s">
        <v>7</v>
      </c>
      <c r="H5712">
        <v>16329.26</v>
      </c>
      <c r="I5712">
        <v>4664.8100000000004</v>
      </c>
      <c r="J5712">
        <v>0</v>
      </c>
    </row>
    <row r="5713" spans="1:10" x14ac:dyDescent="0.35">
      <c r="A5713">
        <v>324641</v>
      </c>
      <c r="B5713" t="s">
        <v>20</v>
      </c>
      <c r="C5713">
        <v>2015</v>
      </c>
      <c r="D5713">
        <v>7</v>
      </c>
      <c r="E5713" t="s">
        <v>7</v>
      </c>
      <c r="F5713" t="s">
        <v>7</v>
      </c>
      <c r="G5713" t="s">
        <v>7</v>
      </c>
      <c r="H5713">
        <v>19467.3</v>
      </c>
      <c r="I5713">
        <v>5630.65</v>
      </c>
      <c r="J5713">
        <v>0</v>
      </c>
    </row>
    <row r="5714" spans="1:10" x14ac:dyDescent="0.35">
      <c r="A5714">
        <v>324643</v>
      </c>
      <c r="B5714" t="s">
        <v>20</v>
      </c>
      <c r="C5714">
        <v>2015</v>
      </c>
      <c r="D5714">
        <v>7</v>
      </c>
      <c r="E5714" t="s">
        <v>7</v>
      </c>
      <c r="F5714" t="s">
        <v>7</v>
      </c>
      <c r="G5714" t="s">
        <v>7</v>
      </c>
      <c r="H5714">
        <v>72411.56</v>
      </c>
      <c r="I5714">
        <v>39080.82</v>
      </c>
      <c r="J5714">
        <v>0</v>
      </c>
    </row>
    <row r="5715" spans="1:10" x14ac:dyDescent="0.35">
      <c r="A5715">
        <v>324644</v>
      </c>
      <c r="B5715" t="s">
        <v>20</v>
      </c>
      <c r="C5715">
        <v>2015</v>
      </c>
      <c r="D5715">
        <v>7</v>
      </c>
      <c r="E5715" t="s">
        <v>7</v>
      </c>
      <c r="F5715" t="s">
        <v>7</v>
      </c>
      <c r="G5715" t="s">
        <v>7</v>
      </c>
      <c r="H5715">
        <v>13513.2</v>
      </c>
      <c r="I5715">
        <v>4358.43</v>
      </c>
      <c r="J5715">
        <v>0</v>
      </c>
    </row>
    <row r="5716" spans="1:10" x14ac:dyDescent="0.35">
      <c r="A5716">
        <v>324646</v>
      </c>
      <c r="B5716" t="s">
        <v>20</v>
      </c>
      <c r="C5716">
        <v>2015</v>
      </c>
      <c r="D5716">
        <v>7</v>
      </c>
      <c r="E5716" t="s">
        <v>7</v>
      </c>
      <c r="F5716" t="s">
        <v>7</v>
      </c>
      <c r="G5716" t="s">
        <v>7</v>
      </c>
      <c r="H5716">
        <v>7457.5</v>
      </c>
      <c r="I5716">
        <v>2063.3000000000002</v>
      </c>
      <c r="J5716">
        <v>0</v>
      </c>
    </row>
    <row r="5717" spans="1:10" x14ac:dyDescent="0.35">
      <c r="A5717">
        <v>324648</v>
      </c>
      <c r="B5717" t="s">
        <v>20</v>
      </c>
      <c r="C5717">
        <v>2015</v>
      </c>
      <c r="D5717">
        <v>7</v>
      </c>
      <c r="E5717" t="s">
        <v>7</v>
      </c>
      <c r="F5717" t="s">
        <v>7</v>
      </c>
      <c r="G5717" t="s">
        <v>7</v>
      </c>
      <c r="H5717">
        <v>40307.160000000003</v>
      </c>
      <c r="I5717">
        <v>12378.53</v>
      </c>
      <c r="J5717">
        <v>0</v>
      </c>
    </row>
    <row r="5718" spans="1:10" x14ac:dyDescent="0.35">
      <c r="A5718">
        <v>324649</v>
      </c>
      <c r="B5718" t="s">
        <v>20</v>
      </c>
      <c r="C5718">
        <v>2015</v>
      </c>
      <c r="D5718">
        <v>7</v>
      </c>
      <c r="E5718" t="s">
        <v>7</v>
      </c>
      <c r="F5718" t="s">
        <v>7</v>
      </c>
      <c r="G5718" t="s">
        <v>7</v>
      </c>
      <c r="H5718">
        <v>30937.9</v>
      </c>
      <c r="I5718">
        <v>9320.16</v>
      </c>
      <c r="J5718">
        <v>0</v>
      </c>
    </row>
    <row r="5719" spans="1:10" x14ac:dyDescent="0.35">
      <c r="A5719">
        <v>324653</v>
      </c>
      <c r="B5719" t="s">
        <v>20</v>
      </c>
      <c r="C5719">
        <v>2015</v>
      </c>
      <c r="D5719">
        <v>7</v>
      </c>
      <c r="E5719" t="s">
        <v>7</v>
      </c>
      <c r="F5719" t="s">
        <v>7</v>
      </c>
      <c r="G5719" t="s">
        <v>7</v>
      </c>
      <c r="H5719">
        <v>29592.36</v>
      </c>
      <c r="I5719">
        <v>5312.25</v>
      </c>
      <c r="J5719">
        <v>0</v>
      </c>
    </row>
    <row r="5720" spans="1:10" x14ac:dyDescent="0.35">
      <c r="A5720">
        <v>324654</v>
      </c>
      <c r="B5720" t="s">
        <v>20</v>
      </c>
      <c r="C5720">
        <v>2015</v>
      </c>
      <c r="D5720">
        <v>7</v>
      </c>
      <c r="E5720" t="s">
        <v>7</v>
      </c>
      <c r="F5720" t="s">
        <v>7</v>
      </c>
      <c r="G5720" t="s">
        <v>7</v>
      </c>
      <c r="H5720">
        <v>20771.32</v>
      </c>
      <c r="I5720">
        <v>4981.1899999999996</v>
      </c>
      <c r="J5720">
        <v>0</v>
      </c>
    </row>
    <row r="5721" spans="1:10" x14ac:dyDescent="0.35">
      <c r="A5721">
        <v>324656</v>
      </c>
      <c r="B5721" t="s">
        <v>20</v>
      </c>
      <c r="C5721">
        <v>2015</v>
      </c>
      <c r="D5721">
        <v>7</v>
      </c>
      <c r="E5721" t="s">
        <v>7</v>
      </c>
      <c r="F5721" t="s">
        <v>7</v>
      </c>
      <c r="G5721" t="s">
        <v>7</v>
      </c>
      <c r="H5721">
        <v>25218.1</v>
      </c>
      <c r="I5721">
        <v>6801.91</v>
      </c>
      <c r="J5721">
        <v>0</v>
      </c>
    </row>
    <row r="5722" spans="1:10" x14ac:dyDescent="0.35">
      <c r="A5722">
        <v>324658</v>
      </c>
      <c r="B5722" t="s">
        <v>20</v>
      </c>
      <c r="C5722">
        <v>2015</v>
      </c>
      <c r="D5722">
        <v>7</v>
      </c>
      <c r="E5722" t="s">
        <v>7</v>
      </c>
      <c r="F5722" t="s">
        <v>7</v>
      </c>
      <c r="G5722" t="s">
        <v>7</v>
      </c>
      <c r="H5722">
        <v>28645.360000000001</v>
      </c>
      <c r="I5722">
        <v>7455.42</v>
      </c>
      <c r="J5722">
        <v>0</v>
      </c>
    </row>
    <row r="5723" spans="1:10" x14ac:dyDescent="0.35">
      <c r="A5723">
        <v>324659</v>
      </c>
      <c r="B5723" t="s">
        <v>20</v>
      </c>
      <c r="C5723">
        <v>2015</v>
      </c>
      <c r="D5723">
        <v>7</v>
      </c>
      <c r="E5723" t="s">
        <v>7</v>
      </c>
      <c r="F5723" t="s">
        <v>7</v>
      </c>
      <c r="G5723" t="s">
        <v>7</v>
      </c>
      <c r="H5723">
        <v>17878.22</v>
      </c>
      <c r="I5723">
        <v>4753.43</v>
      </c>
      <c r="J5723">
        <v>0</v>
      </c>
    </row>
    <row r="5724" spans="1:10" x14ac:dyDescent="0.35">
      <c r="A5724">
        <v>324660</v>
      </c>
      <c r="B5724" t="s">
        <v>20</v>
      </c>
      <c r="C5724">
        <v>2015</v>
      </c>
      <c r="D5724">
        <v>7</v>
      </c>
      <c r="E5724" t="s">
        <v>7</v>
      </c>
      <c r="F5724" t="s">
        <v>7</v>
      </c>
      <c r="G5724" t="s">
        <v>7</v>
      </c>
      <c r="H5724">
        <v>23180</v>
      </c>
      <c r="I5724">
        <v>6540.99</v>
      </c>
      <c r="J5724">
        <v>0</v>
      </c>
    </row>
    <row r="5725" spans="1:10" x14ac:dyDescent="0.35">
      <c r="A5725">
        <v>324662</v>
      </c>
      <c r="B5725" t="s">
        <v>20</v>
      </c>
      <c r="C5725">
        <v>2015</v>
      </c>
      <c r="D5725">
        <v>7</v>
      </c>
      <c r="E5725" t="s">
        <v>7</v>
      </c>
      <c r="F5725" t="s">
        <v>7</v>
      </c>
      <c r="G5725" t="s">
        <v>7</v>
      </c>
      <c r="H5725">
        <v>54028.74</v>
      </c>
      <c r="I5725">
        <v>24466.48</v>
      </c>
      <c r="J5725">
        <v>0</v>
      </c>
    </row>
    <row r="5726" spans="1:10" x14ac:dyDescent="0.35">
      <c r="A5726">
        <v>324663</v>
      </c>
      <c r="B5726" t="s">
        <v>20</v>
      </c>
      <c r="C5726">
        <v>2015</v>
      </c>
      <c r="D5726">
        <v>7</v>
      </c>
      <c r="E5726" t="s">
        <v>7</v>
      </c>
      <c r="F5726" t="s">
        <v>7</v>
      </c>
      <c r="G5726" t="s">
        <v>7</v>
      </c>
      <c r="H5726">
        <v>40075.120000000003</v>
      </c>
      <c r="I5726">
        <v>17480.96</v>
      </c>
      <c r="J5726">
        <v>0</v>
      </c>
    </row>
    <row r="5727" spans="1:10" x14ac:dyDescent="0.35">
      <c r="A5727">
        <v>324664</v>
      </c>
      <c r="B5727" t="s">
        <v>20</v>
      </c>
      <c r="C5727">
        <v>2015</v>
      </c>
      <c r="D5727">
        <v>7</v>
      </c>
      <c r="E5727" t="s">
        <v>7</v>
      </c>
      <c r="F5727" t="s">
        <v>7</v>
      </c>
      <c r="G5727" t="s">
        <v>7</v>
      </c>
      <c r="H5727">
        <v>58320</v>
      </c>
      <c r="I5727">
        <v>18045.59</v>
      </c>
      <c r="J5727">
        <v>0</v>
      </c>
    </row>
    <row r="5728" spans="1:10" x14ac:dyDescent="0.35">
      <c r="A5728">
        <v>324666</v>
      </c>
      <c r="B5728" t="s">
        <v>20</v>
      </c>
      <c r="C5728">
        <v>2015</v>
      </c>
      <c r="D5728">
        <v>7</v>
      </c>
      <c r="E5728" t="s">
        <v>7</v>
      </c>
      <c r="F5728" t="s">
        <v>7</v>
      </c>
      <c r="G5728" t="s">
        <v>7</v>
      </c>
      <c r="H5728">
        <v>20260.560000000001</v>
      </c>
      <c r="I5728">
        <v>5920.45</v>
      </c>
      <c r="J5728">
        <v>0</v>
      </c>
    </row>
    <row r="5729" spans="1:10" x14ac:dyDescent="0.35">
      <c r="A5729">
        <v>324668</v>
      </c>
      <c r="B5729" t="s">
        <v>20</v>
      </c>
      <c r="C5729">
        <v>2015</v>
      </c>
      <c r="D5729">
        <v>7</v>
      </c>
      <c r="E5729" t="s">
        <v>7</v>
      </c>
      <c r="F5729" t="s">
        <v>7</v>
      </c>
      <c r="G5729" t="s">
        <v>7</v>
      </c>
      <c r="H5729">
        <v>32596.14</v>
      </c>
      <c r="I5729">
        <v>8850.67</v>
      </c>
      <c r="J5729">
        <v>0</v>
      </c>
    </row>
    <row r="5730" spans="1:10" x14ac:dyDescent="0.35">
      <c r="A5730">
        <v>324670</v>
      </c>
      <c r="B5730" t="s">
        <v>20</v>
      </c>
      <c r="C5730">
        <v>2015</v>
      </c>
      <c r="D5730">
        <v>7</v>
      </c>
      <c r="E5730" t="s">
        <v>7</v>
      </c>
      <c r="F5730" t="s">
        <v>7</v>
      </c>
      <c r="G5730" t="s">
        <v>7</v>
      </c>
      <c r="H5730">
        <v>58774.1</v>
      </c>
      <c r="I5730">
        <v>14132.79</v>
      </c>
      <c r="J5730">
        <v>0</v>
      </c>
    </row>
    <row r="5731" spans="1:10" x14ac:dyDescent="0.35">
      <c r="A5731">
        <v>324671</v>
      </c>
      <c r="B5731" t="s">
        <v>20</v>
      </c>
      <c r="C5731">
        <v>2015</v>
      </c>
      <c r="D5731">
        <v>7</v>
      </c>
      <c r="E5731" t="s">
        <v>7</v>
      </c>
      <c r="F5731" t="s">
        <v>7</v>
      </c>
      <c r="G5731" t="s">
        <v>7</v>
      </c>
      <c r="H5731">
        <v>11843.42</v>
      </c>
      <c r="I5731">
        <v>3009.16</v>
      </c>
      <c r="J5731">
        <v>0</v>
      </c>
    </row>
    <row r="5732" spans="1:10" x14ac:dyDescent="0.35">
      <c r="A5732">
        <v>324674</v>
      </c>
      <c r="B5732" t="s">
        <v>20</v>
      </c>
      <c r="C5732">
        <v>2015</v>
      </c>
      <c r="D5732">
        <v>7</v>
      </c>
      <c r="E5732" t="s">
        <v>7</v>
      </c>
      <c r="F5732" t="s">
        <v>7</v>
      </c>
      <c r="G5732" t="s">
        <v>7</v>
      </c>
      <c r="H5732">
        <v>79837.919999999998</v>
      </c>
      <c r="I5732">
        <v>22234.47</v>
      </c>
      <c r="J5732">
        <v>0</v>
      </c>
    </row>
    <row r="5733" spans="1:10" x14ac:dyDescent="0.35">
      <c r="A5733">
        <v>324675</v>
      </c>
      <c r="B5733" t="s">
        <v>20</v>
      </c>
      <c r="C5733">
        <v>2015</v>
      </c>
      <c r="D5733">
        <v>7</v>
      </c>
      <c r="E5733" t="s">
        <v>7</v>
      </c>
      <c r="F5733" t="s">
        <v>7</v>
      </c>
      <c r="G5733" t="s">
        <v>7</v>
      </c>
      <c r="H5733">
        <v>48078.68</v>
      </c>
      <c r="I5733">
        <v>14797.91</v>
      </c>
      <c r="J5733">
        <v>0</v>
      </c>
    </row>
    <row r="5734" spans="1:10" x14ac:dyDescent="0.35">
      <c r="A5734">
        <v>324678</v>
      </c>
      <c r="B5734" t="s">
        <v>20</v>
      </c>
      <c r="C5734">
        <v>2015</v>
      </c>
      <c r="D5734">
        <v>7</v>
      </c>
      <c r="E5734" t="s">
        <v>7</v>
      </c>
      <c r="F5734" t="s">
        <v>7</v>
      </c>
      <c r="G5734" t="s">
        <v>7</v>
      </c>
      <c r="H5734">
        <v>43959.64</v>
      </c>
      <c r="I5734">
        <v>13662.2</v>
      </c>
      <c r="J5734">
        <v>0</v>
      </c>
    </row>
    <row r="5735" spans="1:10" x14ac:dyDescent="0.35">
      <c r="A5735">
        <v>324679</v>
      </c>
      <c r="B5735" t="s">
        <v>20</v>
      </c>
      <c r="C5735">
        <v>2015</v>
      </c>
      <c r="D5735">
        <v>7</v>
      </c>
      <c r="E5735" t="s">
        <v>7</v>
      </c>
      <c r="F5735" t="s">
        <v>7</v>
      </c>
      <c r="G5735" t="s">
        <v>7</v>
      </c>
      <c r="H5735">
        <v>21322.82</v>
      </c>
      <c r="I5735">
        <v>5056.1499999999996</v>
      </c>
      <c r="J5735">
        <v>0</v>
      </c>
    </row>
    <row r="5736" spans="1:10" x14ac:dyDescent="0.35">
      <c r="A5736">
        <v>324681</v>
      </c>
      <c r="B5736" t="s">
        <v>20</v>
      </c>
      <c r="C5736">
        <v>2015</v>
      </c>
      <c r="D5736">
        <v>7</v>
      </c>
      <c r="E5736" t="s">
        <v>7</v>
      </c>
      <c r="F5736" t="s">
        <v>7</v>
      </c>
      <c r="G5736" t="s">
        <v>7</v>
      </c>
      <c r="H5736">
        <v>14083.16</v>
      </c>
      <c r="I5736">
        <v>3093.36</v>
      </c>
      <c r="J5736">
        <v>0</v>
      </c>
    </row>
    <row r="5737" spans="1:10" x14ac:dyDescent="0.35">
      <c r="A5737">
        <v>324685</v>
      </c>
      <c r="B5737" t="s">
        <v>20</v>
      </c>
      <c r="C5737">
        <v>2015</v>
      </c>
      <c r="D5737">
        <v>7</v>
      </c>
      <c r="E5737" t="s">
        <v>7</v>
      </c>
      <c r="F5737" t="s">
        <v>7</v>
      </c>
      <c r="G5737" t="s">
        <v>7</v>
      </c>
      <c r="H5737">
        <v>11476.06</v>
      </c>
      <c r="I5737">
        <v>2939.08</v>
      </c>
      <c r="J5737">
        <v>0</v>
      </c>
    </row>
    <row r="5738" spans="1:10" x14ac:dyDescent="0.35">
      <c r="A5738">
        <v>324688</v>
      </c>
      <c r="B5738" t="s">
        <v>20</v>
      </c>
      <c r="C5738">
        <v>2015</v>
      </c>
      <c r="D5738">
        <v>7</v>
      </c>
      <c r="E5738" t="s">
        <v>7</v>
      </c>
      <c r="F5738" t="s">
        <v>7</v>
      </c>
      <c r="G5738" t="s">
        <v>7</v>
      </c>
      <c r="H5738">
        <v>58560.24</v>
      </c>
      <c r="I5738">
        <v>19566.46</v>
      </c>
      <c r="J5738">
        <v>0</v>
      </c>
    </row>
    <row r="5739" spans="1:10" x14ac:dyDescent="0.35">
      <c r="A5739">
        <v>324689</v>
      </c>
      <c r="B5739" t="s">
        <v>20</v>
      </c>
      <c r="C5739">
        <v>2015</v>
      </c>
      <c r="D5739">
        <v>7</v>
      </c>
      <c r="E5739" t="s">
        <v>7</v>
      </c>
      <c r="F5739" t="s">
        <v>7</v>
      </c>
      <c r="G5739" t="s">
        <v>7</v>
      </c>
      <c r="H5739">
        <v>20067.32</v>
      </c>
      <c r="I5739">
        <v>5617.22</v>
      </c>
      <c r="J5739">
        <v>0</v>
      </c>
    </row>
    <row r="5740" spans="1:10" x14ac:dyDescent="0.35">
      <c r="A5740">
        <v>324691</v>
      </c>
      <c r="B5740" t="s">
        <v>20</v>
      </c>
      <c r="C5740">
        <v>2015</v>
      </c>
      <c r="D5740">
        <v>7</v>
      </c>
      <c r="E5740" t="s">
        <v>7</v>
      </c>
      <c r="F5740" t="s">
        <v>7</v>
      </c>
      <c r="G5740" t="s">
        <v>7</v>
      </c>
      <c r="H5740">
        <v>18416.14</v>
      </c>
      <c r="I5740">
        <v>4734.59</v>
      </c>
      <c r="J5740">
        <v>0</v>
      </c>
    </row>
    <row r="5741" spans="1:10" x14ac:dyDescent="0.35">
      <c r="A5741">
        <v>324692</v>
      </c>
      <c r="B5741" t="s">
        <v>20</v>
      </c>
      <c r="C5741">
        <v>2015</v>
      </c>
      <c r="D5741">
        <v>7</v>
      </c>
      <c r="E5741" t="s">
        <v>7</v>
      </c>
      <c r="F5741" t="s">
        <v>7</v>
      </c>
      <c r="G5741" t="s">
        <v>7</v>
      </c>
      <c r="H5741">
        <v>43731.1</v>
      </c>
      <c r="I5741">
        <v>13869.96</v>
      </c>
      <c r="J5741">
        <v>0</v>
      </c>
    </row>
    <row r="5742" spans="1:10" x14ac:dyDescent="0.35">
      <c r="A5742">
        <v>324693</v>
      </c>
      <c r="B5742" t="s">
        <v>20</v>
      </c>
      <c r="C5742">
        <v>2015</v>
      </c>
      <c r="D5742">
        <v>7</v>
      </c>
      <c r="E5742" t="s">
        <v>7</v>
      </c>
      <c r="F5742" t="s">
        <v>7</v>
      </c>
      <c r="G5742" t="s">
        <v>7</v>
      </c>
      <c r="H5742">
        <v>51445.48</v>
      </c>
      <c r="I5742">
        <v>16142.37</v>
      </c>
      <c r="J5742">
        <v>0</v>
      </c>
    </row>
    <row r="5743" spans="1:10" x14ac:dyDescent="0.35">
      <c r="A5743">
        <v>324694</v>
      </c>
      <c r="B5743" t="s">
        <v>20</v>
      </c>
      <c r="C5743">
        <v>2015</v>
      </c>
      <c r="D5743">
        <v>7</v>
      </c>
      <c r="E5743" t="s">
        <v>7</v>
      </c>
      <c r="F5743" t="s">
        <v>7</v>
      </c>
      <c r="G5743" t="s">
        <v>7</v>
      </c>
      <c r="H5743">
        <v>52865.8</v>
      </c>
      <c r="I5743">
        <v>15088.7</v>
      </c>
      <c r="J5743">
        <v>0</v>
      </c>
    </row>
    <row r="5744" spans="1:10" x14ac:dyDescent="0.35">
      <c r="A5744">
        <v>324695</v>
      </c>
      <c r="B5744" t="s">
        <v>20</v>
      </c>
      <c r="C5744">
        <v>2015</v>
      </c>
      <c r="D5744">
        <v>7</v>
      </c>
      <c r="E5744" t="s">
        <v>7</v>
      </c>
      <c r="F5744" t="s">
        <v>7</v>
      </c>
      <c r="G5744" t="s">
        <v>7</v>
      </c>
      <c r="H5744">
        <v>84452.28</v>
      </c>
      <c r="I5744">
        <v>41167.08</v>
      </c>
      <c r="J5744">
        <v>0</v>
      </c>
    </row>
    <row r="5745" spans="1:10" x14ac:dyDescent="0.35">
      <c r="A5745">
        <v>324697</v>
      </c>
      <c r="B5745" t="s">
        <v>20</v>
      </c>
      <c r="C5745">
        <v>2015</v>
      </c>
      <c r="D5745">
        <v>7</v>
      </c>
      <c r="E5745" t="s">
        <v>7</v>
      </c>
      <c r="F5745" t="s">
        <v>7</v>
      </c>
      <c r="G5745" t="s">
        <v>7</v>
      </c>
      <c r="H5745">
        <v>27707.06</v>
      </c>
      <c r="I5745">
        <v>6315.46</v>
      </c>
      <c r="J5745">
        <v>0</v>
      </c>
    </row>
    <row r="5746" spans="1:10" x14ac:dyDescent="0.35">
      <c r="A5746">
        <v>324698</v>
      </c>
      <c r="B5746" t="s">
        <v>20</v>
      </c>
      <c r="C5746">
        <v>2015</v>
      </c>
      <c r="D5746">
        <v>7</v>
      </c>
      <c r="E5746" t="s">
        <v>7</v>
      </c>
      <c r="F5746" t="s">
        <v>7</v>
      </c>
      <c r="G5746" t="s">
        <v>7</v>
      </c>
      <c r="H5746">
        <v>9129.1</v>
      </c>
      <c r="I5746">
        <v>2439.9699999999998</v>
      </c>
      <c r="J5746">
        <v>0</v>
      </c>
    </row>
    <row r="5747" spans="1:10" x14ac:dyDescent="0.35">
      <c r="A5747">
        <v>324699</v>
      </c>
      <c r="B5747" t="s">
        <v>20</v>
      </c>
      <c r="C5747">
        <v>2015</v>
      </c>
      <c r="D5747">
        <v>7</v>
      </c>
      <c r="E5747" t="s">
        <v>7</v>
      </c>
      <c r="F5747" t="s">
        <v>7</v>
      </c>
      <c r="G5747" t="s">
        <v>7</v>
      </c>
      <c r="H5747">
        <v>59935.12</v>
      </c>
      <c r="I5747">
        <v>25062.63</v>
      </c>
      <c r="J5747">
        <v>0</v>
      </c>
    </row>
    <row r="5748" spans="1:10" x14ac:dyDescent="0.35">
      <c r="A5748">
        <v>324700</v>
      </c>
      <c r="B5748" t="s">
        <v>20</v>
      </c>
      <c r="C5748">
        <v>2015</v>
      </c>
      <c r="D5748">
        <v>7</v>
      </c>
      <c r="E5748" t="s">
        <v>7</v>
      </c>
      <c r="F5748" t="s">
        <v>7</v>
      </c>
      <c r="G5748" t="s">
        <v>7</v>
      </c>
      <c r="H5748">
        <v>15868.28</v>
      </c>
      <c r="I5748">
        <v>4329.7</v>
      </c>
      <c r="J5748">
        <v>0</v>
      </c>
    </row>
    <row r="5749" spans="1:10" x14ac:dyDescent="0.35">
      <c r="A5749">
        <v>324701</v>
      </c>
      <c r="B5749" t="s">
        <v>20</v>
      </c>
      <c r="C5749">
        <v>2015</v>
      </c>
      <c r="D5749">
        <v>7</v>
      </c>
      <c r="E5749" t="s">
        <v>7</v>
      </c>
      <c r="F5749" t="s">
        <v>7</v>
      </c>
      <c r="G5749" t="s">
        <v>7</v>
      </c>
      <c r="H5749">
        <v>28194.2</v>
      </c>
      <c r="I5749">
        <v>7785.2</v>
      </c>
      <c r="J5749">
        <v>0</v>
      </c>
    </row>
    <row r="5750" spans="1:10" x14ac:dyDescent="0.35">
      <c r="A5750">
        <v>324702</v>
      </c>
      <c r="B5750" t="s">
        <v>20</v>
      </c>
      <c r="C5750">
        <v>2015</v>
      </c>
      <c r="D5750">
        <v>7</v>
      </c>
      <c r="E5750" t="s">
        <v>7</v>
      </c>
      <c r="F5750" t="s">
        <v>7</v>
      </c>
      <c r="G5750" t="s">
        <v>7</v>
      </c>
      <c r="H5750">
        <v>20795.62</v>
      </c>
      <c r="I5750">
        <v>5849.06</v>
      </c>
      <c r="J5750">
        <v>0</v>
      </c>
    </row>
    <row r="5751" spans="1:10" x14ac:dyDescent="0.35">
      <c r="A5751">
        <v>324707</v>
      </c>
      <c r="B5751" t="s">
        <v>20</v>
      </c>
      <c r="C5751">
        <v>2015</v>
      </c>
      <c r="D5751">
        <v>7</v>
      </c>
      <c r="E5751" t="s">
        <v>7</v>
      </c>
      <c r="F5751" t="s">
        <v>7</v>
      </c>
      <c r="G5751" t="s">
        <v>7</v>
      </c>
      <c r="H5751">
        <v>15039.92</v>
      </c>
      <c r="I5751">
        <v>3508.04</v>
      </c>
      <c r="J5751">
        <v>0</v>
      </c>
    </row>
    <row r="5752" spans="1:10" x14ac:dyDescent="0.35">
      <c r="A5752">
        <v>324708</v>
      </c>
      <c r="B5752" t="s">
        <v>20</v>
      </c>
      <c r="C5752">
        <v>2015</v>
      </c>
      <c r="D5752">
        <v>7</v>
      </c>
      <c r="E5752" t="s">
        <v>7</v>
      </c>
      <c r="F5752" t="s">
        <v>7</v>
      </c>
      <c r="G5752" t="s">
        <v>7</v>
      </c>
      <c r="H5752">
        <v>25209.599999999999</v>
      </c>
      <c r="I5752">
        <v>7276.35</v>
      </c>
      <c r="J5752">
        <v>0</v>
      </c>
    </row>
    <row r="5753" spans="1:10" x14ac:dyDescent="0.35">
      <c r="A5753">
        <v>324710</v>
      </c>
      <c r="B5753" t="s">
        <v>20</v>
      </c>
      <c r="C5753">
        <v>2015</v>
      </c>
      <c r="D5753">
        <v>7</v>
      </c>
      <c r="E5753" t="s">
        <v>7</v>
      </c>
      <c r="F5753" t="s">
        <v>7</v>
      </c>
      <c r="G5753" t="s">
        <v>7</v>
      </c>
      <c r="H5753">
        <v>31704.78</v>
      </c>
      <c r="I5753">
        <v>9446.58</v>
      </c>
      <c r="J5753">
        <v>0</v>
      </c>
    </row>
    <row r="5754" spans="1:10" x14ac:dyDescent="0.35">
      <c r="A5754">
        <v>324712</v>
      </c>
      <c r="B5754" t="s">
        <v>20</v>
      </c>
      <c r="C5754">
        <v>2015</v>
      </c>
      <c r="D5754">
        <v>7</v>
      </c>
      <c r="E5754" t="s">
        <v>7</v>
      </c>
      <c r="F5754" t="s">
        <v>7</v>
      </c>
      <c r="G5754" t="s">
        <v>7</v>
      </c>
      <c r="H5754">
        <v>27813.46</v>
      </c>
      <c r="I5754">
        <v>6988.98</v>
      </c>
      <c r="J5754">
        <v>0</v>
      </c>
    </row>
    <row r="5755" spans="1:10" x14ac:dyDescent="0.35">
      <c r="A5755">
        <v>324713</v>
      </c>
      <c r="B5755" t="s">
        <v>20</v>
      </c>
      <c r="C5755">
        <v>2015</v>
      </c>
      <c r="D5755">
        <v>7</v>
      </c>
      <c r="E5755" t="s">
        <v>7</v>
      </c>
      <c r="F5755" t="s">
        <v>7</v>
      </c>
      <c r="G5755" t="s">
        <v>7</v>
      </c>
      <c r="H5755">
        <v>64816.800000000003</v>
      </c>
      <c r="I5755">
        <v>19412.95</v>
      </c>
      <c r="J5755">
        <v>0</v>
      </c>
    </row>
    <row r="5756" spans="1:10" x14ac:dyDescent="0.35">
      <c r="A5756">
        <v>324716</v>
      </c>
      <c r="B5756" t="s">
        <v>20</v>
      </c>
      <c r="C5756">
        <v>2015</v>
      </c>
      <c r="D5756">
        <v>7</v>
      </c>
      <c r="E5756" t="s">
        <v>7</v>
      </c>
      <c r="F5756" t="s">
        <v>7</v>
      </c>
      <c r="G5756" t="s">
        <v>7</v>
      </c>
      <c r="H5756">
        <v>33459.279999999999</v>
      </c>
      <c r="I5756">
        <v>10751.78</v>
      </c>
      <c r="J5756">
        <v>0</v>
      </c>
    </row>
    <row r="5757" spans="1:10" x14ac:dyDescent="0.35">
      <c r="A5757">
        <v>324717</v>
      </c>
      <c r="B5757" t="s">
        <v>20</v>
      </c>
      <c r="C5757">
        <v>2015</v>
      </c>
      <c r="D5757">
        <v>7</v>
      </c>
      <c r="E5757" t="s">
        <v>7</v>
      </c>
      <c r="F5757" t="s">
        <v>7</v>
      </c>
      <c r="G5757" t="s">
        <v>7</v>
      </c>
      <c r="H5757">
        <v>74382.36</v>
      </c>
      <c r="I5757">
        <v>35028.410000000003</v>
      </c>
      <c r="J5757">
        <v>0</v>
      </c>
    </row>
    <row r="5758" spans="1:10" x14ac:dyDescent="0.35">
      <c r="A5758">
        <v>324720</v>
      </c>
      <c r="B5758" t="s">
        <v>20</v>
      </c>
      <c r="C5758">
        <v>2015</v>
      </c>
      <c r="D5758">
        <v>7</v>
      </c>
      <c r="E5758" t="s">
        <v>7</v>
      </c>
      <c r="F5758" t="s">
        <v>7</v>
      </c>
      <c r="G5758" t="s">
        <v>7</v>
      </c>
      <c r="H5758">
        <v>26921.3</v>
      </c>
      <c r="I5758">
        <v>7603.53</v>
      </c>
      <c r="J5758">
        <v>0</v>
      </c>
    </row>
    <row r="5759" spans="1:10" x14ac:dyDescent="0.35">
      <c r="A5759">
        <v>324721</v>
      </c>
      <c r="B5759" t="s">
        <v>20</v>
      </c>
      <c r="C5759">
        <v>2015</v>
      </c>
      <c r="D5759">
        <v>7</v>
      </c>
      <c r="E5759" t="s">
        <v>7</v>
      </c>
      <c r="F5759" t="s">
        <v>7</v>
      </c>
      <c r="G5759" t="s">
        <v>7</v>
      </c>
      <c r="H5759">
        <v>25779.88</v>
      </c>
      <c r="I5759">
        <v>7318</v>
      </c>
      <c r="J5759">
        <v>0</v>
      </c>
    </row>
    <row r="5760" spans="1:10" x14ac:dyDescent="0.35">
      <c r="A5760">
        <v>324722</v>
      </c>
      <c r="B5760" t="s">
        <v>20</v>
      </c>
      <c r="C5760">
        <v>2015</v>
      </c>
      <c r="D5760">
        <v>7</v>
      </c>
      <c r="E5760" t="s">
        <v>7</v>
      </c>
      <c r="F5760" t="s">
        <v>7</v>
      </c>
      <c r="G5760" t="s">
        <v>7</v>
      </c>
      <c r="H5760">
        <v>48836.9</v>
      </c>
      <c r="I5760">
        <v>16036.86</v>
      </c>
      <c r="J5760">
        <v>0</v>
      </c>
    </row>
    <row r="5761" spans="1:10" x14ac:dyDescent="0.35">
      <c r="A5761">
        <v>324724</v>
      </c>
      <c r="B5761" t="s">
        <v>20</v>
      </c>
      <c r="C5761">
        <v>2015</v>
      </c>
      <c r="D5761">
        <v>7</v>
      </c>
      <c r="E5761" t="s">
        <v>7</v>
      </c>
      <c r="F5761" t="s">
        <v>7</v>
      </c>
      <c r="G5761" t="s">
        <v>7</v>
      </c>
      <c r="H5761">
        <v>85629.64</v>
      </c>
      <c r="I5761">
        <v>38156.07</v>
      </c>
      <c r="J5761">
        <v>0</v>
      </c>
    </row>
    <row r="5762" spans="1:10" x14ac:dyDescent="0.35">
      <c r="A5762">
        <v>324725</v>
      </c>
      <c r="B5762" t="s">
        <v>20</v>
      </c>
      <c r="C5762">
        <v>2015</v>
      </c>
      <c r="D5762">
        <v>7</v>
      </c>
      <c r="E5762" t="s">
        <v>7</v>
      </c>
      <c r="F5762" t="s">
        <v>7</v>
      </c>
      <c r="G5762" t="s">
        <v>7</v>
      </c>
      <c r="H5762">
        <v>26352.959999999999</v>
      </c>
      <c r="I5762">
        <v>7952.36</v>
      </c>
      <c r="J5762">
        <v>0</v>
      </c>
    </row>
    <row r="5763" spans="1:10" x14ac:dyDescent="0.35">
      <c r="A5763">
        <v>324727</v>
      </c>
      <c r="B5763" t="s">
        <v>20</v>
      </c>
      <c r="C5763">
        <v>2015</v>
      </c>
      <c r="D5763">
        <v>7</v>
      </c>
      <c r="E5763" t="s">
        <v>7</v>
      </c>
      <c r="F5763" t="s">
        <v>7</v>
      </c>
      <c r="G5763" t="s">
        <v>7</v>
      </c>
      <c r="H5763">
        <v>14160.68</v>
      </c>
      <c r="I5763">
        <v>7527.33</v>
      </c>
      <c r="J5763">
        <v>0</v>
      </c>
    </row>
    <row r="5764" spans="1:10" x14ac:dyDescent="0.35">
      <c r="A5764">
        <v>324732</v>
      </c>
      <c r="B5764" t="s">
        <v>20</v>
      </c>
      <c r="C5764">
        <v>2015</v>
      </c>
      <c r="D5764">
        <v>7</v>
      </c>
      <c r="E5764" t="s">
        <v>7</v>
      </c>
      <c r="F5764" t="s">
        <v>7</v>
      </c>
      <c r="G5764" t="s">
        <v>7</v>
      </c>
      <c r="H5764">
        <v>21393.06</v>
      </c>
      <c r="I5764">
        <v>6110.89</v>
      </c>
      <c r="J5764">
        <v>0</v>
      </c>
    </row>
    <row r="5765" spans="1:10" x14ac:dyDescent="0.35">
      <c r="A5765">
        <v>324733</v>
      </c>
      <c r="B5765" t="s">
        <v>20</v>
      </c>
      <c r="C5765">
        <v>2015</v>
      </c>
      <c r="D5765">
        <v>7</v>
      </c>
      <c r="E5765" t="s">
        <v>7</v>
      </c>
      <c r="F5765" t="s">
        <v>7</v>
      </c>
      <c r="G5765" t="s">
        <v>7</v>
      </c>
      <c r="H5765">
        <v>28451.439999999999</v>
      </c>
      <c r="I5765">
        <v>8123.36</v>
      </c>
      <c r="J5765">
        <v>0</v>
      </c>
    </row>
    <row r="5766" spans="1:10" x14ac:dyDescent="0.35">
      <c r="A5766">
        <v>324734</v>
      </c>
      <c r="B5766" t="s">
        <v>20</v>
      </c>
      <c r="C5766">
        <v>2015</v>
      </c>
      <c r="D5766">
        <v>7</v>
      </c>
      <c r="E5766" t="s">
        <v>7</v>
      </c>
      <c r="F5766" t="s">
        <v>7</v>
      </c>
      <c r="G5766" t="s">
        <v>7</v>
      </c>
      <c r="H5766">
        <v>11669.16</v>
      </c>
      <c r="I5766">
        <v>2962.93</v>
      </c>
      <c r="J5766">
        <v>0</v>
      </c>
    </row>
    <row r="5767" spans="1:10" x14ac:dyDescent="0.35">
      <c r="A5767">
        <v>324735</v>
      </c>
      <c r="B5767" t="s">
        <v>20</v>
      </c>
      <c r="C5767">
        <v>2015</v>
      </c>
      <c r="D5767">
        <v>7</v>
      </c>
      <c r="E5767" t="s">
        <v>7</v>
      </c>
      <c r="F5767" t="s">
        <v>7</v>
      </c>
      <c r="G5767" t="s">
        <v>7</v>
      </c>
      <c r="H5767">
        <v>48515.76</v>
      </c>
      <c r="I5767">
        <v>14726.31</v>
      </c>
      <c r="J5767">
        <v>0</v>
      </c>
    </row>
    <row r="5768" spans="1:10" x14ac:dyDescent="0.35">
      <c r="A5768">
        <v>324738</v>
      </c>
      <c r="B5768" t="s">
        <v>20</v>
      </c>
      <c r="C5768">
        <v>2015</v>
      </c>
      <c r="D5768">
        <v>7</v>
      </c>
      <c r="E5768" t="s">
        <v>7</v>
      </c>
      <c r="F5768" t="s">
        <v>7</v>
      </c>
      <c r="G5768" t="s">
        <v>7</v>
      </c>
      <c r="H5768">
        <v>41470.639999999999</v>
      </c>
      <c r="I5768">
        <v>11447.86</v>
      </c>
      <c r="J5768">
        <v>0</v>
      </c>
    </row>
    <row r="5769" spans="1:10" x14ac:dyDescent="0.35">
      <c r="A5769">
        <v>324739</v>
      </c>
      <c r="B5769" t="s">
        <v>20</v>
      </c>
      <c r="C5769">
        <v>2015</v>
      </c>
      <c r="D5769">
        <v>7</v>
      </c>
      <c r="E5769" t="s">
        <v>7</v>
      </c>
      <c r="F5769" t="s">
        <v>7</v>
      </c>
      <c r="G5769" t="s">
        <v>7</v>
      </c>
      <c r="H5769">
        <v>41356.22</v>
      </c>
      <c r="I5769">
        <v>11785.83</v>
      </c>
      <c r="J5769">
        <v>0</v>
      </c>
    </row>
    <row r="5770" spans="1:10" x14ac:dyDescent="0.35">
      <c r="A5770">
        <v>324741</v>
      </c>
      <c r="B5770" t="s">
        <v>20</v>
      </c>
      <c r="C5770">
        <v>2015</v>
      </c>
      <c r="D5770">
        <v>7</v>
      </c>
      <c r="E5770" t="s">
        <v>7</v>
      </c>
      <c r="F5770" t="s">
        <v>7</v>
      </c>
      <c r="G5770" t="s">
        <v>7</v>
      </c>
      <c r="H5770">
        <v>66072.02</v>
      </c>
      <c r="I5770">
        <v>33319.980000000003</v>
      </c>
      <c r="J5770">
        <v>0</v>
      </c>
    </row>
    <row r="5771" spans="1:10" x14ac:dyDescent="0.35">
      <c r="A5771">
        <v>324742</v>
      </c>
      <c r="B5771" t="s">
        <v>20</v>
      </c>
      <c r="C5771">
        <v>2015</v>
      </c>
      <c r="D5771">
        <v>7</v>
      </c>
      <c r="E5771" t="s">
        <v>7</v>
      </c>
      <c r="F5771" t="s">
        <v>7</v>
      </c>
      <c r="G5771" t="s">
        <v>7</v>
      </c>
      <c r="H5771">
        <v>15485.84</v>
      </c>
      <c r="I5771">
        <v>4533.8</v>
      </c>
      <c r="J5771">
        <v>0</v>
      </c>
    </row>
    <row r="5772" spans="1:10" x14ac:dyDescent="0.35">
      <c r="A5772">
        <v>324746</v>
      </c>
      <c r="B5772" t="s">
        <v>20</v>
      </c>
      <c r="C5772">
        <v>2015</v>
      </c>
      <c r="D5772">
        <v>7</v>
      </c>
      <c r="E5772" t="s">
        <v>7</v>
      </c>
      <c r="F5772" t="s">
        <v>7</v>
      </c>
      <c r="G5772" t="s">
        <v>7</v>
      </c>
      <c r="H5772">
        <v>98756.94</v>
      </c>
      <c r="I5772">
        <v>54719.33</v>
      </c>
      <c r="J5772">
        <v>0</v>
      </c>
    </row>
    <row r="5773" spans="1:10" x14ac:dyDescent="0.35">
      <c r="A5773">
        <v>324747</v>
      </c>
      <c r="B5773" t="s">
        <v>20</v>
      </c>
      <c r="C5773">
        <v>2015</v>
      </c>
      <c r="D5773">
        <v>7</v>
      </c>
      <c r="E5773" t="s">
        <v>7</v>
      </c>
      <c r="F5773" t="s">
        <v>7</v>
      </c>
      <c r="G5773" t="s">
        <v>7</v>
      </c>
      <c r="H5773">
        <v>32401.8</v>
      </c>
      <c r="I5773">
        <v>9380.85</v>
      </c>
      <c r="J5773">
        <v>0</v>
      </c>
    </row>
    <row r="5774" spans="1:10" x14ac:dyDescent="0.35">
      <c r="A5774">
        <v>324748</v>
      </c>
      <c r="B5774" t="s">
        <v>20</v>
      </c>
      <c r="C5774">
        <v>2015</v>
      </c>
      <c r="D5774">
        <v>7</v>
      </c>
      <c r="E5774" t="s">
        <v>7</v>
      </c>
      <c r="F5774" t="s">
        <v>7</v>
      </c>
      <c r="G5774" t="s">
        <v>7</v>
      </c>
      <c r="H5774">
        <v>38381.22</v>
      </c>
      <c r="I5774">
        <v>11437.14</v>
      </c>
      <c r="J5774">
        <v>0</v>
      </c>
    </row>
    <row r="5775" spans="1:10" x14ac:dyDescent="0.35">
      <c r="A5775">
        <v>324749</v>
      </c>
      <c r="B5775" t="s">
        <v>20</v>
      </c>
      <c r="C5775">
        <v>2015</v>
      </c>
      <c r="D5775">
        <v>7</v>
      </c>
      <c r="E5775" t="s">
        <v>7</v>
      </c>
      <c r="F5775" t="s">
        <v>7</v>
      </c>
      <c r="G5775" t="s">
        <v>7</v>
      </c>
      <c r="H5775">
        <v>18615.64</v>
      </c>
      <c r="I5775">
        <v>4731.57</v>
      </c>
      <c r="J5775">
        <v>0</v>
      </c>
    </row>
    <row r="5776" spans="1:10" x14ac:dyDescent="0.35">
      <c r="A5776">
        <v>324755</v>
      </c>
      <c r="B5776" t="s">
        <v>20</v>
      </c>
      <c r="C5776">
        <v>2015</v>
      </c>
      <c r="D5776">
        <v>7</v>
      </c>
      <c r="E5776" t="s">
        <v>7</v>
      </c>
      <c r="F5776" t="s">
        <v>7</v>
      </c>
      <c r="G5776" t="s">
        <v>7</v>
      </c>
      <c r="H5776">
        <v>37146.160000000003</v>
      </c>
      <c r="I5776">
        <v>8260.08</v>
      </c>
      <c r="J5776">
        <v>0</v>
      </c>
    </row>
    <row r="5777" spans="1:10" x14ac:dyDescent="0.35">
      <c r="A5777">
        <v>324756</v>
      </c>
      <c r="B5777" t="s">
        <v>20</v>
      </c>
      <c r="C5777">
        <v>2015</v>
      </c>
      <c r="D5777">
        <v>7</v>
      </c>
      <c r="E5777" t="s">
        <v>7</v>
      </c>
      <c r="F5777" t="s">
        <v>7</v>
      </c>
      <c r="G5777" t="s">
        <v>7</v>
      </c>
      <c r="H5777">
        <v>25144.52</v>
      </c>
      <c r="I5777">
        <v>8999.84</v>
      </c>
      <c r="J5777">
        <v>0</v>
      </c>
    </row>
    <row r="5778" spans="1:10" x14ac:dyDescent="0.35">
      <c r="A5778">
        <v>324758</v>
      </c>
      <c r="B5778" t="s">
        <v>20</v>
      </c>
      <c r="C5778">
        <v>2015</v>
      </c>
      <c r="D5778">
        <v>7</v>
      </c>
      <c r="E5778" t="s">
        <v>7</v>
      </c>
      <c r="F5778" t="s">
        <v>7</v>
      </c>
      <c r="G5778" t="s">
        <v>7</v>
      </c>
      <c r="H5778">
        <v>20713.740000000002</v>
      </c>
      <c r="I5778">
        <v>4978.92</v>
      </c>
      <c r="J5778">
        <v>0</v>
      </c>
    </row>
    <row r="5779" spans="1:10" x14ac:dyDescent="0.35">
      <c r="A5779">
        <v>324759</v>
      </c>
      <c r="B5779" t="s">
        <v>20</v>
      </c>
      <c r="C5779">
        <v>2015</v>
      </c>
      <c r="D5779">
        <v>7</v>
      </c>
      <c r="E5779" t="s">
        <v>7</v>
      </c>
      <c r="F5779" t="s">
        <v>7</v>
      </c>
      <c r="G5779" t="s">
        <v>7</v>
      </c>
      <c r="H5779">
        <v>85862.52</v>
      </c>
      <c r="I5779">
        <v>48240.49</v>
      </c>
      <c r="J5779">
        <v>0</v>
      </c>
    </row>
    <row r="5780" spans="1:10" x14ac:dyDescent="0.35">
      <c r="A5780">
        <v>324765</v>
      </c>
      <c r="B5780" t="s">
        <v>20</v>
      </c>
      <c r="C5780">
        <v>2015</v>
      </c>
      <c r="D5780">
        <v>7</v>
      </c>
      <c r="E5780" t="s">
        <v>7</v>
      </c>
      <c r="F5780" t="s">
        <v>7</v>
      </c>
      <c r="G5780" t="s">
        <v>7</v>
      </c>
      <c r="H5780">
        <v>72955.08</v>
      </c>
      <c r="I5780">
        <v>49527.28</v>
      </c>
      <c r="J5780">
        <v>0</v>
      </c>
    </row>
    <row r="5781" spans="1:10" x14ac:dyDescent="0.35">
      <c r="A5781">
        <v>324766</v>
      </c>
      <c r="B5781" t="s">
        <v>20</v>
      </c>
      <c r="C5781">
        <v>2015</v>
      </c>
      <c r="D5781">
        <v>7</v>
      </c>
      <c r="E5781" t="s">
        <v>7</v>
      </c>
      <c r="F5781" t="s">
        <v>7</v>
      </c>
      <c r="G5781" t="s">
        <v>7</v>
      </c>
      <c r="H5781">
        <v>17558.16</v>
      </c>
      <c r="I5781">
        <v>4984.63</v>
      </c>
      <c r="J5781">
        <v>0</v>
      </c>
    </row>
    <row r="5782" spans="1:10" x14ac:dyDescent="0.35">
      <c r="A5782">
        <v>324767</v>
      </c>
      <c r="B5782" t="s">
        <v>20</v>
      </c>
      <c r="C5782">
        <v>2015</v>
      </c>
      <c r="D5782">
        <v>7</v>
      </c>
      <c r="E5782" t="s">
        <v>7</v>
      </c>
      <c r="F5782" t="s">
        <v>7</v>
      </c>
      <c r="G5782" t="s">
        <v>7</v>
      </c>
      <c r="H5782">
        <v>124532.98</v>
      </c>
      <c r="I5782">
        <v>80565.070000000007</v>
      </c>
      <c r="J5782">
        <v>0</v>
      </c>
    </row>
    <row r="5783" spans="1:10" x14ac:dyDescent="0.35">
      <c r="A5783">
        <v>324768</v>
      </c>
      <c r="B5783" t="s">
        <v>20</v>
      </c>
      <c r="C5783">
        <v>2015</v>
      </c>
      <c r="D5783">
        <v>7</v>
      </c>
      <c r="E5783" t="s">
        <v>7</v>
      </c>
      <c r="F5783" t="s">
        <v>7</v>
      </c>
      <c r="G5783" t="s">
        <v>7</v>
      </c>
      <c r="H5783">
        <v>66118.820000000007</v>
      </c>
      <c r="I5783">
        <v>20196.599999999999</v>
      </c>
      <c r="J5783">
        <v>0</v>
      </c>
    </row>
    <row r="5784" spans="1:10" x14ac:dyDescent="0.35">
      <c r="A5784">
        <v>324769</v>
      </c>
      <c r="B5784" t="s">
        <v>20</v>
      </c>
      <c r="C5784">
        <v>2015</v>
      </c>
      <c r="D5784">
        <v>7</v>
      </c>
      <c r="E5784" t="s">
        <v>7</v>
      </c>
      <c r="F5784" t="s">
        <v>7</v>
      </c>
      <c r="G5784" t="s">
        <v>7</v>
      </c>
      <c r="H5784">
        <v>14450.64</v>
      </c>
      <c r="I5784">
        <v>2999.98</v>
      </c>
      <c r="J5784">
        <v>0</v>
      </c>
    </row>
    <row r="5785" spans="1:10" x14ac:dyDescent="0.35">
      <c r="A5785">
        <v>324771</v>
      </c>
      <c r="B5785" t="s">
        <v>20</v>
      </c>
      <c r="C5785">
        <v>2015</v>
      </c>
      <c r="D5785">
        <v>7</v>
      </c>
      <c r="E5785" t="s">
        <v>7</v>
      </c>
      <c r="F5785" t="s">
        <v>7</v>
      </c>
      <c r="G5785" t="s">
        <v>7</v>
      </c>
      <c r="H5785">
        <v>30025.040000000001</v>
      </c>
      <c r="I5785">
        <v>7288.94</v>
      </c>
      <c r="J5785">
        <v>0</v>
      </c>
    </row>
    <row r="5786" spans="1:10" x14ac:dyDescent="0.35">
      <c r="A5786">
        <v>324772</v>
      </c>
      <c r="B5786" t="s">
        <v>20</v>
      </c>
      <c r="C5786">
        <v>2015</v>
      </c>
      <c r="D5786">
        <v>7</v>
      </c>
      <c r="E5786" t="s">
        <v>7</v>
      </c>
      <c r="F5786" t="s">
        <v>7</v>
      </c>
      <c r="G5786" t="s">
        <v>7</v>
      </c>
      <c r="H5786">
        <v>17348.740000000002</v>
      </c>
      <c r="I5786">
        <v>3769.48</v>
      </c>
      <c r="J5786">
        <v>0</v>
      </c>
    </row>
    <row r="5787" spans="1:10" x14ac:dyDescent="0.35">
      <c r="A5787">
        <v>324773</v>
      </c>
      <c r="B5787" t="s">
        <v>20</v>
      </c>
      <c r="C5787">
        <v>2015</v>
      </c>
      <c r="D5787">
        <v>7</v>
      </c>
      <c r="E5787" t="s">
        <v>7</v>
      </c>
      <c r="F5787" t="s">
        <v>7</v>
      </c>
      <c r="G5787" t="s">
        <v>7</v>
      </c>
      <c r="H5787">
        <v>39673.120000000003</v>
      </c>
      <c r="I5787">
        <v>11567.97</v>
      </c>
      <c r="J5787">
        <v>0</v>
      </c>
    </row>
    <row r="5788" spans="1:10" x14ac:dyDescent="0.35">
      <c r="A5788">
        <v>324774</v>
      </c>
      <c r="B5788" t="s">
        <v>20</v>
      </c>
      <c r="C5788">
        <v>2015</v>
      </c>
      <c r="D5788">
        <v>7</v>
      </c>
      <c r="E5788" t="s">
        <v>7</v>
      </c>
      <c r="F5788" t="s">
        <v>7</v>
      </c>
      <c r="G5788" t="s">
        <v>7</v>
      </c>
      <c r="H5788">
        <v>36288.239999999998</v>
      </c>
      <c r="I5788">
        <v>10938.83</v>
      </c>
      <c r="J5788">
        <v>0</v>
      </c>
    </row>
    <row r="5789" spans="1:10" x14ac:dyDescent="0.35">
      <c r="A5789">
        <v>324775</v>
      </c>
      <c r="B5789" t="s">
        <v>20</v>
      </c>
      <c r="C5789">
        <v>2015</v>
      </c>
      <c r="D5789">
        <v>7</v>
      </c>
      <c r="E5789" t="s">
        <v>7</v>
      </c>
      <c r="F5789" t="s">
        <v>7</v>
      </c>
      <c r="G5789" t="s">
        <v>7</v>
      </c>
      <c r="H5789">
        <v>9221.7999999999993</v>
      </c>
      <c r="I5789">
        <v>2508.33</v>
      </c>
      <c r="J5789">
        <v>0</v>
      </c>
    </row>
    <row r="5790" spans="1:10" x14ac:dyDescent="0.35">
      <c r="A5790">
        <v>324776</v>
      </c>
      <c r="B5790" t="s">
        <v>20</v>
      </c>
      <c r="C5790">
        <v>2015</v>
      </c>
      <c r="D5790">
        <v>7</v>
      </c>
      <c r="E5790" t="s">
        <v>7</v>
      </c>
      <c r="F5790" t="s">
        <v>7</v>
      </c>
      <c r="G5790" t="s">
        <v>7</v>
      </c>
      <c r="H5790">
        <v>20738.939999999999</v>
      </c>
      <c r="I5790">
        <v>6317.32</v>
      </c>
      <c r="J5790">
        <v>0</v>
      </c>
    </row>
    <row r="5791" spans="1:10" x14ac:dyDescent="0.35">
      <c r="A5791">
        <v>324779</v>
      </c>
      <c r="B5791" t="s">
        <v>20</v>
      </c>
      <c r="C5791">
        <v>2015</v>
      </c>
      <c r="D5791">
        <v>7</v>
      </c>
      <c r="E5791" t="s">
        <v>7</v>
      </c>
      <c r="F5791" t="s">
        <v>7</v>
      </c>
      <c r="G5791" t="s">
        <v>7</v>
      </c>
      <c r="H5791">
        <v>27336.74</v>
      </c>
      <c r="I5791">
        <v>7831.57</v>
      </c>
      <c r="J5791">
        <v>0</v>
      </c>
    </row>
    <row r="5792" spans="1:10" x14ac:dyDescent="0.35">
      <c r="A5792">
        <v>324780</v>
      </c>
      <c r="B5792" t="s">
        <v>20</v>
      </c>
      <c r="C5792">
        <v>2015</v>
      </c>
      <c r="D5792">
        <v>7</v>
      </c>
      <c r="E5792" t="s">
        <v>7</v>
      </c>
      <c r="F5792" t="s">
        <v>7</v>
      </c>
      <c r="G5792" t="s">
        <v>7</v>
      </c>
      <c r="H5792">
        <v>38927.1</v>
      </c>
      <c r="I5792">
        <v>14851.62</v>
      </c>
      <c r="J5792">
        <v>0</v>
      </c>
    </row>
    <row r="5793" spans="1:10" x14ac:dyDescent="0.35">
      <c r="A5793">
        <v>324781</v>
      </c>
      <c r="B5793" t="s">
        <v>20</v>
      </c>
      <c r="C5793">
        <v>2015</v>
      </c>
      <c r="D5793">
        <v>7</v>
      </c>
      <c r="E5793" t="s">
        <v>7</v>
      </c>
      <c r="F5793" t="s">
        <v>7</v>
      </c>
      <c r="G5793" t="s">
        <v>7</v>
      </c>
      <c r="H5793">
        <v>14104.6</v>
      </c>
      <c r="I5793">
        <v>4203</v>
      </c>
      <c r="J5793">
        <v>0</v>
      </c>
    </row>
    <row r="5794" spans="1:10" x14ac:dyDescent="0.35">
      <c r="A5794">
        <v>324782</v>
      </c>
      <c r="B5794" t="s">
        <v>20</v>
      </c>
      <c r="C5794">
        <v>2015</v>
      </c>
      <c r="D5794">
        <v>7</v>
      </c>
      <c r="E5794" t="s">
        <v>7</v>
      </c>
      <c r="F5794" t="s">
        <v>7</v>
      </c>
      <c r="G5794" t="s">
        <v>7</v>
      </c>
      <c r="H5794">
        <v>28882.560000000001</v>
      </c>
      <c r="I5794">
        <v>8836.35</v>
      </c>
      <c r="J5794">
        <v>0</v>
      </c>
    </row>
    <row r="5795" spans="1:10" x14ac:dyDescent="0.35">
      <c r="A5795">
        <v>324783</v>
      </c>
      <c r="B5795" t="s">
        <v>20</v>
      </c>
      <c r="C5795">
        <v>2015</v>
      </c>
      <c r="D5795">
        <v>7</v>
      </c>
      <c r="E5795" t="s">
        <v>7</v>
      </c>
      <c r="F5795" t="s">
        <v>7</v>
      </c>
      <c r="G5795" t="s">
        <v>7</v>
      </c>
      <c r="H5795">
        <v>19906.64</v>
      </c>
      <c r="I5795">
        <v>5281.81</v>
      </c>
      <c r="J5795">
        <v>0</v>
      </c>
    </row>
    <row r="5796" spans="1:10" x14ac:dyDescent="0.35">
      <c r="A5796">
        <v>324785</v>
      </c>
      <c r="B5796" t="s">
        <v>20</v>
      </c>
      <c r="C5796">
        <v>2015</v>
      </c>
      <c r="D5796">
        <v>7</v>
      </c>
      <c r="E5796" t="s">
        <v>7</v>
      </c>
      <c r="F5796" t="s">
        <v>7</v>
      </c>
      <c r="G5796" t="s">
        <v>7</v>
      </c>
      <c r="H5796">
        <v>36094.06</v>
      </c>
      <c r="I5796">
        <v>10822.15</v>
      </c>
      <c r="J5796">
        <v>0</v>
      </c>
    </row>
    <row r="5797" spans="1:10" x14ac:dyDescent="0.35">
      <c r="A5797">
        <v>324786</v>
      </c>
      <c r="B5797" t="s">
        <v>20</v>
      </c>
      <c r="C5797">
        <v>2015</v>
      </c>
      <c r="D5797">
        <v>7</v>
      </c>
      <c r="E5797" t="s">
        <v>7</v>
      </c>
      <c r="F5797" t="s">
        <v>7</v>
      </c>
      <c r="G5797" t="s">
        <v>7</v>
      </c>
      <c r="H5797">
        <v>45994.559999999998</v>
      </c>
      <c r="I5797">
        <v>11537.39</v>
      </c>
      <c r="J5797">
        <v>0</v>
      </c>
    </row>
    <row r="5798" spans="1:10" x14ac:dyDescent="0.35">
      <c r="A5798">
        <v>324787</v>
      </c>
      <c r="B5798" t="s">
        <v>20</v>
      </c>
      <c r="C5798">
        <v>2015</v>
      </c>
      <c r="D5798">
        <v>7</v>
      </c>
      <c r="E5798" t="s">
        <v>7</v>
      </c>
      <c r="F5798" t="s">
        <v>7</v>
      </c>
      <c r="G5798" t="s">
        <v>7</v>
      </c>
      <c r="H5798">
        <v>23421.06</v>
      </c>
      <c r="I5798">
        <v>5911.81</v>
      </c>
      <c r="J5798">
        <v>0</v>
      </c>
    </row>
    <row r="5799" spans="1:10" x14ac:dyDescent="0.35">
      <c r="A5799">
        <v>324788</v>
      </c>
      <c r="B5799" t="s">
        <v>20</v>
      </c>
      <c r="C5799">
        <v>2015</v>
      </c>
      <c r="D5799">
        <v>7</v>
      </c>
      <c r="E5799" t="s">
        <v>7</v>
      </c>
      <c r="F5799" t="s">
        <v>7</v>
      </c>
      <c r="G5799" t="s">
        <v>7</v>
      </c>
      <c r="H5799">
        <v>71100.460000000006</v>
      </c>
      <c r="I5799">
        <v>29053.26</v>
      </c>
      <c r="J5799">
        <v>0</v>
      </c>
    </row>
    <row r="5800" spans="1:10" x14ac:dyDescent="0.35">
      <c r="A5800">
        <v>324789</v>
      </c>
      <c r="B5800" t="s">
        <v>20</v>
      </c>
      <c r="C5800">
        <v>2015</v>
      </c>
      <c r="D5800">
        <v>7</v>
      </c>
      <c r="E5800" t="s">
        <v>7</v>
      </c>
      <c r="F5800" t="s">
        <v>7</v>
      </c>
      <c r="G5800" t="s">
        <v>7</v>
      </c>
      <c r="H5800">
        <v>28009.58</v>
      </c>
      <c r="I5800">
        <v>8540.2999999999993</v>
      </c>
      <c r="J5800">
        <v>0</v>
      </c>
    </row>
    <row r="5801" spans="1:10" x14ac:dyDescent="0.35">
      <c r="A5801">
        <v>324790</v>
      </c>
      <c r="B5801" t="s">
        <v>20</v>
      </c>
      <c r="C5801">
        <v>2015</v>
      </c>
      <c r="D5801">
        <v>7</v>
      </c>
      <c r="E5801" t="s">
        <v>7</v>
      </c>
      <c r="F5801" t="s">
        <v>7</v>
      </c>
      <c r="G5801" t="s">
        <v>7</v>
      </c>
      <c r="H5801">
        <v>22742.639999999999</v>
      </c>
      <c r="I5801">
        <v>5934.79</v>
      </c>
      <c r="J5801">
        <v>0</v>
      </c>
    </row>
    <row r="5802" spans="1:10" x14ac:dyDescent="0.35">
      <c r="A5802">
        <v>324793</v>
      </c>
      <c r="B5802" t="s">
        <v>20</v>
      </c>
      <c r="C5802">
        <v>2015</v>
      </c>
      <c r="D5802">
        <v>7</v>
      </c>
      <c r="E5802" t="s">
        <v>7</v>
      </c>
      <c r="F5802" t="s">
        <v>7</v>
      </c>
      <c r="G5802" t="s">
        <v>7</v>
      </c>
      <c r="H5802">
        <v>10655.9</v>
      </c>
      <c r="I5802">
        <v>2470.4899999999998</v>
      </c>
      <c r="J5802">
        <v>0</v>
      </c>
    </row>
    <row r="5803" spans="1:10" x14ac:dyDescent="0.35">
      <c r="A5803">
        <v>324794</v>
      </c>
      <c r="B5803" t="s">
        <v>20</v>
      </c>
      <c r="C5803">
        <v>2015</v>
      </c>
      <c r="D5803">
        <v>7</v>
      </c>
      <c r="E5803" t="s">
        <v>7</v>
      </c>
      <c r="F5803" t="s">
        <v>7</v>
      </c>
      <c r="G5803" t="s">
        <v>7</v>
      </c>
      <c r="H5803">
        <v>9524.42</v>
      </c>
      <c r="I5803">
        <v>2363.69</v>
      </c>
      <c r="J5803">
        <v>0</v>
      </c>
    </row>
    <row r="5804" spans="1:10" x14ac:dyDescent="0.35">
      <c r="A5804">
        <v>324795</v>
      </c>
      <c r="B5804" t="s">
        <v>20</v>
      </c>
      <c r="C5804">
        <v>2015</v>
      </c>
      <c r="D5804">
        <v>7</v>
      </c>
      <c r="E5804" t="s">
        <v>7</v>
      </c>
      <c r="F5804" t="s">
        <v>7</v>
      </c>
      <c r="G5804" t="s">
        <v>7</v>
      </c>
      <c r="H5804">
        <v>48760.22</v>
      </c>
      <c r="I5804">
        <v>14077.4</v>
      </c>
      <c r="J5804">
        <v>0</v>
      </c>
    </row>
    <row r="5805" spans="1:10" x14ac:dyDescent="0.35">
      <c r="A5805">
        <v>324796</v>
      </c>
      <c r="B5805" t="s">
        <v>20</v>
      </c>
      <c r="C5805">
        <v>2015</v>
      </c>
      <c r="D5805">
        <v>7</v>
      </c>
      <c r="E5805" t="s">
        <v>7</v>
      </c>
      <c r="F5805" t="s">
        <v>7</v>
      </c>
      <c r="G5805" t="s">
        <v>7</v>
      </c>
      <c r="H5805">
        <v>37947.74</v>
      </c>
      <c r="I5805">
        <v>12350.84</v>
      </c>
      <c r="J5805">
        <v>0</v>
      </c>
    </row>
    <row r="5806" spans="1:10" x14ac:dyDescent="0.35">
      <c r="A5806">
        <v>324797</v>
      </c>
      <c r="B5806" t="s">
        <v>20</v>
      </c>
      <c r="C5806">
        <v>2015</v>
      </c>
      <c r="D5806">
        <v>7</v>
      </c>
      <c r="E5806" t="s">
        <v>7</v>
      </c>
      <c r="F5806" t="s">
        <v>7</v>
      </c>
      <c r="G5806" t="s">
        <v>7</v>
      </c>
      <c r="H5806">
        <v>12520.32</v>
      </c>
      <c r="I5806">
        <v>2963.06</v>
      </c>
      <c r="J5806">
        <v>0</v>
      </c>
    </row>
    <row r="5807" spans="1:10" x14ac:dyDescent="0.35">
      <c r="A5807">
        <v>324799</v>
      </c>
      <c r="B5807" t="s">
        <v>20</v>
      </c>
      <c r="C5807">
        <v>2015</v>
      </c>
      <c r="D5807">
        <v>7</v>
      </c>
      <c r="E5807" t="s">
        <v>7</v>
      </c>
      <c r="F5807" t="s">
        <v>7</v>
      </c>
      <c r="G5807" t="s">
        <v>7</v>
      </c>
      <c r="H5807">
        <v>19475.3</v>
      </c>
      <c r="I5807">
        <v>5445.44</v>
      </c>
      <c r="J5807">
        <v>0</v>
      </c>
    </row>
    <row r="5808" spans="1:10" x14ac:dyDescent="0.35">
      <c r="A5808">
        <v>324801</v>
      </c>
      <c r="B5808" t="s">
        <v>20</v>
      </c>
      <c r="C5808">
        <v>2015</v>
      </c>
      <c r="D5808">
        <v>7</v>
      </c>
      <c r="E5808" t="s">
        <v>7</v>
      </c>
      <c r="F5808" t="s">
        <v>7</v>
      </c>
      <c r="G5808" t="s">
        <v>7</v>
      </c>
      <c r="H5808">
        <v>45143.68</v>
      </c>
      <c r="I5808">
        <v>19227.28</v>
      </c>
      <c r="J5808">
        <v>0</v>
      </c>
    </row>
    <row r="5809" spans="1:10" x14ac:dyDescent="0.35">
      <c r="A5809">
        <v>324802</v>
      </c>
      <c r="B5809" t="s">
        <v>20</v>
      </c>
      <c r="C5809">
        <v>2015</v>
      </c>
      <c r="D5809">
        <v>7</v>
      </c>
      <c r="E5809" t="s">
        <v>7</v>
      </c>
      <c r="F5809" t="s">
        <v>7</v>
      </c>
      <c r="G5809" t="s">
        <v>7</v>
      </c>
      <c r="H5809">
        <v>29891.8</v>
      </c>
      <c r="I5809">
        <v>7489.42</v>
      </c>
      <c r="J5809">
        <v>0</v>
      </c>
    </row>
    <row r="5810" spans="1:10" x14ac:dyDescent="0.35">
      <c r="A5810">
        <v>324803</v>
      </c>
      <c r="B5810" t="s">
        <v>20</v>
      </c>
      <c r="C5810">
        <v>2015</v>
      </c>
      <c r="D5810">
        <v>7</v>
      </c>
      <c r="E5810" t="s">
        <v>7</v>
      </c>
      <c r="F5810" t="s">
        <v>7</v>
      </c>
      <c r="G5810" t="s">
        <v>7</v>
      </c>
      <c r="H5810">
        <v>70820.66</v>
      </c>
      <c r="I5810">
        <v>22324.75</v>
      </c>
      <c r="J5810">
        <v>0</v>
      </c>
    </row>
    <row r="5811" spans="1:10" x14ac:dyDescent="0.35">
      <c r="A5811">
        <v>324804</v>
      </c>
      <c r="B5811" t="s">
        <v>20</v>
      </c>
      <c r="C5811">
        <v>2015</v>
      </c>
      <c r="D5811">
        <v>7</v>
      </c>
      <c r="E5811" t="s">
        <v>7</v>
      </c>
      <c r="F5811" t="s">
        <v>7</v>
      </c>
      <c r="G5811" t="s">
        <v>7</v>
      </c>
      <c r="H5811">
        <v>72630.3</v>
      </c>
      <c r="I5811">
        <v>22051.18</v>
      </c>
      <c r="J5811">
        <v>0</v>
      </c>
    </row>
    <row r="5812" spans="1:10" x14ac:dyDescent="0.35">
      <c r="A5812">
        <v>324806</v>
      </c>
      <c r="B5812" t="s">
        <v>20</v>
      </c>
      <c r="C5812">
        <v>2015</v>
      </c>
      <c r="D5812">
        <v>7</v>
      </c>
      <c r="E5812" t="s">
        <v>7</v>
      </c>
      <c r="F5812" t="s">
        <v>7</v>
      </c>
      <c r="G5812" t="s">
        <v>7</v>
      </c>
      <c r="H5812">
        <v>73538.320000000007</v>
      </c>
      <c r="I5812">
        <v>21310.13</v>
      </c>
      <c r="J5812">
        <v>0</v>
      </c>
    </row>
    <row r="5813" spans="1:10" x14ac:dyDescent="0.35">
      <c r="A5813">
        <v>324807</v>
      </c>
      <c r="B5813" t="s">
        <v>20</v>
      </c>
      <c r="C5813">
        <v>2015</v>
      </c>
      <c r="D5813">
        <v>7</v>
      </c>
      <c r="E5813" t="s">
        <v>7</v>
      </c>
      <c r="F5813" t="s">
        <v>7</v>
      </c>
      <c r="G5813" t="s">
        <v>7</v>
      </c>
      <c r="H5813">
        <v>22412.34</v>
      </c>
      <c r="I5813">
        <v>7094.53</v>
      </c>
      <c r="J5813">
        <v>0</v>
      </c>
    </row>
    <row r="5814" spans="1:10" x14ac:dyDescent="0.35">
      <c r="A5814">
        <v>324809</v>
      </c>
      <c r="B5814" t="s">
        <v>20</v>
      </c>
      <c r="C5814">
        <v>2015</v>
      </c>
      <c r="D5814">
        <v>7</v>
      </c>
      <c r="E5814" t="s">
        <v>7</v>
      </c>
      <c r="F5814" t="s">
        <v>7</v>
      </c>
      <c r="G5814" t="s">
        <v>7</v>
      </c>
      <c r="H5814">
        <v>18313.38</v>
      </c>
      <c r="I5814">
        <v>4680.3100000000004</v>
      </c>
      <c r="J5814">
        <v>0</v>
      </c>
    </row>
    <row r="5815" spans="1:10" x14ac:dyDescent="0.35">
      <c r="A5815">
        <v>324812</v>
      </c>
      <c r="B5815" t="s">
        <v>20</v>
      </c>
      <c r="C5815">
        <v>2015</v>
      </c>
      <c r="D5815">
        <v>7</v>
      </c>
      <c r="E5815" t="s">
        <v>7</v>
      </c>
      <c r="F5815" t="s">
        <v>7</v>
      </c>
      <c r="G5815" t="s">
        <v>7</v>
      </c>
      <c r="H5815">
        <v>175619.16</v>
      </c>
      <c r="I5815">
        <v>56027.22</v>
      </c>
      <c r="J5815">
        <v>0</v>
      </c>
    </row>
    <row r="5816" spans="1:10" x14ac:dyDescent="0.35">
      <c r="A5816">
        <v>324813</v>
      </c>
      <c r="B5816" t="s">
        <v>20</v>
      </c>
      <c r="C5816">
        <v>2015</v>
      </c>
      <c r="D5816">
        <v>7</v>
      </c>
      <c r="E5816" t="s">
        <v>7</v>
      </c>
      <c r="F5816" t="s">
        <v>7</v>
      </c>
      <c r="G5816" t="s">
        <v>7</v>
      </c>
      <c r="H5816">
        <v>37180.92</v>
      </c>
      <c r="I5816">
        <v>10633.8</v>
      </c>
      <c r="J5816">
        <v>0</v>
      </c>
    </row>
    <row r="5817" spans="1:10" x14ac:dyDescent="0.35">
      <c r="A5817">
        <v>324814</v>
      </c>
      <c r="B5817" t="s">
        <v>20</v>
      </c>
      <c r="C5817">
        <v>2015</v>
      </c>
      <c r="D5817">
        <v>7</v>
      </c>
      <c r="E5817" t="s">
        <v>7</v>
      </c>
      <c r="F5817" t="s">
        <v>7</v>
      </c>
      <c r="G5817" t="s">
        <v>7</v>
      </c>
      <c r="H5817">
        <v>24730.16</v>
      </c>
      <c r="I5817">
        <v>9801.83</v>
      </c>
      <c r="J5817">
        <v>0</v>
      </c>
    </row>
    <row r="5818" spans="1:10" x14ac:dyDescent="0.35">
      <c r="A5818">
        <v>324816</v>
      </c>
      <c r="B5818" t="s">
        <v>20</v>
      </c>
      <c r="C5818">
        <v>2015</v>
      </c>
      <c r="D5818">
        <v>7</v>
      </c>
      <c r="E5818" t="s">
        <v>7</v>
      </c>
      <c r="F5818" t="s">
        <v>7</v>
      </c>
      <c r="G5818" t="s">
        <v>7</v>
      </c>
      <c r="H5818">
        <v>43194.32</v>
      </c>
      <c r="I5818">
        <v>12881.56</v>
      </c>
      <c r="J5818">
        <v>0</v>
      </c>
    </row>
    <row r="5819" spans="1:10" x14ac:dyDescent="0.35">
      <c r="A5819">
        <v>324817</v>
      </c>
      <c r="B5819" t="s">
        <v>20</v>
      </c>
      <c r="C5819">
        <v>2015</v>
      </c>
      <c r="D5819">
        <v>7</v>
      </c>
      <c r="E5819" t="s">
        <v>7</v>
      </c>
      <c r="F5819" t="s">
        <v>7</v>
      </c>
      <c r="G5819" t="s">
        <v>7</v>
      </c>
      <c r="H5819">
        <v>54293.5</v>
      </c>
      <c r="I5819">
        <v>16807.41</v>
      </c>
      <c r="J5819">
        <v>0</v>
      </c>
    </row>
    <row r="5820" spans="1:10" x14ac:dyDescent="0.35">
      <c r="A5820">
        <v>324818</v>
      </c>
      <c r="B5820" t="s">
        <v>20</v>
      </c>
      <c r="C5820">
        <v>2015</v>
      </c>
      <c r="D5820">
        <v>7</v>
      </c>
      <c r="E5820" t="s">
        <v>7</v>
      </c>
      <c r="F5820" t="s">
        <v>7</v>
      </c>
      <c r="G5820" t="s">
        <v>7</v>
      </c>
      <c r="H5820">
        <v>40755.5</v>
      </c>
      <c r="I5820">
        <v>11586.45</v>
      </c>
      <c r="J5820">
        <v>0</v>
      </c>
    </row>
    <row r="5821" spans="1:10" x14ac:dyDescent="0.35">
      <c r="A5821">
        <v>324819</v>
      </c>
      <c r="B5821" t="s">
        <v>20</v>
      </c>
      <c r="C5821">
        <v>2015</v>
      </c>
      <c r="D5821">
        <v>7</v>
      </c>
      <c r="E5821" t="s">
        <v>7</v>
      </c>
      <c r="F5821" t="s">
        <v>7</v>
      </c>
      <c r="G5821" t="s">
        <v>7</v>
      </c>
      <c r="H5821">
        <v>17798.12</v>
      </c>
      <c r="I5821">
        <v>5103.6099999999997</v>
      </c>
      <c r="J5821">
        <v>0</v>
      </c>
    </row>
    <row r="5822" spans="1:10" x14ac:dyDescent="0.35">
      <c r="A5822">
        <v>324822</v>
      </c>
      <c r="B5822" t="s">
        <v>20</v>
      </c>
      <c r="C5822">
        <v>2015</v>
      </c>
      <c r="D5822">
        <v>7</v>
      </c>
      <c r="E5822" t="s">
        <v>7</v>
      </c>
      <c r="F5822" t="s">
        <v>7</v>
      </c>
      <c r="G5822" t="s">
        <v>7</v>
      </c>
      <c r="H5822">
        <v>29512.36</v>
      </c>
      <c r="I5822">
        <v>8034.35</v>
      </c>
      <c r="J5822">
        <v>0</v>
      </c>
    </row>
    <row r="5823" spans="1:10" x14ac:dyDescent="0.35">
      <c r="A5823">
        <v>324823</v>
      </c>
      <c r="B5823" t="s">
        <v>20</v>
      </c>
      <c r="C5823">
        <v>2015</v>
      </c>
      <c r="D5823">
        <v>7</v>
      </c>
      <c r="E5823" t="s">
        <v>7</v>
      </c>
      <c r="F5823" t="s">
        <v>7</v>
      </c>
      <c r="G5823" t="s">
        <v>7</v>
      </c>
      <c r="H5823">
        <v>84187.7</v>
      </c>
      <c r="I5823">
        <v>26046</v>
      </c>
      <c r="J5823">
        <v>0</v>
      </c>
    </row>
    <row r="5824" spans="1:10" x14ac:dyDescent="0.35">
      <c r="A5824">
        <v>324824</v>
      </c>
      <c r="B5824" t="s">
        <v>20</v>
      </c>
      <c r="C5824">
        <v>2015</v>
      </c>
      <c r="D5824">
        <v>7</v>
      </c>
      <c r="E5824" t="s">
        <v>7</v>
      </c>
      <c r="F5824" t="s">
        <v>7</v>
      </c>
      <c r="G5824" t="s">
        <v>7</v>
      </c>
      <c r="H5824">
        <v>58103.199999999997</v>
      </c>
      <c r="I5824">
        <v>16248.13</v>
      </c>
      <c r="J5824">
        <v>0</v>
      </c>
    </row>
    <row r="5825" spans="1:10" x14ac:dyDescent="0.35">
      <c r="A5825">
        <v>324825</v>
      </c>
      <c r="B5825" t="s">
        <v>20</v>
      </c>
      <c r="C5825">
        <v>2015</v>
      </c>
      <c r="D5825">
        <v>7</v>
      </c>
      <c r="E5825" t="s">
        <v>7</v>
      </c>
      <c r="F5825" t="s">
        <v>7</v>
      </c>
      <c r="G5825" t="s">
        <v>7</v>
      </c>
      <c r="H5825">
        <v>103127.58</v>
      </c>
      <c r="I5825">
        <v>30874.95</v>
      </c>
      <c r="J5825">
        <v>0</v>
      </c>
    </row>
    <row r="5826" spans="1:10" x14ac:dyDescent="0.35">
      <c r="A5826">
        <v>324827</v>
      </c>
      <c r="B5826" t="s">
        <v>20</v>
      </c>
      <c r="C5826">
        <v>2015</v>
      </c>
      <c r="D5826">
        <v>7</v>
      </c>
      <c r="E5826" t="s">
        <v>7</v>
      </c>
      <c r="F5826" t="s">
        <v>7</v>
      </c>
      <c r="G5826" t="s">
        <v>7</v>
      </c>
      <c r="H5826">
        <v>11158.68</v>
      </c>
      <c r="I5826">
        <v>2612.14</v>
      </c>
      <c r="J5826">
        <v>0</v>
      </c>
    </row>
    <row r="5827" spans="1:10" x14ac:dyDescent="0.35">
      <c r="A5827">
        <v>324828</v>
      </c>
      <c r="B5827" t="s">
        <v>20</v>
      </c>
      <c r="C5827">
        <v>2015</v>
      </c>
      <c r="D5827">
        <v>7</v>
      </c>
      <c r="E5827" t="s">
        <v>7</v>
      </c>
      <c r="F5827" t="s">
        <v>7</v>
      </c>
      <c r="G5827" t="s">
        <v>7</v>
      </c>
      <c r="H5827">
        <v>34727.919999999998</v>
      </c>
      <c r="I5827">
        <v>8785.8700000000008</v>
      </c>
      <c r="J5827">
        <v>0</v>
      </c>
    </row>
    <row r="5828" spans="1:10" x14ac:dyDescent="0.35">
      <c r="A5828">
        <v>324829</v>
      </c>
      <c r="B5828" t="s">
        <v>20</v>
      </c>
      <c r="C5828">
        <v>2015</v>
      </c>
      <c r="D5828">
        <v>7</v>
      </c>
      <c r="E5828" t="s">
        <v>7</v>
      </c>
      <c r="F5828" t="s">
        <v>7</v>
      </c>
      <c r="G5828" t="s">
        <v>7</v>
      </c>
      <c r="H5828">
        <v>22604.58</v>
      </c>
      <c r="I5828">
        <v>6614.59</v>
      </c>
      <c r="J5828">
        <v>0</v>
      </c>
    </row>
    <row r="5829" spans="1:10" x14ac:dyDescent="0.35">
      <c r="A5829">
        <v>324830</v>
      </c>
      <c r="B5829" t="s">
        <v>20</v>
      </c>
      <c r="C5829">
        <v>2015</v>
      </c>
      <c r="D5829">
        <v>7</v>
      </c>
      <c r="E5829" t="s">
        <v>7</v>
      </c>
      <c r="F5829" t="s">
        <v>7</v>
      </c>
      <c r="G5829" t="s">
        <v>7</v>
      </c>
      <c r="H5829">
        <v>28312.400000000001</v>
      </c>
      <c r="I5829">
        <v>7977.06</v>
      </c>
      <c r="J5829">
        <v>0</v>
      </c>
    </row>
    <row r="5830" spans="1:10" x14ac:dyDescent="0.35">
      <c r="A5830">
        <v>324833</v>
      </c>
      <c r="B5830" t="s">
        <v>20</v>
      </c>
      <c r="C5830">
        <v>2015</v>
      </c>
      <c r="D5830">
        <v>7</v>
      </c>
      <c r="E5830" t="s">
        <v>7</v>
      </c>
      <c r="F5830" t="s">
        <v>7</v>
      </c>
      <c r="G5830" t="s">
        <v>7</v>
      </c>
      <c r="H5830">
        <v>249122.98</v>
      </c>
      <c r="I5830">
        <v>140309.26</v>
      </c>
      <c r="J5830">
        <v>0</v>
      </c>
    </row>
    <row r="5831" spans="1:10" x14ac:dyDescent="0.35">
      <c r="A5831">
        <v>324834</v>
      </c>
      <c r="B5831" t="s">
        <v>20</v>
      </c>
      <c r="C5831">
        <v>2015</v>
      </c>
      <c r="D5831">
        <v>7</v>
      </c>
      <c r="E5831" t="s">
        <v>7</v>
      </c>
      <c r="F5831" t="s">
        <v>7</v>
      </c>
      <c r="G5831" t="s">
        <v>7</v>
      </c>
      <c r="H5831">
        <v>12204</v>
      </c>
      <c r="I5831">
        <v>2832.81</v>
      </c>
      <c r="J5831">
        <v>0</v>
      </c>
    </row>
    <row r="5832" spans="1:10" x14ac:dyDescent="0.35">
      <c r="A5832">
        <v>324836</v>
      </c>
      <c r="B5832" t="s">
        <v>20</v>
      </c>
      <c r="C5832">
        <v>2015</v>
      </c>
      <c r="D5832">
        <v>7</v>
      </c>
      <c r="E5832" t="s">
        <v>7</v>
      </c>
      <c r="F5832" t="s">
        <v>7</v>
      </c>
      <c r="G5832" t="s">
        <v>7</v>
      </c>
      <c r="H5832">
        <v>33183.72</v>
      </c>
      <c r="I5832">
        <v>12796.05</v>
      </c>
      <c r="J5832">
        <v>0</v>
      </c>
    </row>
    <row r="5833" spans="1:10" x14ac:dyDescent="0.35">
      <c r="A5833">
        <v>324837</v>
      </c>
      <c r="B5833" t="s">
        <v>20</v>
      </c>
      <c r="C5833">
        <v>2015</v>
      </c>
      <c r="D5833">
        <v>7</v>
      </c>
      <c r="E5833" t="s">
        <v>7</v>
      </c>
      <c r="F5833" t="s">
        <v>7</v>
      </c>
      <c r="G5833" t="s">
        <v>7</v>
      </c>
      <c r="H5833">
        <v>54872.38</v>
      </c>
      <c r="I5833">
        <v>15053.58</v>
      </c>
      <c r="J5833">
        <v>0</v>
      </c>
    </row>
    <row r="5834" spans="1:10" x14ac:dyDescent="0.35">
      <c r="A5834">
        <v>324838</v>
      </c>
      <c r="B5834" t="s">
        <v>20</v>
      </c>
      <c r="C5834">
        <v>2015</v>
      </c>
      <c r="D5834">
        <v>7</v>
      </c>
      <c r="E5834" t="s">
        <v>7</v>
      </c>
      <c r="F5834" t="s">
        <v>7</v>
      </c>
      <c r="G5834" t="s">
        <v>7</v>
      </c>
      <c r="H5834">
        <v>36020.06</v>
      </c>
      <c r="I5834">
        <v>12581.44</v>
      </c>
      <c r="J5834">
        <v>0</v>
      </c>
    </row>
    <row r="5835" spans="1:10" x14ac:dyDescent="0.35">
      <c r="A5835">
        <v>324839</v>
      </c>
      <c r="B5835" t="s">
        <v>20</v>
      </c>
      <c r="C5835">
        <v>2015</v>
      </c>
      <c r="D5835">
        <v>7</v>
      </c>
      <c r="E5835" t="s">
        <v>7</v>
      </c>
      <c r="F5835" t="s">
        <v>7</v>
      </c>
      <c r="G5835" t="s">
        <v>7</v>
      </c>
      <c r="H5835">
        <v>16778.72</v>
      </c>
      <c r="I5835">
        <v>4768.84</v>
      </c>
      <c r="J5835">
        <v>0</v>
      </c>
    </row>
    <row r="5836" spans="1:10" x14ac:dyDescent="0.35">
      <c r="A5836">
        <v>324840</v>
      </c>
      <c r="B5836" t="s">
        <v>20</v>
      </c>
      <c r="C5836">
        <v>2015</v>
      </c>
      <c r="D5836">
        <v>7</v>
      </c>
      <c r="E5836" t="s">
        <v>7</v>
      </c>
      <c r="F5836" t="s">
        <v>7</v>
      </c>
      <c r="G5836" t="s">
        <v>7</v>
      </c>
      <c r="H5836">
        <v>26483.200000000001</v>
      </c>
      <c r="I5836">
        <v>8208.36</v>
      </c>
      <c r="J5836">
        <v>0</v>
      </c>
    </row>
    <row r="5837" spans="1:10" x14ac:dyDescent="0.35">
      <c r="A5837">
        <v>324841</v>
      </c>
      <c r="B5837" t="s">
        <v>20</v>
      </c>
      <c r="C5837">
        <v>2015</v>
      </c>
      <c r="D5837">
        <v>7</v>
      </c>
      <c r="E5837" t="s">
        <v>7</v>
      </c>
      <c r="F5837" t="s">
        <v>7</v>
      </c>
      <c r="G5837" t="s">
        <v>7</v>
      </c>
      <c r="H5837">
        <v>41770.160000000003</v>
      </c>
      <c r="I5837">
        <v>19504.97</v>
      </c>
      <c r="J5837">
        <v>0</v>
      </c>
    </row>
    <row r="5838" spans="1:10" x14ac:dyDescent="0.35">
      <c r="A5838">
        <v>324843</v>
      </c>
      <c r="B5838" t="s">
        <v>20</v>
      </c>
      <c r="C5838">
        <v>2015</v>
      </c>
      <c r="D5838">
        <v>7</v>
      </c>
      <c r="E5838" t="s">
        <v>7</v>
      </c>
      <c r="F5838" t="s">
        <v>7</v>
      </c>
      <c r="G5838" t="s">
        <v>7</v>
      </c>
      <c r="H5838">
        <v>17473.8</v>
      </c>
      <c r="I5838">
        <v>5101.8599999999997</v>
      </c>
      <c r="J5838">
        <v>0</v>
      </c>
    </row>
    <row r="5839" spans="1:10" x14ac:dyDescent="0.35">
      <c r="A5839">
        <v>324844</v>
      </c>
      <c r="B5839" t="s">
        <v>20</v>
      </c>
      <c r="C5839">
        <v>2015</v>
      </c>
      <c r="D5839">
        <v>7</v>
      </c>
      <c r="E5839" t="s">
        <v>7</v>
      </c>
      <c r="F5839" t="s">
        <v>7</v>
      </c>
      <c r="G5839" t="s">
        <v>7</v>
      </c>
      <c r="H5839">
        <v>68709.94</v>
      </c>
      <c r="I5839">
        <v>38903.550000000003</v>
      </c>
      <c r="J5839">
        <v>0</v>
      </c>
    </row>
    <row r="5840" spans="1:10" x14ac:dyDescent="0.35">
      <c r="A5840">
        <v>324845</v>
      </c>
      <c r="B5840" t="s">
        <v>20</v>
      </c>
      <c r="C5840">
        <v>2015</v>
      </c>
      <c r="D5840">
        <v>7</v>
      </c>
      <c r="E5840" t="s">
        <v>7</v>
      </c>
      <c r="F5840" t="s">
        <v>7</v>
      </c>
      <c r="G5840" t="s">
        <v>7</v>
      </c>
      <c r="H5840">
        <v>30322.04</v>
      </c>
      <c r="I5840">
        <v>7510.77</v>
      </c>
      <c r="J5840">
        <v>0</v>
      </c>
    </row>
    <row r="5841" spans="1:10" x14ac:dyDescent="0.35">
      <c r="A5841">
        <v>324846</v>
      </c>
      <c r="B5841" t="s">
        <v>20</v>
      </c>
      <c r="C5841">
        <v>2015</v>
      </c>
      <c r="D5841">
        <v>7</v>
      </c>
      <c r="E5841" t="s">
        <v>7</v>
      </c>
      <c r="F5841" t="s">
        <v>7</v>
      </c>
      <c r="G5841" t="s">
        <v>7</v>
      </c>
      <c r="H5841">
        <v>118145.26</v>
      </c>
      <c r="I5841">
        <v>42361.47</v>
      </c>
      <c r="J5841">
        <v>0</v>
      </c>
    </row>
    <row r="5842" spans="1:10" x14ac:dyDescent="0.35">
      <c r="A5842">
        <v>324847</v>
      </c>
      <c r="B5842" t="s">
        <v>20</v>
      </c>
      <c r="C5842">
        <v>2015</v>
      </c>
      <c r="D5842">
        <v>7</v>
      </c>
      <c r="E5842" t="s">
        <v>7</v>
      </c>
      <c r="F5842" t="s">
        <v>7</v>
      </c>
      <c r="G5842" t="s">
        <v>7</v>
      </c>
      <c r="H5842">
        <v>17876.759999999998</v>
      </c>
      <c r="I5842">
        <v>5512.13</v>
      </c>
      <c r="J5842">
        <v>0</v>
      </c>
    </row>
    <row r="5843" spans="1:10" x14ac:dyDescent="0.35">
      <c r="A5843">
        <v>324848</v>
      </c>
      <c r="B5843" t="s">
        <v>20</v>
      </c>
      <c r="C5843">
        <v>2015</v>
      </c>
      <c r="D5843">
        <v>7</v>
      </c>
      <c r="E5843" t="s">
        <v>7</v>
      </c>
      <c r="F5843" t="s">
        <v>7</v>
      </c>
      <c r="G5843" t="s">
        <v>7</v>
      </c>
      <c r="H5843">
        <v>19436.28</v>
      </c>
      <c r="I5843">
        <v>4613.72</v>
      </c>
      <c r="J5843">
        <v>0</v>
      </c>
    </row>
    <row r="5844" spans="1:10" x14ac:dyDescent="0.35">
      <c r="A5844">
        <v>324849</v>
      </c>
      <c r="B5844" t="s">
        <v>20</v>
      </c>
      <c r="C5844">
        <v>2015</v>
      </c>
      <c r="D5844">
        <v>7</v>
      </c>
      <c r="E5844" t="s">
        <v>7</v>
      </c>
      <c r="F5844" t="s">
        <v>7</v>
      </c>
      <c r="G5844" t="s">
        <v>7</v>
      </c>
      <c r="H5844">
        <v>13346.74</v>
      </c>
      <c r="I5844">
        <v>3767.33</v>
      </c>
      <c r="J5844">
        <v>0</v>
      </c>
    </row>
    <row r="5845" spans="1:10" x14ac:dyDescent="0.35">
      <c r="A5845">
        <v>324852</v>
      </c>
      <c r="B5845" t="s">
        <v>20</v>
      </c>
      <c r="C5845">
        <v>2015</v>
      </c>
      <c r="D5845">
        <v>7</v>
      </c>
      <c r="E5845" t="s">
        <v>7</v>
      </c>
      <c r="F5845" t="s">
        <v>7</v>
      </c>
      <c r="G5845" t="s">
        <v>7</v>
      </c>
      <c r="H5845">
        <v>15714.42</v>
      </c>
      <c r="I5845">
        <v>4308.34</v>
      </c>
      <c r="J5845">
        <v>0</v>
      </c>
    </row>
    <row r="5846" spans="1:10" x14ac:dyDescent="0.35">
      <c r="A5846">
        <v>324855</v>
      </c>
      <c r="B5846" t="s">
        <v>20</v>
      </c>
      <c r="C5846">
        <v>2015</v>
      </c>
      <c r="D5846">
        <v>7</v>
      </c>
      <c r="E5846" t="s">
        <v>7</v>
      </c>
      <c r="F5846" t="s">
        <v>7</v>
      </c>
      <c r="G5846" t="s">
        <v>7</v>
      </c>
      <c r="H5846">
        <v>11518.82</v>
      </c>
      <c r="I5846">
        <v>3612.87</v>
      </c>
      <c r="J5846">
        <v>0</v>
      </c>
    </row>
    <row r="5847" spans="1:10" x14ac:dyDescent="0.35">
      <c r="A5847">
        <v>324856</v>
      </c>
      <c r="B5847" t="s">
        <v>20</v>
      </c>
      <c r="C5847">
        <v>2015</v>
      </c>
      <c r="D5847">
        <v>7</v>
      </c>
      <c r="E5847" t="s">
        <v>7</v>
      </c>
      <c r="F5847" t="s">
        <v>7</v>
      </c>
      <c r="G5847" t="s">
        <v>7</v>
      </c>
      <c r="H5847">
        <v>115356.98</v>
      </c>
      <c r="I5847">
        <v>43255.199999999997</v>
      </c>
      <c r="J5847">
        <v>0</v>
      </c>
    </row>
    <row r="5848" spans="1:10" x14ac:dyDescent="0.35">
      <c r="A5848">
        <v>324857</v>
      </c>
      <c r="B5848" t="s">
        <v>20</v>
      </c>
      <c r="C5848">
        <v>2015</v>
      </c>
      <c r="D5848">
        <v>7</v>
      </c>
      <c r="E5848" t="s">
        <v>7</v>
      </c>
      <c r="F5848" t="s">
        <v>7</v>
      </c>
      <c r="G5848" t="s">
        <v>7</v>
      </c>
      <c r="H5848">
        <v>30608.46</v>
      </c>
      <c r="I5848">
        <v>9032.41</v>
      </c>
      <c r="J5848">
        <v>0</v>
      </c>
    </row>
    <row r="5849" spans="1:10" x14ac:dyDescent="0.35">
      <c r="A5849">
        <v>324858</v>
      </c>
      <c r="B5849" t="s">
        <v>20</v>
      </c>
      <c r="C5849">
        <v>2015</v>
      </c>
      <c r="D5849">
        <v>7</v>
      </c>
      <c r="E5849" t="s">
        <v>7</v>
      </c>
      <c r="F5849" t="s">
        <v>7</v>
      </c>
      <c r="G5849" t="s">
        <v>7</v>
      </c>
      <c r="H5849">
        <v>38125.120000000003</v>
      </c>
      <c r="I5849">
        <v>11086.24</v>
      </c>
      <c r="J5849">
        <v>0</v>
      </c>
    </row>
    <row r="5850" spans="1:10" x14ac:dyDescent="0.35">
      <c r="A5850">
        <v>324860</v>
      </c>
      <c r="B5850" t="s">
        <v>20</v>
      </c>
      <c r="C5850">
        <v>2015</v>
      </c>
      <c r="D5850">
        <v>7</v>
      </c>
      <c r="E5850" t="s">
        <v>7</v>
      </c>
      <c r="F5850" t="s">
        <v>7</v>
      </c>
      <c r="G5850" t="s">
        <v>7</v>
      </c>
      <c r="H5850">
        <v>27164.52</v>
      </c>
      <c r="I5850">
        <v>6964.34</v>
      </c>
      <c r="J5850">
        <v>0</v>
      </c>
    </row>
    <row r="5851" spans="1:10" x14ac:dyDescent="0.35">
      <c r="A5851">
        <v>324861</v>
      </c>
      <c r="B5851" t="s">
        <v>20</v>
      </c>
      <c r="C5851">
        <v>2015</v>
      </c>
      <c r="D5851">
        <v>7</v>
      </c>
      <c r="E5851" t="s">
        <v>7</v>
      </c>
      <c r="F5851" t="s">
        <v>7</v>
      </c>
      <c r="G5851" t="s">
        <v>7</v>
      </c>
      <c r="H5851">
        <v>57968.6</v>
      </c>
      <c r="I5851">
        <v>18883.490000000002</v>
      </c>
      <c r="J5851">
        <v>0</v>
      </c>
    </row>
    <row r="5852" spans="1:10" x14ac:dyDescent="0.35">
      <c r="A5852">
        <v>324863</v>
      </c>
      <c r="B5852" t="s">
        <v>20</v>
      </c>
      <c r="C5852">
        <v>2015</v>
      </c>
      <c r="D5852">
        <v>7</v>
      </c>
      <c r="E5852" t="s">
        <v>7</v>
      </c>
      <c r="F5852" t="s">
        <v>7</v>
      </c>
      <c r="G5852" t="s">
        <v>7</v>
      </c>
      <c r="H5852">
        <v>17645.16</v>
      </c>
      <c r="I5852">
        <v>5039.66</v>
      </c>
      <c r="J5852">
        <v>0</v>
      </c>
    </row>
    <row r="5853" spans="1:10" x14ac:dyDescent="0.35">
      <c r="A5853">
        <v>324864</v>
      </c>
      <c r="B5853" t="s">
        <v>20</v>
      </c>
      <c r="C5853">
        <v>2015</v>
      </c>
      <c r="D5853">
        <v>7</v>
      </c>
      <c r="E5853" t="s">
        <v>7</v>
      </c>
      <c r="F5853" t="s">
        <v>7</v>
      </c>
      <c r="G5853" t="s">
        <v>7</v>
      </c>
      <c r="H5853">
        <v>17169.02</v>
      </c>
      <c r="I5853">
        <v>4880.01</v>
      </c>
      <c r="J5853">
        <v>0</v>
      </c>
    </row>
    <row r="5854" spans="1:10" x14ac:dyDescent="0.35">
      <c r="A5854">
        <v>324865</v>
      </c>
      <c r="B5854" t="s">
        <v>20</v>
      </c>
      <c r="C5854">
        <v>2015</v>
      </c>
      <c r="D5854">
        <v>7</v>
      </c>
      <c r="E5854" t="s">
        <v>7</v>
      </c>
      <c r="F5854" t="s">
        <v>7</v>
      </c>
      <c r="G5854" t="s">
        <v>7</v>
      </c>
      <c r="H5854">
        <v>87518.28</v>
      </c>
      <c r="I5854">
        <v>46570.78</v>
      </c>
      <c r="J5854">
        <v>0</v>
      </c>
    </row>
    <row r="5855" spans="1:10" x14ac:dyDescent="0.35">
      <c r="A5855">
        <v>324866</v>
      </c>
      <c r="B5855" t="s">
        <v>20</v>
      </c>
      <c r="C5855">
        <v>2015</v>
      </c>
      <c r="D5855">
        <v>7</v>
      </c>
      <c r="E5855" t="s">
        <v>7</v>
      </c>
      <c r="F5855" t="s">
        <v>7</v>
      </c>
      <c r="G5855" t="s">
        <v>7</v>
      </c>
      <c r="H5855">
        <v>18516.240000000002</v>
      </c>
      <c r="I5855">
        <v>5248.6</v>
      </c>
      <c r="J5855">
        <v>0</v>
      </c>
    </row>
    <row r="5856" spans="1:10" x14ac:dyDescent="0.35">
      <c r="A5856">
        <v>324867</v>
      </c>
      <c r="B5856" t="s">
        <v>20</v>
      </c>
      <c r="C5856">
        <v>2015</v>
      </c>
      <c r="D5856">
        <v>7</v>
      </c>
      <c r="E5856" t="s">
        <v>7</v>
      </c>
      <c r="F5856" t="s">
        <v>7</v>
      </c>
      <c r="G5856" t="s">
        <v>7</v>
      </c>
      <c r="H5856">
        <v>34681.26</v>
      </c>
      <c r="I5856">
        <v>12026.98</v>
      </c>
      <c r="J5856">
        <v>0</v>
      </c>
    </row>
    <row r="5857" spans="1:10" x14ac:dyDescent="0.35">
      <c r="A5857">
        <v>324868</v>
      </c>
      <c r="B5857" t="s">
        <v>20</v>
      </c>
      <c r="C5857">
        <v>2015</v>
      </c>
      <c r="D5857">
        <v>7</v>
      </c>
      <c r="E5857" t="s">
        <v>7</v>
      </c>
      <c r="F5857" t="s">
        <v>7</v>
      </c>
      <c r="G5857" t="s">
        <v>7</v>
      </c>
      <c r="H5857">
        <v>18703.240000000002</v>
      </c>
      <c r="I5857">
        <v>5375.08</v>
      </c>
      <c r="J5857">
        <v>0</v>
      </c>
    </row>
    <row r="5858" spans="1:10" x14ac:dyDescent="0.35">
      <c r="A5858">
        <v>324872</v>
      </c>
      <c r="B5858" t="s">
        <v>20</v>
      </c>
      <c r="C5858">
        <v>2015</v>
      </c>
      <c r="D5858">
        <v>7</v>
      </c>
      <c r="E5858" t="s">
        <v>7</v>
      </c>
      <c r="F5858" t="s">
        <v>7</v>
      </c>
      <c r="G5858" t="s">
        <v>7</v>
      </c>
      <c r="H5858">
        <v>34769.699999999997</v>
      </c>
      <c r="I5858">
        <v>10526.23</v>
      </c>
      <c r="J5858">
        <v>0</v>
      </c>
    </row>
    <row r="5859" spans="1:10" x14ac:dyDescent="0.35">
      <c r="A5859">
        <v>324873</v>
      </c>
      <c r="B5859" t="s">
        <v>20</v>
      </c>
      <c r="C5859">
        <v>2015</v>
      </c>
      <c r="D5859">
        <v>7</v>
      </c>
      <c r="E5859" t="s">
        <v>7</v>
      </c>
      <c r="F5859" t="s">
        <v>7</v>
      </c>
      <c r="G5859" t="s">
        <v>7</v>
      </c>
      <c r="H5859">
        <v>52213.4</v>
      </c>
      <c r="I5859">
        <v>13357.37</v>
      </c>
      <c r="J5859">
        <v>0</v>
      </c>
    </row>
    <row r="5860" spans="1:10" x14ac:dyDescent="0.35">
      <c r="A5860">
        <v>324875</v>
      </c>
      <c r="B5860" t="s">
        <v>20</v>
      </c>
      <c r="C5860">
        <v>2015</v>
      </c>
      <c r="D5860">
        <v>7</v>
      </c>
      <c r="E5860" t="s">
        <v>7</v>
      </c>
      <c r="F5860" t="s">
        <v>7</v>
      </c>
      <c r="G5860" t="s">
        <v>7</v>
      </c>
      <c r="H5860">
        <v>11297.48</v>
      </c>
      <c r="I5860">
        <v>2826.33</v>
      </c>
      <c r="J5860">
        <v>0</v>
      </c>
    </row>
    <row r="5861" spans="1:10" x14ac:dyDescent="0.35">
      <c r="A5861">
        <v>324877</v>
      </c>
      <c r="B5861" t="s">
        <v>20</v>
      </c>
      <c r="C5861">
        <v>2015</v>
      </c>
      <c r="D5861">
        <v>7</v>
      </c>
      <c r="E5861" t="s">
        <v>7</v>
      </c>
      <c r="F5861" t="s">
        <v>7</v>
      </c>
      <c r="G5861" t="s">
        <v>7</v>
      </c>
      <c r="H5861">
        <v>20640.900000000001</v>
      </c>
      <c r="I5861">
        <v>5725.8</v>
      </c>
      <c r="J5861">
        <v>0</v>
      </c>
    </row>
    <row r="5862" spans="1:10" x14ac:dyDescent="0.35">
      <c r="A5862">
        <v>324878</v>
      </c>
      <c r="B5862" t="s">
        <v>20</v>
      </c>
      <c r="C5862">
        <v>2015</v>
      </c>
      <c r="D5862">
        <v>7</v>
      </c>
      <c r="E5862" t="s">
        <v>7</v>
      </c>
      <c r="F5862" t="s">
        <v>7</v>
      </c>
      <c r="G5862" t="s">
        <v>7</v>
      </c>
      <c r="H5862">
        <v>109923.58</v>
      </c>
      <c r="I5862">
        <v>43076.19</v>
      </c>
      <c r="J5862">
        <v>0</v>
      </c>
    </row>
    <row r="5863" spans="1:10" x14ac:dyDescent="0.35">
      <c r="A5863">
        <v>324881</v>
      </c>
      <c r="B5863" t="s">
        <v>20</v>
      </c>
      <c r="C5863">
        <v>2015</v>
      </c>
      <c r="D5863">
        <v>7</v>
      </c>
      <c r="E5863" t="s">
        <v>7</v>
      </c>
      <c r="F5863" t="s">
        <v>7</v>
      </c>
      <c r="G5863" t="s">
        <v>7</v>
      </c>
      <c r="H5863">
        <v>13371.34</v>
      </c>
      <c r="I5863">
        <v>3983.46</v>
      </c>
      <c r="J5863">
        <v>0</v>
      </c>
    </row>
    <row r="5864" spans="1:10" x14ac:dyDescent="0.35">
      <c r="A5864">
        <v>324882</v>
      </c>
      <c r="B5864" t="s">
        <v>20</v>
      </c>
      <c r="C5864">
        <v>2015</v>
      </c>
      <c r="D5864">
        <v>7</v>
      </c>
      <c r="E5864" t="s">
        <v>7</v>
      </c>
      <c r="F5864" t="s">
        <v>7</v>
      </c>
      <c r="G5864" t="s">
        <v>7</v>
      </c>
      <c r="H5864">
        <v>30868.34</v>
      </c>
      <c r="I5864">
        <v>8428.65</v>
      </c>
      <c r="J5864">
        <v>0</v>
      </c>
    </row>
    <row r="5865" spans="1:10" x14ac:dyDescent="0.35">
      <c r="A5865">
        <v>324883</v>
      </c>
      <c r="B5865" t="s">
        <v>20</v>
      </c>
      <c r="C5865">
        <v>2015</v>
      </c>
      <c r="D5865">
        <v>7</v>
      </c>
      <c r="E5865" t="s">
        <v>7</v>
      </c>
      <c r="F5865" t="s">
        <v>7</v>
      </c>
      <c r="G5865" t="s">
        <v>7</v>
      </c>
      <c r="H5865">
        <v>17117.88</v>
      </c>
      <c r="I5865">
        <v>4990.07</v>
      </c>
      <c r="J5865">
        <v>0</v>
      </c>
    </row>
    <row r="5866" spans="1:10" x14ac:dyDescent="0.35">
      <c r="A5866">
        <v>324885</v>
      </c>
      <c r="B5866" t="s">
        <v>20</v>
      </c>
      <c r="C5866">
        <v>2015</v>
      </c>
      <c r="D5866">
        <v>7</v>
      </c>
      <c r="E5866" t="s">
        <v>7</v>
      </c>
      <c r="F5866" t="s">
        <v>7</v>
      </c>
      <c r="G5866" t="s">
        <v>7</v>
      </c>
      <c r="H5866">
        <v>31822.18</v>
      </c>
      <c r="I5866">
        <v>9629.11</v>
      </c>
      <c r="J5866">
        <v>0</v>
      </c>
    </row>
    <row r="5867" spans="1:10" x14ac:dyDescent="0.35">
      <c r="A5867">
        <v>324887</v>
      </c>
      <c r="B5867" t="s">
        <v>20</v>
      </c>
      <c r="C5867">
        <v>2015</v>
      </c>
      <c r="D5867">
        <v>7</v>
      </c>
      <c r="E5867" t="s">
        <v>7</v>
      </c>
      <c r="F5867" t="s">
        <v>7</v>
      </c>
      <c r="G5867" t="s">
        <v>7</v>
      </c>
      <c r="H5867">
        <v>25265.64</v>
      </c>
      <c r="I5867">
        <v>8219.33</v>
      </c>
      <c r="J5867">
        <v>0</v>
      </c>
    </row>
    <row r="5868" spans="1:10" x14ac:dyDescent="0.35">
      <c r="A5868">
        <v>324889</v>
      </c>
      <c r="B5868" t="s">
        <v>20</v>
      </c>
      <c r="C5868">
        <v>2015</v>
      </c>
      <c r="D5868">
        <v>7</v>
      </c>
      <c r="E5868" t="s">
        <v>7</v>
      </c>
      <c r="F5868" t="s">
        <v>7</v>
      </c>
      <c r="G5868" t="s">
        <v>7</v>
      </c>
      <c r="H5868">
        <v>84601.5</v>
      </c>
      <c r="I5868">
        <v>38328.959999999999</v>
      </c>
      <c r="J5868">
        <v>0</v>
      </c>
    </row>
    <row r="5869" spans="1:10" x14ac:dyDescent="0.35">
      <c r="A5869">
        <v>324890</v>
      </c>
      <c r="B5869" t="s">
        <v>20</v>
      </c>
      <c r="C5869">
        <v>2015</v>
      </c>
      <c r="D5869">
        <v>7</v>
      </c>
      <c r="E5869" t="s">
        <v>7</v>
      </c>
      <c r="F5869" t="s">
        <v>7</v>
      </c>
      <c r="G5869" t="s">
        <v>7</v>
      </c>
      <c r="H5869">
        <v>14279.32</v>
      </c>
      <c r="I5869">
        <v>6833.07</v>
      </c>
      <c r="J5869">
        <v>0</v>
      </c>
    </row>
    <row r="5870" spans="1:10" x14ac:dyDescent="0.35">
      <c r="A5870">
        <v>324891</v>
      </c>
      <c r="B5870" t="s">
        <v>20</v>
      </c>
      <c r="C5870">
        <v>2015</v>
      </c>
      <c r="D5870">
        <v>7</v>
      </c>
      <c r="E5870" t="s">
        <v>7</v>
      </c>
      <c r="F5870" t="s">
        <v>7</v>
      </c>
      <c r="G5870" t="s">
        <v>7</v>
      </c>
      <c r="H5870">
        <v>24106.9</v>
      </c>
      <c r="I5870">
        <v>6606.89</v>
      </c>
      <c r="J5870">
        <v>0</v>
      </c>
    </row>
    <row r="5871" spans="1:10" x14ac:dyDescent="0.35">
      <c r="A5871">
        <v>324892</v>
      </c>
      <c r="B5871" t="s">
        <v>20</v>
      </c>
      <c r="C5871">
        <v>2015</v>
      </c>
      <c r="D5871">
        <v>7</v>
      </c>
      <c r="E5871" t="s">
        <v>7</v>
      </c>
      <c r="F5871" t="s">
        <v>7</v>
      </c>
      <c r="G5871" t="s">
        <v>7</v>
      </c>
      <c r="H5871">
        <v>25954.5</v>
      </c>
      <c r="I5871">
        <v>7640.14</v>
      </c>
      <c r="J5871">
        <v>0</v>
      </c>
    </row>
    <row r="5872" spans="1:10" x14ac:dyDescent="0.35">
      <c r="A5872">
        <v>324893</v>
      </c>
      <c r="B5872" t="s">
        <v>20</v>
      </c>
      <c r="C5872">
        <v>2015</v>
      </c>
      <c r="D5872">
        <v>7</v>
      </c>
      <c r="E5872" t="s">
        <v>7</v>
      </c>
      <c r="F5872" t="s">
        <v>7</v>
      </c>
      <c r="G5872" t="s">
        <v>7</v>
      </c>
      <c r="H5872">
        <v>44389.7</v>
      </c>
      <c r="I5872">
        <v>13550.91</v>
      </c>
      <c r="J5872">
        <v>0</v>
      </c>
    </row>
    <row r="5873" spans="1:10" x14ac:dyDescent="0.35">
      <c r="A5873">
        <v>324894</v>
      </c>
      <c r="B5873" t="s">
        <v>20</v>
      </c>
      <c r="C5873">
        <v>2015</v>
      </c>
      <c r="D5873">
        <v>7</v>
      </c>
      <c r="E5873" t="s">
        <v>7</v>
      </c>
      <c r="F5873" t="s">
        <v>7</v>
      </c>
      <c r="G5873" t="s">
        <v>7</v>
      </c>
      <c r="H5873">
        <v>43091.18</v>
      </c>
      <c r="I5873">
        <v>18841.05</v>
      </c>
      <c r="J5873">
        <v>0</v>
      </c>
    </row>
    <row r="5874" spans="1:10" x14ac:dyDescent="0.35">
      <c r="A5874">
        <v>324895</v>
      </c>
      <c r="B5874" t="s">
        <v>20</v>
      </c>
      <c r="C5874">
        <v>2015</v>
      </c>
      <c r="D5874">
        <v>7</v>
      </c>
      <c r="E5874" t="s">
        <v>7</v>
      </c>
      <c r="F5874" t="s">
        <v>7</v>
      </c>
      <c r="G5874" t="s">
        <v>7</v>
      </c>
      <c r="H5874">
        <v>26158.66</v>
      </c>
      <c r="I5874">
        <v>7068.22</v>
      </c>
      <c r="J5874">
        <v>0</v>
      </c>
    </row>
    <row r="5875" spans="1:10" x14ac:dyDescent="0.35">
      <c r="A5875">
        <v>324896</v>
      </c>
      <c r="B5875" t="s">
        <v>20</v>
      </c>
      <c r="C5875">
        <v>2015</v>
      </c>
      <c r="D5875">
        <v>7</v>
      </c>
      <c r="E5875" t="s">
        <v>7</v>
      </c>
      <c r="F5875" t="s">
        <v>7</v>
      </c>
      <c r="G5875" t="s">
        <v>7</v>
      </c>
      <c r="H5875">
        <v>66806.92</v>
      </c>
      <c r="I5875">
        <v>14341.32</v>
      </c>
      <c r="J5875">
        <v>0</v>
      </c>
    </row>
    <row r="5876" spans="1:10" x14ac:dyDescent="0.35">
      <c r="A5876">
        <v>324897</v>
      </c>
      <c r="B5876" t="s">
        <v>20</v>
      </c>
      <c r="C5876">
        <v>2015</v>
      </c>
      <c r="D5876">
        <v>7</v>
      </c>
      <c r="E5876" t="s">
        <v>7</v>
      </c>
      <c r="F5876" t="s">
        <v>7</v>
      </c>
      <c r="G5876" t="s">
        <v>7</v>
      </c>
      <c r="H5876">
        <v>27000.98</v>
      </c>
      <c r="I5876">
        <v>6045.18</v>
      </c>
      <c r="J5876">
        <v>0</v>
      </c>
    </row>
    <row r="5877" spans="1:10" x14ac:dyDescent="0.35">
      <c r="A5877">
        <v>324898</v>
      </c>
      <c r="B5877" t="s">
        <v>20</v>
      </c>
      <c r="C5877">
        <v>2015</v>
      </c>
      <c r="D5877">
        <v>7</v>
      </c>
      <c r="E5877" t="s">
        <v>7</v>
      </c>
      <c r="F5877" t="s">
        <v>7</v>
      </c>
      <c r="G5877" t="s">
        <v>7</v>
      </c>
      <c r="H5877">
        <v>26360.1</v>
      </c>
      <c r="I5877">
        <v>6290.83</v>
      </c>
      <c r="J5877">
        <v>0</v>
      </c>
    </row>
    <row r="5878" spans="1:10" x14ac:dyDescent="0.35">
      <c r="A5878">
        <v>324899</v>
      </c>
      <c r="B5878" t="s">
        <v>20</v>
      </c>
      <c r="C5878">
        <v>2015</v>
      </c>
      <c r="D5878">
        <v>7</v>
      </c>
      <c r="E5878" t="s">
        <v>7</v>
      </c>
      <c r="F5878" t="s">
        <v>7</v>
      </c>
      <c r="G5878" t="s">
        <v>7</v>
      </c>
      <c r="H5878">
        <v>52125.56</v>
      </c>
      <c r="I5878">
        <v>17825.21</v>
      </c>
      <c r="J5878">
        <v>0</v>
      </c>
    </row>
    <row r="5879" spans="1:10" x14ac:dyDescent="0.35">
      <c r="A5879">
        <v>324900</v>
      </c>
      <c r="B5879" t="s">
        <v>20</v>
      </c>
      <c r="C5879">
        <v>2015</v>
      </c>
      <c r="D5879">
        <v>7</v>
      </c>
      <c r="E5879" t="s">
        <v>7</v>
      </c>
      <c r="F5879" t="s">
        <v>7</v>
      </c>
      <c r="G5879" t="s">
        <v>7</v>
      </c>
      <c r="H5879">
        <v>56823.98</v>
      </c>
      <c r="I5879">
        <v>17054.97</v>
      </c>
      <c r="J5879">
        <v>0</v>
      </c>
    </row>
    <row r="5880" spans="1:10" x14ac:dyDescent="0.35">
      <c r="A5880">
        <v>324902</v>
      </c>
      <c r="B5880" t="s">
        <v>20</v>
      </c>
      <c r="C5880">
        <v>2015</v>
      </c>
      <c r="D5880">
        <v>7</v>
      </c>
      <c r="E5880" t="s">
        <v>7</v>
      </c>
      <c r="F5880" t="s">
        <v>7</v>
      </c>
      <c r="G5880" t="s">
        <v>7</v>
      </c>
      <c r="H5880">
        <v>28067.279999999999</v>
      </c>
      <c r="I5880">
        <v>8330.27</v>
      </c>
      <c r="J5880">
        <v>0</v>
      </c>
    </row>
    <row r="5881" spans="1:10" x14ac:dyDescent="0.35">
      <c r="A5881">
        <v>324903</v>
      </c>
      <c r="B5881" t="s">
        <v>20</v>
      </c>
      <c r="C5881">
        <v>2015</v>
      </c>
      <c r="D5881">
        <v>7</v>
      </c>
      <c r="E5881" t="s">
        <v>7</v>
      </c>
      <c r="F5881" t="s">
        <v>7</v>
      </c>
      <c r="G5881" t="s">
        <v>7</v>
      </c>
      <c r="H5881">
        <v>20084</v>
      </c>
      <c r="I5881">
        <v>12215.41</v>
      </c>
      <c r="J5881">
        <v>0</v>
      </c>
    </row>
    <row r="5882" spans="1:10" x14ac:dyDescent="0.35">
      <c r="A5882">
        <v>324904</v>
      </c>
      <c r="B5882" t="s">
        <v>20</v>
      </c>
      <c r="C5882">
        <v>2015</v>
      </c>
      <c r="D5882">
        <v>7</v>
      </c>
      <c r="E5882" t="s">
        <v>7</v>
      </c>
      <c r="F5882" t="s">
        <v>7</v>
      </c>
      <c r="G5882" t="s">
        <v>7</v>
      </c>
      <c r="H5882">
        <v>40279.18</v>
      </c>
      <c r="I5882">
        <v>17979.560000000001</v>
      </c>
      <c r="J5882">
        <v>0</v>
      </c>
    </row>
    <row r="5883" spans="1:10" x14ac:dyDescent="0.35">
      <c r="A5883">
        <v>324905</v>
      </c>
      <c r="B5883" t="s">
        <v>20</v>
      </c>
      <c r="C5883">
        <v>2015</v>
      </c>
      <c r="D5883">
        <v>7</v>
      </c>
      <c r="E5883" t="s">
        <v>7</v>
      </c>
      <c r="F5883" t="s">
        <v>7</v>
      </c>
      <c r="G5883" t="s">
        <v>7</v>
      </c>
      <c r="H5883">
        <v>53224.44</v>
      </c>
      <c r="I5883">
        <v>14172.2</v>
      </c>
      <c r="J5883">
        <v>0</v>
      </c>
    </row>
    <row r="5884" spans="1:10" x14ac:dyDescent="0.35">
      <c r="A5884">
        <v>324906</v>
      </c>
      <c r="B5884" t="s">
        <v>20</v>
      </c>
      <c r="C5884">
        <v>2015</v>
      </c>
      <c r="D5884">
        <v>7</v>
      </c>
      <c r="E5884" t="s">
        <v>7</v>
      </c>
      <c r="F5884" t="s">
        <v>7</v>
      </c>
      <c r="G5884" t="s">
        <v>7</v>
      </c>
      <c r="H5884">
        <v>54136.1</v>
      </c>
      <c r="I5884">
        <v>16118.43</v>
      </c>
      <c r="J5884">
        <v>0</v>
      </c>
    </row>
    <row r="5885" spans="1:10" x14ac:dyDescent="0.35">
      <c r="A5885">
        <v>324909</v>
      </c>
      <c r="B5885" t="s">
        <v>20</v>
      </c>
      <c r="C5885">
        <v>2015</v>
      </c>
      <c r="D5885">
        <v>7</v>
      </c>
      <c r="E5885" t="s">
        <v>7</v>
      </c>
      <c r="F5885" t="s">
        <v>7</v>
      </c>
      <c r="G5885" t="s">
        <v>7</v>
      </c>
      <c r="H5885">
        <v>224776.38</v>
      </c>
      <c r="I5885">
        <v>137289.31</v>
      </c>
      <c r="J5885">
        <v>0</v>
      </c>
    </row>
    <row r="5886" spans="1:10" x14ac:dyDescent="0.35">
      <c r="A5886">
        <v>324910</v>
      </c>
      <c r="B5886" t="s">
        <v>20</v>
      </c>
      <c r="C5886">
        <v>2015</v>
      </c>
      <c r="D5886">
        <v>7</v>
      </c>
      <c r="E5886" t="s">
        <v>7</v>
      </c>
      <c r="F5886" t="s">
        <v>7</v>
      </c>
      <c r="G5886" t="s">
        <v>7</v>
      </c>
      <c r="H5886">
        <v>34743.1</v>
      </c>
      <c r="I5886">
        <v>10568.48</v>
      </c>
      <c r="J5886">
        <v>0</v>
      </c>
    </row>
    <row r="5887" spans="1:10" x14ac:dyDescent="0.35">
      <c r="A5887">
        <v>324913</v>
      </c>
      <c r="B5887" t="s">
        <v>20</v>
      </c>
      <c r="C5887">
        <v>2015</v>
      </c>
      <c r="D5887">
        <v>7</v>
      </c>
      <c r="E5887" t="s">
        <v>7</v>
      </c>
      <c r="F5887" t="s">
        <v>7</v>
      </c>
      <c r="G5887" t="s">
        <v>7</v>
      </c>
      <c r="H5887">
        <v>16289.02</v>
      </c>
      <c r="I5887">
        <v>3829.32</v>
      </c>
      <c r="J5887">
        <v>0</v>
      </c>
    </row>
    <row r="5888" spans="1:10" x14ac:dyDescent="0.35">
      <c r="A5888">
        <v>324914</v>
      </c>
      <c r="B5888" t="s">
        <v>20</v>
      </c>
      <c r="C5888">
        <v>2015</v>
      </c>
      <c r="D5888">
        <v>7</v>
      </c>
      <c r="E5888" t="s">
        <v>7</v>
      </c>
      <c r="F5888" t="s">
        <v>7</v>
      </c>
      <c r="G5888" t="s">
        <v>7</v>
      </c>
      <c r="H5888">
        <v>195713.9</v>
      </c>
      <c r="I5888">
        <v>62534.84</v>
      </c>
      <c r="J5888">
        <v>0</v>
      </c>
    </row>
    <row r="5889" spans="1:10" x14ac:dyDescent="0.35">
      <c r="A5889">
        <v>324916</v>
      </c>
      <c r="B5889" t="s">
        <v>20</v>
      </c>
      <c r="C5889">
        <v>2015</v>
      </c>
      <c r="D5889">
        <v>7</v>
      </c>
      <c r="E5889" t="s">
        <v>7</v>
      </c>
      <c r="F5889" t="s">
        <v>7</v>
      </c>
      <c r="G5889" t="s">
        <v>7</v>
      </c>
      <c r="H5889">
        <v>47983.98</v>
      </c>
      <c r="I5889">
        <v>14226.81</v>
      </c>
      <c r="J5889">
        <v>0</v>
      </c>
    </row>
    <row r="5890" spans="1:10" x14ac:dyDescent="0.35">
      <c r="A5890">
        <v>324918</v>
      </c>
      <c r="B5890" t="s">
        <v>20</v>
      </c>
      <c r="C5890">
        <v>2015</v>
      </c>
      <c r="D5890">
        <v>7</v>
      </c>
      <c r="E5890" t="s">
        <v>7</v>
      </c>
      <c r="F5890" t="s">
        <v>7</v>
      </c>
      <c r="G5890" t="s">
        <v>7</v>
      </c>
      <c r="H5890">
        <v>21680.32</v>
      </c>
      <c r="I5890">
        <v>6594.2</v>
      </c>
      <c r="J5890">
        <v>0</v>
      </c>
    </row>
    <row r="5891" spans="1:10" x14ac:dyDescent="0.35">
      <c r="A5891">
        <v>324919</v>
      </c>
      <c r="B5891" t="s">
        <v>20</v>
      </c>
      <c r="C5891">
        <v>2015</v>
      </c>
      <c r="D5891">
        <v>7</v>
      </c>
      <c r="E5891" t="s">
        <v>7</v>
      </c>
      <c r="F5891" t="s">
        <v>7</v>
      </c>
      <c r="G5891" t="s">
        <v>7</v>
      </c>
      <c r="H5891">
        <v>23526.92</v>
      </c>
      <c r="I5891">
        <v>6966.38</v>
      </c>
      <c r="J5891">
        <v>0</v>
      </c>
    </row>
    <row r="5892" spans="1:10" x14ac:dyDescent="0.35">
      <c r="A5892">
        <v>324920</v>
      </c>
      <c r="B5892" t="s">
        <v>20</v>
      </c>
      <c r="C5892">
        <v>2015</v>
      </c>
      <c r="D5892">
        <v>7</v>
      </c>
      <c r="E5892" t="s">
        <v>7</v>
      </c>
      <c r="F5892" t="s">
        <v>7</v>
      </c>
      <c r="G5892" t="s">
        <v>7</v>
      </c>
      <c r="H5892">
        <v>45893.54</v>
      </c>
      <c r="I5892">
        <v>13934.4</v>
      </c>
      <c r="J5892">
        <v>0</v>
      </c>
    </row>
    <row r="5893" spans="1:10" x14ac:dyDescent="0.35">
      <c r="A5893">
        <v>324922</v>
      </c>
      <c r="B5893" t="s">
        <v>20</v>
      </c>
      <c r="C5893">
        <v>2015</v>
      </c>
      <c r="D5893">
        <v>7</v>
      </c>
      <c r="E5893" t="s">
        <v>7</v>
      </c>
      <c r="F5893" t="s">
        <v>7</v>
      </c>
      <c r="G5893" t="s">
        <v>7</v>
      </c>
      <c r="H5893">
        <v>11149.02</v>
      </c>
      <c r="I5893">
        <v>2600.19</v>
      </c>
      <c r="J5893">
        <v>0</v>
      </c>
    </row>
    <row r="5894" spans="1:10" x14ac:dyDescent="0.35">
      <c r="A5894">
        <v>324923</v>
      </c>
      <c r="B5894" t="s">
        <v>20</v>
      </c>
      <c r="C5894">
        <v>2015</v>
      </c>
      <c r="D5894">
        <v>7</v>
      </c>
      <c r="E5894" t="s">
        <v>7</v>
      </c>
      <c r="F5894" t="s">
        <v>7</v>
      </c>
      <c r="G5894" t="s">
        <v>7</v>
      </c>
      <c r="H5894">
        <v>79427.12</v>
      </c>
      <c r="I5894">
        <v>40764.39</v>
      </c>
      <c r="J5894">
        <v>0</v>
      </c>
    </row>
    <row r="5895" spans="1:10" x14ac:dyDescent="0.35">
      <c r="A5895">
        <v>324924</v>
      </c>
      <c r="B5895" t="s">
        <v>20</v>
      </c>
      <c r="C5895">
        <v>2015</v>
      </c>
      <c r="D5895">
        <v>7</v>
      </c>
      <c r="E5895" t="s">
        <v>7</v>
      </c>
      <c r="F5895" t="s">
        <v>7</v>
      </c>
      <c r="G5895" t="s">
        <v>7</v>
      </c>
      <c r="H5895">
        <v>17172.8</v>
      </c>
      <c r="I5895">
        <v>4761.1899999999996</v>
      </c>
      <c r="J5895">
        <v>0</v>
      </c>
    </row>
    <row r="5896" spans="1:10" x14ac:dyDescent="0.35">
      <c r="A5896">
        <v>324925</v>
      </c>
      <c r="B5896" t="s">
        <v>20</v>
      </c>
      <c r="C5896">
        <v>2015</v>
      </c>
      <c r="D5896">
        <v>7</v>
      </c>
      <c r="E5896" t="s">
        <v>7</v>
      </c>
      <c r="F5896" t="s">
        <v>7</v>
      </c>
      <c r="G5896" t="s">
        <v>7</v>
      </c>
      <c r="H5896">
        <v>17416.240000000002</v>
      </c>
      <c r="I5896">
        <v>5187.41</v>
      </c>
      <c r="J5896">
        <v>0</v>
      </c>
    </row>
    <row r="5897" spans="1:10" x14ac:dyDescent="0.35">
      <c r="A5897">
        <v>324926</v>
      </c>
      <c r="B5897" t="s">
        <v>20</v>
      </c>
      <c r="C5897">
        <v>2015</v>
      </c>
      <c r="D5897">
        <v>7</v>
      </c>
      <c r="E5897" t="s">
        <v>7</v>
      </c>
      <c r="F5897" t="s">
        <v>7</v>
      </c>
      <c r="G5897" t="s">
        <v>7</v>
      </c>
      <c r="H5897">
        <v>49099.62</v>
      </c>
      <c r="I5897">
        <v>20724.150000000001</v>
      </c>
      <c r="J5897">
        <v>0</v>
      </c>
    </row>
    <row r="5898" spans="1:10" x14ac:dyDescent="0.35">
      <c r="A5898">
        <v>324929</v>
      </c>
      <c r="B5898" t="s">
        <v>20</v>
      </c>
      <c r="C5898">
        <v>2015</v>
      </c>
      <c r="D5898">
        <v>7</v>
      </c>
      <c r="E5898" t="s">
        <v>7</v>
      </c>
      <c r="F5898" t="s">
        <v>7</v>
      </c>
      <c r="G5898" t="s">
        <v>7</v>
      </c>
      <c r="H5898">
        <v>119315.8</v>
      </c>
      <c r="I5898">
        <v>37974.31</v>
      </c>
      <c r="J5898">
        <v>0</v>
      </c>
    </row>
    <row r="5899" spans="1:10" x14ac:dyDescent="0.35">
      <c r="A5899">
        <v>324930</v>
      </c>
      <c r="B5899" t="s">
        <v>20</v>
      </c>
      <c r="C5899">
        <v>2015</v>
      </c>
      <c r="D5899">
        <v>7</v>
      </c>
      <c r="E5899" t="s">
        <v>7</v>
      </c>
      <c r="F5899" t="s">
        <v>7</v>
      </c>
      <c r="G5899" t="s">
        <v>7</v>
      </c>
      <c r="H5899">
        <v>32793.58</v>
      </c>
      <c r="I5899">
        <v>9776.5300000000007</v>
      </c>
      <c r="J5899">
        <v>0</v>
      </c>
    </row>
    <row r="5900" spans="1:10" x14ac:dyDescent="0.35">
      <c r="A5900">
        <v>324933</v>
      </c>
      <c r="B5900" t="s">
        <v>20</v>
      </c>
      <c r="C5900">
        <v>2015</v>
      </c>
      <c r="D5900">
        <v>7</v>
      </c>
      <c r="E5900" t="s">
        <v>7</v>
      </c>
      <c r="F5900" t="s">
        <v>7</v>
      </c>
      <c r="G5900" t="s">
        <v>7</v>
      </c>
      <c r="H5900">
        <v>61551.14</v>
      </c>
      <c r="I5900">
        <v>18868.990000000002</v>
      </c>
      <c r="J5900">
        <v>0</v>
      </c>
    </row>
    <row r="5901" spans="1:10" x14ac:dyDescent="0.35">
      <c r="A5901">
        <v>324934</v>
      </c>
      <c r="B5901" t="s">
        <v>20</v>
      </c>
      <c r="C5901">
        <v>2015</v>
      </c>
      <c r="D5901">
        <v>7</v>
      </c>
      <c r="E5901" t="s">
        <v>7</v>
      </c>
      <c r="F5901" t="s">
        <v>7</v>
      </c>
      <c r="G5901" t="s">
        <v>7</v>
      </c>
      <c r="H5901">
        <v>73636.679999999993</v>
      </c>
      <c r="I5901">
        <v>35992.49</v>
      </c>
      <c r="J5901">
        <v>0</v>
      </c>
    </row>
    <row r="5902" spans="1:10" x14ac:dyDescent="0.35">
      <c r="A5902">
        <v>324935</v>
      </c>
      <c r="B5902" t="s">
        <v>20</v>
      </c>
      <c r="C5902">
        <v>2015</v>
      </c>
      <c r="D5902">
        <v>7</v>
      </c>
      <c r="E5902" t="s">
        <v>7</v>
      </c>
      <c r="F5902" t="s">
        <v>7</v>
      </c>
      <c r="G5902" t="s">
        <v>7</v>
      </c>
      <c r="H5902">
        <v>18572</v>
      </c>
      <c r="I5902">
        <v>5262.68</v>
      </c>
      <c r="J5902">
        <v>0</v>
      </c>
    </row>
    <row r="5903" spans="1:10" x14ac:dyDescent="0.35">
      <c r="A5903">
        <v>324937</v>
      </c>
      <c r="B5903" t="s">
        <v>20</v>
      </c>
      <c r="C5903">
        <v>2015</v>
      </c>
      <c r="D5903">
        <v>7</v>
      </c>
      <c r="E5903" t="s">
        <v>7</v>
      </c>
      <c r="F5903" t="s">
        <v>7</v>
      </c>
      <c r="G5903" t="s">
        <v>7</v>
      </c>
      <c r="H5903">
        <v>63970.06</v>
      </c>
      <c r="I5903">
        <v>17250.59</v>
      </c>
      <c r="J5903">
        <v>0</v>
      </c>
    </row>
    <row r="5904" spans="1:10" x14ac:dyDescent="0.35">
      <c r="A5904">
        <v>324938</v>
      </c>
      <c r="B5904" t="s">
        <v>20</v>
      </c>
      <c r="C5904">
        <v>2015</v>
      </c>
      <c r="D5904">
        <v>7</v>
      </c>
      <c r="E5904" t="s">
        <v>7</v>
      </c>
      <c r="F5904" t="s">
        <v>7</v>
      </c>
      <c r="G5904" t="s">
        <v>7</v>
      </c>
      <c r="H5904">
        <v>12658.52</v>
      </c>
      <c r="I5904">
        <v>3371.09</v>
      </c>
      <c r="J5904">
        <v>0</v>
      </c>
    </row>
    <row r="5905" spans="1:10" x14ac:dyDescent="0.35">
      <c r="A5905">
        <v>324939</v>
      </c>
      <c r="B5905" t="s">
        <v>20</v>
      </c>
      <c r="C5905">
        <v>2015</v>
      </c>
      <c r="D5905">
        <v>7</v>
      </c>
      <c r="E5905" t="s">
        <v>7</v>
      </c>
      <c r="F5905" t="s">
        <v>7</v>
      </c>
      <c r="G5905" t="s">
        <v>7</v>
      </c>
      <c r="H5905">
        <v>27670.22</v>
      </c>
      <c r="I5905">
        <v>7395.06</v>
      </c>
      <c r="J5905">
        <v>0</v>
      </c>
    </row>
    <row r="5906" spans="1:10" x14ac:dyDescent="0.35">
      <c r="A5906">
        <v>324941</v>
      </c>
      <c r="B5906" t="s">
        <v>20</v>
      </c>
      <c r="C5906">
        <v>2015</v>
      </c>
      <c r="D5906">
        <v>7</v>
      </c>
      <c r="E5906" t="s">
        <v>7</v>
      </c>
      <c r="F5906" t="s">
        <v>7</v>
      </c>
      <c r="G5906" t="s">
        <v>7</v>
      </c>
      <c r="H5906">
        <v>35052.68</v>
      </c>
      <c r="I5906">
        <v>10066.41</v>
      </c>
      <c r="J5906">
        <v>0</v>
      </c>
    </row>
    <row r="5907" spans="1:10" x14ac:dyDescent="0.35">
      <c r="A5907">
        <v>324942</v>
      </c>
      <c r="B5907" t="s">
        <v>20</v>
      </c>
      <c r="C5907">
        <v>2015</v>
      </c>
      <c r="D5907">
        <v>7</v>
      </c>
      <c r="E5907" t="s">
        <v>7</v>
      </c>
      <c r="F5907" t="s">
        <v>7</v>
      </c>
      <c r="G5907" t="s">
        <v>7</v>
      </c>
      <c r="H5907">
        <v>16336.22</v>
      </c>
      <c r="I5907">
        <v>7960.62</v>
      </c>
      <c r="J5907">
        <v>0</v>
      </c>
    </row>
    <row r="5908" spans="1:10" x14ac:dyDescent="0.35">
      <c r="A5908">
        <v>324943</v>
      </c>
      <c r="B5908" t="s">
        <v>20</v>
      </c>
      <c r="C5908">
        <v>2015</v>
      </c>
      <c r="D5908">
        <v>7</v>
      </c>
      <c r="E5908" t="s">
        <v>7</v>
      </c>
      <c r="F5908" t="s">
        <v>7</v>
      </c>
      <c r="G5908" t="s">
        <v>7</v>
      </c>
      <c r="H5908">
        <v>34469.06</v>
      </c>
      <c r="I5908">
        <v>9909.3799999999992</v>
      </c>
      <c r="J5908">
        <v>0</v>
      </c>
    </row>
    <row r="5909" spans="1:10" x14ac:dyDescent="0.35">
      <c r="A5909">
        <v>324947</v>
      </c>
      <c r="B5909" t="s">
        <v>20</v>
      </c>
      <c r="C5909">
        <v>2015</v>
      </c>
      <c r="D5909">
        <v>7</v>
      </c>
      <c r="E5909" t="s">
        <v>7</v>
      </c>
      <c r="F5909" t="s">
        <v>7</v>
      </c>
      <c r="G5909" t="s">
        <v>7</v>
      </c>
      <c r="H5909">
        <v>56521.279999999999</v>
      </c>
      <c r="I5909">
        <v>30315.599999999999</v>
      </c>
      <c r="J5909">
        <v>0</v>
      </c>
    </row>
    <row r="5910" spans="1:10" x14ac:dyDescent="0.35">
      <c r="A5910">
        <v>324948</v>
      </c>
      <c r="B5910" t="s">
        <v>20</v>
      </c>
      <c r="C5910">
        <v>2015</v>
      </c>
      <c r="D5910">
        <v>7</v>
      </c>
      <c r="E5910" t="s">
        <v>7</v>
      </c>
      <c r="F5910" t="s">
        <v>7</v>
      </c>
      <c r="G5910" t="s">
        <v>7</v>
      </c>
      <c r="H5910">
        <v>38075</v>
      </c>
      <c r="I5910">
        <v>9898.59</v>
      </c>
      <c r="J5910">
        <v>0</v>
      </c>
    </row>
    <row r="5911" spans="1:10" x14ac:dyDescent="0.35">
      <c r="A5911">
        <v>324949</v>
      </c>
      <c r="B5911" t="s">
        <v>20</v>
      </c>
      <c r="C5911">
        <v>2015</v>
      </c>
      <c r="D5911">
        <v>7</v>
      </c>
      <c r="E5911" t="s">
        <v>7</v>
      </c>
      <c r="F5911" t="s">
        <v>7</v>
      </c>
      <c r="G5911" t="s">
        <v>7</v>
      </c>
      <c r="H5911">
        <v>16628.240000000002</v>
      </c>
      <c r="I5911">
        <v>4420.45</v>
      </c>
      <c r="J5911">
        <v>0</v>
      </c>
    </row>
    <row r="5912" spans="1:10" x14ac:dyDescent="0.35">
      <c r="A5912">
        <v>324951</v>
      </c>
      <c r="B5912" t="s">
        <v>20</v>
      </c>
      <c r="C5912">
        <v>2015</v>
      </c>
      <c r="D5912">
        <v>7</v>
      </c>
      <c r="E5912" t="s">
        <v>7</v>
      </c>
      <c r="F5912" t="s">
        <v>7</v>
      </c>
      <c r="G5912" t="s">
        <v>7</v>
      </c>
      <c r="H5912">
        <v>31665.68</v>
      </c>
      <c r="I5912">
        <v>7547.41</v>
      </c>
      <c r="J5912">
        <v>0</v>
      </c>
    </row>
    <row r="5913" spans="1:10" x14ac:dyDescent="0.35">
      <c r="A5913">
        <v>324952</v>
      </c>
      <c r="B5913" t="s">
        <v>20</v>
      </c>
      <c r="C5913">
        <v>2015</v>
      </c>
      <c r="D5913">
        <v>7</v>
      </c>
      <c r="E5913" t="s">
        <v>7</v>
      </c>
      <c r="F5913" t="s">
        <v>7</v>
      </c>
      <c r="G5913" t="s">
        <v>7</v>
      </c>
      <c r="H5913">
        <v>30877.08</v>
      </c>
      <c r="I5913">
        <v>7341.7</v>
      </c>
      <c r="J5913">
        <v>0</v>
      </c>
    </row>
    <row r="5914" spans="1:10" x14ac:dyDescent="0.35">
      <c r="A5914">
        <v>324953</v>
      </c>
      <c r="B5914" t="s">
        <v>20</v>
      </c>
      <c r="C5914">
        <v>2015</v>
      </c>
      <c r="D5914">
        <v>7</v>
      </c>
      <c r="E5914" t="s">
        <v>7</v>
      </c>
      <c r="F5914" t="s">
        <v>7</v>
      </c>
      <c r="G5914" t="s">
        <v>7</v>
      </c>
      <c r="H5914">
        <v>12348.56</v>
      </c>
      <c r="I5914">
        <v>2778.16</v>
      </c>
      <c r="J5914">
        <v>0</v>
      </c>
    </row>
    <row r="5915" spans="1:10" x14ac:dyDescent="0.35">
      <c r="A5915">
        <v>324954</v>
      </c>
      <c r="B5915" t="s">
        <v>20</v>
      </c>
      <c r="C5915">
        <v>2015</v>
      </c>
      <c r="D5915">
        <v>7</v>
      </c>
      <c r="E5915" t="s">
        <v>7</v>
      </c>
      <c r="F5915" t="s">
        <v>7</v>
      </c>
      <c r="G5915" t="s">
        <v>7</v>
      </c>
      <c r="H5915">
        <v>35282.22</v>
      </c>
      <c r="I5915">
        <v>24178.41</v>
      </c>
      <c r="J5915">
        <v>0</v>
      </c>
    </row>
    <row r="5916" spans="1:10" x14ac:dyDescent="0.35">
      <c r="A5916">
        <v>324959</v>
      </c>
      <c r="B5916" t="s">
        <v>20</v>
      </c>
      <c r="C5916">
        <v>2015</v>
      </c>
      <c r="D5916">
        <v>7</v>
      </c>
      <c r="E5916" t="s">
        <v>7</v>
      </c>
      <c r="F5916" t="s">
        <v>7</v>
      </c>
      <c r="G5916" t="s">
        <v>7</v>
      </c>
      <c r="H5916">
        <v>53920.800000000003</v>
      </c>
      <c r="I5916">
        <v>17325.560000000001</v>
      </c>
      <c r="J5916">
        <v>0</v>
      </c>
    </row>
    <row r="5917" spans="1:10" x14ac:dyDescent="0.35">
      <c r="A5917">
        <v>324960</v>
      </c>
      <c r="B5917" t="s">
        <v>20</v>
      </c>
      <c r="C5917">
        <v>2015</v>
      </c>
      <c r="D5917">
        <v>7</v>
      </c>
      <c r="E5917" t="s">
        <v>7</v>
      </c>
      <c r="F5917" t="s">
        <v>7</v>
      </c>
      <c r="G5917" t="s">
        <v>7</v>
      </c>
      <c r="H5917">
        <v>24272.58</v>
      </c>
      <c r="I5917">
        <v>7339.41</v>
      </c>
      <c r="J5917">
        <v>0</v>
      </c>
    </row>
    <row r="5918" spans="1:10" x14ac:dyDescent="0.35">
      <c r="A5918">
        <v>324961</v>
      </c>
      <c r="B5918" t="s">
        <v>20</v>
      </c>
      <c r="C5918">
        <v>2015</v>
      </c>
      <c r="D5918">
        <v>7</v>
      </c>
      <c r="E5918" t="s">
        <v>7</v>
      </c>
      <c r="F5918" t="s">
        <v>7</v>
      </c>
      <c r="G5918" t="s">
        <v>7</v>
      </c>
      <c r="H5918">
        <v>40649.760000000002</v>
      </c>
      <c r="I5918">
        <v>25395.29</v>
      </c>
      <c r="J5918">
        <v>0</v>
      </c>
    </row>
    <row r="5919" spans="1:10" x14ac:dyDescent="0.35">
      <c r="A5919">
        <v>324962</v>
      </c>
      <c r="B5919" t="s">
        <v>20</v>
      </c>
      <c r="C5919">
        <v>2015</v>
      </c>
      <c r="D5919">
        <v>7</v>
      </c>
      <c r="E5919" t="s">
        <v>7</v>
      </c>
      <c r="F5919" t="s">
        <v>7</v>
      </c>
      <c r="G5919" t="s">
        <v>7</v>
      </c>
      <c r="H5919">
        <v>175500.98</v>
      </c>
      <c r="I5919">
        <v>61634.29</v>
      </c>
      <c r="J5919">
        <v>0</v>
      </c>
    </row>
    <row r="5920" spans="1:10" x14ac:dyDescent="0.35">
      <c r="A5920">
        <v>324966</v>
      </c>
      <c r="B5920" t="s">
        <v>20</v>
      </c>
      <c r="C5920">
        <v>2015</v>
      </c>
      <c r="D5920">
        <v>7</v>
      </c>
      <c r="E5920" t="s">
        <v>7</v>
      </c>
      <c r="F5920" t="s">
        <v>7</v>
      </c>
      <c r="G5920" t="s">
        <v>7</v>
      </c>
      <c r="H5920">
        <v>71914.58</v>
      </c>
      <c r="I5920">
        <v>23255.06</v>
      </c>
      <c r="J5920">
        <v>0</v>
      </c>
    </row>
    <row r="5921" spans="1:10" x14ac:dyDescent="0.35">
      <c r="A5921">
        <v>324968</v>
      </c>
      <c r="B5921" t="s">
        <v>20</v>
      </c>
      <c r="C5921">
        <v>2015</v>
      </c>
      <c r="D5921">
        <v>7</v>
      </c>
      <c r="E5921" t="s">
        <v>7</v>
      </c>
      <c r="F5921" t="s">
        <v>7</v>
      </c>
      <c r="G5921" t="s">
        <v>7</v>
      </c>
      <c r="H5921">
        <v>222123.67</v>
      </c>
      <c r="I5921">
        <v>190365.83</v>
      </c>
      <c r="J5921">
        <v>0</v>
      </c>
    </row>
    <row r="5922" spans="1:10" x14ac:dyDescent="0.35">
      <c r="A5922">
        <v>324969</v>
      </c>
      <c r="B5922" t="s">
        <v>20</v>
      </c>
      <c r="C5922">
        <v>2015</v>
      </c>
      <c r="D5922">
        <v>7</v>
      </c>
      <c r="E5922" t="s">
        <v>7</v>
      </c>
      <c r="F5922" t="s">
        <v>7</v>
      </c>
      <c r="G5922" t="s">
        <v>7</v>
      </c>
      <c r="H5922">
        <v>15145.52</v>
      </c>
      <c r="I5922">
        <v>4434.8599999999997</v>
      </c>
      <c r="J5922">
        <v>0</v>
      </c>
    </row>
    <row r="5923" spans="1:10" x14ac:dyDescent="0.35">
      <c r="A5923">
        <v>324972</v>
      </c>
      <c r="B5923" t="s">
        <v>20</v>
      </c>
      <c r="C5923">
        <v>2015</v>
      </c>
      <c r="D5923">
        <v>7</v>
      </c>
      <c r="E5923" t="s">
        <v>7</v>
      </c>
      <c r="F5923" t="s">
        <v>7</v>
      </c>
      <c r="G5923" t="s">
        <v>7</v>
      </c>
      <c r="H5923">
        <v>30122.58</v>
      </c>
      <c r="I5923">
        <v>8173.63</v>
      </c>
      <c r="J5923">
        <v>0</v>
      </c>
    </row>
    <row r="5924" spans="1:10" x14ac:dyDescent="0.35">
      <c r="A5924">
        <v>324973</v>
      </c>
      <c r="B5924" t="s">
        <v>20</v>
      </c>
      <c r="C5924">
        <v>2015</v>
      </c>
      <c r="D5924">
        <v>7</v>
      </c>
      <c r="E5924" t="s">
        <v>7</v>
      </c>
      <c r="F5924" t="s">
        <v>7</v>
      </c>
      <c r="G5924" t="s">
        <v>7</v>
      </c>
      <c r="H5924">
        <v>20762.439999999999</v>
      </c>
      <c r="I5924">
        <v>6162.63</v>
      </c>
      <c r="J5924">
        <v>0</v>
      </c>
    </row>
    <row r="5925" spans="1:10" x14ac:dyDescent="0.35">
      <c r="A5925">
        <v>324976</v>
      </c>
      <c r="B5925" t="s">
        <v>20</v>
      </c>
      <c r="C5925">
        <v>2015</v>
      </c>
      <c r="D5925">
        <v>7</v>
      </c>
      <c r="E5925" t="s">
        <v>7</v>
      </c>
      <c r="F5925" t="s">
        <v>7</v>
      </c>
      <c r="G5925" t="s">
        <v>7</v>
      </c>
      <c r="H5925">
        <v>28957.439999999999</v>
      </c>
      <c r="I5925">
        <v>6479.8</v>
      </c>
      <c r="J5925">
        <v>0</v>
      </c>
    </row>
    <row r="5926" spans="1:10" x14ac:dyDescent="0.35">
      <c r="A5926">
        <v>324977</v>
      </c>
      <c r="B5926" t="s">
        <v>20</v>
      </c>
      <c r="C5926">
        <v>2015</v>
      </c>
      <c r="D5926">
        <v>7</v>
      </c>
      <c r="E5926" t="s">
        <v>7</v>
      </c>
      <c r="F5926" t="s">
        <v>7</v>
      </c>
      <c r="G5926" t="s">
        <v>7</v>
      </c>
      <c r="H5926">
        <v>44476.06</v>
      </c>
      <c r="I5926">
        <v>15056.55</v>
      </c>
      <c r="J5926">
        <v>0</v>
      </c>
    </row>
    <row r="5927" spans="1:10" x14ac:dyDescent="0.35">
      <c r="A5927">
        <v>324979</v>
      </c>
      <c r="B5927" t="s">
        <v>20</v>
      </c>
      <c r="C5927">
        <v>2015</v>
      </c>
      <c r="D5927">
        <v>7</v>
      </c>
      <c r="E5927" t="s">
        <v>7</v>
      </c>
      <c r="F5927" t="s">
        <v>7</v>
      </c>
      <c r="G5927" t="s">
        <v>7</v>
      </c>
      <c r="H5927">
        <v>15853.48</v>
      </c>
      <c r="I5927">
        <v>3374.1</v>
      </c>
      <c r="J5927">
        <v>0</v>
      </c>
    </row>
    <row r="5928" spans="1:10" x14ac:dyDescent="0.35">
      <c r="A5928">
        <v>324980</v>
      </c>
      <c r="B5928" t="s">
        <v>20</v>
      </c>
      <c r="C5928">
        <v>2015</v>
      </c>
      <c r="D5928">
        <v>7</v>
      </c>
      <c r="E5928" t="s">
        <v>7</v>
      </c>
      <c r="F5928" t="s">
        <v>7</v>
      </c>
      <c r="G5928" t="s">
        <v>7</v>
      </c>
      <c r="H5928">
        <v>55821.34</v>
      </c>
      <c r="I5928">
        <v>15913.31</v>
      </c>
      <c r="J5928">
        <v>0</v>
      </c>
    </row>
    <row r="5929" spans="1:10" x14ac:dyDescent="0.35">
      <c r="A5929">
        <v>324981</v>
      </c>
      <c r="B5929" t="s">
        <v>20</v>
      </c>
      <c r="C5929">
        <v>2015</v>
      </c>
      <c r="D5929">
        <v>7</v>
      </c>
      <c r="E5929" t="s">
        <v>7</v>
      </c>
      <c r="F5929" t="s">
        <v>7</v>
      </c>
      <c r="G5929" t="s">
        <v>7</v>
      </c>
      <c r="H5929">
        <v>43177.32</v>
      </c>
      <c r="I5929">
        <v>13449.83</v>
      </c>
      <c r="J5929">
        <v>0</v>
      </c>
    </row>
    <row r="5930" spans="1:10" x14ac:dyDescent="0.35">
      <c r="A5930">
        <v>324982</v>
      </c>
      <c r="B5930" t="s">
        <v>20</v>
      </c>
      <c r="C5930">
        <v>2015</v>
      </c>
      <c r="D5930">
        <v>7</v>
      </c>
      <c r="E5930" t="s">
        <v>7</v>
      </c>
      <c r="F5930" t="s">
        <v>7</v>
      </c>
      <c r="G5930" t="s">
        <v>7</v>
      </c>
      <c r="H5930">
        <v>34813.839999999997</v>
      </c>
      <c r="I5930">
        <v>10002.31</v>
      </c>
      <c r="J5930">
        <v>0</v>
      </c>
    </row>
    <row r="5931" spans="1:10" x14ac:dyDescent="0.35">
      <c r="A5931">
        <v>324984</v>
      </c>
      <c r="B5931" t="s">
        <v>20</v>
      </c>
      <c r="C5931">
        <v>2015</v>
      </c>
      <c r="D5931">
        <v>7</v>
      </c>
      <c r="E5931" t="s">
        <v>7</v>
      </c>
      <c r="F5931" t="s">
        <v>7</v>
      </c>
      <c r="G5931" t="s">
        <v>7</v>
      </c>
      <c r="H5931">
        <v>31877.42</v>
      </c>
      <c r="I5931">
        <v>9691.61</v>
      </c>
      <c r="J5931">
        <v>0</v>
      </c>
    </row>
    <row r="5932" spans="1:10" x14ac:dyDescent="0.35">
      <c r="A5932">
        <v>324985</v>
      </c>
      <c r="B5932" t="s">
        <v>20</v>
      </c>
      <c r="C5932">
        <v>2015</v>
      </c>
      <c r="D5932">
        <v>7</v>
      </c>
      <c r="E5932" t="s">
        <v>7</v>
      </c>
      <c r="F5932" t="s">
        <v>7</v>
      </c>
      <c r="G5932" t="s">
        <v>7</v>
      </c>
      <c r="H5932">
        <v>11744.14</v>
      </c>
      <c r="I5932">
        <v>2593.6799999999998</v>
      </c>
      <c r="J5932">
        <v>0</v>
      </c>
    </row>
    <row r="5933" spans="1:10" x14ac:dyDescent="0.35">
      <c r="A5933">
        <v>324988</v>
      </c>
      <c r="B5933" t="s">
        <v>20</v>
      </c>
      <c r="C5933">
        <v>2015</v>
      </c>
      <c r="D5933">
        <v>7</v>
      </c>
      <c r="E5933" t="s">
        <v>7</v>
      </c>
      <c r="F5933" t="s">
        <v>7</v>
      </c>
      <c r="G5933" t="s">
        <v>7</v>
      </c>
      <c r="H5933">
        <v>64984.62</v>
      </c>
      <c r="I5933">
        <v>18893.84</v>
      </c>
      <c r="J5933">
        <v>0</v>
      </c>
    </row>
    <row r="5934" spans="1:10" x14ac:dyDescent="0.35">
      <c r="A5934">
        <v>324990</v>
      </c>
      <c r="B5934" t="s">
        <v>20</v>
      </c>
      <c r="C5934">
        <v>2015</v>
      </c>
      <c r="D5934">
        <v>7</v>
      </c>
      <c r="E5934" t="s">
        <v>7</v>
      </c>
      <c r="F5934" t="s">
        <v>7</v>
      </c>
      <c r="G5934" t="s">
        <v>7</v>
      </c>
      <c r="H5934">
        <v>13128.2</v>
      </c>
      <c r="I5934">
        <v>6605.55</v>
      </c>
      <c r="J5934">
        <v>0</v>
      </c>
    </row>
    <row r="5935" spans="1:10" x14ac:dyDescent="0.35">
      <c r="A5935">
        <v>324992</v>
      </c>
      <c r="B5935" t="s">
        <v>20</v>
      </c>
      <c r="C5935">
        <v>2015</v>
      </c>
      <c r="D5935">
        <v>7</v>
      </c>
      <c r="E5935" t="s">
        <v>7</v>
      </c>
      <c r="F5935" t="s">
        <v>7</v>
      </c>
      <c r="G5935" t="s">
        <v>7</v>
      </c>
      <c r="H5935">
        <v>34380.06</v>
      </c>
      <c r="I5935">
        <v>19621.96</v>
      </c>
      <c r="J5935">
        <v>0</v>
      </c>
    </row>
    <row r="5936" spans="1:10" x14ac:dyDescent="0.35">
      <c r="A5936">
        <v>324993</v>
      </c>
      <c r="B5936" t="s">
        <v>20</v>
      </c>
      <c r="C5936">
        <v>2015</v>
      </c>
      <c r="D5936">
        <v>7</v>
      </c>
      <c r="E5936" t="s">
        <v>7</v>
      </c>
      <c r="F5936" t="s">
        <v>7</v>
      </c>
      <c r="G5936" t="s">
        <v>7</v>
      </c>
      <c r="H5936">
        <v>27286.400000000001</v>
      </c>
      <c r="I5936">
        <v>7350.21</v>
      </c>
      <c r="J5936">
        <v>0</v>
      </c>
    </row>
    <row r="5937" spans="1:10" x14ac:dyDescent="0.35">
      <c r="A5937">
        <v>324996</v>
      </c>
      <c r="B5937" t="s">
        <v>20</v>
      </c>
      <c r="C5937">
        <v>2015</v>
      </c>
      <c r="D5937">
        <v>7</v>
      </c>
      <c r="E5937" t="s">
        <v>7</v>
      </c>
      <c r="F5937" t="s">
        <v>7</v>
      </c>
      <c r="G5937" t="s">
        <v>7</v>
      </c>
      <c r="H5937">
        <v>24794.6</v>
      </c>
      <c r="I5937">
        <v>7663.81</v>
      </c>
      <c r="J5937">
        <v>0</v>
      </c>
    </row>
    <row r="5938" spans="1:10" x14ac:dyDescent="0.35">
      <c r="A5938">
        <v>324997</v>
      </c>
      <c r="B5938" t="s">
        <v>20</v>
      </c>
      <c r="C5938">
        <v>2015</v>
      </c>
      <c r="D5938">
        <v>7</v>
      </c>
      <c r="E5938" t="s">
        <v>7</v>
      </c>
      <c r="F5938" t="s">
        <v>7</v>
      </c>
      <c r="G5938" t="s">
        <v>7</v>
      </c>
      <c r="H5938">
        <v>24815.52</v>
      </c>
      <c r="I5938">
        <v>7267.6</v>
      </c>
      <c r="J5938">
        <v>0</v>
      </c>
    </row>
    <row r="5939" spans="1:10" x14ac:dyDescent="0.35">
      <c r="A5939">
        <v>324999</v>
      </c>
      <c r="B5939" t="s">
        <v>20</v>
      </c>
      <c r="C5939">
        <v>2015</v>
      </c>
      <c r="D5939">
        <v>7</v>
      </c>
      <c r="E5939" t="s">
        <v>7</v>
      </c>
      <c r="F5939" t="s">
        <v>7</v>
      </c>
      <c r="G5939" t="s">
        <v>7</v>
      </c>
      <c r="H5939">
        <v>22058.400000000001</v>
      </c>
      <c r="I5939">
        <v>6421.91</v>
      </c>
      <c r="J5939">
        <v>0</v>
      </c>
    </row>
    <row r="5940" spans="1:10" x14ac:dyDescent="0.35">
      <c r="A5940">
        <v>325001</v>
      </c>
      <c r="B5940" t="s">
        <v>20</v>
      </c>
      <c r="C5940">
        <v>2015</v>
      </c>
      <c r="D5940">
        <v>7</v>
      </c>
      <c r="E5940" t="s">
        <v>7</v>
      </c>
      <c r="F5940" t="s">
        <v>7</v>
      </c>
      <c r="G5940" t="s">
        <v>7</v>
      </c>
      <c r="H5940">
        <v>26637.24</v>
      </c>
      <c r="I5940">
        <v>7493.82</v>
      </c>
      <c r="J5940">
        <v>0</v>
      </c>
    </row>
    <row r="5941" spans="1:10" x14ac:dyDescent="0.35">
      <c r="A5941">
        <v>325002</v>
      </c>
      <c r="B5941" t="s">
        <v>20</v>
      </c>
      <c r="C5941">
        <v>2015</v>
      </c>
      <c r="D5941">
        <v>7</v>
      </c>
      <c r="E5941" t="s">
        <v>7</v>
      </c>
      <c r="F5941" t="s">
        <v>7</v>
      </c>
      <c r="G5941" t="s">
        <v>7</v>
      </c>
      <c r="H5941">
        <v>82916.740000000005</v>
      </c>
      <c r="I5941">
        <v>23916.6</v>
      </c>
      <c r="J5941">
        <v>0</v>
      </c>
    </row>
    <row r="5942" spans="1:10" x14ac:dyDescent="0.35">
      <c r="A5942">
        <v>325003</v>
      </c>
      <c r="B5942" t="s">
        <v>20</v>
      </c>
      <c r="C5942">
        <v>2015</v>
      </c>
      <c r="D5942">
        <v>7</v>
      </c>
      <c r="E5942" t="s">
        <v>7</v>
      </c>
      <c r="F5942" t="s">
        <v>7</v>
      </c>
      <c r="G5942" t="s">
        <v>7</v>
      </c>
      <c r="H5942">
        <v>18745.86</v>
      </c>
      <c r="I5942">
        <v>5343.21</v>
      </c>
      <c r="J5942">
        <v>0</v>
      </c>
    </row>
    <row r="5943" spans="1:10" x14ac:dyDescent="0.35">
      <c r="A5943">
        <v>325004</v>
      </c>
      <c r="B5943" t="s">
        <v>20</v>
      </c>
      <c r="C5943">
        <v>2015</v>
      </c>
      <c r="D5943">
        <v>7</v>
      </c>
      <c r="E5943" t="s">
        <v>7</v>
      </c>
      <c r="F5943" t="s">
        <v>7</v>
      </c>
      <c r="G5943" t="s">
        <v>7</v>
      </c>
      <c r="H5943">
        <v>22763.64</v>
      </c>
      <c r="I5943">
        <v>6098.5</v>
      </c>
      <c r="J5943">
        <v>0</v>
      </c>
    </row>
    <row r="5944" spans="1:10" x14ac:dyDescent="0.35">
      <c r="A5944">
        <v>325005</v>
      </c>
      <c r="B5944" t="s">
        <v>20</v>
      </c>
      <c r="C5944">
        <v>2015</v>
      </c>
      <c r="D5944">
        <v>7</v>
      </c>
      <c r="E5944" t="s">
        <v>7</v>
      </c>
      <c r="F5944" t="s">
        <v>7</v>
      </c>
      <c r="G5944" t="s">
        <v>7</v>
      </c>
      <c r="H5944">
        <v>24543.22</v>
      </c>
      <c r="I5944">
        <v>7535.38</v>
      </c>
      <c r="J5944">
        <v>0</v>
      </c>
    </row>
    <row r="5945" spans="1:10" x14ac:dyDescent="0.35">
      <c r="A5945">
        <v>325006</v>
      </c>
      <c r="B5945" t="s">
        <v>20</v>
      </c>
      <c r="C5945">
        <v>2015</v>
      </c>
      <c r="D5945">
        <v>7</v>
      </c>
      <c r="E5945" t="s">
        <v>7</v>
      </c>
      <c r="F5945" t="s">
        <v>7</v>
      </c>
      <c r="G5945" t="s">
        <v>7</v>
      </c>
      <c r="H5945">
        <v>23946.28</v>
      </c>
      <c r="I5945">
        <v>5278.74</v>
      </c>
      <c r="J5945">
        <v>0</v>
      </c>
    </row>
    <row r="5946" spans="1:10" x14ac:dyDescent="0.35">
      <c r="A5946">
        <v>325007</v>
      </c>
      <c r="B5946" t="s">
        <v>20</v>
      </c>
      <c r="C5946">
        <v>2015</v>
      </c>
      <c r="D5946">
        <v>7</v>
      </c>
      <c r="E5946" t="s">
        <v>7</v>
      </c>
      <c r="F5946" t="s">
        <v>7</v>
      </c>
      <c r="G5946" t="s">
        <v>7</v>
      </c>
      <c r="H5946">
        <v>16389.36</v>
      </c>
      <c r="I5946">
        <v>4674.41</v>
      </c>
      <c r="J5946">
        <v>0</v>
      </c>
    </row>
    <row r="5947" spans="1:10" x14ac:dyDescent="0.35">
      <c r="A5947">
        <v>325009</v>
      </c>
      <c r="B5947" t="s">
        <v>20</v>
      </c>
      <c r="C5947">
        <v>2015</v>
      </c>
      <c r="D5947">
        <v>7</v>
      </c>
      <c r="E5947" t="s">
        <v>7</v>
      </c>
      <c r="F5947" t="s">
        <v>7</v>
      </c>
      <c r="G5947" t="s">
        <v>7</v>
      </c>
      <c r="H5947">
        <v>29187.68</v>
      </c>
      <c r="I5947">
        <v>8247.49</v>
      </c>
      <c r="J5947">
        <v>0</v>
      </c>
    </row>
    <row r="5948" spans="1:10" x14ac:dyDescent="0.35">
      <c r="A5948">
        <v>325010</v>
      </c>
      <c r="B5948" t="s">
        <v>20</v>
      </c>
      <c r="C5948">
        <v>2015</v>
      </c>
      <c r="D5948">
        <v>7</v>
      </c>
      <c r="E5948" t="s">
        <v>7</v>
      </c>
      <c r="F5948" t="s">
        <v>7</v>
      </c>
      <c r="G5948" t="s">
        <v>7</v>
      </c>
      <c r="H5948">
        <v>32589.78</v>
      </c>
      <c r="I5948">
        <v>14623.27</v>
      </c>
      <c r="J5948">
        <v>0</v>
      </c>
    </row>
    <row r="5949" spans="1:10" x14ac:dyDescent="0.35">
      <c r="A5949">
        <v>325015</v>
      </c>
      <c r="B5949" t="s">
        <v>20</v>
      </c>
      <c r="C5949">
        <v>2015</v>
      </c>
      <c r="D5949">
        <v>7</v>
      </c>
      <c r="E5949" t="s">
        <v>7</v>
      </c>
      <c r="F5949" t="s">
        <v>7</v>
      </c>
      <c r="G5949" t="s">
        <v>7</v>
      </c>
      <c r="H5949">
        <v>26179.26</v>
      </c>
      <c r="I5949">
        <v>7530.4</v>
      </c>
      <c r="J5949">
        <v>0</v>
      </c>
    </row>
    <row r="5950" spans="1:10" x14ac:dyDescent="0.35">
      <c r="A5950">
        <v>325016</v>
      </c>
      <c r="B5950" t="s">
        <v>20</v>
      </c>
      <c r="C5950">
        <v>2015</v>
      </c>
      <c r="D5950">
        <v>7</v>
      </c>
      <c r="E5950" t="s">
        <v>7</v>
      </c>
      <c r="F5950" t="s">
        <v>7</v>
      </c>
      <c r="G5950" t="s">
        <v>7</v>
      </c>
      <c r="H5950">
        <v>48050.86</v>
      </c>
      <c r="I5950">
        <v>14881.39</v>
      </c>
      <c r="J5950">
        <v>0</v>
      </c>
    </row>
    <row r="5951" spans="1:10" x14ac:dyDescent="0.35">
      <c r="A5951">
        <v>325017</v>
      </c>
      <c r="B5951" t="s">
        <v>20</v>
      </c>
      <c r="C5951">
        <v>2015</v>
      </c>
      <c r="D5951">
        <v>7</v>
      </c>
      <c r="E5951" t="s">
        <v>7</v>
      </c>
      <c r="F5951" t="s">
        <v>7</v>
      </c>
      <c r="G5951" t="s">
        <v>7</v>
      </c>
      <c r="H5951">
        <v>30454.7</v>
      </c>
      <c r="I5951">
        <v>9110.66</v>
      </c>
      <c r="J5951">
        <v>0</v>
      </c>
    </row>
    <row r="5952" spans="1:10" x14ac:dyDescent="0.35">
      <c r="A5952">
        <v>325019</v>
      </c>
      <c r="B5952" t="s">
        <v>20</v>
      </c>
      <c r="C5952">
        <v>2015</v>
      </c>
      <c r="D5952">
        <v>7</v>
      </c>
      <c r="E5952" t="s">
        <v>7</v>
      </c>
      <c r="F5952" t="s">
        <v>7</v>
      </c>
      <c r="G5952" t="s">
        <v>7</v>
      </c>
      <c r="H5952">
        <v>31904.28</v>
      </c>
      <c r="I5952">
        <v>7927.65</v>
      </c>
      <c r="J5952">
        <v>0</v>
      </c>
    </row>
    <row r="5953" spans="1:10" x14ac:dyDescent="0.35">
      <c r="A5953">
        <v>325020</v>
      </c>
      <c r="B5953" t="s">
        <v>20</v>
      </c>
      <c r="C5953">
        <v>2015</v>
      </c>
      <c r="D5953">
        <v>7</v>
      </c>
      <c r="E5953" t="s">
        <v>7</v>
      </c>
      <c r="F5953" t="s">
        <v>7</v>
      </c>
      <c r="G5953" t="s">
        <v>7</v>
      </c>
      <c r="H5953">
        <v>10915.54</v>
      </c>
      <c r="I5953">
        <v>3023.11</v>
      </c>
      <c r="J5953">
        <v>0</v>
      </c>
    </row>
    <row r="5954" spans="1:10" x14ac:dyDescent="0.35">
      <c r="A5954">
        <v>325021</v>
      </c>
      <c r="B5954" t="s">
        <v>20</v>
      </c>
      <c r="C5954">
        <v>2015</v>
      </c>
      <c r="D5954">
        <v>7</v>
      </c>
      <c r="E5954" t="s">
        <v>7</v>
      </c>
      <c r="F5954" t="s">
        <v>7</v>
      </c>
      <c r="G5954" t="s">
        <v>7</v>
      </c>
      <c r="H5954">
        <v>13769.88</v>
      </c>
      <c r="I5954">
        <v>2929.41</v>
      </c>
      <c r="J5954">
        <v>0</v>
      </c>
    </row>
    <row r="5955" spans="1:10" x14ac:dyDescent="0.35">
      <c r="A5955">
        <v>325022</v>
      </c>
      <c r="B5955" t="s">
        <v>20</v>
      </c>
      <c r="C5955">
        <v>2015</v>
      </c>
      <c r="D5955">
        <v>7</v>
      </c>
      <c r="E5955" t="s">
        <v>7</v>
      </c>
      <c r="F5955" t="s">
        <v>7</v>
      </c>
      <c r="G5955" t="s">
        <v>7</v>
      </c>
      <c r="H5955">
        <v>58455.360000000001</v>
      </c>
      <c r="I5955">
        <v>18537.169999999998</v>
      </c>
      <c r="J5955">
        <v>0</v>
      </c>
    </row>
    <row r="5956" spans="1:10" x14ac:dyDescent="0.35">
      <c r="A5956">
        <v>325025</v>
      </c>
      <c r="B5956" t="s">
        <v>20</v>
      </c>
      <c r="C5956">
        <v>2015</v>
      </c>
      <c r="D5956">
        <v>7</v>
      </c>
      <c r="E5956" t="s">
        <v>7</v>
      </c>
      <c r="F5956" t="s">
        <v>7</v>
      </c>
      <c r="G5956" t="s">
        <v>7</v>
      </c>
      <c r="H5956">
        <v>25099.78</v>
      </c>
      <c r="I5956">
        <v>7292.13</v>
      </c>
      <c r="J5956">
        <v>0</v>
      </c>
    </row>
    <row r="5957" spans="1:10" x14ac:dyDescent="0.35">
      <c r="A5957">
        <v>325026</v>
      </c>
      <c r="B5957" t="s">
        <v>20</v>
      </c>
      <c r="C5957">
        <v>2015</v>
      </c>
      <c r="D5957">
        <v>7</v>
      </c>
      <c r="E5957" t="s">
        <v>7</v>
      </c>
      <c r="F5957" t="s">
        <v>7</v>
      </c>
      <c r="G5957" t="s">
        <v>7</v>
      </c>
      <c r="H5957">
        <v>18794.919999999998</v>
      </c>
      <c r="I5957">
        <v>5295.21</v>
      </c>
      <c r="J5957">
        <v>0</v>
      </c>
    </row>
    <row r="5958" spans="1:10" x14ac:dyDescent="0.35">
      <c r="A5958">
        <v>325027</v>
      </c>
      <c r="B5958" t="s">
        <v>20</v>
      </c>
      <c r="C5958">
        <v>2015</v>
      </c>
      <c r="D5958">
        <v>7</v>
      </c>
      <c r="E5958" t="s">
        <v>7</v>
      </c>
      <c r="F5958" t="s">
        <v>7</v>
      </c>
      <c r="G5958" t="s">
        <v>7</v>
      </c>
      <c r="H5958">
        <v>26713.68</v>
      </c>
      <c r="I5958">
        <v>8653.6299999999992</v>
      </c>
      <c r="J5958">
        <v>0</v>
      </c>
    </row>
    <row r="5959" spans="1:10" x14ac:dyDescent="0.35">
      <c r="A5959">
        <v>325028</v>
      </c>
      <c r="B5959" t="s">
        <v>20</v>
      </c>
      <c r="C5959">
        <v>2015</v>
      </c>
      <c r="D5959">
        <v>7</v>
      </c>
      <c r="E5959" t="s">
        <v>7</v>
      </c>
      <c r="F5959" t="s">
        <v>7</v>
      </c>
      <c r="G5959" t="s">
        <v>7</v>
      </c>
      <c r="H5959">
        <v>52378.64</v>
      </c>
      <c r="I5959">
        <v>14177.22</v>
      </c>
      <c r="J5959">
        <v>0</v>
      </c>
    </row>
    <row r="5960" spans="1:10" x14ac:dyDescent="0.35">
      <c r="A5960">
        <v>325029</v>
      </c>
      <c r="B5960" t="s">
        <v>20</v>
      </c>
      <c r="C5960">
        <v>2015</v>
      </c>
      <c r="D5960">
        <v>7</v>
      </c>
      <c r="E5960" t="s">
        <v>7</v>
      </c>
      <c r="F5960" t="s">
        <v>7</v>
      </c>
      <c r="G5960" t="s">
        <v>7</v>
      </c>
      <c r="H5960">
        <v>82632.7</v>
      </c>
      <c r="I5960">
        <v>53968.2</v>
      </c>
      <c r="J5960">
        <v>0</v>
      </c>
    </row>
    <row r="5961" spans="1:10" x14ac:dyDescent="0.35">
      <c r="A5961">
        <v>325030</v>
      </c>
      <c r="B5961" t="s">
        <v>20</v>
      </c>
      <c r="C5961">
        <v>2015</v>
      </c>
      <c r="D5961">
        <v>7</v>
      </c>
      <c r="E5961" t="s">
        <v>7</v>
      </c>
      <c r="F5961" t="s">
        <v>7</v>
      </c>
      <c r="G5961" t="s">
        <v>7</v>
      </c>
      <c r="H5961">
        <v>58914</v>
      </c>
      <c r="I5961">
        <v>15830.32</v>
      </c>
      <c r="J5961">
        <v>0</v>
      </c>
    </row>
    <row r="5962" spans="1:10" x14ac:dyDescent="0.35">
      <c r="A5962">
        <v>325032</v>
      </c>
      <c r="B5962" t="s">
        <v>20</v>
      </c>
      <c r="C5962">
        <v>2015</v>
      </c>
      <c r="D5962">
        <v>7</v>
      </c>
      <c r="E5962" t="s">
        <v>7</v>
      </c>
      <c r="F5962" t="s">
        <v>7</v>
      </c>
      <c r="G5962" t="s">
        <v>7</v>
      </c>
      <c r="H5962">
        <v>20928.96</v>
      </c>
      <c r="I5962">
        <v>6477.55</v>
      </c>
      <c r="J5962">
        <v>0</v>
      </c>
    </row>
    <row r="5963" spans="1:10" x14ac:dyDescent="0.35">
      <c r="A5963">
        <v>325033</v>
      </c>
      <c r="B5963" t="s">
        <v>20</v>
      </c>
      <c r="C5963">
        <v>2015</v>
      </c>
      <c r="D5963">
        <v>7</v>
      </c>
      <c r="E5963" t="s">
        <v>7</v>
      </c>
      <c r="F5963" t="s">
        <v>7</v>
      </c>
      <c r="G5963" t="s">
        <v>7</v>
      </c>
      <c r="H5963">
        <v>18942.439999999999</v>
      </c>
      <c r="I5963">
        <v>5291.3</v>
      </c>
      <c r="J5963">
        <v>0</v>
      </c>
    </row>
    <row r="5964" spans="1:10" x14ac:dyDescent="0.35">
      <c r="A5964">
        <v>325035</v>
      </c>
      <c r="B5964" t="s">
        <v>20</v>
      </c>
      <c r="C5964">
        <v>2015</v>
      </c>
      <c r="D5964">
        <v>7</v>
      </c>
      <c r="E5964" t="s">
        <v>7</v>
      </c>
      <c r="F5964" t="s">
        <v>7</v>
      </c>
      <c r="G5964" t="s">
        <v>7</v>
      </c>
      <c r="H5964">
        <v>48633.91</v>
      </c>
      <c r="I5964">
        <v>18274.25</v>
      </c>
      <c r="J5964">
        <v>0</v>
      </c>
    </row>
    <row r="5965" spans="1:10" x14ac:dyDescent="0.35">
      <c r="A5965">
        <v>325036</v>
      </c>
      <c r="B5965" t="s">
        <v>20</v>
      </c>
      <c r="C5965">
        <v>2015</v>
      </c>
      <c r="D5965">
        <v>7</v>
      </c>
      <c r="E5965" t="s">
        <v>7</v>
      </c>
      <c r="F5965" t="s">
        <v>7</v>
      </c>
      <c r="G5965" t="s">
        <v>7</v>
      </c>
      <c r="H5965">
        <v>40679.040000000001</v>
      </c>
      <c r="I5965">
        <v>11765.3</v>
      </c>
      <c r="J5965">
        <v>0</v>
      </c>
    </row>
    <row r="5966" spans="1:10" x14ac:dyDescent="0.35">
      <c r="A5966">
        <v>325038</v>
      </c>
      <c r="B5966" t="s">
        <v>20</v>
      </c>
      <c r="C5966">
        <v>2015</v>
      </c>
      <c r="D5966">
        <v>7</v>
      </c>
      <c r="E5966" t="s">
        <v>7</v>
      </c>
      <c r="F5966" t="s">
        <v>7</v>
      </c>
      <c r="G5966" t="s">
        <v>7</v>
      </c>
      <c r="H5966">
        <v>42057.120000000003</v>
      </c>
      <c r="I5966">
        <v>12114.03</v>
      </c>
      <c r="J5966">
        <v>0</v>
      </c>
    </row>
    <row r="5967" spans="1:10" x14ac:dyDescent="0.35">
      <c r="A5967">
        <v>325040</v>
      </c>
      <c r="B5967" t="s">
        <v>20</v>
      </c>
      <c r="C5967">
        <v>2015</v>
      </c>
      <c r="D5967">
        <v>7</v>
      </c>
      <c r="E5967" t="s">
        <v>7</v>
      </c>
      <c r="F5967" t="s">
        <v>7</v>
      </c>
      <c r="G5967" t="s">
        <v>7</v>
      </c>
      <c r="H5967">
        <v>45649.1</v>
      </c>
      <c r="I5967">
        <v>12203.73</v>
      </c>
      <c r="J5967">
        <v>0</v>
      </c>
    </row>
    <row r="5968" spans="1:10" x14ac:dyDescent="0.35">
      <c r="A5968">
        <v>325041</v>
      </c>
      <c r="B5968" t="s">
        <v>20</v>
      </c>
      <c r="C5968">
        <v>2015</v>
      </c>
      <c r="D5968">
        <v>7</v>
      </c>
      <c r="E5968" t="s">
        <v>7</v>
      </c>
      <c r="F5968" t="s">
        <v>7</v>
      </c>
      <c r="G5968" t="s">
        <v>7</v>
      </c>
      <c r="H5968">
        <v>51523.1</v>
      </c>
      <c r="I5968">
        <v>15564.69</v>
      </c>
      <c r="J5968">
        <v>0</v>
      </c>
    </row>
    <row r="5969" spans="1:10" x14ac:dyDescent="0.35">
      <c r="A5969">
        <v>325042</v>
      </c>
      <c r="B5969" t="s">
        <v>20</v>
      </c>
      <c r="C5969">
        <v>2015</v>
      </c>
      <c r="D5969">
        <v>7</v>
      </c>
      <c r="E5969" t="s">
        <v>7</v>
      </c>
      <c r="F5969" t="s">
        <v>7</v>
      </c>
      <c r="G5969" t="s">
        <v>7</v>
      </c>
      <c r="H5969">
        <v>21878.44</v>
      </c>
      <c r="I5969">
        <v>6668.8</v>
      </c>
      <c r="J5969">
        <v>0</v>
      </c>
    </row>
    <row r="5970" spans="1:10" x14ac:dyDescent="0.35">
      <c r="A5970">
        <v>325043</v>
      </c>
      <c r="B5970" t="s">
        <v>20</v>
      </c>
      <c r="C5970">
        <v>2015</v>
      </c>
      <c r="D5970">
        <v>7</v>
      </c>
      <c r="E5970" t="s">
        <v>7</v>
      </c>
      <c r="F5970" t="s">
        <v>7</v>
      </c>
      <c r="G5970" t="s">
        <v>7</v>
      </c>
      <c r="H5970">
        <v>50433.48</v>
      </c>
      <c r="I5970">
        <v>15316.55</v>
      </c>
      <c r="J5970">
        <v>0</v>
      </c>
    </row>
    <row r="5971" spans="1:10" x14ac:dyDescent="0.35">
      <c r="A5971">
        <v>325046</v>
      </c>
      <c r="B5971" t="s">
        <v>20</v>
      </c>
      <c r="C5971">
        <v>2015</v>
      </c>
      <c r="D5971">
        <v>7</v>
      </c>
      <c r="E5971" t="s">
        <v>7</v>
      </c>
      <c r="F5971" t="s">
        <v>7</v>
      </c>
      <c r="G5971" t="s">
        <v>7</v>
      </c>
      <c r="H5971">
        <v>129963.66</v>
      </c>
      <c r="I5971">
        <v>48435.55</v>
      </c>
      <c r="J5971">
        <v>0</v>
      </c>
    </row>
    <row r="5972" spans="1:10" x14ac:dyDescent="0.35">
      <c r="A5972">
        <v>325047</v>
      </c>
      <c r="B5972" t="s">
        <v>20</v>
      </c>
      <c r="C5972">
        <v>2015</v>
      </c>
      <c r="D5972">
        <v>7</v>
      </c>
      <c r="E5972" t="s">
        <v>7</v>
      </c>
      <c r="F5972" t="s">
        <v>7</v>
      </c>
      <c r="G5972" t="s">
        <v>7</v>
      </c>
      <c r="H5972">
        <v>63824.38</v>
      </c>
      <c r="I5972">
        <v>19351.900000000001</v>
      </c>
      <c r="J5972">
        <v>0</v>
      </c>
    </row>
    <row r="5973" spans="1:10" x14ac:dyDescent="0.35">
      <c r="A5973">
        <v>325048</v>
      </c>
      <c r="B5973" t="s">
        <v>20</v>
      </c>
      <c r="C5973">
        <v>2015</v>
      </c>
      <c r="D5973">
        <v>7</v>
      </c>
      <c r="E5973" t="s">
        <v>7</v>
      </c>
      <c r="F5973" t="s">
        <v>7</v>
      </c>
      <c r="G5973" t="s">
        <v>7</v>
      </c>
      <c r="H5973">
        <v>33600.660000000003</v>
      </c>
      <c r="I5973">
        <v>9625.56</v>
      </c>
      <c r="J5973">
        <v>0</v>
      </c>
    </row>
    <row r="5974" spans="1:10" x14ac:dyDescent="0.35">
      <c r="A5974">
        <v>325051</v>
      </c>
      <c r="B5974" t="s">
        <v>20</v>
      </c>
      <c r="C5974">
        <v>2015</v>
      </c>
      <c r="D5974">
        <v>7</v>
      </c>
      <c r="E5974" t="s">
        <v>7</v>
      </c>
      <c r="F5974" t="s">
        <v>7</v>
      </c>
      <c r="G5974" t="s">
        <v>7</v>
      </c>
      <c r="H5974">
        <v>35557.839999999997</v>
      </c>
      <c r="I5974">
        <v>10743.17</v>
      </c>
      <c r="J5974">
        <v>0</v>
      </c>
    </row>
    <row r="5975" spans="1:10" x14ac:dyDescent="0.35">
      <c r="A5975">
        <v>325057</v>
      </c>
      <c r="B5975" t="s">
        <v>20</v>
      </c>
      <c r="C5975">
        <v>2015</v>
      </c>
      <c r="D5975">
        <v>7</v>
      </c>
      <c r="E5975" t="s">
        <v>7</v>
      </c>
      <c r="F5975" t="s">
        <v>7</v>
      </c>
      <c r="G5975" t="s">
        <v>7</v>
      </c>
      <c r="H5975">
        <v>16947.52</v>
      </c>
      <c r="I5975">
        <v>7128.02</v>
      </c>
      <c r="J5975">
        <v>0</v>
      </c>
    </row>
    <row r="5976" spans="1:10" x14ac:dyDescent="0.35">
      <c r="A5976">
        <v>325058</v>
      </c>
      <c r="B5976" t="s">
        <v>20</v>
      </c>
      <c r="C5976">
        <v>2015</v>
      </c>
      <c r="D5976">
        <v>7</v>
      </c>
      <c r="E5976" t="s">
        <v>7</v>
      </c>
      <c r="F5976" t="s">
        <v>7</v>
      </c>
      <c r="G5976" t="s">
        <v>7</v>
      </c>
      <c r="H5976">
        <v>21605.24</v>
      </c>
      <c r="I5976">
        <v>6534.14</v>
      </c>
      <c r="J5976">
        <v>0</v>
      </c>
    </row>
    <row r="5977" spans="1:10" x14ac:dyDescent="0.35">
      <c r="A5977">
        <v>325059</v>
      </c>
      <c r="B5977" t="s">
        <v>20</v>
      </c>
      <c r="C5977">
        <v>2015</v>
      </c>
      <c r="D5977">
        <v>7</v>
      </c>
      <c r="E5977" t="s">
        <v>7</v>
      </c>
      <c r="F5977" t="s">
        <v>7</v>
      </c>
      <c r="G5977" t="s">
        <v>7</v>
      </c>
      <c r="H5977">
        <v>52508.4</v>
      </c>
      <c r="I5977">
        <v>30559.34</v>
      </c>
      <c r="J5977">
        <v>0</v>
      </c>
    </row>
    <row r="5978" spans="1:10" x14ac:dyDescent="0.35">
      <c r="A5978">
        <v>325060</v>
      </c>
      <c r="B5978" t="s">
        <v>20</v>
      </c>
      <c r="C5978">
        <v>2015</v>
      </c>
      <c r="D5978">
        <v>7</v>
      </c>
      <c r="E5978" t="s">
        <v>7</v>
      </c>
      <c r="F5978" t="s">
        <v>7</v>
      </c>
      <c r="G5978" t="s">
        <v>7</v>
      </c>
      <c r="H5978">
        <v>22562.3</v>
      </c>
      <c r="I5978">
        <v>6977.92</v>
      </c>
      <c r="J5978">
        <v>0</v>
      </c>
    </row>
    <row r="5979" spans="1:10" x14ac:dyDescent="0.35">
      <c r="A5979">
        <v>325061</v>
      </c>
      <c r="B5979" t="s">
        <v>20</v>
      </c>
      <c r="C5979">
        <v>2015</v>
      </c>
      <c r="D5979">
        <v>7</v>
      </c>
      <c r="E5979" t="s">
        <v>7</v>
      </c>
      <c r="F5979" t="s">
        <v>7</v>
      </c>
      <c r="G5979" t="s">
        <v>7</v>
      </c>
      <c r="H5979">
        <v>16527.48</v>
      </c>
      <c r="I5979">
        <v>3082.55</v>
      </c>
      <c r="J5979">
        <v>0</v>
      </c>
    </row>
    <row r="5980" spans="1:10" x14ac:dyDescent="0.35">
      <c r="A5980">
        <v>325063</v>
      </c>
      <c r="B5980" t="s">
        <v>20</v>
      </c>
      <c r="C5980">
        <v>2015</v>
      </c>
      <c r="D5980">
        <v>7</v>
      </c>
      <c r="E5980" t="s">
        <v>7</v>
      </c>
      <c r="F5980" t="s">
        <v>7</v>
      </c>
      <c r="G5980" t="s">
        <v>7</v>
      </c>
      <c r="H5980">
        <v>16597.88</v>
      </c>
      <c r="I5980">
        <v>4757.05</v>
      </c>
      <c r="J5980">
        <v>0</v>
      </c>
    </row>
    <row r="5981" spans="1:10" x14ac:dyDescent="0.35">
      <c r="A5981">
        <v>325064</v>
      </c>
      <c r="B5981" t="s">
        <v>20</v>
      </c>
      <c r="C5981">
        <v>2015</v>
      </c>
      <c r="D5981">
        <v>7</v>
      </c>
      <c r="E5981" t="s">
        <v>7</v>
      </c>
      <c r="F5981" t="s">
        <v>7</v>
      </c>
      <c r="G5981" t="s">
        <v>7</v>
      </c>
      <c r="H5981">
        <v>23296.36</v>
      </c>
      <c r="I5981">
        <v>6848.56</v>
      </c>
      <c r="J5981">
        <v>0</v>
      </c>
    </row>
    <row r="5982" spans="1:10" x14ac:dyDescent="0.35">
      <c r="A5982">
        <v>325065</v>
      </c>
      <c r="B5982" t="s">
        <v>20</v>
      </c>
      <c r="C5982">
        <v>2015</v>
      </c>
      <c r="D5982">
        <v>7</v>
      </c>
      <c r="E5982" t="s">
        <v>7</v>
      </c>
      <c r="F5982" t="s">
        <v>7</v>
      </c>
      <c r="G5982" t="s">
        <v>7</v>
      </c>
      <c r="H5982">
        <v>29592.16</v>
      </c>
      <c r="I5982">
        <v>9646.3799999999992</v>
      </c>
      <c r="J5982">
        <v>0</v>
      </c>
    </row>
    <row r="5983" spans="1:10" x14ac:dyDescent="0.35">
      <c r="A5983">
        <v>325067</v>
      </c>
      <c r="B5983" t="s">
        <v>20</v>
      </c>
      <c r="C5983">
        <v>2015</v>
      </c>
      <c r="D5983">
        <v>7</v>
      </c>
      <c r="E5983" t="s">
        <v>7</v>
      </c>
      <c r="F5983" t="s">
        <v>7</v>
      </c>
      <c r="G5983" t="s">
        <v>7</v>
      </c>
      <c r="H5983">
        <v>13683.24</v>
      </c>
      <c r="I5983">
        <v>2825.77</v>
      </c>
      <c r="J5983">
        <v>0</v>
      </c>
    </row>
    <row r="5984" spans="1:10" x14ac:dyDescent="0.35">
      <c r="A5984">
        <v>325069</v>
      </c>
      <c r="B5984" t="s">
        <v>20</v>
      </c>
      <c r="C5984">
        <v>2015</v>
      </c>
      <c r="D5984">
        <v>7</v>
      </c>
      <c r="E5984" t="s">
        <v>7</v>
      </c>
      <c r="F5984" t="s">
        <v>7</v>
      </c>
      <c r="G5984" t="s">
        <v>7</v>
      </c>
      <c r="H5984">
        <v>92419.48</v>
      </c>
      <c r="I5984">
        <v>28661.42</v>
      </c>
      <c r="J5984">
        <v>0</v>
      </c>
    </row>
    <row r="5985" spans="1:10" x14ac:dyDescent="0.35">
      <c r="A5985">
        <v>325070</v>
      </c>
      <c r="B5985" t="s">
        <v>20</v>
      </c>
      <c r="C5985">
        <v>2015</v>
      </c>
      <c r="D5985">
        <v>7</v>
      </c>
      <c r="E5985" t="s">
        <v>7</v>
      </c>
      <c r="F5985" t="s">
        <v>7</v>
      </c>
      <c r="G5985" t="s">
        <v>7</v>
      </c>
      <c r="H5985">
        <v>17639.78</v>
      </c>
      <c r="I5985">
        <v>4621.8599999999997</v>
      </c>
      <c r="J5985">
        <v>0</v>
      </c>
    </row>
    <row r="5986" spans="1:10" x14ac:dyDescent="0.35">
      <c r="A5986">
        <v>325071</v>
      </c>
      <c r="B5986" t="s">
        <v>20</v>
      </c>
      <c r="C5986">
        <v>2015</v>
      </c>
      <c r="D5986">
        <v>7</v>
      </c>
      <c r="E5986" t="s">
        <v>7</v>
      </c>
      <c r="F5986" t="s">
        <v>7</v>
      </c>
      <c r="G5986" t="s">
        <v>7</v>
      </c>
      <c r="H5986">
        <v>10485.200000000001</v>
      </c>
      <c r="I5986">
        <v>2561.6799999999998</v>
      </c>
      <c r="J5986">
        <v>0</v>
      </c>
    </row>
    <row r="5987" spans="1:10" x14ac:dyDescent="0.35">
      <c r="A5987">
        <v>325072</v>
      </c>
      <c r="B5987" t="s">
        <v>20</v>
      </c>
      <c r="C5987">
        <v>2015</v>
      </c>
      <c r="D5987">
        <v>7</v>
      </c>
      <c r="E5987" t="s">
        <v>7</v>
      </c>
      <c r="F5987" t="s">
        <v>7</v>
      </c>
      <c r="G5987" t="s">
        <v>7</v>
      </c>
      <c r="H5987">
        <v>17161.66</v>
      </c>
      <c r="I5987">
        <v>3570.13</v>
      </c>
      <c r="J5987">
        <v>0</v>
      </c>
    </row>
    <row r="5988" spans="1:10" x14ac:dyDescent="0.35">
      <c r="A5988">
        <v>325073</v>
      </c>
      <c r="B5988" t="s">
        <v>20</v>
      </c>
      <c r="C5988">
        <v>2015</v>
      </c>
      <c r="D5988">
        <v>7</v>
      </c>
      <c r="E5988" t="s">
        <v>7</v>
      </c>
      <c r="F5988" t="s">
        <v>7</v>
      </c>
      <c r="G5988" t="s">
        <v>7</v>
      </c>
      <c r="H5988">
        <v>52318.98</v>
      </c>
      <c r="I5988">
        <v>21930.62</v>
      </c>
      <c r="J5988">
        <v>0</v>
      </c>
    </row>
    <row r="5989" spans="1:10" x14ac:dyDescent="0.35">
      <c r="A5989">
        <v>325076</v>
      </c>
      <c r="B5989" t="s">
        <v>20</v>
      </c>
      <c r="C5989">
        <v>2015</v>
      </c>
      <c r="D5989">
        <v>7</v>
      </c>
      <c r="E5989" t="s">
        <v>7</v>
      </c>
      <c r="F5989" t="s">
        <v>7</v>
      </c>
      <c r="G5989" t="s">
        <v>7</v>
      </c>
      <c r="H5989">
        <v>77960.240000000005</v>
      </c>
      <c r="I5989">
        <v>23775.86</v>
      </c>
      <c r="J5989">
        <v>0</v>
      </c>
    </row>
    <row r="5990" spans="1:10" x14ac:dyDescent="0.35">
      <c r="A5990">
        <v>325078</v>
      </c>
      <c r="B5990" t="s">
        <v>20</v>
      </c>
      <c r="C5990">
        <v>2015</v>
      </c>
      <c r="D5990">
        <v>7</v>
      </c>
      <c r="E5990" t="s">
        <v>7</v>
      </c>
      <c r="F5990" t="s">
        <v>7</v>
      </c>
      <c r="G5990" t="s">
        <v>7</v>
      </c>
      <c r="H5990">
        <v>14402.3</v>
      </c>
      <c r="I5990">
        <v>4209.17</v>
      </c>
      <c r="J5990">
        <v>0</v>
      </c>
    </row>
    <row r="5991" spans="1:10" x14ac:dyDescent="0.35">
      <c r="A5991">
        <v>325080</v>
      </c>
      <c r="B5991" t="s">
        <v>20</v>
      </c>
      <c r="C5991">
        <v>2015</v>
      </c>
      <c r="D5991">
        <v>7</v>
      </c>
      <c r="E5991" t="s">
        <v>7</v>
      </c>
      <c r="F5991" t="s">
        <v>7</v>
      </c>
      <c r="G5991" t="s">
        <v>7</v>
      </c>
      <c r="H5991">
        <v>16497.259999999998</v>
      </c>
      <c r="I5991">
        <v>3720.82</v>
      </c>
      <c r="J5991">
        <v>0</v>
      </c>
    </row>
    <row r="5992" spans="1:10" x14ac:dyDescent="0.35">
      <c r="A5992">
        <v>325081</v>
      </c>
      <c r="B5992" t="s">
        <v>20</v>
      </c>
      <c r="C5992">
        <v>2015</v>
      </c>
      <c r="D5992">
        <v>7</v>
      </c>
      <c r="E5992" t="s">
        <v>7</v>
      </c>
      <c r="F5992" t="s">
        <v>7</v>
      </c>
      <c r="G5992" t="s">
        <v>7</v>
      </c>
      <c r="H5992">
        <v>63126.76</v>
      </c>
      <c r="I5992">
        <v>18065.3</v>
      </c>
      <c r="J5992">
        <v>0</v>
      </c>
    </row>
    <row r="5993" spans="1:10" x14ac:dyDescent="0.35">
      <c r="A5993">
        <v>325082</v>
      </c>
      <c r="B5993" t="s">
        <v>20</v>
      </c>
      <c r="C5993">
        <v>2015</v>
      </c>
      <c r="D5993">
        <v>7</v>
      </c>
      <c r="E5993" t="s">
        <v>7</v>
      </c>
      <c r="F5993" t="s">
        <v>7</v>
      </c>
      <c r="G5993" t="s">
        <v>7</v>
      </c>
      <c r="H5993">
        <v>130702.26</v>
      </c>
      <c r="I5993">
        <v>40231.96</v>
      </c>
      <c r="J5993">
        <v>0</v>
      </c>
    </row>
    <row r="5994" spans="1:10" x14ac:dyDescent="0.35">
      <c r="A5994">
        <v>325084</v>
      </c>
      <c r="B5994" t="s">
        <v>20</v>
      </c>
      <c r="C5994">
        <v>2015</v>
      </c>
      <c r="D5994">
        <v>7</v>
      </c>
      <c r="E5994" t="s">
        <v>7</v>
      </c>
      <c r="F5994" t="s">
        <v>7</v>
      </c>
      <c r="G5994" t="s">
        <v>7</v>
      </c>
      <c r="H5994">
        <v>20364.419999999998</v>
      </c>
      <c r="I5994">
        <v>6259.17</v>
      </c>
      <c r="J5994">
        <v>0</v>
      </c>
    </row>
    <row r="5995" spans="1:10" x14ac:dyDescent="0.35">
      <c r="A5995">
        <v>325087</v>
      </c>
      <c r="B5995" t="s">
        <v>20</v>
      </c>
      <c r="C5995">
        <v>2015</v>
      </c>
      <c r="D5995">
        <v>7</v>
      </c>
      <c r="E5995" t="s">
        <v>7</v>
      </c>
      <c r="F5995" t="s">
        <v>7</v>
      </c>
      <c r="G5995" t="s">
        <v>7</v>
      </c>
      <c r="H5995">
        <v>12898.16</v>
      </c>
      <c r="I5995">
        <v>2685.26</v>
      </c>
      <c r="J5995">
        <v>0</v>
      </c>
    </row>
    <row r="5996" spans="1:10" x14ac:dyDescent="0.35">
      <c r="A5996">
        <v>325090</v>
      </c>
      <c r="B5996" t="s">
        <v>20</v>
      </c>
      <c r="C5996">
        <v>2015</v>
      </c>
      <c r="D5996">
        <v>7</v>
      </c>
      <c r="E5996" t="s">
        <v>7</v>
      </c>
      <c r="F5996" t="s">
        <v>7</v>
      </c>
      <c r="G5996" t="s">
        <v>7</v>
      </c>
      <c r="H5996">
        <v>28479.3</v>
      </c>
      <c r="I5996">
        <v>8044.28</v>
      </c>
      <c r="J5996">
        <v>0</v>
      </c>
    </row>
    <row r="5997" spans="1:10" x14ac:dyDescent="0.35">
      <c r="A5997">
        <v>325093</v>
      </c>
      <c r="B5997" t="s">
        <v>20</v>
      </c>
      <c r="C5997">
        <v>2015</v>
      </c>
      <c r="D5997">
        <v>7</v>
      </c>
      <c r="E5997" t="s">
        <v>7</v>
      </c>
      <c r="F5997" t="s">
        <v>7</v>
      </c>
      <c r="G5997" t="s">
        <v>7</v>
      </c>
      <c r="H5997">
        <v>226951.82</v>
      </c>
      <c r="I5997">
        <v>81347.66</v>
      </c>
      <c r="J5997">
        <v>0</v>
      </c>
    </row>
    <row r="5998" spans="1:10" x14ac:dyDescent="0.35">
      <c r="A5998">
        <v>325094</v>
      </c>
      <c r="B5998" t="s">
        <v>20</v>
      </c>
      <c r="C5998">
        <v>2015</v>
      </c>
      <c r="D5998">
        <v>7</v>
      </c>
      <c r="E5998" t="s">
        <v>7</v>
      </c>
      <c r="F5998" t="s">
        <v>7</v>
      </c>
      <c r="G5998" t="s">
        <v>7</v>
      </c>
      <c r="H5998">
        <v>17870.740000000002</v>
      </c>
      <c r="I5998">
        <v>5074.21</v>
      </c>
      <c r="J5998">
        <v>0</v>
      </c>
    </row>
    <row r="5999" spans="1:10" x14ac:dyDescent="0.35">
      <c r="A5999">
        <v>325095</v>
      </c>
      <c r="B5999" t="s">
        <v>20</v>
      </c>
      <c r="C5999">
        <v>2015</v>
      </c>
      <c r="D5999">
        <v>7</v>
      </c>
      <c r="E5999" t="s">
        <v>7</v>
      </c>
      <c r="F5999" t="s">
        <v>7</v>
      </c>
      <c r="G5999" t="s">
        <v>7</v>
      </c>
      <c r="H5999">
        <v>38623.040000000001</v>
      </c>
      <c r="I5999">
        <v>12654.12</v>
      </c>
      <c r="J5999">
        <v>0</v>
      </c>
    </row>
    <row r="6000" spans="1:10" x14ac:dyDescent="0.35">
      <c r="A6000">
        <v>325096</v>
      </c>
      <c r="B6000" t="s">
        <v>20</v>
      </c>
      <c r="C6000">
        <v>2015</v>
      </c>
      <c r="D6000">
        <v>7</v>
      </c>
      <c r="E6000" t="s">
        <v>7</v>
      </c>
      <c r="F6000" t="s">
        <v>7</v>
      </c>
      <c r="G6000" t="s">
        <v>7</v>
      </c>
      <c r="H6000">
        <v>42332.34</v>
      </c>
      <c r="I6000">
        <v>12043.03</v>
      </c>
      <c r="J6000">
        <v>0</v>
      </c>
    </row>
    <row r="6001" spans="1:10" x14ac:dyDescent="0.35">
      <c r="A6001">
        <v>325097</v>
      </c>
      <c r="B6001" t="s">
        <v>20</v>
      </c>
      <c r="C6001">
        <v>2015</v>
      </c>
      <c r="D6001">
        <v>7</v>
      </c>
      <c r="E6001" t="s">
        <v>7</v>
      </c>
      <c r="F6001" t="s">
        <v>7</v>
      </c>
      <c r="G6001" t="s">
        <v>7</v>
      </c>
      <c r="H6001">
        <v>33800.9</v>
      </c>
      <c r="I6001">
        <v>9511.92</v>
      </c>
      <c r="J6001">
        <v>0</v>
      </c>
    </row>
    <row r="6002" spans="1:10" x14ac:dyDescent="0.35">
      <c r="A6002">
        <v>325098</v>
      </c>
      <c r="B6002" t="s">
        <v>20</v>
      </c>
      <c r="C6002">
        <v>2015</v>
      </c>
      <c r="D6002">
        <v>7</v>
      </c>
      <c r="E6002" t="s">
        <v>7</v>
      </c>
      <c r="F6002" t="s">
        <v>7</v>
      </c>
      <c r="G6002" t="s">
        <v>7</v>
      </c>
      <c r="H6002">
        <v>30303.94</v>
      </c>
      <c r="I6002">
        <v>8483.43</v>
      </c>
      <c r="J6002">
        <v>0</v>
      </c>
    </row>
    <row r="6003" spans="1:10" x14ac:dyDescent="0.35">
      <c r="A6003">
        <v>325099</v>
      </c>
      <c r="B6003" t="s">
        <v>20</v>
      </c>
      <c r="C6003">
        <v>2015</v>
      </c>
      <c r="D6003">
        <v>7</v>
      </c>
      <c r="E6003" t="s">
        <v>7</v>
      </c>
      <c r="F6003" t="s">
        <v>7</v>
      </c>
      <c r="G6003" t="s">
        <v>7</v>
      </c>
      <c r="H6003">
        <v>15006.94</v>
      </c>
      <c r="I6003">
        <v>4451.25</v>
      </c>
      <c r="J6003">
        <v>0</v>
      </c>
    </row>
    <row r="6004" spans="1:10" x14ac:dyDescent="0.35">
      <c r="A6004">
        <v>325103</v>
      </c>
      <c r="B6004" t="s">
        <v>20</v>
      </c>
      <c r="C6004">
        <v>2015</v>
      </c>
      <c r="D6004">
        <v>7</v>
      </c>
      <c r="E6004" t="s">
        <v>7</v>
      </c>
      <c r="F6004" t="s">
        <v>7</v>
      </c>
      <c r="G6004" t="s">
        <v>7</v>
      </c>
      <c r="H6004">
        <v>90606.31</v>
      </c>
      <c r="I6004">
        <v>44100.24</v>
      </c>
      <c r="J6004">
        <v>0</v>
      </c>
    </row>
    <row r="6005" spans="1:10" x14ac:dyDescent="0.35">
      <c r="A6005">
        <v>325105</v>
      </c>
      <c r="B6005" t="s">
        <v>20</v>
      </c>
      <c r="C6005">
        <v>2015</v>
      </c>
      <c r="D6005">
        <v>7</v>
      </c>
      <c r="E6005" t="s">
        <v>7</v>
      </c>
      <c r="F6005" t="s">
        <v>7</v>
      </c>
      <c r="G6005" t="s">
        <v>7</v>
      </c>
      <c r="H6005">
        <v>64313.599999999999</v>
      </c>
      <c r="I6005">
        <v>37660.94</v>
      </c>
      <c r="J6005">
        <v>0</v>
      </c>
    </row>
    <row r="6006" spans="1:10" x14ac:dyDescent="0.35">
      <c r="A6006">
        <v>325106</v>
      </c>
      <c r="B6006" t="s">
        <v>20</v>
      </c>
      <c r="C6006">
        <v>2015</v>
      </c>
      <c r="D6006">
        <v>7</v>
      </c>
      <c r="E6006" t="s">
        <v>7</v>
      </c>
      <c r="F6006" t="s">
        <v>7</v>
      </c>
      <c r="G6006" t="s">
        <v>7</v>
      </c>
      <c r="H6006">
        <v>17991.38</v>
      </c>
      <c r="I6006">
        <v>4816.3599999999997</v>
      </c>
      <c r="J6006">
        <v>0</v>
      </c>
    </row>
    <row r="6007" spans="1:10" x14ac:dyDescent="0.35">
      <c r="A6007">
        <v>325108</v>
      </c>
      <c r="B6007" t="s">
        <v>20</v>
      </c>
      <c r="C6007">
        <v>2015</v>
      </c>
      <c r="D6007">
        <v>7</v>
      </c>
      <c r="E6007" t="s">
        <v>7</v>
      </c>
      <c r="F6007" t="s">
        <v>7</v>
      </c>
      <c r="G6007" t="s">
        <v>7</v>
      </c>
      <c r="H6007">
        <v>20515.36</v>
      </c>
      <c r="I6007">
        <v>5072.53</v>
      </c>
      <c r="J6007">
        <v>0</v>
      </c>
    </row>
    <row r="6008" spans="1:10" x14ac:dyDescent="0.35">
      <c r="A6008">
        <v>325109</v>
      </c>
      <c r="B6008" t="s">
        <v>20</v>
      </c>
      <c r="C6008">
        <v>2015</v>
      </c>
      <c r="D6008">
        <v>7</v>
      </c>
      <c r="E6008" t="s">
        <v>7</v>
      </c>
      <c r="F6008" t="s">
        <v>7</v>
      </c>
      <c r="G6008" t="s">
        <v>7</v>
      </c>
      <c r="H6008">
        <v>16137.7</v>
      </c>
      <c r="I6008">
        <v>4667.1099999999997</v>
      </c>
      <c r="J6008">
        <v>0</v>
      </c>
    </row>
    <row r="6009" spans="1:10" x14ac:dyDescent="0.35">
      <c r="A6009">
        <v>325111</v>
      </c>
      <c r="B6009" t="s">
        <v>20</v>
      </c>
      <c r="C6009">
        <v>2015</v>
      </c>
      <c r="D6009">
        <v>7</v>
      </c>
      <c r="E6009" t="s">
        <v>7</v>
      </c>
      <c r="F6009" t="s">
        <v>7</v>
      </c>
      <c r="G6009" t="s">
        <v>7</v>
      </c>
      <c r="H6009">
        <v>42376.480000000003</v>
      </c>
      <c r="I6009">
        <v>12656.41</v>
      </c>
      <c r="J6009">
        <v>0</v>
      </c>
    </row>
    <row r="6010" spans="1:10" x14ac:dyDescent="0.35">
      <c r="A6010">
        <v>325112</v>
      </c>
      <c r="B6010" t="s">
        <v>20</v>
      </c>
      <c r="C6010">
        <v>2015</v>
      </c>
      <c r="D6010">
        <v>7</v>
      </c>
      <c r="E6010" t="s">
        <v>7</v>
      </c>
      <c r="F6010" t="s">
        <v>7</v>
      </c>
      <c r="G6010" t="s">
        <v>7</v>
      </c>
      <c r="H6010">
        <v>65377.54</v>
      </c>
      <c r="I6010">
        <v>26027.4</v>
      </c>
      <c r="J6010">
        <v>0</v>
      </c>
    </row>
    <row r="6011" spans="1:10" x14ac:dyDescent="0.35">
      <c r="A6011">
        <v>325113</v>
      </c>
      <c r="B6011" t="s">
        <v>20</v>
      </c>
      <c r="C6011">
        <v>2015</v>
      </c>
      <c r="D6011">
        <v>7</v>
      </c>
      <c r="E6011" t="s">
        <v>7</v>
      </c>
      <c r="F6011" t="s">
        <v>7</v>
      </c>
      <c r="G6011" t="s">
        <v>7</v>
      </c>
      <c r="H6011">
        <v>13648.28</v>
      </c>
      <c r="I6011">
        <v>6842.62</v>
      </c>
      <c r="J6011">
        <v>0</v>
      </c>
    </row>
    <row r="6012" spans="1:10" x14ac:dyDescent="0.35">
      <c r="A6012">
        <v>325117</v>
      </c>
      <c r="B6012" t="s">
        <v>20</v>
      </c>
      <c r="C6012">
        <v>2015</v>
      </c>
      <c r="D6012">
        <v>7</v>
      </c>
      <c r="E6012" t="s">
        <v>7</v>
      </c>
      <c r="F6012" t="s">
        <v>7</v>
      </c>
      <c r="G6012" t="s">
        <v>7</v>
      </c>
      <c r="H6012">
        <v>61051.78</v>
      </c>
      <c r="I6012">
        <v>30875.5</v>
      </c>
      <c r="J6012">
        <v>0</v>
      </c>
    </row>
    <row r="6013" spans="1:10" x14ac:dyDescent="0.35">
      <c r="A6013">
        <v>325118</v>
      </c>
      <c r="B6013" t="s">
        <v>20</v>
      </c>
      <c r="C6013">
        <v>2015</v>
      </c>
      <c r="D6013">
        <v>7</v>
      </c>
      <c r="E6013" t="s">
        <v>7</v>
      </c>
      <c r="F6013" t="s">
        <v>7</v>
      </c>
      <c r="G6013" t="s">
        <v>7</v>
      </c>
      <c r="H6013">
        <v>31421.02</v>
      </c>
      <c r="I6013">
        <v>5548.49</v>
      </c>
      <c r="J6013">
        <v>0</v>
      </c>
    </row>
    <row r="6014" spans="1:10" x14ac:dyDescent="0.35">
      <c r="A6014">
        <v>325120</v>
      </c>
      <c r="B6014" t="s">
        <v>20</v>
      </c>
      <c r="C6014">
        <v>2015</v>
      </c>
      <c r="D6014">
        <v>7</v>
      </c>
      <c r="E6014" t="s">
        <v>7</v>
      </c>
      <c r="F6014" t="s">
        <v>7</v>
      </c>
      <c r="G6014" t="s">
        <v>7</v>
      </c>
      <c r="H6014">
        <v>40092.32</v>
      </c>
      <c r="I6014">
        <v>12345.16</v>
      </c>
      <c r="J6014">
        <v>0</v>
      </c>
    </row>
    <row r="6015" spans="1:10" x14ac:dyDescent="0.35">
      <c r="A6015">
        <v>325123</v>
      </c>
      <c r="B6015" t="s">
        <v>20</v>
      </c>
      <c r="C6015">
        <v>2015</v>
      </c>
      <c r="D6015">
        <v>7</v>
      </c>
      <c r="E6015" t="s">
        <v>7</v>
      </c>
      <c r="F6015" t="s">
        <v>7</v>
      </c>
      <c r="G6015" t="s">
        <v>7</v>
      </c>
      <c r="H6015">
        <v>33239.620000000003</v>
      </c>
      <c r="I6015">
        <v>9790.32</v>
      </c>
      <c r="J6015">
        <v>0</v>
      </c>
    </row>
    <row r="6016" spans="1:10" x14ac:dyDescent="0.35">
      <c r="A6016">
        <v>325124</v>
      </c>
      <c r="B6016" t="s">
        <v>20</v>
      </c>
      <c r="C6016">
        <v>2015</v>
      </c>
      <c r="D6016">
        <v>7</v>
      </c>
      <c r="E6016" t="s">
        <v>7</v>
      </c>
      <c r="F6016" t="s">
        <v>7</v>
      </c>
      <c r="G6016" t="s">
        <v>7</v>
      </c>
      <c r="H6016">
        <v>36544.68</v>
      </c>
      <c r="I6016">
        <v>9923.7900000000009</v>
      </c>
      <c r="J6016">
        <v>0</v>
      </c>
    </row>
    <row r="6017" spans="1:10" x14ac:dyDescent="0.35">
      <c r="A6017">
        <v>325127</v>
      </c>
      <c r="B6017" t="s">
        <v>20</v>
      </c>
      <c r="C6017">
        <v>2015</v>
      </c>
      <c r="D6017">
        <v>7</v>
      </c>
      <c r="E6017" t="s">
        <v>7</v>
      </c>
      <c r="F6017" t="s">
        <v>7</v>
      </c>
      <c r="G6017" t="s">
        <v>7</v>
      </c>
      <c r="H6017">
        <v>76134.98</v>
      </c>
      <c r="I6017">
        <v>21854.45</v>
      </c>
      <c r="J6017">
        <v>0</v>
      </c>
    </row>
    <row r="6018" spans="1:10" x14ac:dyDescent="0.35">
      <c r="A6018">
        <v>325128</v>
      </c>
      <c r="B6018" t="s">
        <v>20</v>
      </c>
      <c r="C6018">
        <v>2015</v>
      </c>
      <c r="D6018">
        <v>7</v>
      </c>
      <c r="E6018" t="s">
        <v>7</v>
      </c>
      <c r="F6018" t="s">
        <v>7</v>
      </c>
      <c r="G6018" t="s">
        <v>7</v>
      </c>
      <c r="H6018">
        <v>12634.52</v>
      </c>
      <c r="I6018">
        <v>2774.87</v>
      </c>
      <c r="J6018">
        <v>0</v>
      </c>
    </row>
    <row r="6019" spans="1:10" x14ac:dyDescent="0.35">
      <c r="A6019">
        <v>325129</v>
      </c>
      <c r="B6019" t="s">
        <v>20</v>
      </c>
      <c r="C6019">
        <v>2015</v>
      </c>
      <c r="D6019">
        <v>7</v>
      </c>
      <c r="E6019" t="s">
        <v>7</v>
      </c>
      <c r="F6019" t="s">
        <v>7</v>
      </c>
      <c r="G6019" t="s">
        <v>7</v>
      </c>
      <c r="H6019">
        <v>41728.019999999997</v>
      </c>
      <c r="I6019">
        <v>13332.41</v>
      </c>
      <c r="J6019">
        <v>0</v>
      </c>
    </row>
    <row r="6020" spans="1:10" x14ac:dyDescent="0.35">
      <c r="A6020">
        <v>325132</v>
      </c>
      <c r="B6020" t="s">
        <v>20</v>
      </c>
      <c r="C6020">
        <v>2015</v>
      </c>
      <c r="D6020">
        <v>7</v>
      </c>
      <c r="E6020" t="s">
        <v>7</v>
      </c>
      <c r="F6020" t="s">
        <v>7</v>
      </c>
      <c r="G6020" t="s">
        <v>7</v>
      </c>
      <c r="H6020">
        <v>75398</v>
      </c>
      <c r="I6020">
        <v>30163.57</v>
      </c>
      <c r="J6020">
        <v>0</v>
      </c>
    </row>
    <row r="6021" spans="1:10" x14ac:dyDescent="0.35">
      <c r="A6021">
        <v>325133</v>
      </c>
      <c r="B6021" t="s">
        <v>20</v>
      </c>
      <c r="C6021">
        <v>2015</v>
      </c>
      <c r="D6021">
        <v>7</v>
      </c>
      <c r="E6021" t="s">
        <v>7</v>
      </c>
      <c r="F6021" t="s">
        <v>7</v>
      </c>
      <c r="G6021" t="s">
        <v>7</v>
      </c>
      <c r="H6021">
        <v>16660.7</v>
      </c>
      <c r="I6021">
        <v>5195.8500000000004</v>
      </c>
      <c r="J6021">
        <v>0</v>
      </c>
    </row>
    <row r="6022" spans="1:10" x14ac:dyDescent="0.35">
      <c r="A6022">
        <v>325136</v>
      </c>
      <c r="B6022" t="s">
        <v>20</v>
      </c>
      <c r="C6022">
        <v>2015</v>
      </c>
      <c r="D6022">
        <v>7</v>
      </c>
      <c r="E6022" t="s">
        <v>7</v>
      </c>
      <c r="F6022" t="s">
        <v>7</v>
      </c>
      <c r="G6022" t="s">
        <v>7</v>
      </c>
      <c r="H6022">
        <v>63556.1</v>
      </c>
      <c r="I6022">
        <v>39532.160000000003</v>
      </c>
      <c r="J6022">
        <v>0</v>
      </c>
    </row>
    <row r="6023" spans="1:10" x14ac:dyDescent="0.35">
      <c r="A6023">
        <v>325137</v>
      </c>
      <c r="B6023" t="s">
        <v>20</v>
      </c>
      <c r="C6023">
        <v>2015</v>
      </c>
      <c r="D6023">
        <v>7</v>
      </c>
      <c r="E6023" t="s">
        <v>7</v>
      </c>
      <c r="F6023" t="s">
        <v>7</v>
      </c>
      <c r="G6023" t="s">
        <v>7</v>
      </c>
      <c r="H6023">
        <v>36797.800000000003</v>
      </c>
      <c r="I6023">
        <v>10154.61</v>
      </c>
      <c r="J6023">
        <v>0</v>
      </c>
    </row>
    <row r="6024" spans="1:10" x14ac:dyDescent="0.35">
      <c r="A6024">
        <v>325138</v>
      </c>
      <c r="B6024" t="s">
        <v>20</v>
      </c>
      <c r="C6024">
        <v>2015</v>
      </c>
      <c r="D6024">
        <v>7</v>
      </c>
      <c r="E6024" t="s">
        <v>7</v>
      </c>
      <c r="F6024" t="s">
        <v>7</v>
      </c>
      <c r="G6024" t="s">
        <v>7</v>
      </c>
      <c r="H6024">
        <v>43114.5</v>
      </c>
      <c r="I6024">
        <v>14133.58</v>
      </c>
      <c r="J6024">
        <v>0</v>
      </c>
    </row>
    <row r="6025" spans="1:10" x14ac:dyDescent="0.35">
      <c r="A6025">
        <v>325139</v>
      </c>
      <c r="B6025" t="s">
        <v>20</v>
      </c>
      <c r="C6025">
        <v>2015</v>
      </c>
      <c r="D6025">
        <v>7</v>
      </c>
      <c r="E6025" t="s">
        <v>7</v>
      </c>
      <c r="F6025" t="s">
        <v>7</v>
      </c>
      <c r="G6025" t="s">
        <v>7</v>
      </c>
      <c r="H6025">
        <v>13946.28</v>
      </c>
      <c r="I6025">
        <v>4092.6</v>
      </c>
      <c r="J6025">
        <v>0</v>
      </c>
    </row>
    <row r="6026" spans="1:10" x14ac:dyDescent="0.35">
      <c r="A6026">
        <v>325140</v>
      </c>
      <c r="B6026" t="s">
        <v>20</v>
      </c>
      <c r="C6026">
        <v>2015</v>
      </c>
      <c r="D6026">
        <v>7</v>
      </c>
      <c r="E6026" t="s">
        <v>7</v>
      </c>
      <c r="F6026" t="s">
        <v>7</v>
      </c>
      <c r="G6026" t="s">
        <v>7</v>
      </c>
      <c r="H6026">
        <v>30037.5</v>
      </c>
      <c r="I6026">
        <v>9589.36</v>
      </c>
      <c r="J6026">
        <v>0</v>
      </c>
    </row>
    <row r="6027" spans="1:10" x14ac:dyDescent="0.35">
      <c r="A6027">
        <v>325141</v>
      </c>
      <c r="B6027" t="s">
        <v>20</v>
      </c>
      <c r="C6027">
        <v>2015</v>
      </c>
      <c r="D6027">
        <v>7</v>
      </c>
      <c r="E6027" t="s">
        <v>7</v>
      </c>
      <c r="F6027" t="s">
        <v>7</v>
      </c>
      <c r="G6027" t="s">
        <v>7</v>
      </c>
      <c r="H6027">
        <v>19423.2</v>
      </c>
      <c r="I6027">
        <v>4679.7</v>
      </c>
      <c r="J6027">
        <v>0</v>
      </c>
    </row>
    <row r="6028" spans="1:10" x14ac:dyDescent="0.35">
      <c r="A6028">
        <v>325143</v>
      </c>
      <c r="B6028" t="s">
        <v>20</v>
      </c>
      <c r="C6028">
        <v>2015</v>
      </c>
      <c r="D6028">
        <v>7</v>
      </c>
      <c r="E6028" t="s">
        <v>7</v>
      </c>
      <c r="F6028" t="s">
        <v>7</v>
      </c>
      <c r="G6028" t="s">
        <v>7</v>
      </c>
      <c r="H6028">
        <v>40916.980000000003</v>
      </c>
      <c r="I6028">
        <v>11640.72</v>
      </c>
      <c r="J6028">
        <v>0</v>
      </c>
    </row>
    <row r="6029" spans="1:10" x14ac:dyDescent="0.35">
      <c r="A6029">
        <v>325144</v>
      </c>
      <c r="B6029" t="s">
        <v>20</v>
      </c>
      <c r="C6029">
        <v>2015</v>
      </c>
      <c r="D6029">
        <v>7</v>
      </c>
      <c r="E6029" t="s">
        <v>7</v>
      </c>
      <c r="F6029" t="s">
        <v>7</v>
      </c>
      <c r="G6029" t="s">
        <v>7</v>
      </c>
      <c r="H6029">
        <v>34606.639999999999</v>
      </c>
      <c r="I6029">
        <v>10233.23</v>
      </c>
      <c r="J6029">
        <v>0</v>
      </c>
    </row>
    <row r="6030" spans="1:10" x14ac:dyDescent="0.35">
      <c r="A6030">
        <v>325145</v>
      </c>
      <c r="B6030" t="s">
        <v>20</v>
      </c>
      <c r="C6030">
        <v>2015</v>
      </c>
      <c r="D6030">
        <v>7</v>
      </c>
      <c r="E6030" t="s">
        <v>7</v>
      </c>
      <c r="F6030" t="s">
        <v>7</v>
      </c>
      <c r="G6030" t="s">
        <v>7</v>
      </c>
      <c r="H6030">
        <v>45285.82</v>
      </c>
      <c r="I6030">
        <v>13496.73</v>
      </c>
      <c r="J6030">
        <v>0</v>
      </c>
    </row>
    <row r="6031" spans="1:10" x14ac:dyDescent="0.35">
      <c r="A6031">
        <v>325146</v>
      </c>
      <c r="B6031" t="s">
        <v>20</v>
      </c>
      <c r="C6031">
        <v>2015</v>
      </c>
      <c r="D6031">
        <v>7</v>
      </c>
      <c r="E6031" t="s">
        <v>7</v>
      </c>
      <c r="F6031" t="s">
        <v>7</v>
      </c>
      <c r="G6031" t="s">
        <v>7</v>
      </c>
      <c r="H6031">
        <v>65060.06</v>
      </c>
      <c r="I6031">
        <v>20237.599999999999</v>
      </c>
      <c r="J6031">
        <v>0</v>
      </c>
    </row>
    <row r="6032" spans="1:10" x14ac:dyDescent="0.35">
      <c r="A6032">
        <v>325148</v>
      </c>
      <c r="B6032" t="s">
        <v>20</v>
      </c>
      <c r="C6032">
        <v>2015</v>
      </c>
      <c r="D6032">
        <v>7</v>
      </c>
      <c r="E6032" t="s">
        <v>7</v>
      </c>
      <c r="F6032" t="s">
        <v>7</v>
      </c>
      <c r="G6032" t="s">
        <v>7</v>
      </c>
      <c r="H6032">
        <v>72266.899999999994</v>
      </c>
      <c r="I6032">
        <v>22046.61</v>
      </c>
      <c r="J6032">
        <v>0</v>
      </c>
    </row>
    <row r="6033" spans="1:10" x14ac:dyDescent="0.35">
      <c r="A6033">
        <v>325149</v>
      </c>
      <c r="B6033" t="s">
        <v>20</v>
      </c>
      <c r="C6033">
        <v>2015</v>
      </c>
      <c r="D6033">
        <v>7</v>
      </c>
      <c r="E6033" t="s">
        <v>7</v>
      </c>
      <c r="F6033" t="s">
        <v>7</v>
      </c>
      <c r="G6033" t="s">
        <v>7</v>
      </c>
      <c r="H6033">
        <v>47685.18</v>
      </c>
      <c r="I6033">
        <v>14573.76</v>
      </c>
      <c r="J6033">
        <v>0</v>
      </c>
    </row>
    <row r="6034" spans="1:10" x14ac:dyDescent="0.35">
      <c r="A6034">
        <v>325150</v>
      </c>
      <c r="B6034" t="s">
        <v>20</v>
      </c>
      <c r="C6034">
        <v>2015</v>
      </c>
      <c r="D6034">
        <v>7</v>
      </c>
      <c r="E6034" t="s">
        <v>7</v>
      </c>
      <c r="F6034" t="s">
        <v>7</v>
      </c>
      <c r="G6034" t="s">
        <v>7</v>
      </c>
      <c r="H6034">
        <v>24394.7</v>
      </c>
      <c r="I6034">
        <v>4911.97</v>
      </c>
      <c r="J6034">
        <v>0</v>
      </c>
    </row>
    <row r="6035" spans="1:10" x14ac:dyDescent="0.35">
      <c r="A6035">
        <v>325155</v>
      </c>
      <c r="B6035" t="s">
        <v>20</v>
      </c>
      <c r="C6035">
        <v>2015</v>
      </c>
      <c r="D6035">
        <v>7</v>
      </c>
      <c r="E6035" t="s">
        <v>7</v>
      </c>
      <c r="F6035" t="s">
        <v>7</v>
      </c>
      <c r="G6035" t="s">
        <v>7</v>
      </c>
      <c r="H6035">
        <v>24471.279999999999</v>
      </c>
      <c r="I6035">
        <v>6673.6</v>
      </c>
      <c r="J6035">
        <v>0</v>
      </c>
    </row>
    <row r="6036" spans="1:10" x14ac:dyDescent="0.35">
      <c r="A6036">
        <v>325157</v>
      </c>
      <c r="B6036" t="s">
        <v>20</v>
      </c>
      <c r="C6036">
        <v>2015</v>
      </c>
      <c r="D6036">
        <v>7</v>
      </c>
      <c r="E6036" t="s">
        <v>7</v>
      </c>
      <c r="F6036" t="s">
        <v>7</v>
      </c>
      <c r="G6036" t="s">
        <v>7</v>
      </c>
      <c r="H6036">
        <v>24366.34</v>
      </c>
      <c r="I6036">
        <v>7708.15</v>
      </c>
      <c r="J6036">
        <v>0</v>
      </c>
    </row>
    <row r="6037" spans="1:10" x14ac:dyDescent="0.35">
      <c r="A6037">
        <v>325159</v>
      </c>
      <c r="B6037" t="s">
        <v>20</v>
      </c>
      <c r="C6037">
        <v>2015</v>
      </c>
      <c r="D6037">
        <v>7</v>
      </c>
      <c r="E6037" t="s">
        <v>7</v>
      </c>
      <c r="F6037" t="s">
        <v>7</v>
      </c>
      <c r="G6037" t="s">
        <v>7</v>
      </c>
      <c r="H6037">
        <v>24720.7</v>
      </c>
      <c r="I6037">
        <v>7075.21</v>
      </c>
      <c r="J6037">
        <v>0</v>
      </c>
    </row>
    <row r="6038" spans="1:10" x14ac:dyDescent="0.35">
      <c r="A6038">
        <v>325162</v>
      </c>
      <c r="B6038" t="s">
        <v>20</v>
      </c>
      <c r="C6038">
        <v>2015</v>
      </c>
      <c r="D6038">
        <v>7</v>
      </c>
      <c r="E6038" t="s">
        <v>7</v>
      </c>
      <c r="F6038" t="s">
        <v>7</v>
      </c>
      <c r="G6038" t="s">
        <v>7</v>
      </c>
      <c r="H6038">
        <v>33371.879999999997</v>
      </c>
      <c r="I6038">
        <v>9048.26</v>
      </c>
      <c r="J6038">
        <v>0</v>
      </c>
    </row>
    <row r="6039" spans="1:10" x14ac:dyDescent="0.35">
      <c r="A6039">
        <v>325163</v>
      </c>
      <c r="B6039" t="s">
        <v>20</v>
      </c>
      <c r="C6039">
        <v>2015</v>
      </c>
      <c r="D6039">
        <v>7</v>
      </c>
      <c r="E6039" t="s">
        <v>7</v>
      </c>
      <c r="F6039" t="s">
        <v>7</v>
      </c>
      <c r="G6039" t="s">
        <v>7</v>
      </c>
      <c r="H6039">
        <v>136837</v>
      </c>
      <c r="I6039">
        <v>109451.47</v>
      </c>
      <c r="J6039">
        <v>0</v>
      </c>
    </row>
    <row r="6040" spans="1:10" x14ac:dyDescent="0.35">
      <c r="A6040">
        <v>325164</v>
      </c>
      <c r="B6040" t="s">
        <v>20</v>
      </c>
      <c r="C6040">
        <v>2015</v>
      </c>
      <c r="D6040">
        <v>7</v>
      </c>
      <c r="E6040" t="s">
        <v>7</v>
      </c>
      <c r="F6040" t="s">
        <v>7</v>
      </c>
      <c r="G6040" t="s">
        <v>7</v>
      </c>
      <c r="H6040">
        <v>52407.6</v>
      </c>
      <c r="I6040">
        <v>12162.9</v>
      </c>
      <c r="J6040">
        <v>0</v>
      </c>
    </row>
    <row r="6041" spans="1:10" x14ac:dyDescent="0.35">
      <c r="A6041">
        <v>325167</v>
      </c>
      <c r="B6041" t="s">
        <v>20</v>
      </c>
      <c r="C6041">
        <v>2015</v>
      </c>
      <c r="D6041">
        <v>7</v>
      </c>
      <c r="E6041" t="s">
        <v>7</v>
      </c>
      <c r="F6041" t="s">
        <v>7</v>
      </c>
      <c r="G6041" t="s">
        <v>7</v>
      </c>
      <c r="H6041">
        <v>26168.44</v>
      </c>
      <c r="I6041">
        <v>7428.4</v>
      </c>
      <c r="J6041">
        <v>0</v>
      </c>
    </row>
    <row r="6042" spans="1:10" x14ac:dyDescent="0.35">
      <c r="A6042">
        <v>325168</v>
      </c>
      <c r="B6042" t="s">
        <v>20</v>
      </c>
      <c r="C6042">
        <v>2015</v>
      </c>
      <c r="D6042">
        <v>7</v>
      </c>
      <c r="E6042" t="s">
        <v>7</v>
      </c>
      <c r="F6042" t="s">
        <v>7</v>
      </c>
      <c r="G6042" t="s">
        <v>7</v>
      </c>
      <c r="H6042">
        <v>19301.240000000002</v>
      </c>
      <c r="I6042">
        <v>3321.34</v>
      </c>
      <c r="J6042">
        <v>0</v>
      </c>
    </row>
    <row r="6043" spans="1:10" x14ac:dyDescent="0.35">
      <c r="A6043">
        <v>325169</v>
      </c>
      <c r="B6043" t="s">
        <v>20</v>
      </c>
      <c r="C6043">
        <v>2015</v>
      </c>
      <c r="D6043">
        <v>7</v>
      </c>
      <c r="E6043" t="s">
        <v>7</v>
      </c>
      <c r="F6043" t="s">
        <v>7</v>
      </c>
      <c r="G6043" t="s">
        <v>7</v>
      </c>
      <c r="H6043">
        <v>42167.040000000001</v>
      </c>
      <c r="I6043">
        <v>10386.64</v>
      </c>
      <c r="J6043">
        <v>0</v>
      </c>
    </row>
    <row r="6044" spans="1:10" x14ac:dyDescent="0.35">
      <c r="A6044">
        <v>325170</v>
      </c>
      <c r="B6044" t="s">
        <v>20</v>
      </c>
      <c r="C6044">
        <v>2015</v>
      </c>
      <c r="D6044">
        <v>7</v>
      </c>
      <c r="E6044" t="s">
        <v>7</v>
      </c>
      <c r="F6044" t="s">
        <v>7</v>
      </c>
      <c r="G6044" t="s">
        <v>7</v>
      </c>
      <c r="H6044">
        <v>71925.58</v>
      </c>
      <c r="I6044">
        <v>31167.1</v>
      </c>
      <c r="J6044">
        <v>0</v>
      </c>
    </row>
    <row r="6045" spans="1:10" x14ac:dyDescent="0.35">
      <c r="A6045">
        <v>325173</v>
      </c>
      <c r="B6045" t="s">
        <v>20</v>
      </c>
      <c r="C6045">
        <v>2015</v>
      </c>
      <c r="D6045">
        <v>7</v>
      </c>
      <c r="E6045" t="s">
        <v>7</v>
      </c>
      <c r="F6045" t="s">
        <v>7</v>
      </c>
      <c r="G6045" t="s">
        <v>7</v>
      </c>
      <c r="H6045">
        <v>43238.66</v>
      </c>
      <c r="I6045">
        <v>11947.69</v>
      </c>
      <c r="J6045">
        <v>0</v>
      </c>
    </row>
    <row r="6046" spans="1:10" x14ac:dyDescent="0.35">
      <c r="A6046">
        <v>325174</v>
      </c>
      <c r="B6046" t="s">
        <v>20</v>
      </c>
      <c r="C6046">
        <v>2015</v>
      </c>
      <c r="D6046">
        <v>7</v>
      </c>
      <c r="E6046" t="s">
        <v>7</v>
      </c>
      <c r="F6046" t="s">
        <v>7</v>
      </c>
      <c r="G6046" t="s">
        <v>7</v>
      </c>
      <c r="H6046">
        <v>32430.32</v>
      </c>
      <c r="I6046">
        <v>8348.09</v>
      </c>
      <c r="J6046">
        <v>0</v>
      </c>
    </row>
    <row r="6047" spans="1:10" x14ac:dyDescent="0.35">
      <c r="A6047">
        <v>325181</v>
      </c>
      <c r="B6047" t="s">
        <v>20</v>
      </c>
      <c r="C6047">
        <v>2015</v>
      </c>
      <c r="D6047">
        <v>7</v>
      </c>
      <c r="E6047" t="s">
        <v>7</v>
      </c>
      <c r="F6047" t="s">
        <v>7</v>
      </c>
      <c r="G6047" t="s">
        <v>7</v>
      </c>
      <c r="H6047">
        <v>26862.240000000002</v>
      </c>
      <c r="I6047">
        <v>7351.26</v>
      </c>
      <c r="J6047">
        <v>0</v>
      </c>
    </row>
    <row r="6048" spans="1:10" x14ac:dyDescent="0.35">
      <c r="A6048">
        <v>325182</v>
      </c>
      <c r="B6048" t="s">
        <v>20</v>
      </c>
      <c r="C6048">
        <v>2015</v>
      </c>
      <c r="D6048">
        <v>7</v>
      </c>
      <c r="E6048" t="s">
        <v>7</v>
      </c>
      <c r="F6048" t="s">
        <v>7</v>
      </c>
      <c r="G6048" t="s">
        <v>7</v>
      </c>
      <c r="H6048">
        <v>19961.36</v>
      </c>
      <c r="I6048">
        <v>5604.02</v>
      </c>
      <c r="J6048">
        <v>0</v>
      </c>
    </row>
    <row r="6049" spans="1:10" x14ac:dyDescent="0.35">
      <c r="A6049">
        <v>325188</v>
      </c>
      <c r="B6049" t="s">
        <v>20</v>
      </c>
      <c r="C6049">
        <v>2015</v>
      </c>
      <c r="D6049">
        <v>7</v>
      </c>
      <c r="E6049" t="s">
        <v>7</v>
      </c>
      <c r="F6049" t="s">
        <v>7</v>
      </c>
      <c r="G6049" t="s">
        <v>7</v>
      </c>
      <c r="H6049">
        <v>29312.560000000001</v>
      </c>
      <c r="I6049">
        <v>8142.6</v>
      </c>
      <c r="J6049">
        <v>0</v>
      </c>
    </row>
    <row r="6050" spans="1:10" x14ac:dyDescent="0.35">
      <c r="A6050">
        <v>325189</v>
      </c>
      <c r="B6050" t="s">
        <v>20</v>
      </c>
      <c r="C6050">
        <v>2015</v>
      </c>
      <c r="D6050">
        <v>7</v>
      </c>
      <c r="E6050" t="s">
        <v>7</v>
      </c>
      <c r="F6050" t="s">
        <v>7</v>
      </c>
      <c r="G6050" t="s">
        <v>7</v>
      </c>
      <c r="H6050">
        <v>26929.46</v>
      </c>
      <c r="I6050">
        <v>7841.16</v>
      </c>
      <c r="J6050">
        <v>0</v>
      </c>
    </row>
    <row r="6051" spans="1:10" x14ac:dyDescent="0.35">
      <c r="A6051">
        <v>325190</v>
      </c>
      <c r="B6051" t="s">
        <v>20</v>
      </c>
      <c r="C6051">
        <v>2015</v>
      </c>
      <c r="D6051">
        <v>7</v>
      </c>
      <c r="E6051" t="s">
        <v>7</v>
      </c>
      <c r="F6051" t="s">
        <v>7</v>
      </c>
      <c r="G6051" t="s">
        <v>7</v>
      </c>
      <c r="H6051">
        <v>68732.28</v>
      </c>
      <c r="I6051">
        <v>20317.14</v>
      </c>
      <c r="J6051">
        <v>0</v>
      </c>
    </row>
    <row r="6052" spans="1:10" x14ac:dyDescent="0.35">
      <c r="A6052">
        <v>325191</v>
      </c>
      <c r="B6052" t="s">
        <v>20</v>
      </c>
      <c r="C6052">
        <v>2015</v>
      </c>
      <c r="D6052">
        <v>7</v>
      </c>
      <c r="E6052" t="s">
        <v>7</v>
      </c>
      <c r="F6052" t="s">
        <v>7</v>
      </c>
      <c r="G6052" t="s">
        <v>7</v>
      </c>
      <c r="H6052">
        <v>66170.039999999994</v>
      </c>
      <c r="I6052">
        <v>29365.72</v>
      </c>
      <c r="J6052">
        <v>0</v>
      </c>
    </row>
    <row r="6053" spans="1:10" x14ac:dyDescent="0.35">
      <c r="A6053">
        <v>325194</v>
      </c>
      <c r="B6053" t="s">
        <v>20</v>
      </c>
      <c r="C6053">
        <v>2015</v>
      </c>
      <c r="D6053">
        <v>7</v>
      </c>
      <c r="E6053" t="s">
        <v>7</v>
      </c>
      <c r="F6053" t="s">
        <v>7</v>
      </c>
      <c r="G6053" t="s">
        <v>7</v>
      </c>
      <c r="H6053">
        <v>105853</v>
      </c>
      <c r="I6053">
        <v>61881.06</v>
      </c>
      <c r="J6053">
        <v>0</v>
      </c>
    </row>
    <row r="6054" spans="1:10" x14ac:dyDescent="0.35">
      <c r="A6054">
        <v>325195</v>
      </c>
      <c r="B6054" t="s">
        <v>20</v>
      </c>
      <c r="C6054">
        <v>2015</v>
      </c>
      <c r="D6054">
        <v>7</v>
      </c>
      <c r="E6054" t="s">
        <v>7</v>
      </c>
      <c r="F6054" t="s">
        <v>7</v>
      </c>
      <c r="G6054" t="s">
        <v>7</v>
      </c>
      <c r="H6054">
        <v>32825.440000000002</v>
      </c>
      <c r="I6054">
        <v>7768.41</v>
      </c>
      <c r="J6054">
        <v>0</v>
      </c>
    </row>
    <row r="6055" spans="1:10" x14ac:dyDescent="0.35">
      <c r="A6055">
        <v>325196</v>
      </c>
      <c r="B6055" t="s">
        <v>20</v>
      </c>
      <c r="C6055">
        <v>2015</v>
      </c>
      <c r="D6055">
        <v>7</v>
      </c>
      <c r="E6055" t="s">
        <v>7</v>
      </c>
      <c r="F6055" t="s">
        <v>7</v>
      </c>
      <c r="G6055" t="s">
        <v>7</v>
      </c>
      <c r="H6055">
        <v>18235.599999999999</v>
      </c>
      <c r="I6055">
        <v>5394.33</v>
      </c>
      <c r="J6055">
        <v>0</v>
      </c>
    </row>
    <row r="6056" spans="1:10" x14ac:dyDescent="0.35">
      <c r="A6056">
        <v>325197</v>
      </c>
      <c r="B6056" t="s">
        <v>20</v>
      </c>
      <c r="C6056">
        <v>2015</v>
      </c>
      <c r="D6056">
        <v>7</v>
      </c>
      <c r="E6056" t="s">
        <v>7</v>
      </c>
      <c r="F6056" t="s">
        <v>7</v>
      </c>
      <c r="G6056" t="s">
        <v>7</v>
      </c>
      <c r="H6056">
        <v>65051.32</v>
      </c>
      <c r="I6056">
        <v>32643.79</v>
      </c>
      <c r="J6056">
        <v>0</v>
      </c>
    </row>
    <row r="6057" spans="1:10" x14ac:dyDescent="0.35">
      <c r="A6057">
        <v>325200</v>
      </c>
      <c r="B6057" t="s">
        <v>20</v>
      </c>
      <c r="C6057">
        <v>2015</v>
      </c>
      <c r="D6057">
        <v>7</v>
      </c>
      <c r="E6057" t="s">
        <v>7</v>
      </c>
      <c r="F6057" t="s">
        <v>7</v>
      </c>
      <c r="G6057" t="s">
        <v>7</v>
      </c>
      <c r="H6057">
        <v>12161.86</v>
      </c>
      <c r="I6057">
        <v>2791.46</v>
      </c>
      <c r="J6057">
        <v>0</v>
      </c>
    </row>
    <row r="6058" spans="1:10" x14ac:dyDescent="0.35">
      <c r="A6058">
        <v>325201</v>
      </c>
      <c r="B6058" t="s">
        <v>20</v>
      </c>
      <c r="C6058">
        <v>2015</v>
      </c>
      <c r="D6058">
        <v>7</v>
      </c>
      <c r="E6058" t="s">
        <v>7</v>
      </c>
      <c r="F6058" t="s">
        <v>7</v>
      </c>
      <c r="G6058" t="s">
        <v>7</v>
      </c>
      <c r="H6058">
        <v>13745.36</v>
      </c>
      <c r="I6058">
        <v>3124.71</v>
      </c>
      <c r="J6058">
        <v>0</v>
      </c>
    </row>
    <row r="6059" spans="1:10" x14ac:dyDescent="0.35">
      <c r="A6059">
        <v>325202</v>
      </c>
      <c r="B6059" t="s">
        <v>20</v>
      </c>
      <c r="C6059">
        <v>2015</v>
      </c>
      <c r="D6059">
        <v>7</v>
      </c>
      <c r="E6059" t="s">
        <v>7</v>
      </c>
      <c r="F6059" t="s">
        <v>7</v>
      </c>
      <c r="G6059" t="s">
        <v>7</v>
      </c>
      <c r="H6059">
        <v>20943.099999999999</v>
      </c>
      <c r="I6059">
        <v>3722.66</v>
      </c>
      <c r="J6059">
        <v>0</v>
      </c>
    </row>
    <row r="6060" spans="1:10" x14ac:dyDescent="0.35">
      <c r="A6060">
        <v>325203</v>
      </c>
      <c r="B6060" t="s">
        <v>20</v>
      </c>
      <c r="C6060">
        <v>2015</v>
      </c>
      <c r="D6060">
        <v>7</v>
      </c>
      <c r="E6060" t="s">
        <v>7</v>
      </c>
      <c r="F6060" t="s">
        <v>7</v>
      </c>
      <c r="G6060" t="s">
        <v>7</v>
      </c>
      <c r="H6060">
        <v>22824.22</v>
      </c>
      <c r="I6060">
        <v>6081.41</v>
      </c>
      <c r="J6060">
        <v>0</v>
      </c>
    </row>
    <row r="6061" spans="1:10" x14ac:dyDescent="0.35">
      <c r="A6061">
        <v>325204</v>
      </c>
      <c r="B6061" t="s">
        <v>20</v>
      </c>
      <c r="C6061">
        <v>2015</v>
      </c>
      <c r="D6061">
        <v>7</v>
      </c>
      <c r="E6061" t="s">
        <v>7</v>
      </c>
      <c r="F6061" t="s">
        <v>7</v>
      </c>
      <c r="G6061" t="s">
        <v>7</v>
      </c>
      <c r="H6061">
        <v>31763.759999999998</v>
      </c>
      <c r="I6061">
        <v>9582.66</v>
      </c>
      <c r="J6061">
        <v>0</v>
      </c>
    </row>
    <row r="6062" spans="1:10" x14ac:dyDescent="0.35">
      <c r="A6062">
        <v>325205</v>
      </c>
      <c r="B6062" t="s">
        <v>20</v>
      </c>
      <c r="C6062">
        <v>2015</v>
      </c>
      <c r="D6062">
        <v>7</v>
      </c>
      <c r="E6062" t="s">
        <v>7</v>
      </c>
      <c r="F6062" t="s">
        <v>7</v>
      </c>
      <c r="G6062" t="s">
        <v>7</v>
      </c>
      <c r="H6062">
        <v>41786.22</v>
      </c>
      <c r="I6062">
        <v>12974.44</v>
      </c>
      <c r="J6062">
        <v>0</v>
      </c>
    </row>
    <row r="6063" spans="1:10" x14ac:dyDescent="0.35">
      <c r="A6063">
        <v>325213</v>
      </c>
      <c r="B6063" t="s">
        <v>20</v>
      </c>
      <c r="C6063">
        <v>2015</v>
      </c>
      <c r="D6063">
        <v>7</v>
      </c>
      <c r="E6063" t="s">
        <v>7</v>
      </c>
      <c r="F6063" t="s">
        <v>7</v>
      </c>
      <c r="G6063" t="s">
        <v>7</v>
      </c>
      <c r="H6063">
        <v>47949.82</v>
      </c>
      <c r="I6063">
        <v>14838.35</v>
      </c>
      <c r="J6063">
        <v>0</v>
      </c>
    </row>
    <row r="6064" spans="1:10" x14ac:dyDescent="0.35">
      <c r="A6064">
        <v>325214</v>
      </c>
      <c r="B6064" t="s">
        <v>20</v>
      </c>
      <c r="C6064">
        <v>2015</v>
      </c>
      <c r="D6064">
        <v>7</v>
      </c>
      <c r="E6064" t="s">
        <v>7</v>
      </c>
      <c r="F6064" t="s">
        <v>7</v>
      </c>
      <c r="G6064" t="s">
        <v>7</v>
      </c>
      <c r="H6064">
        <v>18033.84</v>
      </c>
      <c r="I6064">
        <v>5204.9399999999996</v>
      </c>
      <c r="J6064">
        <v>0</v>
      </c>
    </row>
    <row r="6065" spans="1:10" x14ac:dyDescent="0.35">
      <c r="A6065">
        <v>325215</v>
      </c>
      <c r="B6065" t="s">
        <v>20</v>
      </c>
      <c r="C6065">
        <v>2015</v>
      </c>
      <c r="D6065">
        <v>7</v>
      </c>
      <c r="E6065" t="s">
        <v>7</v>
      </c>
      <c r="F6065" t="s">
        <v>7</v>
      </c>
      <c r="G6065" t="s">
        <v>7</v>
      </c>
      <c r="H6065">
        <v>27238.880000000001</v>
      </c>
      <c r="I6065">
        <v>8341.25</v>
      </c>
      <c r="J6065">
        <v>0</v>
      </c>
    </row>
    <row r="6066" spans="1:10" x14ac:dyDescent="0.35">
      <c r="A6066">
        <v>325220</v>
      </c>
      <c r="B6066" t="s">
        <v>20</v>
      </c>
      <c r="C6066">
        <v>2015</v>
      </c>
      <c r="D6066">
        <v>7</v>
      </c>
      <c r="E6066" t="s">
        <v>7</v>
      </c>
      <c r="F6066" t="s">
        <v>7</v>
      </c>
      <c r="G6066" t="s">
        <v>7</v>
      </c>
      <c r="H6066">
        <v>16941.14</v>
      </c>
      <c r="I6066">
        <v>2620.06</v>
      </c>
      <c r="J6066">
        <v>0</v>
      </c>
    </row>
    <row r="6067" spans="1:10" x14ac:dyDescent="0.35">
      <c r="A6067">
        <v>325221</v>
      </c>
      <c r="B6067" t="s">
        <v>20</v>
      </c>
      <c r="C6067">
        <v>2015</v>
      </c>
      <c r="D6067">
        <v>7</v>
      </c>
      <c r="E6067" t="s">
        <v>7</v>
      </c>
      <c r="F6067" t="s">
        <v>7</v>
      </c>
      <c r="G6067" t="s">
        <v>7</v>
      </c>
      <c r="H6067">
        <v>29670.5</v>
      </c>
      <c r="I6067">
        <v>8719.4500000000007</v>
      </c>
      <c r="J6067">
        <v>0</v>
      </c>
    </row>
    <row r="6068" spans="1:10" x14ac:dyDescent="0.35">
      <c r="A6068">
        <v>325223</v>
      </c>
      <c r="B6068" t="s">
        <v>20</v>
      </c>
      <c r="C6068">
        <v>2015</v>
      </c>
      <c r="D6068">
        <v>7</v>
      </c>
      <c r="E6068" t="s">
        <v>7</v>
      </c>
      <c r="F6068" t="s">
        <v>7</v>
      </c>
      <c r="G6068" t="s">
        <v>7</v>
      </c>
      <c r="H6068">
        <v>8137.24</v>
      </c>
      <c r="I6068">
        <v>2257.08</v>
      </c>
      <c r="J6068">
        <v>0</v>
      </c>
    </row>
    <row r="6069" spans="1:10" x14ac:dyDescent="0.35">
      <c r="A6069">
        <v>325225</v>
      </c>
      <c r="B6069" t="s">
        <v>20</v>
      </c>
      <c r="C6069">
        <v>2015</v>
      </c>
      <c r="D6069">
        <v>7</v>
      </c>
      <c r="E6069" t="s">
        <v>7</v>
      </c>
      <c r="F6069" t="s">
        <v>7</v>
      </c>
      <c r="G6069" t="s">
        <v>7</v>
      </c>
      <c r="H6069">
        <v>20830.939999999999</v>
      </c>
      <c r="I6069">
        <v>6317.14</v>
      </c>
      <c r="J6069">
        <v>0</v>
      </c>
    </row>
    <row r="6070" spans="1:10" x14ac:dyDescent="0.35">
      <c r="A6070">
        <v>325226</v>
      </c>
      <c r="B6070" t="s">
        <v>20</v>
      </c>
      <c r="C6070">
        <v>2015</v>
      </c>
      <c r="D6070">
        <v>7</v>
      </c>
      <c r="E6070" t="s">
        <v>7</v>
      </c>
      <c r="F6070" t="s">
        <v>7</v>
      </c>
      <c r="G6070" t="s">
        <v>7</v>
      </c>
      <c r="H6070">
        <v>27473.96</v>
      </c>
      <c r="I6070">
        <v>6524.95</v>
      </c>
      <c r="J6070">
        <v>0</v>
      </c>
    </row>
    <row r="6071" spans="1:10" x14ac:dyDescent="0.35">
      <c r="A6071">
        <v>325227</v>
      </c>
      <c r="B6071" t="s">
        <v>20</v>
      </c>
      <c r="C6071">
        <v>2015</v>
      </c>
      <c r="D6071">
        <v>7</v>
      </c>
      <c r="E6071" t="s">
        <v>7</v>
      </c>
      <c r="F6071" t="s">
        <v>7</v>
      </c>
      <c r="G6071" t="s">
        <v>7</v>
      </c>
      <c r="H6071">
        <v>56236.94</v>
      </c>
      <c r="I6071">
        <v>15652.32</v>
      </c>
      <c r="J6071">
        <v>0</v>
      </c>
    </row>
    <row r="6072" spans="1:10" x14ac:dyDescent="0.35">
      <c r="A6072">
        <v>325230</v>
      </c>
      <c r="B6072" t="s">
        <v>20</v>
      </c>
      <c r="C6072">
        <v>2015</v>
      </c>
      <c r="D6072">
        <v>7</v>
      </c>
      <c r="E6072" t="s">
        <v>7</v>
      </c>
      <c r="F6072" t="s">
        <v>7</v>
      </c>
      <c r="G6072" t="s">
        <v>7</v>
      </c>
      <c r="H6072">
        <v>9355.24</v>
      </c>
      <c r="I6072">
        <v>2558.36</v>
      </c>
      <c r="J6072">
        <v>0</v>
      </c>
    </row>
    <row r="6073" spans="1:10" x14ac:dyDescent="0.35">
      <c r="A6073">
        <v>325232</v>
      </c>
      <c r="B6073" t="s">
        <v>20</v>
      </c>
      <c r="C6073">
        <v>2015</v>
      </c>
      <c r="D6073">
        <v>7</v>
      </c>
      <c r="E6073" t="s">
        <v>7</v>
      </c>
      <c r="F6073" t="s">
        <v>7</v>
      </c>
      <c r="G6073" t="s">
        <v>7</v>
      </c>
      <c r="H6073">
        <v>69471.44</v>
      </c>
      <c r="I6073">
        <v>46305.03</v>
      </c>
      <c r="J6073">
        <v>0</v>
      </c>
    </row>
    <row r="6074" spans="1:10" x14ac:dyDescent="0.35">
      <c r="A6074">
        <v>325233</v>
      </c>
      <c r="B6074" t="s">
        <v>20</v>
      </c>
      <c r="C6074">
        <v>2015</v>
      </c>
      <c r="D6074">
        <v>7</v>
      </c>
      <c r="E6074" t="s">
        <v>7</v>
      </c>
      <c r="F6074" t="s">
        <v>7</v>
      </c>
      <c r="G6074" t="s">
        <v>7</v>
      </c>
      <c r="H6074">
        <v>19191.560000000001</v>
      </c>
      <c r="I6074">
        <v>5919.01</v>
      </c>
      <c r="J6074">
        <v>0</v>
      </c>
    </row>
    <row r="6075" spans="1:10" x14ac:dyDescent="0.35">
      <c r="A6075">
        <v>325234</v>
      </c>
      <c r="B6075" t="s">
        <v>20</v>
      </c>
      <c r="C6075">
        <v>2015</v>
      </c>
      <c r="D6075">
        <v>7</v>
      </c>
      <c r="E6075" t="s">
        <v>7</v>
      </c>
      <c r="F6075" t="s">
        <v>7</v>
      </c>
      <c r="G6075" t="s">
        <v>7</v>
      </c>
      <c r="H6075">
        <v>47791.64</v>
      </c>
      <c r="I6075">
        <v>14149.99</v>
      </c>
      <c r="J6075">
        <v>0</v>
      </c>
    </row>
    <row r="6076" spans="1:10" x14ac:dyDescent="0.35">
      <c r="A6076">
        <v>325236</v>
      </c>
      <c r="B6076" t="s">
        <v>20</v>
      </c>
      <c r="C6076">
        <v>2015</v>
      </c>
      <c r="D6076">
        <v>7</v>
      </c>
      <c r="E6076" t="s">
        <v>7</v>
      </c>
      <c r="F6076" t="s">
        <v>7</v>
      </c>
      <c r="G6076" t="s">
        <v>7</v>
      </c>
      <c r="H6076">
        <v>14225.6</v>
      </c>
      <c r="I6076">
        <v>3305.76</v>
      </c>
      <c r="J6076">
        <v>0</v>
      </c>
    </row>
    <row r="6077" spans="1:10" x14ac:dyDescent="0.35">
      <c r="A6077">
        <v>325237</v>
      </c>
      <c r="B6077" t="s">
        <v>20</v>
      </c>
      <c r="C6077">
        <v>2015</v>
      </c>
      <c r="D6077">
        <v>7</v>
      </c>
      <c r="E6077" t="s">
        <v>7</v>
      </c>
      <c r="F6077" t="s">
        <v>7</v>
      </c>
      <c r="G6077" t="s">
        <v>7</v>
      </c>
      <c r="H6077">
        <v>14863.4</v>
      </c>
      <c r="I6077">
        <v>6544.05</v>
      </c>
      <c r="J6077">
        <v>0</v>
      </c>
    </row>
    <row r="6078" spans="1:10" x14ac:dyDescent="0.35">
      <c r="A6078">
        <v>325239</v>
      </c>
      <c r="B6078" t="s">
        <v>20</v>
      </c>
      <c r="C6078">
        <v>2015</v>
      </c>
      <c r="D6078">
        <v>7</v>
      </c>
      <c r="E6078" t="s">
        <v>7</v>
      </c>
      <c r="F6078" t="s">
        <v>7</v>
      </c>
      <c r="G6078" t="s">
        <v>7</v>
      </c>
      <c r="H6078">
        <v>39376.639999999999</v>
      </c>
      <c r="I6078">
        <v>10936.16</v>
      </c>
      <c r="J6078">
        <v>0</v>
      </c>
    </row>
    <row r="6079" spans="1:10" x14ac:dyDescent="0.35">
      <c r="A6079">
        <v>325240</v>
      </c>
      <c r="B6079" t="s">
        <v>20</v>
      </c>
      <c r="C6079">
        <v>2015</v>
      </c>
      <c r="D6079">
        <v>7</v>
      </c>
      <c r="E6079" t="s">
        <v>7</v>
      </c>
      <c r="F6079" t="s">
        <v>7</v>
      </c>
      <c r="G6079" t="s">
        <v>7</v>
      </c>
      <c r="H6079">
        <v>32400.84</v>
      </c>
      <c r="I6079">
        <v>9250.9</v>
      </c>
      <c r="J6079">
        <v>0</v>
      </c>
    </row>
    <row r="6080" spans="1:10" x14ac:dyDescent="0.35">
      <c r="A6080">
        <v>325242</v>
      </c>
      <c r="B6080" t="s">
        <v>20</v>
      </c>
      <c r="C6080">
        <v>2015</v>
      </c>
      <c r="D6080">
        <v>7</v>
      </c>
      <c r="E6080" t="s">
        <v>7</v>
      </c>
      <c r="F6080" t="s">
        <v>7</v>
      </c>
      <c r="G6080" t="s">
        <v>7</v>
      </c>
      <c r="H6080">
        <v>54506.86</v>
      </c>
      <c r="I6080">
        <v>26406.560000000001</v>
      </c>
      <c r="J6080">
        <v>0</v>
      </c>
    </row>
    <row r="6081" spans="1:10" x14ac:dyDescent="0.35">
      <c r="A6081">
        <v>325243</v>
      </c>
      <c r="B6081" t="s">
        <v>20</v>
      </c>
      <c r="C6081">
        <v>2015</v>
      </c>
      <c r="D6081">
        <v>7</v>
      </c>
      <c r="E6081" t="s">
        <v>7</v>
      </c>
      <c r="F6081" t="s">
        <v>7</v>
      </c>
      <c r="G6081" t="s">
        <v>7</v>
      </c>
      <c r="H6081">
        <v>52244</v>
      </c>
      <c r="I6081">
        <v>15510.54</v>
      </c>
      <c r="J6081">
        <v>0</v>
      </c>
    </row>
    <row r="6082" spans="1:10" x14ac:dyDescent="0.35">
      <c r="A6082">
        <v>325245</v>
      </c>
      <c r="B6082" t="s">
        <v>20</v>
      </c>
      <c r="C6082">
        <v>2015</v>
      </c>
      <c r="D6082">
        <v>7</v>
      </c>
      <c r="E6082" t="s">
        <v>7</v>
      </c>
      <c r="F6082" t="s">
        <v>7</v>
      </c>
      <c r="G6082" t="s">
        <v>7</v>
      </c>
      <c r="H6082">
        <v>20772.34</v>
      </c>
      <c r="I6082">
        <v>6252.08</v>
      </c>
      <c r="J6082">
        <v>0</v>
      </c>
    </row>
    <row r="6083" spans="1:10" x14ac:dyDescent="0.35">
      <c r="A6083">
        <v>325246</v>
      </c>
      <c r="B6083" t="s">
        <v>20</v>
      </c>
      <c r="C6083">
        <v>2015</v>
      </c>
      <c r="D6083">
        <v>7</v>
      </c>
      <c r="E6083" t="s">
        <v>7</v>
      </c>
      <c r="F6083" t="s">
        <v>7</v>
      </c>
      <c r="G6083" t="s">
        <v>7</v>
      </c>
      <c r="H6083">
        <v>90831.22</v>
      </c>
      <c r="I6083">
        <v>35728.620000000003</v>
      </c>
      <c r="J6083">
        <v>0</v>
      </c>
    </row>
    <row r="6084" spans="1:10" x14ac:dyDescent="0.35">
      <c r="A6084">
        <v>325247</v>
      </c>
      <c r="B6084" t="s">
        <v>20</v>
      </c>
      <c r="C6084">
        <v>2015</v>
      </c>
      <c r="D6084">
        <v>7</v>
      </c>
      <c r="E6084" t="s">
        <v>7</v>
      </c>
      <c r="F6084" t="s">
        <v>7</v>
      </c>
      <c r="G6084" t="s">
        <v>7</v>
      </c>
      <c r="H6084">
        <v>28257.34</v>
      </c>
      <c r="I6084">
        <v>7770.4</v>
      </c>
      <c r="J6084">
        <v>0</v>
      </c>
    </row>
    <row r="6085" spans="1:10" x14ac:dyDescent="0.35">
      <c r="A6085">
        <v>325249</v>
      </c>
      <c r="B6085" t="s">
        <v>20</v>
      </c>
      <c r="C6085">
        <v>2015</v>
      </c>
      <c r="D6085">
        <v>7</v>
      </c>
      <c r="E6085" t="s">
        <v>7</v>
      </c>
      <c r="F6085" t="s">
        <v>7</v>
      </c>
      <c r="G6085" t="s">
        <v>7</v>
      </c>
      <c r="H6085">
        <v>80173.64</v>
      </c>
      <c r="I6085">
        <v>24599.3</v>
      </c>
      <c r="J6085">
        <v>0</v>
      </c>
    </row>
    <row r="6086" spans="1:10" x14ac:dyDescent="0.35">
      <c r="A6086">
        <v>325251</v>
      </c>
      <c r="B6086" t="s">
        <v>20</v>
      </c>
      <c r="C6086">
        <v>2015</v>
      </c>
      <c r="D6086">
        <v>7</v>
      </c>
      <c r="E6086" t="s">
        <v>7</v>
      </c>
      <c r="F6086" t="s">
        <v>7</v>
      </c>
      <c r="G6086" t="s">
        <v>7</v>
      </c>
      <c r="H6086">
        <v>9880.9</v>
      </c>
      <c r="I6086">
        <v>2259.16</v>
      </c>
      <c r="J6086">
        <v>0</v>
      </c>
    </row>
    <row r="6087" spans="1:10" x14ac:dyDescent="0.35">
      <c r="A6087">
        <v>325253</v>
      </c>
      <c r="B6087" t="s">
        <v>20</v>
      </c>
      <c r="C6087">
        <v>2015</v>
      </c>
      <c r="D6087">
        <v>7</v>
      </c>
      <c r="E6087" t="s">
        <v>7</v>
      </c>
      <c r="F6087" t="s">
        <v>7</v>
      </c>
      <c r="G6087" t="s">
        <v>7</v>
      </c>
      <c r="H6087">
        <v>90378.04</v>
      </c>
      <c r="I6087">
        <v>51638.2</v>
      </c>
      <c r="J6087">
        <v>0</v>
      </c>
    </row>
    <row r="6088" spans="1:10" x14ac:dyDescent="0.35">
      <c r="A6088">
        <v>325254</v>
      </c>
      <c r="B6088" t="s">
        <v>20</v>
      </c>
      <c r="C6088">
        <v>2015</v>
      </c>
      <c r="D6088">
        <v>7</v>
      </c>
      <c r="E6088" t="s">
        <v>7</v>
      </c>
      <c r="F6088" t="s">
        <v>7</v>
      </c>
      <c r="G6088" t="s">
        <v>7</v>
      </c>
      <c r="H6088">
        <v>19476.919999999998</v>
      </c>
      <c r="I6088">
        <v>3512.68</v>
      </c>
      <c r="J6088">
        <v>0</v>
      </c>
    </row>
    <row r="6089" spans="1:10" x14ac:dyDescent="0.35">
      <c r="A6089">
        <v>325255</v>
      </c>
      <c r="B6089" t="s">
        <v>20</v>
      </c>
      <c r="C6089">
        <v>2015</v>
      </c>
      <c r="D6089">
        <v>7</v>
      </c>
      <c r="E6089" t="s">
        <v>7</v>
      </c>
      <c r="F6089" t="s">
        <v>7</v>
      </c>
      <c r="G6089" t="s">
        <v>7</v>
      </c>
      <c r="H6089">
        <v>18820.78</v>
      </c>
      <c r="I6089">
        <v>4825.34</v>
      </c>
      <c r="J6089">
        <v>0</v>
      </c>
    </row>
    <row r="6090" spans="1:10" x14ac:dyDescent="0.35">
      <c r="A6090">
        <v>325256</v>
      </c>
      <c r="B6090" t="s">
        <v>20</v>
      </c>
      <c r="C6090">
        <v>2015</v>
      </c>
      <c r="D6090">
        <v>7</v>
      </c>
      <c r="E6090" t="s">
        <v>7</v>
      </c>
      <c r="F6090" t="s">
        <v>7</v>
      </c>
      <c r="G6090" t="s">
        <v>7</v>
      </c>
      <c r="H6090">
        <v>30196.26</v>
      </c>
      <c r="I6090">
        <v>9970.7800000000007</v>
      </c>
      <c r="J6090">
        <v>0</v>
      </c>
    </row>
    <row r="6091" spans="1:10" x14ac:dyDescent="0.35">
      <c r="A6091">
        <v>325258</v>
      </c>
      <c r="B6091" t="s">
        <v>20</v>
      </c>
      <c r="C6091">
        <v>2015</v>
      </c>
      <c r="D6091">
        <v>7</v>
      </c>
      <c r="E6091" t="s">
        <v>7</v>
      </c>
      <c r="F6091" t="s">
        <v>7</v>
      </c>
      <c r="G6091" t="s">
        <v>7</v>
      </c>
      <c r="H6091">
        <v>87990.56</v>
      </c>
      <c r="I6091">
        <v>56324.17</v>
      </c>
      <c r="J6091">
        <v>0</v>
      </c>
    </row>
    <row r="6092" spans="1:10" x14ac:dyDescent="0.35">
      <c r="A6092">
        <v>325261</v>
      </c>
      <c r="B6092" t="s">
        <v>20</v>
      </c>
      <c r="C6092">
        <v>2015</v>
      </c>
      <c r="D6092">
        <v>7</v>
      </c>
      <c r="E6092" t="s">
        <v>7</v>
      </c>
      <c r="F6092" t="s">
        <v>7</v>
      </c>
      <c r="G6092" t="s">
        <v>7</v>
      </c>
      <c r="H6092">
        <v>33274.980000000003</v>
      </c>
      <c r="I6092">
        <v>8725.86</v>
      </c>
      <c r="J6092">
        <v>0</v>
      </c>
    </row>
    <row r="6093" spans="1:10" x14ac:dyDescent="0.35">
      <c r="A6093">
        <v>325262</v>
      </c>
      <c r="B6093" t="s">
        <v>20</v>
      </c>
      <c r="C6093">
        <v>2015</v>
      </c>
      <c r="D6093">
        <v>7</v>
      </c>
      <c r="E6093" t="s">
        <v>7</v>
      </c>
      <c r="F6093" t="s">
        <v>7</v>
      </c>
      <c r="G6093" t="s">
        <v>7</v>
      </c>
      <c r="H6093">
        <v>42332.72</v>
      </c>
      <c r="I6093">
        <v>20286.5</v>
      </c>
      <c r="J6093">
        <v>0</v>
      </c>
    </row>
    <row r="6094" spans="1:10" x14ac:dyDescent="0.35">
      <c r="A6094">
        <v>325263</v>
      </c>
      <c r="B6094" t="s">
        <v>20</v>
      </c>
      <c r="C6094">
        <v>2015</v>
      </c>
      <c r="D6094">
        <v>7</v>
      </c>
      <c r="E6094" t="s">
        <v>7</v>
      </c>
      <c r="F6094" t="s">
        <v>7</v>
      </c>
      <c r="G6094" t="s">
        <v>7</v>
      </c>
      <c r="H6094">
        <v>128248.46</v>
      </c>
      <c r="I6094">
        <v>43016.43</v>
      </c>
      <c r="J6094">
        <v>0</v>
      </c>
    </row>
    <row r="6095" spans="1:10" x14ac:dyDescent="0.35">
      <c r="A6095">
        <v>325264</v>
      </c>
      <c r="B6095" t="s">
        <v>20</v>
      </c>
      <c r="C6095">
        <v>2015</v>
      </c>
      <c r="D6095">
        <v>7</v>
      </c>
      <c r="E6095" t="s">
        <v>7</v>
      </c>
      <c r="F6095" t="s">
        <v>7</v>
      </c>
      <c r="G6095" t="s">
        <v>7</v>
      </c>
      <c r="H6095">
        <v>36491.760000000002</v>
      </c>
      <c r="I6095">
        <v>10116.84</v>
      </c>
      <c r="J6095">
        <v>0</v>
      </c>
    </row>
    <row r="6096" spans="1:10" x14ac:dyDescent="0.35">
      <c r="A6096">
        <v>325265</v>
      </c>
      <c r="B6096" t="s">
        <v>20</v>
      </c>
      <c r="C6096">
        <v>2015</v>
      </c>
      <c r="D6096">
        <v>7</v>
      </c>
      <c r="E6096" t="s">
        <v>7</v>
      </c>
      <c r="F6096" t="s">
        <v>7</v>
      </c>
      <c r="G6096" t="s">
        <v>7</v>
      </c>
      <c r="H6096">
        <v>69436.800000000003</v>
      </c>
      <c r="I6096">
        <v>22117.34</v>
      </c>
      <c r="J6096">
        <v>0</v>
      </c>
    </row>
    <row r="6097" spans="1:10" x14ac:dyDescent="0.35">
      <c r="A6097">
        <v>325266</v>
      </c>
      <c r="B6097" t="s">
        <v>20</v>
      </c>
      <c r="C6097">
        <v>2015</v>
      </c>
      <c r="D6097">
        <v>7</v>
      </c>
      <c r="E6097" t="s">
        <v>7</v>
      </c>
      <c r="F6097" t="s">
        <v>7</v>
      </c>
      <c r="G6097" t="s">
        <v>7</v>
      </c>
      <c r="H6097">
        <v>35576.32</v>
      </c>
      <c r="I6097">
        <v>10644.35</v>
      </c>
      <c r="J6097">
        <v>0</v>
      </c>
    </row>
    <row r="6098" spans="1:10" x14ac:dyDescent="0.35">
      <c r="A6098">
        <v>325269</v>
      </c>
      <c r="B6098" t="s">
        <v>20</v>
      </c>
      <c r="C6098">
        <v>2015</v>
      </c>
      <c r="D6098">
        <v>7</v>
      </c>
      <c r="E6098" t="s">
        <v>7</v>
      </c>
      <c r="F6098" t="s">
        <v>7</v>
      </c>
      <c r="G6098" t="s">
        <v>7</v>
      </c>
      <c r="H6098">
        <v>44734.78</v>
      </c>
      <c r="I6098">
        <v>19368.560000000001</v>
      </c>
      <c r="J6098">
        <v>0</v>
      </c>
    </row>
    <row r="6099" spans="1:10" x14ac:dyDescent="0.35">
      <c r="A6099">
        <v>325270</v>
      </c>
      <c r="B6099" t="s">
        <v>20</v>
      </c>
      <c r="C6099">
        <v>2015</v>
      </c>
      <c r="D6099">
        <v>7</v>
      </c>
      <c r="E6099" t="s">
        <v>7</v>
      </c>
      <c r="F6099" t="s">
        <v>7</v>
      </c>
      <c r="G6099" t="s">
        <v>7</v>
      </c>
      <c r="H6099">
        <v>29945.360000000001</v>
      </c>
      <c r="I6099">
        <v>8604.0400000000009</v>
      </c>
      <c r="J6099">
        <v>0</v>
      </c>
    </row>
    <row r="6100" spans="1:10" x14ac:dyDescent="0.35">
      <c r="A6100">
        <v>325271</v>
      </c>
      <c r="B6100" t="s">
        <v>20</v>
      </c>
      <c r="C6100">
        <v>2015</v>
      </c>
      <c r="D6100">
        <v>7</v>
      </c>
      <c r="E6100" t="s">
        <v>7</v>
      </c>
      <c r="F6100" t="s">
        <v>7</v>
      </c>
      <c r="G6100" t="s">
        <v>7</v>
      </c>
      <c r="H6100">
        <v>12249.24</v>
      </c>
      <c r="I6100">
        <v>2790.86</v>
      </c>
      <c r="J6100">
        <v>0</v>
      </c>
    </row>
    <row r="6101" spans="1:10" x14ac:dyDescent="0.35">
      <c r="A6101">
        <v>325272</v>
      </c>
      <c r="B6101" t="s">
        <v>20</v>
      </c>
      <c r="C6101">
        <v>2015</v>
      </c>
      <c r="D6101">
        <v>7</v>
      </c>
      <c r="E6101" t="s">
        <v>7</v>
      </c>
      <c r="F6101" t="s">
        <v>7</v>
      </c>
      <c r="G6101" t="s">
        <v>7</v>
      </c>
      <c r="H6101">
        <v>16587.439999999999</v>
      </c>
      <c r="I6101">
        <v>2604.1799999999998</v>
      </c>
      <c r="J6101">
        <v>0</v>
      </c>
    </row>
    <row r="6102" spans="1:10" x14ac:dyDescent="0.35">
      <c r="A6102">
        <v>325273</v>
      </c>
      <c r="B6102" t="s">
        <v>20</v>
      </c>
      <c r="C6102">
        <v>2015</v>
      </c>
      <c r="D6102">
        <v>7</v>
      </c>
      <c r="E6102" t="s">
        <v>7</v>
      </c>
      <c r="F6102" t="s">
        <v>7</v>
      </c>
      <c r="G6102" t="s">
        <v>7</v>
      </c>
      <c r="H6102">
        <v>15765.98</v>
      </c>
      <c r="I6102">
        <v>4750</v>
      </c>
      <c r="J6102">
        <v>0</v>
      </c>
    </row>
    <row r="6103" spans="1:10" x14ac:dyDescent="0.35">
      <c r="A6103">
        <v>325274</v>
      </c>
      <c r="B6103" t="s">
        <v>20</v>
      </c>
      <c r="C6103">
        <v>2015</v>
      </c>
      <c r="D6103">
        <v>7</v>
      </c>
      <c r="E6103" t="s">
        <v>7</v>
      </c>
      <c r="F6103" t="s">
        <v>7</v>
      </c>
      <c r="G6103" t="s">
        <v>7</v>
      </c>
      <c r="H6103">
        <v>132335.29999999999</v>
      </c>
      <c r="I6103">
        <v>57891.25</v>
      </c>
      <c r="J6103">
        <v>0</v>
      </c>
    </row>
    <row r="6104" spans="1:10" x14ac:dyDescent="0.35">
      <c r="A6104">
        <v>325276</v>
      </c>
      <c r="B6104" t="s">
        <v>20</v>
      </c>
      <c r="C6104">
        <v>2015</v>
      </c>
      <c r="D6104">
        <v>7</v>
      </c>
      <c r="E6104" t="s">
        <v>7</v>
      </c>
      <c r="F6104" t="s">
        <v>7</v>
      </c>
      <c r="G6104" t="s">
        <v>7</v>
      </c>
      <c r="H6104">
        <v>44052.160000000003</v>
      </c>
      <c r="I6104">
        <v>12819.03</v>
      </c>
      <c r="J6104">
        <v>0</v>
      </c>
    </row>
    <row r="6105" spans="1:10" x14ac:dyDescent="0.35">
      <c r="A6105">
        <v>325278</v>
      </c>
      <c r="B6105" t="s">
        <v>20</v>
      </c>
      <c r="C6105">
        <v>2015</v>
      </c>
      <c r="D6105">
        <v>7</v>
      </c>
      <c r="E6105" t="s">
        <v>7</v>
      </c>
      <c r="F6105" t="s">
        <v>7</v>
      </c>
      <c r="G6105" t="s">
        <v>7</v>
      </c>
      <c r="H6105">
        <v>81369.899999999994</v>
      </c>
      <c r="I6105">
        <v>41554.410000000003</v>
      </c>
      <c r="J6105">
        <v>0</v>
      </c>
    </row>
    <row r="6106" spans="1:10" x14ac:dyDescent="0.35">
      <c r="A6106">
        <v>325280</v>
      </c>
      <c r="B6106" t="s">
        <v>20</v>
      </c>
      <c r="C6106">
        <v>2015</v>
      </c>
      <c r="D6106">
        <v>7</v>
      </c>
      <c r="E6106" t="s">
        <v>7</v>
      </c>
      <c r="F6106" t="s">
        <v>7</v>
      </c>
      <c r="G6106" t="s">
        <v>7</v>
      </c>
      <c r="H6106">
        <v>45859.38</v>
      </c>
      <c r="I6106">
        <v>11125.66</v>
      </c>
      <c r="J6106">
        <v>0</v>
      </c>
    </row>
    <row r="6107" spans="1:10" x14ac:dyDescent="0.35">
      <c r="A6107">
        <v>325281</v>
      </c>
      <c r="B6107" t="s">
        <v>20</v>
      </c>
      <c r="C6107">
        <v>2015</v>
      </c>
      <c r="D6107">
        <v>7</v>
      </c>
      <c r="E6107" t="s">
        <v>7</v>
      </c>
      <c r="F6107" t="s">
        <v>7</v>
      </c>
      <c r="G6107" t="s">
        <v>7</v>
      </c>
      <c r="H6107">
        <v>29196.9</v>
      </c>
      <c r="I6107">
        <v>8391.84</v>
      </c>
      <c r="J6107">
        <v>0</v>
      </c>
    </row>
    <row r="6108" spans="1:10" x14ac:dyDescent="0.35">
      <c r="A6108">
        <v>325282</v>
      </c>
      <c r="B6108" t="s">
        <v>20</v>
      </c>
      <c r="C6108">
        <v>2015</v>
      </c>
      <c r="D6108">
        <v>7</v>
      </c>
      <c r="E6108" t="s">
        <v>7</v>
      </c>
      <c r="F6108" t="s">
        <v>7</v>
      </c>
      <c r="G6108" t="s">
        <v>7</v>
      </c>
      <c r="H6108">
        <v>25054.02</v>
      </c>
      <c r="I6108">
        <v>7786.91</v>
      </c>
      <c r="J6108">
        <v>0</v>
      </c>
    </row>
    <row r="6109" spans="1:10" x14ac:dyDescent="0.35">
      <c r="A6109">
        <v>325283</v>
      </c>
      <c r="B6109" t="s">
        <v>20</v>
      </c>
      <c r="C6109">
        <v>2015</v>
      </c>
      <c r="D6109">
        <v>7</v>
      </c>
      <c r="E6109" t="s">
        <v>7</v>
      </c>
      <c r="F6109" t="s">
        <v>7</v>
      </c>
      <c r="G6109" t="s">
        <v>7</v>
      </c>
      <c r="H6109">
        <v>22381.68</v>
      </c>
      <c r="I6109">
        <v>6725.1</v>
      </c>
      <c r="J6109">
        <v>0</v>
      </c>
    </row>
    <row r="6110" spans="1:10" x14ac:dyDescent="0.35">
      <c r="A6110">
        <v>325285</v>
      </c>
      <c r="B6110" t="s">
        <v>20</v>
      </c>
      <c r="C6110">
        <v>2015</v>
      </c>
      <c r="D6110">
        <v>7</v>
      </c>
      <c r="E6110" t="s">
        <v>7</v>
      </c>
      <c r="F6110" t="s">
        <v>7</v>
      </c>
      <c r="G6110" t="s">
        <v>7</v>
      </c>
      <c r="H6110">
        <v>56923.02</v>
      </c>
      <c r="I6110">
        <v>35037.43</v>
      </c>
      <c r="J6110">
        <v>0</v>
      </c>
    </row>
    <row r="6111" spans="1:10" x14ac:dyDescent="0.35">
      <c r="A6111">
        <v>325286</v>
      </c>
      <c r="B6111" t="s">
        <v>20</v>
      </c>
      <c r="C6111">
        <v>2015</v>
      </c>
      <c r="D6111">
        <v>7</v>
      </c>
      <c r="E6111" t="s">
        <v>7</v>
      </c>
      <c r="F6111" t="s">
        <v>7</v>
      </c>
      <c r="G6111" t="s">
        <v>7</v>
      </c>
      <c r="H6111">
        <v>29283.279999999999</v>
      </c>
      <c r="I6111">
        <v>8252.9500000000007</v>
      </c>
      <c r="J6111">
        <v>0</v>
      </c>
    </row>
    <row r="6112" spans="1:10" x14ac:dyDescent="0.35">
      <c r="A6112">
        <v>325287</v>
      </c>
      <c r="B6112" t="s">
        <v>20</v>
      </c>
      <c r="C6112">
        <v>2015</v>
      </c>
      <c r="D6112">
        <v>7</v>
      </c>
      <c r="E6112" t="s">
        <v>7</v>
      </c>
      <c r="F6112" t="s">
        <v>7</v>
      </c>
      <c r="G6112" t="s">
        <v>7</v>
      </c>
      <c r="H6112">
        <v>15359.98</v>
      </c>
      <c r="I6112">
        <v>3534.67</v>
      </c>
      <c r="J6112">
        <v>0</v>
      </c>
    </row>
    <row r="6113" spans="1:10" x14ac:dyDescent="0.35">
      <c r="A6113">
        <v>325290</v>
      </c>
      <c r="B6113" t="s">
        <v>20</v>
      </c>
      <c r="C6113">
        <v>2015</v>
      </c>
      <c r="D6113">
        <v>7</v>
      </c>
      <c r="E6113" t="s">
        <v>7</v>
      </c>
      <c r="F6113" t="s">
        <v>7</v>
      </c>
      <c r="G6113" t="s">
        <v>7</v>
      </c>
      <c r="H6113">
        <v>9660.68</v>
      </c>
      <c r="I6113">
        <v>2737.38</v>
      </c>
      <c r="J6113">
        <v>0</v>
      </c>
    </row>
    <row r="6114" spans="1:10" x14ac:dyDescent="0.35">
      <c r="A6114">
        <v>325294</v>
      </c>
      <c r="B6114" t="s">
        <v>20</v>
      </c>
      <c r="C6114">
        <v>2015</v>
      </c>
      <c r="D6114">
        <v>7</v>
      </c>
      <c r="E6114" t="s">
        <v>7</v>
      </c>
      <c r="F6114" t="s">
        <v>7</v>
      </c>
      <c r="G6114" t="s">
        <v>7</v>
      </c>
      <c r="H6114">
        <v>12653.14</v>
      </c>
      <c r="I6114">
        <v>3150.47</v>
      </c>
      <c r="J6114">
        <v>0</v>
      </c>
    </row>
    <row r="6115" spans="1:10" x14ac:dyDescent="0.35">
      <c r="A6115">
        <v>325295</v>
      </c>
      <c r="B6115" t="s">
        <v>20</v>
      </c>
      <c r="C6115">
        <v>2015</v>
      </c>
      <c r="D6115">
        <v>7</v>
      </c>
      <c r="E6115" t="s">
        <v>7</v>
      </c>
      <c r="F6115" t="s">
        <v>7</v>
      </c>
      <c r="G6115" t="s">
        <v>7</v>
      </c>
      <c r="H6115">
        <v>64910.58</v>
      </c>
      <c r="I6115">
        <v>38492.300000000003</v>
      </c>
      <c r="J6115">
        <v>0</v>
      </c>
    </row>
    <row r="6116" spans="1:10" x14ac:dyDescent="0.35">
      <c r="A6116">
        <v>325297</v>
      </c>
      <c r="B6116" t="s">
        <v>20</v>
      </c>
      <c r="C6116">
        <v>2015</v>
      </c>
      <c r="D6116">
        <v>7</v>
      </c>
      <c r="E6116" t="s">
        <v>7</v>
      </c>
      <c r="F6116" t="s">
        <v>7</v>
      </c>
      <c r="G6116" t="s">
        <v>7</v>
      </c>
      <c r="H6116">
        <v>54462.04</v>
      </c>
      <c r="I6116">
        <v>16785.96</v>
      </c>
      <c r="J6116">
        <v>0</v>
      </c>
    </row>
    <row r="6117" spans="1:10" x14ac:dyDescent="0.35">
      <c r="A6117">
        <v>325298</v>
      </c>
      <c r="B6117" t="s">
        <v>20</v>
      </c>
      <c r="C6117">
        <v>2015</v>
      </c>
      <c r="D6117">
        <v>7</v>
      </c>
      <c r="E6117" t="s">
        <v>7</v>
      </c>
      <c r="F6117" t="s">
        <v>7</v>
      </c>
      <c r="G6117" t="s">
        <v>7</v>
      </c>
      <c r="H6117">
        <v>113763.18</v>
      </c>
      <c r="I6117">
        <v>35323.839999999997</v>
      </c>
      <c r="J6117">
        <v>0</v>
      </c>
    </row>
    <row r="6118" spans="1:10" x14ac:dyDescent="0.35">
      <c r="A6118">
        <v>325300</v>
      </c>
      <c r="B6118" t="s">
        <v>20</v>
      </c>
      <c r="C6118">
        <v>2015</v>
      </c>
      <c r="D6118">
        <v>7</v>
      </c>
      <c r="E6118" t="s">
        <v>7</v>
      </c>
      <c r="F6118" t="s">
        <v>7</v>
      </c>
      <c r="G6118" t="s">
        <v>7</v>
      </c>
      <c r="H6118">
        <v>27254.44</v>
      </c>
      <c r="I6118">
        <v>7132.44</v>
      </c>
      <c r="J6118">
        <v>0</v>
      </c>
    </row>
    <row r="6119" spans="1:10" x14ac:dyDescent="0.35">
      <c r="A6119">
        <v>325301</v>
      </c>
      <c r="B6119" t="s">
        <v>20</v>
      </c>
      <c r="C6119">
        <v>2015</v>
      </c>
      <c r="D6119">
        <v>7</v>
      </c>
      <c r="E6119" t="s">
        <v>7</v>
      </c>
      <c r="F6119" t="s">
        <v>7</v>
      </c>
      <c r="G6119" t="s">
        <v>7</v>
      </c>
      <c r="H6119">
        <v>9678.1200000000008</v>
      </c>
      <c r="I6119">
        <v>2548.65</v>
      </c>
      <c r="J6119">
        <v>0</v>
      </c>
    </row>
    <row r="6120" spans="1:10" x14ac:dyDescent="0.35">
      <c r="A6120">
        <v>325302</v>
      </c>
      <c r="B6120" t="s">
        <v>20</v>
      </c>
      <c r="C6120">
        <v>2015</v>
      </c>
      <c r="D6120">
        <v>7</v>
      </c>
      <c r="E6120" t="s">
        <v>7</v>
      </c>
      <c r="F6120" t="s">
        <v>7</v>
      </c>
      <c r="G6120" t="s">
        <v>7</v>
      </c>
      <c r="H6120">
        <v>72689.960000000006</v>
      </c>
      <c r="I6120">
        <v>24592.89</v>
      </c>
      <c r="J6120">
        <v>0</v>
      </c>
    </row>
    <row r="6121" spans="1:10" x14ac:dyDescent="0.35">
      <c r="A6121">
        <v>325303</v>
      </c>
      <c r="B6121" t="s">
        <v>20</v>
      </c>
      <c r="C6121">
        <v>2015</v>
      </c>
      <c r="D6121">
        <v>7</v>
      </c>
      <c r="E6121" t="s">
        <v>7</v>
      </c>
      <c r="F6121" t="s">
        <v>7</v>
      </c>
      <c r="G6121" t="s">
        <v>7</v>
      </c>
      <c r="H6121">
        <v>10694.72</v>
      </c>
      <c r="I6121">
        <v>2806.46</v>
      </c>
      <c r="J6121">
        <v>0</v>
      </c>
    </row>
    <row r="6122" spans="1:10" x14ac:dyDescent="0.35">
      <c r="A6122">
        <v>325306</v>
      </c>
      <c r="B6122" t="s">
        <v>20</v>
      </c>
      <c r="C6122">
        <v>2015</v>
      </c>
      <c r="D6122">
        <v>7</v>
      </c>
      <c r="E6122" t="s">
        <v>7</v>
      </c>
      <c r="F6122" t="s">
        <v>7</v>
      </c>
      <c r="G6122" t="s">
        <v>7</v>
      </c>
      <c r="H6122">
        <v>50191.68</v>
      </c>
      <c r="I6122">
        <v>15186.08</v>
      </c>
      <c r="J6122">
        <v>0</v>
      </c>
    </row>
    <row r="6123" spans="1:10" x14ac:dyDescent="0.35">
      <c r="A6123">
        <v>325307</v>
      </c>
      <c r="B6123" t="s">
        <v>20</v>
      </c>
      <c r="C6123">
        <v>2015</v>
      </c>
      <c r="D6123">
        <v>7</v>
      </c>
      <c r="E6123" t="s">
        <v>7</v>
      </c>
      <c r="F6123" t="s">
        <v>7</v>
      </c>
      <c r="G6123" t="s">
        <v>7</v>
      </c>
      <c r="H6123">
        <v>15567.48</v>
      </c>
      <c r="I6123">
        <v>5964.15</v>
      </c>
      <c r="J6123">
        <v>0</v>
      </c>
    </row>
    <row r="6124" spans="1:10" x14ac:dyDescent="0.35">
      <c r="A6124">
        <v>325308</v>
      </c>
      <c r="B6124" t="s">
        <v>20</v>
      </c>
      <c r="C6124">
        <v>2015</v>
      </c>
      <c r="D6124">
        <v>7</v>
      </c>
      <c r="E6124" t="s">
        <v>7</v>
      </c>
      <c r="F6124" t="s">
        <v>7</v>
      </c>
      <c r="G6124" t="s">
        <v>7</v>
      </c>
      <c r="H6124">
        <v>16551.22</v>
      </c>
      <c r="I6124">
        <v>4746.1400000000003</v>
      </c>
      <c r="J6124">
        <v>0</v>
      </c>
    </row>
    <row r="6125" spans="1:10" x14ac:dyDescent="0.35">
      <c r="A6125">
        <v>325309</v>
      </c>
      <c r="B6125" t="s">
        <v>20</v>
      </c>
      <c r="C6125">
        <v>2015</v>
      </c>
      <c r="D6125">
        <v>7</v>
      </c>
      <c r="E6125" t="s">
        <v>7</v>
      </c>
      <c r="F6125" t="s">
        <v>7</v>
      </c>
      <c r="G6125" t="s">
        <v>7</v>
      </c>
      <c r="H6125">
        <v>48194.44</v>
      </c>
      <c r="I6125">
        <v>13345.75</v>
      </c>
      <c r="J6125">
        <v>0</v>
      </c>
    </row>
    <row r="6126" spans="1:10" x14ac:dyDescent="0.35">
      <c r="A6126">
        <v>325310</v>
      </c>
      <c r="B6126" t="s">
        <v>20</v>
      </c>
      <c r="C6126">
        <v>2015</v>
      </c>
      <c r="D6126">
        <v>7</v>
      </c>
      <c r="E6126" t="s">
        <v>7</v>
      </c>
      <c r="F6126" t="s">
        <v>7</v>
      </c>
      <c r="G6126" t="s">
        <v>7</v>
      </c>
      <c r="H6126">
        <v>43980.639999999999</v>
      </c>
      <c r="I6126">
        <v>12851.46</v>
      </c>
      <c r="J6126">
        <v>0</v>
      </c>
    </row>
    <row r="6127" spans="1:10" x14ac:dyDescent="0.35">
      <c r="A6127">
        <v>325312</v>
      </c>
      <c r="B6127" t="s">
        <v>20</v>
      </c>
      <c r="C6127">
        <v>2015</v>
      </c>
      <c r="D6127">
        <v>7</v>
      </c>
      <c r="E6127" t="s">
        <v>7</v>
      </c>
      <c r="F6127" t="s">
        <v>7</v>
      </c>
      <c r="G6127" t="s">
        <v>7</v>
      </c>
      <c r="H6127">
        <v>28780.78</v>
      </c>
      <c r="I6127">
        <v>8071.54</v>
      </c>
      <c r="J6127">
        <v>0</v>
      </c>
    </row>
    <row r="6128" spans="1:10" x14ac:dyDescent="0.35">
      <c r="A6128">
        <v>325314</v>
      </c>
      <c r="B6128" t="s">
        <v>20</v>
      </c>
      <c r="C6128">
        <v>2015</v>
      </c>
      <c r="D6128">
        <v>7</v>
      </c>
      <c r="E6128" t="s">
        <v>7</v>
      </c>
      <c r="F6128" t="s">
        <v>7</v>
      </c>
      <c r="G6128" t="s">
        <v>7</v>
      </c>
      <c r="H6128">
        <v>14092.28</v>
      </c>
      <c r="I6128">
        <v>3161.58</v>
      </c>
      <c r="J6128">
        <v>0</v>
      </c>
    </row>
    <row r="6129" spans="1:10" x14ac:dyDescent="0.35">
      <c r="A6129">
        <v>325315</v>
      </c>
      <c r="B6129" t="s">
        <v>20</v>
      </c>
      <c r="C6129">
        <v>2015</v>
      </c>
      <c r="D6129">
        <v>7</v>
      </c>
      <c r="E6129" t="s">
        <v>7</v>
      </c>
      <c r="F6129" t="s">
        <v>7</v>
      </c>
      <c r="G6129" t="s">
        <v>7</v>
      </c>
      <c r="H6129">
        <v>22703.439999999999</v>
      </c>
      <c r="I6129">
        <v>5480.22</v>
      </c>
      <c r="J6129">
        <v>0</v>
      </c>
    </row>
    <row r="6130" spans="1:10" x14ac:dyDescent="0.35">
      <c r="A6130">
        <v>325316</v>
      </c>
      <c r="B6130" t="s">
        <v>20</v>
      </c>
      <c r="C6130">
        <v>2015</v>
      </c>
      <c r="D6130">
        <v>7</v>
      </c>
      <c r="E6130" t="s">
        <v>7</v>
      </c>
      <c r="F6130" t="s">
        <v>7</v>
      </c>
      <c r="G6130" t="s">
        <v>7</v>
      </c>
      <c r="H6130">
        <v>18712.34</v>
      </c>
      <c r="I6130">
        <v>5568.27</v>
      </c>
      <c r="J6130">
        <v>0</v>
      </c>
    </row>
    <row r="6131" spans="1:10" x14ac:dyDescent="0.35">
      <c r="A6131">
        <v>325317</v>
      </c>
      <c r="B6131" t="s">
        <v>20</v>
      </c>
      <c r="C6131">
        <v>2015</v>
      </c>
      <c r="D6131">
        <v>7</v>
      </c>
      <c r="E6131" t="s">
        <v>7</v>
      </c>
      <c r="F6131" t="s">
        <v>7</v>
      </c>
      <c r="G6131" t="s">
        <v>7</v>
      </c>
      <c r="H6131">
        <v>60393.78</v>
      </c>
      <c r="I6131">
        <v>17220.650000000001</v>
      </c>
      <c r="J6131">
        <v>0</v>
      </c>
    </row>
    <row r="6132" spans="1:10" x14ac:dyDescent="0.35">
      <c r="A6132">
        <v>325320</v>
      </c>
      <c r="B6132" t="s">
        <v>20</v>
      </c>
      <c r="C6132">
        <v>2015</v>
      </c>
      <c r="D6132">
        <v>7</v>
      </c>
      <c r="E6132" t="s">
        <v>7</v>
      </c>
      <c r="F6132" t="s">
        <v>7</v>
      </c>
      <c r="G6132" t="s">
        <v>7</v>
      </c>
      <c r="H6132">
        <v>25778.48</v>
      </c>
      <c r="I6132">
        <v>13288.72</v>
      </c>
      <c r="J6132">
        <v>0</v>
      </c>
    </row>
    <row r="6133" spans="1:10" x14ac:dyDescent="0.35">
      <c r="A6133">
        <v>325321</v>
      </c>
      <c r="B6133" t="s">
        <v>20</v>
      </c>
      <c r="C6133">
        <v>2015</v>
      </c>
      <c r="D6133">
        <v>7</v>
      </c>
      <c r="E6133" t="s">
        <v>7</v>
      </c>
      <c r="F6133" t="s">
        <v>7</v>
      </c>
      <c r="G6133" t="s">
        <v>7</v>
      </c>
      <c r="H6133">
        <v>27892.14</v>
      </c>
      <c r="I6133">
        <v>8041.65</v>
      </c>
      <c r="J6133">
        <v>0</v>
      </c>
    </row>
    <row r="6134" spans="1:10" x14ac:dyDescent="0.35">
      <c r="A6134">
        <v>325323</v>
      </c>
      <c r="B6134" t="s">
        <v>20</v>
      </c>
      <c r="C6134">
        <v>2015</v>
      </c>
      <c r="D6134">
        <v>7</v>
      </c>
      <c r="E6134" t="s">
        <v>7</v>
      </c>
      <c r="F6134" t="s">
        <v>7</v>
      </c>
      <c r="G6134" t="s">
        <v>7</v>
      </c>
      <c r="H6134">
        <v>63074.46</v>
      </c>
      <c r="I6134">
        <v>19377.09</v>
      </c>
      <c r="J6134">
        <v>0</v>
      </c>
    </row>
    <row r="6135" spans="1:10" x14ac:dyDescent="0.35">
      <c r="A6135">
        <v>325325</v>
      </c>
      <c r="B6135" t="s">
        <v>20</v>
      </c>
      <c r="C6135">
        <v>2015</v>
      </c>
      <c r="D6135">
        <v>7</v>
      </c>
      <c r="E6135" t="s">
        <v>7</v>
      </c>
      <c r="F6135" t="s">
        <v>7</v>
      </c>
      <c r="G6135" t="s">
        <v>7</v>
      </c>
      <c r="H6135">
        <v>24016.3</v>
      </c>
      <c r="I6135">
        <v>7715.79</v>
      </c>
      <c r="J6135">
        <v>0</v>
      </c>
    </row>
    <row r="6136" spans="1:10" x14ac:dyDescent="0.35">
      <c r="A6136">
        <v>325327</v>
      </c>
      <c r="B6136" t="s">
        <v>20</v>
      </c>
      <c r="C6136">
        <v>2015</v>
      </c>
      <c r="D6136">
        <v>7</v>
      </c>
      <c r="E6136" t="s">
        <v>7</v>
      </c>
      <c r="F6136" t="s">
        <v>7</v>
      </c>
      <c r="G6136" t="s">
        <v>7</v>
      </c>
      <c r="H6136">
        <v>57092.14</v>
      </c>
      <c r="I6136">
        <v>16334.69</v>
      </c>
      <c r="J6136">
        <v>0</v>
      </c>
    </row>
    <row r="6137" spans="1:10" x14ac:dyDescent="0.35">
      <c r="A6137">
        <v>325328</v>
      </c>
      <c r="B6137" t="s">
        <v>20</v>
      </c>
      <c r="C6137">
        <v>2015</v>
      </c>
      <c r="D6137">
        <v>7</v>
      </c>
      <c r="E6137" t="s">
        <v>7</v>
      </c>
      <c r="F6137" t="s">
        <v>7</v>
      </c>
      <c r="G6137" t="s">
        <v>7</v>
      </c>
      <c r="H6137">
        <v>35525.14</v>
      </c>
      <c r="I6137">
        <v>10666.29</v>
      </c>
      <c r="J6137">
        <v>0</v>
      </c>
    </row>
    <row r="6138" spans="1:10" x14ac:dyDescent="0.35">
      <c r="A6138">
        <v>325329</v>
      </c>
      <c r="B6138" t="s">
        <v>20</v>
      </c>
      <c r="C6138">
        <v>2015</v>
      </c>
      <c r="D6138">
        <v>7</v>
      </c>
      <c r="E6138" t="s">
        <v>7</v>
      </c>
      <c r="F6138" t="s">
        <v>7</v>
      </c>
      <c r="G6138" t="s">
        <v>7</v>
      </c>
      <c r="H6138">
        <v>15322.06</v>
      </c>
      <c r="I6138">
        <v>4524.6499999999996</v>
      </c>
      <c r="J6138">
        <v>0</v>
      </c>
    </row>
    <row r="6139" spans="1:10" x14ac:dyDescent="0.35">
      <c r="A6139">
        <v>325330</v>
      </c>
      <c r="B6139" t="s">
        <v>20</v>
      </c>
      <c r="C6139">
        <v>2015</v>
      </c>
      <c r="D6139">
        <v>7</v>
      </c>
      <c r="E6139" t="s">
        <v>7</v>
      </c>
      <c r="F6139" t="s">
        <v>7</v>
      </c>
      <c r="G6139" t="s">
        <v>7</v>
      </c>
      <c r="H6139">
        <v>95342.2</v>
      </c>
      <c r="I6139">
        <v>38772.46</v>
      </c>
      <c r="J6139">
        <v>0</v>
      </c>
    </row>
    <row r="6140" spans="1:10" x14ac:dyDescent="0.35">
      <c r="A6140">
        <v>325332</v>
      </c>
      <c r="B6140" t="s">
        <v>20</v>
      </c>
      <c r="C6140">
        <v>2015</v>
      </c>
      <c r="D6140">
        <v>7</v>
      </c>
      <c r="E6140" t="s">
        <v>7</v>
      </c>
      <c r="F6140" t="s">
        <v>7</v>
      </c>
      <c r="G6140" t="s">
        <v>7</v>
      </c>
      <c r="H6140">
        <v>20318.080000000002</v>
      </c>
      <c r="I6140">
        <v>5841.07</v>
      </c>
      <c r="J6140">
        <v>0</v>
      </c>
    </row>
    <row r="6141" spans="1:10" x14ac:dyDescent="0.35">
      <c r="A6141">
        <v>325334</v>
      </c>
      <c r="B6141" t="s">
        <v>20</v>
      </c>
      <c r="C6141">
        <v>2015</v>
      </c>
      <c r="D6141">
        <v>7</v>
      </c>
      <c r="E6141" t="s">
        <v>7</v>
      </c>
      <c r="F6141" t="s">
        <v>7</v>
      </c>
      <c r="G6141" t="s">
        <v>7</v>
      </c>
      <c r="H6141">
        <v>11589.38</v>
      </c>
      <c r="I6141">
        <v>6332.71</v>
      </c>
      <c r="J6141">
        <v>0</v>
      </c>
    </row>
    <row r="6142" spans="1:10" x14ac:dyDescent="0.35">
      <c r="A6142">
        <v>325335</v>
      </c>
      <c r="B6142" t="s">
        <v>20</v>
      </c>
      <c r="C6142">
        <v>2015</v>
      </c>
      <c r="D6142">
        <v>7</v>
      </c>
      <c r="E6142" t="s">
        <v>7</v>
      </c>
      <c r="F6142" t="s">
        <v>7</v>
      </c>
      <c r="G6142" t="s">
        <v>7</v>
      </c>
      <c r="H6142">
        <v>16137.06</v>
      </c>
      <c r="I6142">
        <v>3556.56</v>
      </c>
      <c r="J6142">
        <v>0</v>
      </c>
    </row>
    <row r="6143" spans="1:10" x14ac:dyDescent="0.35">
      <c r="A6143">
        <v>325336</v>
      </c>
      <c r="B6143" t="s">
        <v>20</v>
      </c>
      <c r="C6143">
        <v>2015</v>
      </c>
      <c r="D6143">
        <v>7</v>
      </c>
      <c r="E6143" t="s">
        <v>7</v>
      </c>
      <c r="F6143" t="s">
        <v>7</v>
      </c>
      <c r="G6143" t="s">
        <v>7</v>
      </c>
      <c r="H6143">
        <v>19691.62</v>
      </c>
      <c r="I6143">
        <v>4962.6899999999996</v>
      </c>
      <c r="J6143">
        <v>0</v>
      </c>
    </row>
    <row r="6144" spans="1:10" x14ac:dyDescent="0.35">
      <c r="A6144">
        <v>325337</v>
      </c>
      <c r="B6144" t="s">
        <v>20</v>
      </c>
      <c r="C6144">
        <v>2015</v>
      </c>
      <c r="D6144">
        <v>7</v>
      </c>
      <c r="E6144" t="s">
        <v>7</v>
      </c>
      <c r="F6144" t="s">
        <v>7</v>
      </c>
      <c r="G6144" t="s">
        <v>7</v>
      </c>
      <c r="H6144">
        <v>82689.78</v>
      </c>
      <c r="I6144">
        <v>37887.39</v>
      </c>
      <c r="J6144">
        <v>0</v>
      </c>
    </row>
    <row r="6145" spans="1:10" x14ac:dyDescent="0.35">
      <c r="A6145">
        <v>325340</v>
      </c>
      <c r="B6145" t="s">
        <v>20</v>
      </c>
      <c r="C6145">
        <v>2015</v>
      </c>
      <c r="D6145">
        <v>7</v>
      </c>
      <c r="E6145" t="s">
        <v>7</v>
      </c>
      <c r="F6145" t="s">
        <v>7</v>
      </c>
      <c r="G6145" t="s">
        <v>7</v>
      </c>
      <c r="H6145">
        <v>35832.58</v>
      </c>
      <c r="I6145">
        <v>8727.5400000000009</v>
      </c>
      <c r="J6145">
        <v>0</v>
      </c>
    </row>
    <row r="6146" spans="1:10" x14ac:dyDescent="0.35">
      <c r="A6146">
        <v>325342</v>
      </c>
      <c r="B6146" t="s">
        <v>20</v>
      </c>
      <c r="C6146">
        <v>2015</v>
      </c>
      <c r="D6146">
        <v>7</v>
      </c>
      <c r="E6146" t="s">
        <v>7</v>
      </c>
      <c r="F6146" t="s">
        <v>7</v>
      </c>
      <c r="G6146" t="s">
        <v>7</v>
      </c>
      <c r="H6146">
        <v>10324.86</v>
      </c>
      <c r="I6146">
        <v>2287.11</v>
      </c>
      <c r="J6146">
        <v>0</v>
      </c>
    </row>
    <row r="6147" spans="1:10" x14ac:dyDescent="0.35">
      <c r="A6147">
        <v>325344</v>
      </c>
      <c r="B6147" t="s">
        <v>20</v>
      </c>
      <c r="C6147">
        <v>2015</v>
      </c>
      <c r="D6147">
        <v>7</v>
      </c>
      <c r="E6147" t="s">
        <v>7</v>
      </c>
      <c r="F6147" t="s">
        <v>7</v>
      </c>
      <c r="G6147" t="s">
        <v>7</v>
      </c>
      <c r="H6147">
        <v>52254.04</v>
      </c>
      <c r="I6147">
        <v>15657.51</v>
      </c>
      <c r="J6147">
        <v>0</v>
      </c>
    </row>
    <row r="6148" spans="1:10" x14ac:dyDescent="0.35">
      <c r="A6148">
        <v>325345</v>
      </c>
      <c r="B6148" t="s">
        <v>20</v>
      </c>
      <c r="C6148">
        <v>2015</v>
      </c>
      <c r="D6148">
        <v>7</v>
      </c>
      <c r="E6148" t="s">
        <v>7</v>
      </c>
      <c r="F6148" t="s">
        <v>7</v>
      </c>
      <c r="G6148" t="s">
        <v>7</v>
      </c>
      <c r="H6148">
        <v>19720.38</v>
      </c>
      <c r="I6148">
        <v>5556.35</v>
      </c>
      <c r="J6148">
        <v>0</v>
      </c>
    </row>
    <row r="6149" spans="1:10" x14ac:dyDescent="0.35">
      <c r="A6149">
        <v>325348</v>
      </c>
      <c r="B6149" t="s">
        <v>20</v>
      </c>
      <c r="C6149">
        <v>2015</v>
      </c>
      <c r="D6149">
        <v>7</v>
      </c>
      <c r="E6149" t="s">
        <v>7</v>
      </c>
      <c r="F6149" t="s">
        <v>7</v>
      </c>
      <c r="G6149" t="s">
        <v>7</v>
      </c>
      <c r="H6149">
        <v>24487.06</v>
      </c>
      <c r="I6149">
        <v>7086.32</v>
      </c>
      <c r="J6149">
        <v>0</v>
      </c>
    </row>
    <row r="6150" spans="1:10" x14ac:dyDescent="0.35">
      <c r="A6150">
        <v>325351</v>
      </c>
      <c r="B6150" t="s">
        <v>20</v>
      </c>
      <c r="C6150">
        <v>2015</v>
      </c>
      <c r="D6150">
        <v>7</v>
      </c>
      <c r="E6150" t="s">
        <v>7</v>
      </c>
      <c r="F6150" t="s">
        <v>7</v>
      </c>
      <c r="G6150" t="s">
        <v>7</v>
      </c>
      <c r="H6150">
        <v>30244.36</v>
      </c>
      <c r="I6150">
        <v>7358.49</v>
      </c>
      <c r="J6150">
        <v>0</v>
      </c>
    </row>
    <row r="6151" spans="1:10" x14ac:dyDescent="0.35">
      <c r="A6151">
        <v>325354</v>
      </c>
      <c r="B6151" t="s">
        <v>20</v>
      </c>
      <c r="C6151">
        <v>2015</v>
      </c>
      <c r="D6151">
        <v>7</v>
      </c>
      <c r="E6151" t="s">
        <v>7</v>
      </c>
      <c r="F6151" t="s">
        <v>7</v>
      </c>
      <c r="G6151" t="s">
        <v>7</v>
      </c>
      <c r="H6151">
        <v>73207.960000000006</v>
      </c>
      <c r="I6151">
        <v>51822.95</v>
      </c>
      <c r="J6151">
        <v>0</v>
      </c>
    </row>
    <row r="6152" spans="1:10" x14ac:dyDescent="0.35">
      <c r="A6152">
        <v>325357</v>
      </c>
      <c r="B6152" t="s">
        <v>20</v>
      </c>
      <c r="C6152">
        <v>2015</v>
      </c>
      <c r="D6152">
        <v>7</v>
      </c>
      <c r="E6152" t="s">
        <v>7</v>
      </c>
      <c r="F6152" t="s">
        <v>7</v>
      </c>
      <c r="G6152" t="s">
        <v>7</v>
      </c>
      <c r="H6152">
        <v>43625.919999999998</v>
      </c>
      <c r="I6152">
        <v>13198.61</v>
      </c>
      <c r="J6152">
        <v>0</v>
      </c>
    </row>
    <row r="6153" spans="1:10" x14ac:dyDescent="0.35">
      <c r="A6153">
        <v>325359</v>
      </c>
      <c r="B6153" t="s">
        <v>20</v>
      </c>
      <c r="C6153">
        <v>2015</v>
      </c>
      <c r="D6153">
        <v>7</v>
      </c>
      <c r="E6153" t="s">
        <v>7</v>
      </c>
      <c r="F6153" t="s">
        <v>7</v>
      </c>
      <c r="G6153" t="s">
        <v>7</v>
      </c>
      <c r="H6153">
        <v>41926.239999999998</v>
      </c>
      <c r="I6153">
        <v>12472.75</v>
      </c>
      <c r="J6153">
        <v>0</v>
      </c>
    </row>
    <row r="6154" spans="1:10" x14ac:dyDescent="0.35">
      <c r="A6154">
        <v>325366</v>
      </c>
      <c r="B6154" t="s">
        <v>20</v>
      </c>
      <c r="C6154">
        <v>2015</v>
      </c>
      <c r="D6154">
        <v>7</v>
      </c>
      <c r="E6154" t="s">
        <v>7</v>
      </c>
      <c r="F6154" t="s">
        <v>7</v>
      </c>
      <c r="G6154" t="s">
        <v>7</v>
      </c>
      <c r="H6154">
        <v>28761.8</v>
      </c>
      <c r="I6154">
        <v>8571.06</v>
      </c>
      <c r="J6154">
        <v>0</v>
      </c>
    </row>
    <row r="6155" spans="1:10" x14ac:dyDescent="0.35">
      <c r="A6155">
        <v>325367</v>
      </c>
      <c r="B6155" t="s">
        <v>20</v>
      </c>
      <c r="C6155">
        <v>2015</v>
      </c>
      <c r="D6155">
        <v>7</v>
      </c>
      <c r="E6155" t="s">
        <v>7</v>
      </c>
      <c r="F6155" t="s">
        <v>7</v>
      </c>
      <c r="G6155" t="s">
        <v>7</v>
      </c>
      <c r="H6155">
        <v>23494.18</v>
      </c>
      <c r="I6155">
        <v>10407.74</v>
      </c>
      <c r="J6155">
        <v>0</v>
      </c>
    </row>
    <row r="6156" spans="1:10" x14ac:dyDescent="0.35">
      <c r="A6156">
        <v>325368</v>
      </c>
      <c r="B6156" t="s">
        <v>20</v>
      </c>
      <c r="C6156">
        <v>2015</v>
      </c>
      <c r="D6156">
        <v>7</v>
      </c>
      <c r="E6156" t="s">
        <v>7</v>
      </c>
      <c r="F6156" t="s">
        <v>7</v>
      </c>
      <c r="G6156" t="s">
        <v>7</v>
      </c>
      <c r="H6156">
        <v>68908.100000000006</v>
      </c>
      <c r="I6156">
        <v>15632.12</v>
      </c>
      <c r="J6156">
        <v>0</v>
      </c>
    </row>
    <row r="6157" spans="1:10" x14ac:dyDescent="0.35">
      <c r="A6157">
        <v>325369</v>
      </c>
      <c r="B6157" t="s">
        <v>20</v>
      </c>
      <c r="C6157">
        <v>2015</v>
      </c>
      <c r="D6157">
        <v>7</v>
      </c>
      <c r="E6157" t="s">
        <v>7</v>
      </c>
      <c r="F6157" t="s">
        <v>7</v>
      </c>
      <c r="G6157" t="s">
        <v>7</v>
      </c>
      <c r="H6157">
        <v>54938</v>
      </c>
      <c r="I6157">
        <v>18068.900000000001</v>
      </c>
      <c r="J6157">
        <v>0</v>
      </c>
    </row>
    <row r="6158" spans="1:10" x14ac:dyDescent="0.35">
      <c r="A6158">
        <v>325371</v>
      </c>
      <c r="B6158" t="s">
        <v>20</v>
      </c>
      <c r="C6158">
        <v>2015</v>
      </c>
      <c r="D6158">
        <v>7</v>
      </c>
      <c r="E6158" t="s">
        <v>7</v>
      </c>
      <c r="F6158" t="s">
        <v>7</v>
      </c>
      <c r="G6158" t="s">
        <v>7</v>
      </c>
      <c r="H6158">
        <v>144202.85999999999</v>
      </c>
      <c r="I6158">
        <v>80996.63</v>
      </c>
      <c r="J6158">
        <v>0</v>
      </c>
    </row>
    <row r="6159" spans="1:10" x14ac:dyDescent="0.35">
      <c r="A6159">
        <v>325372</v>
      </c>
      <c r="B6159" t="s">
        <v>20</v>
      </c>
      <c r="C6159">
        <v>2015</v>
      </c>
      <c r="D6159">
        <v>7</v>
      </c>
      <c r="E6159" t="s">
        <v>7</v>
      </c>
      <c r="F6159" t="s">
        <v>7</v>
      </c>
      <c r="G6159" t="s">
        <v>7</v>
      </c>
      <c r="H6159">
        <v>39677.24</v>
      </c>
      <c r="I6159">
        <v>11072.64</v>
      </c>
      <c r="J6159">
        <v>0</v>
      </c>
    </row>
    <row r="6160" spans="1:10" x14ac:dyDescent="0.35">
      <c r="A6160">
        <v>325374</v>
      </c>
      <c r="B6160" t="s">
        <v>20</v>
      </c>
      <c r="C6160">
        <v>2015</v>
      </c>
      <c r="D6160">
        <v>7</v>
      </c>
      <c r="E6160" t="s">
        <v>7</v>
      </c>
      <c r="F6160" t="s">
        <v>7</v>
      </c>
      <c r="G6160" t="s">
        <v>7</v>
      </c>
      <c r="H6160">
        <v>46145.04</v>
      </c>
      <c r="I6160">
        <v>13332.6</v>
      </c>
      <c r="J6160">
        <v>0</v>
      </c>
    </row>
    <row r="6161" spans="1:10" x14ac:dyDescent="0.35">
      <c r="A6161">
        <v>325376</v>
      </c>
      <c r="B6161" t="s">
        <v>20</v>
      </c>
      <c r="C6161">
        <v>2015</v>
      </c>
      <c r="D6161">
        <v>7</v>
      </c>
      <c r="E6161" t="s">
        <v>7</v>
      </c>
      <c r="F6161" t="s">
        <v>7</v>
      </c>
      <c r="G6161" t="s">
        <v>7</v>
      </c>
      <c r="H6161">
        <v>29725.119999999999</v>
      </c>
      <c r="I6161">
        <v>8504.2999999999993</v>
      </c>
      <c r="J6161">
        <v>0</v>
      </c>
    </row>
    <row r="6162" spans="1:10" x14ac:dyDescent="0.35">
      <c r="A6162">
        <v>325379</v>
      </c>
      <c r="B6162" t="s">
        <v>20</v>
      </c>
      <c r="C6162">
        <v>2015</v>
      </c>
      <c r="D6162">
        <v>7</v>
      </c>
      <c r="E6162" t="s">
        <v>7</v>
      </c>
      <c r="F6162" t="s">
        <v>7</v>
      </c>
      <c r="G6162" t="s">
        <v>7</v>
      </c>
      <c r="H6162">
        <v>27270.84</v>
      </c>
      <c r="I6162">
        <v>7816.92</v>
      </c>
      <c r="J6162">
        <v>0</v>
      </c>
    </row>
    <row r="6163" spans="1:10" x14ac:dyDescent="0.35">
      <c r="A6163">
        <v>325380</v>
      </c>
      <c r="B6163" t="s">
        <v>20</v>
      </c>
      <c r="C6163">
        <v>2015</v>
      </c>
      <c r="D6163">
        <v>7</v>
      </c>
      <c r="E6163" t="s">
        <v>7</v>
      </c>
      <c r="F6163" t="s">
        <v>7</v>
      </c>
      <c r="G6163" t="s">
        <v>7</v>
      </c>
      <c r="H6163">
        <v>34294.239999999998</v>
      </c>
      <c r="I6163">
        <v>14987.24</v>
      </c>
      <c r="J6163">
        <v>0</v>
      </c>
    </row>
    <row r="6164" spans="1:10" x14ac:dyDescent="0.35">
      <c r="A6164">
        <v>325382</v>
      </c>
      <c r="B6164" t="s">
        <v>20</v>
      </c>
      <c r="C6164">
        <v>2015</v>
      </c>
      <c r="D6164">
        <v>7</v>
      </c>
      <c r="E6164" t="s">
        <v>7</v>
      </c>
      <c r="F6164" t="s">
        <v>7</v>
      </c>
      <c r="G6164" t="s">
        <v>7</v>
      </c>
      <c r="H6164">
        <v>75997.06</v>
      </c>
      <c r="I6164">
        <v>22739.99</v>
      </c>
      <c r="J6164">
        <v>0</v>
      </c>
    </row>
    <row r="6165" spans="1:10" x14ac:dyDescent="0.35">
      <c r="A6165">
        <v>325383</v>
      </c>
      <c r="B6165" t="s">
        <v>20</v>
      </c>
      <c r="C6165">
        <v>2015</v>
      </c>
      <c r="D6165">
        <v>7</v>
      </c>
      <c r="E6165" t="s">
        <v>7</v>
      </c>
      <c r="F6165" t="s">
        <v>7</v>
      </c>
      <c r="G6165" t="s">
        <v>7</v>
      </c>
      <c r="H6165">
        <v>47416.44</v>
      </c>
      <c r="I6165">
        <v>14291.98</v>
      </c>
      <c r="J6165">
        <v>0</v>
      </c>
    </row>
    <row r="6166" spans="1:10" x14ac:dyDescent="0.35">
      <c r="A6166">
        <v>325387</v>
      </c>
      <c r="B6166" t="s">
        <v>20</v>
      </c>
      <c r="C6166">
        <v>2015</v>
      </c>
      <c r="D6166">
        <v>7</v>
      </c>
      <c r="E6166" t="s">
        <v>7</v>
      </c>
      <c r="F6166" t="s">
        <v>7</v>
      </c>
      <c r="G6166" t="s">
        <v>7</v>
      </c>
      <c r="H6166">
        <v>13221.66</v>
      </c>
      <c r="I6166">
        <v>3087.8</v>
      </c>
      <c r="J6166">
        <v>0</v>
      </c>
    </row>
    <row r="6167" spans="1:10" x14ac:dyDescent="0.35">
      <c r="A6167">
        <v>325388</v>
      </c>
      <c r="B6167" t="s">
        <v>20</v>
      </c>
      <c r="C6167">
        <v>2015</v>
      </c>
      <c r="D6167">
        <v>7</v>
      </c>
      <c r="E6167" t="s">
        <v>7</v>
      </c>
      <c r="F6167" t="s">
        <v>7</v>
      </c>
      <c r="G6167" t="s">
        <v>7</v>
      </c>
      <c r="H6167">
        <v>40303.72</v>
      </c>
      <c r="I6167">
        <v>12593.52</v>
      </c>
      <c r="J6167">
        <v>0</v>
      </c>
    </row>
    <row r="6168" spans="1:10" x14ac:dyDescent="0.35">
      <c r="A6168">
        <v>325391</v>
      </c>
      <c r="B6168" t="s">
        <v>20</v>
      </c>
      <c r="C6168">
        <v>2015</v>
      </c>
      <c r="D6168">
        <v>7</v>
      </c>
      <c r="E6168" t="s">
        <v>7</v>
      </c>
      <c r="F6168" t="s">
        <v>7</v>
      </c>
      <c r="G6168" t="s">
        <v>7</v>
      </c>
      <c r="H6168">
        <v>15484.6</v>
      </c>
      <c r="I6168">
        <v>4296.55</v>
      </c>
      <c r="J6168">
        <v>0</v>
      </c>
    </row>
    <row r="6169" spans="1:10" x14ac:dyDescent="0.35">
      <c r="A6169">
        <v>325394</v>
      </c>
      <c r="B6169" t="s">
        <v>20</v>
      </c>
      <c r="C6169">
        <v>2015</v>
      </c>
      <c r="D6169">
        <v>7</v>
      </c>
      <c r="E6169" t="s">
        <v>7</v>
      </c>
      <c r="F6169" t="s">
        <v>7</v>
      </c>
      <c r="G6169" t="s">
        <v>7</v>
      </c>
      <c r="H6169">
        <v>38088.879999999997</v>
      </c>
      <c r="I6169">
        <v>9904.2199999999993</v>
      </c>
      <c r="J6169">
        <v>0</v>
      </c>
    </row>
    <row r="6170" spans="1:10" x14ac:dyDescent="0.35">
      <c r="A6170">
        <v>325395</v>
      </c>
      <c r="B6170" t="s">
        <v>20</v>
      </c>
      <c r="C6170">
        <v>2015</v>
      </c>
      <c r="D6170">
        <v>7</v>
      </c>
      <c r="E6170" t="s">
        <v>7</v>
      </c>
      <c r="F6170" t="s">
        <v>7</v>
      </c>
      <c r="G6170" t="s">
        <v>7</v>
      </c>
      <c r="H6170">
        <v>57102.720000000001</v>
      </c>
      <c r="I6170">
        <v>17021.75</v>
      </c>
      <c r="J6170">
        <v>0</v>
      </c>
    </row>
    <row r="6171" spans="1:10" x14ac:dyDescent="0.35">
      <c r="A6171">
        <v>325396</v>
      </c>
      <c r="B6171" t="s">
        <v>20</v>
      </c>
      <c r="C6171">
        <v>2015</v>
      </c>
      <c r="D6171">
        <v>7</v>
      </c>
      <c r="E6171" t="s">
        <v>7</v>
      </c>
      <c r="F6171" t="s">
        <v>7</v>
      </c>
      <c r="G6171" t="s">
        <v>7</v>
      </c>
      <c r="H6171">
        <v>9625.1</v>
      </c>
      <c r="I6171">
        <v>2895.7</v>
      </c>
      <c r="J6171">
        <v>0</v>
      </c>
    </row>
    <row r="6172" spans="1:10" x14ac:dyDescent="0.35">
      <c r="A6172">
        <v>325397</v>
      </c>
      <c r="B6172" t="s">
        <v>20</v>
      </c>
      <c r="C6172">
        <v>2015</v>
      </c>
      <c r="D6172">
        <v>7</v>
      </c>
      <c r="E6172" t="s">
        <v>7</v>
      </c>
      <c r="F6172" t="s">
        <v>7</v>
      </c>
      <c r="G6172" t="s">
        <v>7</v>
      </c>
      <c r="H6172">
        <v>16355.82</v>
      </c>
      <c r="I6172">
        <v>4625.0200000000004</v>
      </c>
      <c r="J6172">
        <v>0</v>
      </c>
    </row>
    <row r="6173" spans="1:10" x14ac:dyDescent="0.35">
      <c r="A6173">
        <v>325398</v>
      </c>
      <c r="B6173" t="s">
        <v>20</v>
      </c>
      <c r="C6173">
        <v>2015</v>
      </c>
      <c r="D6173">
        <v>7</v>
      </c>
      <c r="E6173" t="s">
        <v>7</v>
      </c>
      <c r="F6173" t="s">
        <v>7</v>
      </c>
      <c r="G6173" t="s">
        <v>7</v>
      </c>
      <c r="H6173">
        <v>65798.679999999993</v>
      </c>
      <c r="I6173">
        <v>20910.13</v>
      </c>
      <c r="J6173">
        <v>0</v>
      </c>
    </row>
    <row r="6174" spans="1:10" x14ac:dyDescent="0.35">
      <c r="A6174">
        <v>325399</v>
      </c>
      <c r="B6174" t="s">
        <v>20</v>
      </c>
      <c r="C6174">
        <v>2015</v>
      </c>
      <c r="D6174">
        <v>7</v>
      </c>
      <c r="E6174" t="s">
        <v>7</v>
      </c>
      <c r="F6174" t="s">
        <v>7</v>
      </c>
      <c r="G6174" t="s">
        <v>7</v>
      </c>
      <c r="H6174">
        <v>21600.400000000001</v>
      </c>
      <c r="I6174">
        <v>6233.69</v>
      </c>
      <c r="J6174">
        <v>0</v>
      </c>
    </row>
    <row r="6175" spans="1:10" x14ac:dyDescent="0.35">
      <c r="A6175">
        <v>325400</v>
      </c>
      <c r="B6175" t="s">
        <v>20</v>
      </c>
      <c r="C6175">
        <v>2015</v>
      </c>
      <c r="D6175">
        <v>7</v>
      </c>
      <c r="E6175" t="s">
        <v>7</v>
      </c>
      <c r="F6175" t="s">
        <v>7</v>
      </c>
      <c r="G6175" t="s">
        <v>7</v>
      </c>
      <c r="H6175">
        <v>32202.14</v>
      </c>
      <c r="I6175">
        <v>8942.39</v>
      </c>
      <c r="J6175">
        <v>0</v>
      </c>
    </row>
    <row r="6176" spans="1:10" x14ac:dyDescent="0.35">
      <c r="A6176">
        <v>325401</v>
      </c>
      <c r="B6176" t="s">
        <v>20</v>
      </c>
      <c r="C6176">
        <v>2015</v>
      </c>
      <c r="D6176">
        <v>7</v>
      </c>
      <c r="E6176" t="s">
        <v>7</v>
      </c>
      <c r="F6176" t="s">
        <v>7</v>
      </c>
      <c r="G6176" t="s">
        <v>7</v>
      </c>
      <c r="H6176">
        <v>29683.200000000001</v>
      </c>
      <c r="I6176">
        <v>6564.11</v>
      </c>
      <c r="J6176">
        <v>0</v>
      </c>
    </row>
    <row r="6177" spans="1:10" x14ac:dyDescent="0.35">
      <c r="A6177">
        <v>325403</v>
      </c>
      <c r="B6177" t="s">
        <v>20</v>
      </c>
      <c r="C6177">
        <v>2015</v>
      </c>
      <c r="D6177">
        <v>7</v>
      </c>
      <c r="E6177" t="s">
        <v>7</v>
      </c>
      <c r="F6177" t="s">
        <v>7</v>
      </c>
      <c r="G6177" t="s">
        <v>7</v>
      </c>
      <c r="H6177">
        <v>17345.48</v>
      </c>
      <c r="I6177">
        <v>4938.78</v>
      </c>
      <c r="J6177">
        <v>0</v>
      </c>
    </row>
    <row r="6178" spans="1:10" x14ac:dyDescent="0.35">
      <c r="A6178">
        <v>325404</v>
      </c>
      <c r="B6178" t="s">
        <v>20</v>
      </c>
      <c r="C6178">
        <v>2015</v>
      </c>
      <c r="D6178">
        <v>7</v>
      </c>
      <c r="E6178" t="s">
        <v>7</v>
      </c>
      <c r="F6178" t="s">
        <v>7</v>
      </c>
      <c r="G6178" t="s">
        <v>7</v>
      </c>
      <c r="H6178">
        <v>31985.94</v>
      </c>
      <c r="I6178">
        <v>17495.169999999998</v>
      </c>
      <c r="J6178">
        <v>0</v>
      </c>
    </row>
    <row r="6179" spans="1:10" x14ac:dyDescent="0.35">
      <c r="A6179">
        <v>325405</v>
      </c>
      <c r="B6179" t="s">
        <v>20</v>
      </c>
      <c r="C6179">
        <v>2015</v>
      </c>
      <c r="D6179">
        <v>7</v>
      </c>
      <c r="E6179" t="s">
        <v>7</v>
      </c>
      <c r="F6179" t="s">
        <v>7</v>
      </c>
      <c r="G6179" t="s">
        <v>7</v>
      </c>
      <c r="H6179">
        <v>35610.26</v>
      </c>
      <c r="I6179">
        <v>8754.92</v>
      </c>
      <c r="J6179">
        <v>0</v>
      </c>
    </row>
    <row r="6180" spans="1:10" x14ac:dyDescent="0.35">
      <c r="A6180">
        <v>325407</v>
      </c>
      <c r="B6180" t="s">
        <v>20</v>
      </c>
      <c r="C6180">
        <v>2015</v>
      </c>
      <c r="D6180">
        <v>7</v>
      </c>
      <c r="E6180" t="s">
        <v>7</v>
      </c>
      <c r="F6180" t="s">
        <v>7</v>
      </c>
      <c r="G6180" t="s">
        <v>7</v>
      </c>
      <c r="H6180">
        <v>55280.22</v>
      </c>
      <c r="I6180">
        <v>37813.43</v>
      </c>
      <c r="J6180">
        <v>0</v>
      </c>
    </row>
    <row r="6181" spans="1:10" x14ac:dyDescent="0.35">
      <c r="A6181">
        <v>325410</v>
      </c>
      <c r="B6181" t="s">
        <v>20</v>
      </c>
      <c r="C6181">
        <v>2015</v>
      </c>
      <c r="D6181">
        <v>7</v>
      </c>
      <c r="E6181" t="s">
        <v>7</v>
      </c>
      <c r="F6181" t="s">
        <v>7</v>
      </c>
      <c r="G6181" t="s">
        <v>7</v>
      </c>
      <c r="H6181">
        <v>33299.120000000003</v>
      </c>
      <c r="I6181">
        <v>9411.7000000000007</v>
      </c>
      <c r="J6181">
        <v>0</v>
      </c>
    </row>
    <row r="6182" spans="1:10" x14ac:dyDescent="0.35">
      <c r="A6182">
        <v>325415</v>
      </c>
      <c r="B6182" t="s">
        <v>20</v>
      </c>
      <c r="C6182">
        <v>2015</v>
      </c>
      <c r="D6182">
        <v>7</v>
      </c>
      <c r="E6182" t="s">
        <v>7</v>
      </c>
      <c r="F6182" t="s">
        <v>7</v>
      </c>
      <c r="G6182" t="s">
        <v>7</v>
      </c>
      <c r="H6182">
        <v>25621.84</v>
      </c>
      <c r="I6182">
        <v>6575.4</v>
      </c>
      <c r="J6182">
        <v>0</v>
      </c>
    </row>
    <row r="6183" spans="1:10" x14ac:dyDescent="0.35">
      <c r="A6183">
        <v>325416</v>
      </c>
      <c r="B6183" t="s">
        <v>20</v>
      </c>
      <c r="C6183">
        <v>2015</v>
      </c>
      <c r="D6183">
        <v>7</v>
      </c>
      <c r="E6183" t="s">
        <v>7</v>
      </c>
      <c r="F6183" t="s">
        <v>7</v>
      </c>
      <c r="G6183" t="s">
        <v>7</v>
      </c>
      <c r="H6183">
        <v>199208.18</v>
      </c>
      <c r="I6183">
        <v>92423.03</v>
      </c>
      <c r="J6183">
        <v>0</v>
      </c>
    </row>
    <row r="6184" spans="1:10" x14ac:dyDescent="0.35">
      <c r="A6184">
        <v>325417</v>
      </c>
      <c r="B6184" t="s">
        <v>20</v>
      </c>
      <c r="C6184">
        <v>2015</v>
      </c>
      <c r="D6184">
        <v>7</v>
      </c>
      <c r="E6184" t="s">
        <v>7</v>
      </c>
      <c r="F6184" t="s">
        <v>7</v>
      </c>
      <c r="G6184" t="s">
        <v>7</v>
      </c>
      <c r="H6184">
        <v>54202.02</v>
      </c>
      <c r="I6184">
        <v>15321.14</v>
      </c>
      <c r="J6184">
        <v>0</v>
      </c>
    </row>
    <row r="6185" spans="1:10" x14ac:dyDescent="0.35">
      <c r="A6185">
        <v>325418</v>
      </c>
      <c r="B6185" t="s">
        <v>20</v>
      </c>
      <c r="C6185">
        <v>2015</v>
      </c>
      <c r="D6185">
        <v>7</v>
      </c>
      <c r="E6185" t="s">
        <v>7</v>
      </c>
      <c r="F6185" t="s">
        <v>7</v>
      </c>
      <c r="G6185" t="s">
        <v>7</v>
      </c>
      <c r="H6185">
        <v>40770.480000000003</v>
      </c>
      <c r="I6185">
        <v>10931.1</v>
      </c>
      <c r="J6185">
        <v>0</v>
      </c>
    </row>
    <row r="6186" spans="1:10" x14ac:dyDescent="0.35">
      <c r="A6186">
        <v>325419</v>
      </c>
      <c r="B6186" t="s">
        <v>20</v>
      </c>
      <c r="C6186">
        <v>2015</v>
      </c>
      <c r="D6186">
        <v>7</v>
      </c>
      <c r="E6186" t="s">
        <v>7</v>
      </c>
      <c r="F6186" t="s">
        <v>7</v>
      </c>
      <c r="G6186" t="s">
        <v>7</v>
      </c>
      <c r="H6186">
        <v>20680.560000000001</v>
      </c>
      <c r="I6186">
        <v>3437.97</v>
      </c>
      <c r="J6186">
        <v>0</v>
      </c>
    </row>
    <row r="6187" spans="1:10" x14ac:dyDescent="0.35">
      <c r="A6187">
        <v>325421</v>
      </c>
      <c r="B6187" t="s">
        <v>20</v>
      </c>
      <c r="C6187">
        <v>2015</v>
      </c>
      <c r="D6187">
        <v>7</v>
      </c>
      <c r="E6187" t="s">
        <v>7</v>
      </c>
      <c r="F6187" t="s">
        <v>7</v>
      </c>
      <c r="G6187" t="s">
        <v>7</v>
      </c>
      <c r="H6187">
        <v>63951.56</v>
      </c>
      <c r="I6187">
        <v>35976.339999999997</v>
      </c>
      <c r="J6187">
        <v>0</v>
      </c>
    </row>
    <row r="6188" spans="1:10" x14ac:dyDescent="0.35">
      <c r="A6188">
        <v>325422</v>
      </c>
      <c r="B6188" t="s">
        <v>20</v>
      </c>
      <c r="C6188">
        <v>2015</v>
      </c>
      <c r="D6188">
        <v>7</v>
      </c>
      <c r="E6188" t="s">
        <v>7</v>
      </c>
      <c r="F6188" t="s">
        <v>7</v>
      </c>
      <c r="G6188" t="s">
        <v>7</v>
      </c>
      <c r="H6188">
        <v>36374.519999999997</v>
      </c>
      <c r="I6188">
        <v>7545.54</v>
      </c>
      <c r="J6188">
        <v>0</v>
      </c>
    </row>
    <row r="6189" spans="1:10" x14ac:dyDescent="0.35">
      <c r="A6189">
        <v>325423</v>
      </c>
      <c r="B6189" t="s">
        <v>20</v>
      </c>
      <c r="C6189">
        <v>2015</v>
      </c>
      <c r="D6189">
        <v>7</v>
      </c>
      <c r="E6189" t="s">
        <v>7</v>
      </c>
      <c r="F6189" t="s">
        <v>7</v>
      </c>
      <c r="G6189" t="s">
        <v>7</v>
      </c>
      <c r="H6189">
        <v>32196.3</v>
      </c>
      <c r="I6189">
        <v>9450.73</v>
      </c>
      <c r="J6189">
        <v>0</v>
      </c>
    </row>
    <row r="6190" spans="1:10" x14ac:dyDescent="0.35">
      <c r="A6190">
        <v>325426</v>
      </c>
      <c r="B6190" t="s">
        <v>20</v>
      </c>
      <c r="C6190">
        <v>2015</v>
      </c>
      <c r="D6190">
        <v>7</v>
      </c>
      <c r="E6190" t="s">
        <v>7</v>
      </c>
      <c r="F6190" t="s">
        <v>7</v>
      </c>
      <c r="G6190" t="s">
        <v>7</v>
      </c>
      <c r="H6190">
        <v>40394.22</v>
      </c>
      <c r="I6190">
        <v>20962.849999999999</v>
      </c>
      <c r="J6190">
        <v>0</v>
      </c>
    </row>
    <row r="6191" spans="1:10" x14ac:dyDescent="0.35">
      <c r="A6191">
        <v>325427</v>
      </c>
      <c r="B6191" t="s">
        <v>20</v>
      </c>
      <c r="C6191">
        <v>2015</v>
      </c>
      <c r="D6191">
        <v>7</v>
      </c>
      <c r="E6191" t="s">
        <v>7</v>
      </c>
      <c r="F6191" t="s">
        <v>7</v>
      </c>
      <c r="G6191" t="s">
        <v>7</v>
      </c>
      <c r="H6191">
        <v>8314.86</v>
      </c>
      <c r="I6191">
        <v>2401.25</v>
      </c>
      <c r="J6191">
        <v>0</v>
      </c>
    </row>
    <row r="6192" spans="1:10" x14ac:dyDescent="0.35">
      <c r="A6192">
        <v>325428</v>
      </c>
      <c r="B6192" t="s">
        <v>20</v>
      </c>
      <c r="C6192">
        <v>2015</v>
      </c>
      <c r="D6192">
        <v>7</v>
      </c>
      <c r="E6192" t="s">
        <v>7</v>
      </c>
      <c r="F6192" t="s">
        <v>7</v>
      </c>
      <c r="G6192" t="s">
        <v>7</v>
      </c>
      <c r="H6192">
        <v>23159.8</v>
      </c>
      <c r="I6192">
        <v>6429.88</v>
      </c>
      <c r="J6192">
        <v>0</v>
      </c>
    </row>
    <row r="6193" spans="1:10" x14ac:dyDescent="0.35">
      <c r="A6193">
        <v>325429</v>
      </c>
      <c r="B6193" t="s">
        <v>20</v>
      </c>
      <c r="C6193">
        <v>2015</v>
      </c>
      <c r="D6193">
        <v>7</v>
      </c>
      <c r="E6193" t="s">
        <v>7</v>
      </c>
      <c r="F6193" t="s">
        <v>7</v>
      </c>
      <c r="G6193" t="s">
        <v>7</v>
      </c>
      <c r="H6193">
        <v>45609.22</v>
      </c>
      <c r="I6193">
        <v>13207.41</v>
      </c>
      <c r="J6193">
        <v>0</v>
      </c>
    </row>
    <row r="6194" spans="1:10" x14ac:dyDescent="0.35">
      <c r="A6194">
        <v>325430</v>
      </c>
      <c r="B6194" t="s">
        <v>20</v>
      </c>
      <c r="C6194">
        <v>2015</v>
      </c>
      <c r="D6194">
        <v>7</v>
      </c>
      <c r="E6194" t="s">
        <v>7</v>
      </c>
      <c r="F6194" t="s">
        <v>7</v>
      </c>
      <c r="G6194" t="s">
        <v>7</v>
      </c>
      <c r="H6194">
        <v>36013.300000000003</v>
      </c>
      <c r="I6194">
        <v>11248.41</v>
      </c>
      <c r="J6194">
        <v>0</v>
      </c>
    </row>
    <row r="6195" spans="1:10" x14ac:dyDescent="0.35">
      <c r="A6195">
        <v>325431</v>
      </c>
      <c r="B6195" t="s">
        <v>20</v>
      </c>
      <c r="C6195">
        <v>2015</v>
      </c>
      <c r="D6195">
        <v>7</v>
      </c>
      <c r="E6195" t="s">
        <v>7</v>
      </c>
      <c r="F6195" t="s">
        <v>7</v>
      </c>
      <c r="G6195" t="s">
        <v>7</v>
      </c>
      <c r="H6195">
        <v>46060.84</v>
      </c>
      <c r="I6195">
        <v>8940.84</v>
      </c>
      <c r="J6195">
        <v>0</v>
      </c>
    </row>
    <row r="6196" spans="1:10" x14ac:dyDescent="0.35">
      <c r="A6196">
        <v>325432</v>
      </c>
      <c r="B6196" t="s">
        <v>20</v>
      </c>
      <c r="C6196">
        <v>2015</v>
      </c>
      <c r="D6196">
        <v>7</v>
      </c>
      <c r="E6196" t="s">
        <v>7</v>
      </c>
      <c r="F6196" t="s">
        <v>7</v>
      </c>
      <c r="G6196" t="s">
        <v>7</v>
      </c>
      <c r="H6196">
        <v>33692.080000000002</v>
      </c>
      <c r="I6196">
        <v>8778.86</v>
      </c>
      <c r="J6196">
        <v>0</v>
      </c>
    </row>
    <row r="6197" spans="1:10" x14ac:dyDescent="0.35">
      <c r="A6197">
        <v>325434</v>
      </c>
      <c r="B6197" t="s">
        <v>20</v>
      </c>
      <c r="C6197">
        <v>2015</v>
      </c>
      <c r="D6197">
        <v>7</v>
      </c>
      <c r="E6197" t="s">
        <v>7</v>
      </c>
      <c r="F6197" t="s">
        <v>7</v>
      </c>
      <c r="G6197" t="s">
        <v>7</v>
      </c>
      <c r="H6197">
        <v>36477.24</v>
      </c>
      <c r="I6197">
        <v>9222.1</v>
      </c>
      <c r="J6197">
        <v>0</v>
      </c>
    </row>
    <row r="6198" spans="1:10" x14ac:dyDescent="0.35">
      <c r="A6198">
        <v>325436</v>
      </c>
      <c r="B6198" t="s">
        <v>20</v>
      </c>
      <c r="C6198">
        <v>2015</v>
      </c>
      <c r="D6198">
        <v>7</v>
      </c>
      <c r="E6198" t="s">
        <v>7</v>
      </c>
      <c r="F6198" t="s">
        <v>7</v>
      </c>
      <c r="G6198" t="s">
        <v>7</v>
      </c>
      <c r="H6198">
        <v>32745.68</v>
      </c>
      <c r="I6198">
        <v>8660.2000000000007</v>
      </c>
      <c r="J6198">
        <v>0</v>
      </c>
    </row>
    <row r="6199" spans="1:10" x14ac:dyDescent="0.35">
      <c r="A6199">
        <v>325437</v>
      </c>
      <c r="B6199" t="s">
        <v>20</v>
      </c>
      <c r="C6199">
        <v>2015</v>
      </c>
      <c r="D6199">
        <v>7</v>
      </c>
      <c r="E6199" t="s">
        <v>7</v>
      </c>
      <c r="F6199" t="s">
        <v>7</v>
      </c>
      <c r="G6199" t="s">
        <v>7</v>
      </c>
      <c r="H6199">
        <v>20752.400000000001</v>
      </c>
      <c r="I6199">
        <v>5859.84</v>
      </c>
      <c r="J6199">
        <v>0</v>
      </c>
    </row>
    <row r="6200" spans="1:10" x14ac:dyDescent="0.35">
      <c r="A6200">
        <v>325438</v>
      </c>
      <c r="B6200" t="s">
        <v>20</v>
      </c>
      <c r="C6200">
        <v>2015</v>
      </c>
      <c r="D6200">
        <v>7</v>
      </c>
      <c r="E6200" t="s">
        <v>7</v>
      </c>
      <c r="F6200" t="s">
        <v>7</v>
      </c>
      <c r="G6200" t="s">
        <v>7</v>
      </c>
      <c r="H6200">
        <v>25770.92</v>
      </c>
      <c r="I6200">
        <v>7513.24</v>
      </c>
      <c r="J6200">
        <v>0</v>
      </c>
    </row>
    <row r="6201" spans="1:10" x14ac:dyDescent="0.35">
      <c r="A6201">
        <v>325440</v>
      </c>
      <c r="B6201" t="s">
        <v>20</v>
      </c>
      <c r="C6201">
        <v>2015</v>
      </c>
      <c r="D6201">
        <v>7</v>
      </c>
      <c r="E6201" t="s">
        <v>7</v>
      </c>
      <c r="F6201" t="s">
        <v>7</v>
      </c>
      <c r="G6201" t="s">
        <v>7</v>
      </c>
      <c r="H6201">
        <v>19601.5</v>
      </c>
      <c r="I6201">
        <v>5802.3</v>
      </c>
      <c r="J6201">
        <v>0</v>
      </c>
    </row>
    <row r="6202" spans="1:10" x14ac:dyDescent="0.35">
      <c r="A6202">
        <v>325441</v>
      </c>
      <c r="B6202" t="s">
        <v>20</v>
      </c>
      <c r="C6202">
        <v>2015</v>
      </c>
      <c r="D6202">
        <v>7</v>
      </c>
      <c r="E6202" t="s">
        <v>7</v>
      </c>
      <c r="F6202" t="s">
        <v>7</v>
      </c>
      <c r="G6202" t="s">
        <v>7</v>
      </c>
      <c r="H6202">
        <v>54530.96</v>
      </c>
      <c r="I6202">
        <v>24601.439999999999</v>
      </c>
      <c r="J6202">
        <v>0</v>
      </c>
    </row>
    <row r="6203" spans="1:10" x14ac:dyDescent="0.35">
      <c r="A6203">
        <v>325442</v>
      </c>
      <c r="B6203" t="s">
        <v>20</v>
      </c>
      <c r="C6203">
        <v>2015</v>
      </c>
      <c r="D6203">
        <v>7</v>
      </c>
      <c r="E6203" t="s">
        <v>7</v>
      </c>
      <c r="F6203" t="s">
        <v>7</v>
      </c>
      <c r="G6203" t="s">
        <v>7</v>
      </c>
      <c r="H6203">
        <v>21229</v>
      </c>
      <c r="I6203">
        <v>6030.31</v>
      </c>
      <c r="J6203">
        <v>0</v>
      </c>
    </row>
    <row r="6204" spans="1:10" x14ac:dyDescent="0.35">
      <c r="A6204">
        <v>325443</v>
      </c>
      <c r="B6204" t="s">
        <v>20</v>
      </c>
      <c r="C6204">
        <v>2015</v>
      </c>
      <c r="D6204">
        <v>7</v>
      </c>
      <c r="E6204" t="s">
        <v>7</v>
      </c>
      <c r="F6204" t="s">
        <v>7</v>
      </c>
      <c r="G6204" t="s">
        <v>7</v>
      </c>
      <c r="H6204">
        <v>27482.84</v>
      </c>
      <c r="I6204">
        <v>8480.89</v>
      </c>
      <c r="J6204">
        <v>0</v>
      </c>
    </row>
    <row r="6205" spans="1:10" x14ac:dyDescent="0.35">
      <c r="A6205">
        <v>325444</v>
      </c>
      <c r="B6205" t="s">
        <v>20</v>
      </c>
      <c r="C6205">
        <v>2015</v>
      </c>
      <c r="D6205">
        <v>7</v>
      </c>
      <c r="E6205" t="s">
        <v>7</v>
      </c>
      <c r="F6205" t="s">
        <v>7</v>
      </c>
      <c r="G6205" t="s">
        <v>7</v>
      </c>
      <c r="H6205">
        <v>16163.9</v>
      </c>
      <c r="I6205">
        <v>4718.1400000000003</v>
      </c>
      <c r="J6205">
        <v>0</v>
      </c>
    </row>
    <row r="6206" spans="1:10" x14ac:dyDescent="0.35">
      <c r="A6206">
        <v>325445</v>
      </c>
      <c r="B6206" t="s">
        <v>20</v>
      </c>
      <c r="C6206">
        <v>2015</v>
      </c>
      <c r="D6206">
        <v>7</v>
      </c>
      <c r="E6206" t="s">
        <v>7</v>
      </c>
      <c r="F6206" t="s">
        <v>7</v>
      </c>
      <c r="G6206" t="s">
        <v>7</v>
      </c>
      <c r="H6206">
        <v>20821.8</v>
      </c>
      <c r="I6206">
        <v>5214.76</v>
      </c>
      <c r="J6206">
        <v>0</v>
      </c>
    </row>
    <row r="6207" spans="1:10" x14ac:dyDescent="0.35">
      <c r="A6207">
        <v>325446</v>
      </c>
      <c r="B6207" t="s">
        <v>20</v>
      </c>
      <c r="C6207">
        <v>2015</v>
      </c>
      <c r="D6207">
        <v>7</v>
      </c>
      <c r="E6207" t="s">
        <v>7</v>
      </c>
      <c r="F6207" t="s">
        <v>7</v>
      </c>
      <c r="G6207" t="s">
        <v>7</v>
      </c>
      <c r="H6207">
        <v>61839</v>
      </c>
      <c r="I6207">
        <v>36167.760000000002</v>
      </c>
      <c r="J6207">
        <v>0</v>
      </c>
    </row>
    <row r="6208" spans="1:10" x14ac:dyDescent="0.35">
      <c r="A6208">
        <v>325447</v>
      </c>
      <c r="B6208" t="s">
        <v>20</v>
      </c>
      <c r="C6208">
        <v>2015</v>
      </c>
      <c r="D6208">
        <v>7</v>
      </c>
      <c r="E6208" t="s">
        <v>7</v>
      </c>
      <c r="F6208" t="s">
        <v>7</v>
      </c>
      <c r="G6208" t="s">
        <v>7</v>
      </c>
      <c r="H6208">
        <v>28636.9</v>
      </c>
      <c r="I6208">
        <v>8655</v>
      </c>
      <c r="J6208">
        <v>0</v>
      </c>
    </row>
    <row r="6209" spans="1:10" x14ac:dyDescent="0.35">
      <c r="A6209">
        <v>325448</v>
      </c>
      <c r="B6209" t="s">
        <v>20</v>
      </c>
      <c r="C6209">
        <v>2015</v>
      </c>
      <c r="D6209">
        <v>7</v>
      </c>
      <c r="E6209" t="s">
        <v>7</v>
      </c>
      <c r="F6209" t="s">
        <v>7</v>
      </c>
      <c r="G6209" t="s">
        <v>7</v>
      </c>
      <c r="H6209">
        <v>68721.48</v>
      </c>
      <c r="I6209">
        <v>36881.06</v>
      </c>
      <c r="J6209">
        <v>0</v>
      </c>
    </row>
    <row r="6210" spans="1:10" x14ac:dyDescent="0.35">
      <c r="A6210">
        <v>325449</v>
      </c>
      <c r="B6210" t="s">
        <v>20</v>
      </c>
      <c r="C6210">
        <v>2015</v>
      </c>
      <c r="D6210">
        <v>7</v>
      </c>
      <c r="E6210" t="s">
        <v>7</v>
      </c>
      <c r="F6210" t="s">
        <v>7</v>
      </c>
      <c r="G6210" t="s">
        <v>7</v>
      </c>
      <c r="H6210">
        <v>11419.4</v>
      </c>
      <c r="I6210">
        <v>2627.34</v>
      </c>
      <c r="J6210">
        <v>0</v>
      </c>
    </row>
    <row r="6211" spans="1:10" x14ac:dyDescent="0.35">
      <c r="A6211">
        <v>325453</v>
      </c>
      <c r="B6211" t="s">
        <v>20</v>
      </c>
      <c r="C6211">
        <v>2015</v>
      </c>
      <c r="D6211">
        <v>7</v>
      </c>
      <c r="E6211" t="s">
        <v>7</v>
      </c>
      <c r="F6211" t="s">
        <v>7</v>
      </c>
      <c r="G6211" t="s">
        <v>7</v>
      </c>
      <c r="H6211">
        <v>25144.7</v>
      </c>
      <c r="I6211">
        <v>6114.05</v>
      </c>
      <c r="J6211">
        <v>0</v>
      </c>
    </row>
    <row r="6212" spans="1:10" x14ac:dyDescent="0.35">
      <c r="A6212">
        <v>325454</v>
      </c>
      <c r="B6212" t="s">
        <v>20</v>
      </c>
      <c r="C6212">
        <v>2015</v>
      </c>
      <c r="D6212">
        <v>7</v>
      </c>
      <c r="E6212" t="s">
        <v>7</v>
      </c>
      <c r="F6212" t="s">
        <v>7</v>
      </c>
      <c r="G6212" t="s">
        <v>7</v>
      </c>
      <c r="H6212">
        <v>13701</v>
      </c>
      <c r="I6212">
        <v>3418.45</v>
      </c>
      <c r="J6212">
        <v>0</v>
      </c>
    </row>
    <row r="6213" spans="1:10" x14ac:dyDescent="0.35">
      <c r="A6213">
        <v>325455</v>
      </c>
      <c r="B6213" t="s">
        <v>20</v>
      </c>
      <c r="C6213">
        <v>2015</v>
      </c>
      <c r="D6213">
        <v>7</v>
      </c>
      <c r="E6213" t="s">
        <v>7</v>
      </c>
      <c r="F6213" t="s">
        <v>7</v>
      </c>
      <c r="G6213" t="s">
        <v>7</v>
      </c>
      <c r="H6213">
        <v>10208.16</v>
      </c>
      <c r="I6213">
        <v>2731.15</v>
      </c>
      <c r="J6213">
        <v>0</v>
      </c>
    </row>
    <row r="6214" spans="1:10" x14ac:dyDescent="0.35">
      <c r="A6214">
        <v>325456</v>
      </c>
      <c r="B6214" t="s">
        <v>20</v>
      </c>
      <c r="C6214">
        <v>2015</v>
      </c>
      <c r="D6214">
        <v>7</v>
      </c>
      <c r="E6214" t="s">
        <v>7</v>
      </c>
      <c r="F6214" t="s">
        <v>7</v>
      </c>
      <c r="G6214" t="s">
        <v>7</v>
      </c>
      <c r="H6214">
        <v>58684.98</v>
      </c>
      <c r="I6214">
        <v>18728.400000000001</v>
      </c>
      <c r="J6214">
        <v>0</v>
      </c>
    </row>
    <row r="6215" spans="1:10" x14ac:dyDescent="0.35">
      <c r="A6215">
        <v>325458</v>
      </c>
      <c r="B6215" t="s">
        <v>20</v>
      </c>
      <c r="C6215">
        <v>2015</v>
      </c>
      <c r="D6215">
        <v>7</v>
      </c>
      <c r="E6215" t="s">
        <v>7</v>
      </c>
      <c r="F6215" t="s">
        <v>7</v>
      </c>
      <c r="G6215" t="s">
        <v>7</v>
      </c>
      <c r="H6215">
        <v>15328.18</v>
      </c>
      <c r="I6215">
        <v>4460.6000000000004</v>
      </c>
      <c r="J6215">
        <v>0</v>
      </c>
    </row>
    <row r="6216" spans="1:10" x14ac:dyDescent="0.35">
      <c r="A6216">
        <v>325459</v>
      </c>
      <c r="B6216" t="s">
        <v>20</v>
      </c>
      <c r="C6216">
        <v>2015</v>
      </c>
      <c r="D6216">
        <v>7</v>
      </c>
      <c r="E6216" t="s">
        <v>7</v>
      </c>
      <c r="F6216" t="s">
        <v>7</v>
      </c>
      <c r="G6216" t="s">
        <v>7</v>
      </c>
      <c r="H6216">
        <v>58176.08</v>
      </c>
      <c r="I6216">
        <v>31537.77</v>
      </c>
      <c r="J6216">
        <v>0</v>
      </c>
    </row>
    <row r="6217" spans="1:10" x14ac:dyDescent="0.35">
      <c r="A6217">
        <v>325460</v>
      </c>
      <c r="B6217" t="s">
        <v>20</v>
      </c>
      <c r="C6217">
        <v>2015</v>
      </c>
      <c r="D6217">
        <v>7</v>
      </c>
      <c r="E6217" t="s">
        <v>7</v>
      </c>
      <c r="F6217" t="s">
        <v>7</v>
      </c>
      <c r="G6217" t="s">
        <v>7</v>
      </c>
      <c r="H6217">
        <v>15498.04</v>
      </c>
      <c r="I6217">
        <v>4592.59</v>
      </c>
      <c r="J6217">
        <v>0</v>
      </c>
    </row>
    <row r="6218" spans="1:10" x14ac:dyDescent="0.35">
      <c r="A6218">
        <v>325461</v>
      </c>
      <c r="B6218" t="s">
        <v>20</v>
      </c>
      <c r="C6218">
        <v>2015</v>
      </c>
      <c r="D6218">
        <v>7</v>
      </c>
      <c r="E6218" t="s">
        <v>7</v>
      </c>
      <c r="F6218" t="s">
        <v>7</v>
      </c>
      <c r="G6218" t="s">
        <v>7</v>
      </c>
      <c r="H6218">
        <v>14044.26</v>
      </c>
      <c r="I6218">
        <v>2879.84</v>
      </c>
      <c r="J6218">
        <v>0</v>
      </c>
    </row>
    <row r="6219" spans="1:10" x14ac:dyDescent="0.35">
      <c r="A6219">
        <v>325464</v>
      </c>
      <c r="B6219" t="s">
        <v>20</v>
      </c>
      <c r="C6219">
        <v>2015</v>
      </c>
      <c r="D6219">
        <v>7</v>
      </c>
      <c r="E6219" t="s">
        <v>7</v>
      </c>
      <c r="F6219" t="s">
        <v>7</v>
      </c>
      <c r="G6219" t="s">
        <v>7</v>
      </c>
      <c r="H6219">
        <v>31656.2</v>
      </c>
      <c r="I6219">
        <v>8610.3799999999992</v>
      </c>
      <c r="J6219">
        <v>0</v>
      </c>
    </row>
    <row r="6220" spans="1:10" x14ac:dyDescent="0.35">
      <c r="A6220">
        <v>325465</v>
      </c>
      <c r="B6220" t="s">
        <v>20</v>
      </c>
      <c r="C6220">
        <v>2015</v>
      </c>
      <c r="D6220">
        <v>7</v>
      </c>
      <c r="E6220" t="s">
        <v>7</v>
      </c>
      <c r="F6220" t="s">
        <v>7</v>
      </c>
      <c r="G6220" t="s">
        <v>7</v>
      </c>
      <c r="H6220">
        <v>23422.9</v>
      </c>
      <c r="I6220">
        <v>5212.6099999999997</v>
      </c>
      <c r="J6220">
        <v>0</v>
      </c>
    </row>
    <row r="6221" spans="1:10" x14ac:dyDescent="0.35">
      <c r="A6221">
        <v>325467</v>
      </c>
      <c r="B6221" t="s">
        <v>20</v>
      </c>
      <c r="C6221">
        <v>2015</v>
      </c>
      <c r="D6221">
        <v>7</v>
      </c>
      <c r="E6221" t="s">
        <v>7</v>
      </c>
      <c r="F6221" t="s">
        <v>7</v>
      </c>
      <c r="G6221" t="s">
        <v>7</v>
      </c>
      <c r="H6221">
        <v>18457.46</v>
      </c>
      <c r="I6221">
        <v>4682.71</v>
      </c>
      <c r="J6221">
        <v>0</v>
      </c>
    </row>
    <row r="6222" spans="1:10" x14ac:dyDescent="0.35">
      <c r="A6222">
        <v>325468</v>
      </c>
      <c r="B6222" t="s">
        <v>20</v>
      </c>
      <c r="C6222">
        <v>2015</v>
      </c>
      <c r="D6222">
        <v>7</v>
      </c>
      <c r="E6222" t="s">
        <v>7</v>
      </c>
      <c r="F6222" t="s">
        <v>7</v>
      </c>
      <c r="G6222" t="s">
        <v>7</v>
      </c>
      <c r="H6222">
        <v>10127.52</v>
      </c>
      <c r="I6222">
        <v>2309.42</v>
      </c>
      <c r="J6222">
        <v>0</v>
      </c>
    </row>
    <row r="6223" spans="1:10" x14ac:dyDescent="0.35">
      <c r="A6223">
        <v>325469</v>
      </c>
      <c r="B6223" t="s">
        <v>20</v>
      </c>
      <c r="C6223">
        <v>2015</v>
      </c>
      <c r="D6223">
        <v>7</v>
      </c>
      <c r="E6223" t="s">
        <v>7</v>
      </c>
      <c r="F6223" t="s">
        <v>7</v>
      </c>
      <c r="G6223" t="s">
        <v>7</v>
      </c>
      <c r="H6223">
        <v>55775.16</v>
      </c>
      <c r="I6223">
        <v>17931.28</v>
      </c>
      <c r="J6223">
        <v>0</v>
      </c>
    </row>
    <row r="6224" spans="1:10" x14ac:dyDescent="0.35">
      <c r="A6224">
        <v>325470</v>
      </c>
      <c r="B6224" t="s">
        <v>20</v>
      </c>
      <c r="C6224">
        <v>2015</v>
      </c>
      <c r="D6224">
        <v>7</v>
      </c>
      <c r="E6224" t="s">
        <v>7</v>
      </c>
      <c r="F6224" t="s">
        <v>7</v>
      </c>
      <c r="G6224" t="s">
        <v>7</v>
      </c>
      <c r="H6224">
        <v>19677.919999999998</v>
      </c>
      <c r="I6224">
        <v>5089.07</v>
      </c>
      <c r="J6224">
        <v>0</v>
      </c>
    </row>
    <row r="6225" spans="1:10" x14ac:dyDescent="0.35">
      <c r="A6225">
        <v>325471</v>
      </c>
      <c r="B6225" t="s">
        <v>20</v>
      </c>
      <c r="C6225">
        <v>2015</v>
      </c>
      <c r="D6225">
        <v>7</v>
      </c>
      <c r="E6225" t="s">
        <v>7</v>
      </c>
      <c r="F6225" t="s">
        <v>7</v>
      </c>
      <c r="G6225" t="s">
        <v>7</v>
      </c>
      <c r="H6225">
        <v>32927.46</v>
      </c>
      <c r="I6225">
        <v>7280.09</v>
      </c>
      <c r="J6225">
        <v>0</v>
      </c>
    </row>
    <row r="6226" spans="1:10" x14ac:dyDescent="0.35">
      <c r="A6226">
        <v>325472</v>
      </c>
      <c r="B6226" t="s">
        <v>20</v>
      </c>
      <c r="C6226">
        <v>2015</v>
      </c>
      <c r="D6226">
        <v>7</v>
      </c>
      <c r="E6226" t="s">
        <v>7</v>
      </c>
      <c r="F6226" t="s">
        <v>7</v>
      </c>
      <c r="G6226" t="s">
        <v>7</v>
      </c>
      <c r="H6226">
        <v>113186.36</v>
      </c>
      <c r="I6226">
        <v>46335.09</v>
      </c>
      <c r="J6226">
        <v>0</v>
      </c>
    </row>
    <row r="6227" spans="1:10" x14ac:dyDescent="0.35">
      <c r="A6227">
        <v>325473</v>
      </c>
      <c r="B6227" t="s">
        <v>20</v>
      </c>
      <c r="C6227">
        <v>2015</v>
      </c>
      <c r="D6227">
        <v>7</v>
      </c>
      <c r="E6227" t="s">
        <v>7</v>
      </c>
      <c r="F6227" t="s">
        <v>7</v>
      </c>
      <c r="G6227" t="s">
        <v>7</v>
      </c>
      <c r="H6227">
        <v>17532.46</v>
      </c>
      <c r="I6227">
        <v>4891.03</v>
      </c>
      <c r="J6227">
        <v>0</v>
      </c>
    </row>
    <row r="6228" spans="1:10" x14ac:dyDescent="0.35">
      <c r="A6228">
        <v>325474</v>
      </c>
      <c r="B6228" t="s">
        <v>20</v>
      </c>
      <c r="C6228">
        <v>2015</v>
      </c>
      <c r="D6228">
        <v>7</v>
      </c>
      <c r="E6228" t="s">
        <v>7</v>
      </c>
      <c r="F6228" t="s">
        <v>7</v>
      </c>
      <c r="G6228" t="s">
        <v>7</v>
      </c>
      <c r="H6228">
        <v>41776.18</v>
      </c>
      <c r="I6228">
        <v>12878.06</v>
      </c>
      <c r="J6228">
        <v>0</v>
      </c>
    </row>
    <row r="6229" spans="1:10" x14ac:dyDescent="0.35">
      <c r="A6229">
        <v>325475</v>
      </c>
      <c r="B6229" t="s">
        <v>20</v>
      </c>
      <c r="C6229">
        <v>2015</v>
      </c>
      <c r="D6229">
        <v>7</v>
      </c>
      <c r="E6229" t="s">
        <v>7</v>
      </c>
      <c r="F6229" t="s">
        <v>7</v>
      </c>
      <c r="G6229" t="s">
        <v>7</v>
      </c>
      <c r="H6229">
        <v>29658.66</v>
      </c>
      <c r="I6229">
        <v>6600.4</v>
      </c>
      <c r="J6229">
        <v>0</v>
      </c>
    </row>
    <row r="6230" spans="1:10" x14ac:dyDescent="0.35">
      <c r="A6230">
        <v>325477</v>
      </c>
      <c r="B6230" t="s">
        <v>20</v>
      </c>
      <c r="C6230">
        <v>2015</v>
      </c>
      <c r="D6230">
        <v>7</v>
      </c>
      <c r="E6230" t="s">
        <v>7</v>
      </c>
      <c r="F6230" t="s">
        <v>7</v>
      </c>
      <c r="G6230" t="s">
        <v>7</v>
      </c>
      <c r="H6230">
        <v>47174.92</v>
      </c>
      <c r="I6230">
        <v>13710.41</v>
      </c>
      <c r="J6230">
        <v>0</v>
      </c>
    </row>
    <row r="6231" spans="1:10" x14ac:dyDescent="0.35">
      <c r="A6231">
        <v>325478</v>
      </c>
      <c r="B6231" t="s">
        <v>20</v>
      </c>
      <c r="C6231">
        <v>2015</v>
      </c>
      <c r="D6231">
        <v>7</v>
      </c>
      <c r="E6231" t="s">
        <v>7</v>
      </c>
      <c r="F6231" t="s">
        <v>7</v>
      </c>
      <c r="G6231" t="s">
        <v>7</v>
      </c>
      <c r="H6231">
        <v>29821.8</v>
      </c>
      <c r="I6231">
        <v>8669.99</v>
      </c>
      <c r="J6231">
        <v>0</v>
      </c>
    </row>
    <row r="6232" spans="1:10" x14ac:dyDescent="0.35">
      <c r="A6232">
        <v>325479</v>
      </c>
      <c r="B6232" t="s">
        <v>20</v>
      </c>
      <c r="C6232">
        <v>2015</v>
      </c>
      <c r="D6232">
        <v>7</v>
      </c>
      <c r="E6232" t="s">
        <v>7</v>
      </c>
      <c r="F6232" t="s">
        <v>7</v>
      </c>
      <c r="G6232" t="s">
        <v>7</v>
      </c>
      <c r="H6232">
        <v>9857.08</v>
      </c>
      <c r="I6232">
        <v>2752.99</v>
      </c>
      <c r="J6232">
        <v>0</v>
      </c>
    </row>
    <row r="6233" spans="1:10" x14ac:dyDescent="0.35">
      <c r="A6233">
        <v>325480</v>
      </c>
      <c r="B6233" t="s">
        <v>20</v>
      </c>
      <c r="C6233">
        <v>2015</v>
      </c>
      <c r="D6233">
        <v>7</v>
      </c>
      <c r="E6233" t="s">
        <v>7</v>
      </c>
      <c r="F6233" t="s">
        <v>7</v>
      </c>
      <c r="G6233" t="s">
        <v>7</v>
      </c>
      <c r="H6233">
        <v>9237.24</v>
      </c>
      <c r="I6233">
        <v>2409.7199999999998</v>
      </c>
      <c r="J6233">
        <v>0</v>
      </c>
    </row>
    <row r="6234" spans="1:10" x14ac:dyDescent="0.35">
      <c r="A6234">
        <v>325481</v>
      </c>
      <c r="B6234" t="s">
        <v>20</v>
      </c>
      <c r="C6234">
        <v>2015</v>
      </c>
      <c r="D6234">
        <v>7</v>
      </c>
      <c r="E6234" t="s">
        <v>7</v>
      </c>
      <c r="F6234" t="s">
        <v>7</v>
      </c>
      <c r="G6234" t="s">
        <v>7</v>
      </c>
      <c r="H6234">
        <v>18736.939999999999</v>
      </c>
      <c r="I6234">
        <v>4258.0600000000004</v>
      </c>
      <c r="J6234">
        <v>0</v>
      </c>
    </row>
    <row r="6235" spans="1:10" x14ac:dyDescent="0.35">
      <c r="A6235">
        <v>325482</v>
      </c>
      <c r="B6235" t="s">
        <v>20</v>
      </c>
      <c r="C6235">
        <v>2015</v>
      </c>
      <c r="D6235">
        <v>7</v>
      </c>
      <c r="E6235" t="s">
        <v>7</v>
      </c>
      <c r="F6235" t="s">
        <v>7</v>
      </c>
      <c r="G6235" t="s">
        <v>7</v>
      </c>
      <c r="H6235">
        <v>98700.9</v>
      </c>
      <c r="I6235">
        <v>43475.18</v>
      </c>
      <c r="J6235">
        <v>0</v>
      </c>
    </row>
    <row r="6236" spans="1:10" x14ac:dyDescent="0.35">
      <c r="A6236">
        <v>325483</v>
      </c>
      <c r="B6236" t="s">
        <v>20</v>
      </c>
      <c r="C6236">
        <v>2015</v>
      </c>
      <c r="D6236">
        <v>7</v>
      </c>
      <c r="E6236" t="s">
        <v>7</v>
      </c>
      <c r="F6236" t="s">
        <v>7</v>
      </c>
      <c r="G6236" t="s">
        <v>7</v>
      </c>
      <c r="H6236">
        <v>36870.959999999999</v>
      </c>
      <c r="I6236">
        <v>8821.73</v>
      </c>
      <c r="J6236">
        <v>0</v>
      </c>
    </row>
    <row r="6237" spans="1:10" x14ac:dyDescent="0.35">
      <c r="A6237">
        <v>325485</v>
      </c>
      <c r="B6237" t="s">
        <v>20</v>
      </c>
      <c r="C6237">
        <v>2015</v>
      </c>
      <c r="D6237">
        <v>7</v>
      </c>
      <c r="E6237" t="s">
        <v>7</v>
      </c>
      <c r="F6237" t="s">
        <v>7</v>
      </c>
      <c r="G6237" t="s">
        <v>7</v>
      </c>
      <c r="H6237">
        <v>25177.4</v>
      </c>
      <c r="I6237">
        <v>7075.89</v>
      </c>
      <c r="J6237">
        <v>0</v>
      </c>
    </row>
    <row r="6238" spans="1:10" x14ac:dyDescent="0.35">
      <c r="A6238">
        <v>325486</v>
      </c>
      <c r="B6238" t="s">
        <v>20</v>
      </c>
      <c r="C6238">
        <v>2015</v>
      </c>
      <c r="D6238">
        <v>7</v>
      </c>
      <c r="E6238" t="s">
        <v>7</v>
      </c>
      <c r="F6238" t="s">
        <v>7</v>
      </c>
      <c r="G6238" t="s">
        <v>7</v>
      </c>
      <c r="H6238">
        <v>22645.46</v>
      </c>
      <c r="I6238">
        <v>11716.89</v>
      </c>
      <c r="J6238">
        <v>0</v>
      </c>
    </row>
    <row r="6239" spans="1:10" x14ac:dyDescent="0.35">
      <c r="A6239">
        <v>325488</v>
      </c>
      <c r="B6239" t="s">
        <v>20</v>
      </c>
      <c r="C6239">
        <v>2015</v>
      </c>
      <c r="D6239">
        <v>7</v>
      </c>
      <c r="E6239" t="s">
        <v>7</v>
      </c>
      <c r="F6239" t="s">
        <v>7</v>
      </c>
      <c r="G6239" t="s">
        <v>7</v>
      </c>
      <c r="H6239">
        <v>54676.639999999999</v>
      </c>
      <c r="I6239">
        <v>17395.939999999999</v>
      </c>
      <c r="J6239">
        <v>0</v>
      </c>
    </row>
    <row r="6240" spans="1:10" x14ac:dyDescent="0.35">
      <c r="A6240">
        <v>325491</v>
      </c>
      <c r="B6240" t="s">
        <v>20</v>
      </c>
      <c r="C6240">
        <v>2015</v>
      </c>
      <c r="D6240">
        <v>7</v>
      </c>
      <c r="E6240" t="s">
        <v>7</v>
      </c>
      <c r="F6240" t="s">
        <v>7</v>
      </c>
      <c r="G6240" t="s">
        <v>7</v>
      </c>
      <c r="H6240">
        <v>30926.76</v>
      </c>
      <c r="I6240">
        <v>6981.22</v>
      </c>
      <c r="J6240">
        <v>0</v>
      </c>
    </row>
    <row r="6241" spans="1:10" x14ac:dyDescent="0.35">
      <c r="A6241">
        <v>325493</v>
      </c>
      <c r="B6241" t="s">
        <v>20</v>
      </c>
      <c r="C6241">
        <v>2015</v>
      </c>
      <c r="D6241">
        <v>7</v>
      </c>
      <c r="E6241" t="s">
        <v>7</v>
      </c>
      <c r="F6241" t="s">
        <v>7</v>
      </c>
      <c r="G6241" t="s">
        <v>7</v>
      </c>
      <c r="H6241">
        <v>26964.400000000001</v>
      </c>
      <c r="I6241">
        <v>7965.6</v>
      </c>
      <c r="J6241">
        <v>0</v>
      </c>
    </row>
    <row r="6242" spans="1:10" x14ac:dyDescent="0.35">
      <c r="A6242">
        <v>325494</v>
      </c>
      <c r="B6242" t="s">
        <v>20</v>
      </c>
      <c r="C6242">
        <v>2015</v>
      </c>
      <c r="D6242">
        <v>7</v>
      </c>
      <c r="E6242" t="s">
        <v>7</v>
      </c>
      <c r="F6242" t="s">
        <v>7</v>
      </c>
      <c r="G6242" t="s">
        <v>7</v>
      </c>
      <c r="H6242">
        <v>20521.86</v>
      </c>
      <c r="I6242">
        <v>6327.24</v>
      </c>
      <c r="J6242">
        <v>0</v>
      </c>
    </row>
    <row r="6243" spans="1:10" x14ac:dyDescent="0.35">
      <c r="A6243">
        <v>325495</v>
      </c>
      <c r="B6243" t="s">
        <v>20</v>
      </c>
      <c r="C6243">
        <v>2015</v>
      </c>
      <c r="D6243">
        <v>7</v>
      </c>
      <c r="E6243" t="s">
        <v>7</v>
      </c>
      <c r="F6243" t="s">
        <v>7</v>
      </c>
      <c r="G6243" t="s">
        <v>7</v>
      </c>
      <c r="H6243">
        <v>28955.9</v>
      </c>
      <c r="I6243">
        <v>8550.43</v>
      </c>
      <c r="J6243">
        <v>0</v>
      </c>
    </row>
    <row r="6244" spans="1:10" x14ac:dyDescent="0.35">
      <c r="A6244">
        <v>325496</v>
      </c>
      <c r="B6244" t="s">
        <v>20</v>
      </c>
      <c r="C6244">
        <v>2015</v>
      </c>
      <c r="D6244">
        <v>7</v>
      </c>
      <c r="E6244" t="s">
        <v>7</v>
      </c>
      <c r="F6244" t="s">
        <v>7</v>
      </c>
      <c r="G6244" t="s">
        <v>7</v>
      </c>
      <c r="H6244">
        <v>22740.1</v>
      </c>
      <c r="I6244">
        <v>6657.43</v>
      </c>
      <c r="J6244">
        <v>0</v>
      </c>
    </row>
    <row r="6245" spans="1:10" x14ac:dyDescent="0.35">
      <c r="A6245">
        <v>325497</v>
      </c>
      <c r="B6245" t="s">
        <v>20</v>
      </c>
      <c r="C6245">
        <v>2015</v>
      </c>
      <c r="D6245">
        <v>7</v>
      </c>
      <c r="E6245" t="s">
        <v>7</v>
      </c>
      <c r="F6245" t="s">
        <v>7</v>
      </c>
      <c r="G6245" t="s">
        <v>7</v>
      </c>
      <c r="H6245">
        <v>27048.62</v>
      </c>
      <c r="I6245">
        <v>7416.68</v>
      </c>
      <c r="J6245">
        <v>0</v>
      </c>
    </row>
    <row r="6246" spans="1:10" x14ac:dyDescent="0.35">
      <c r="A6246">
        <v>325498</v>
      </c>
      <c r="B6246" t="s">
        <v>20</v>
      </c>
      <c r="C6246">
        <v>2015</v>
      </c>
      <c r="D6246">
        <v>7</v>
      </c>
      <c r="E6246" t="s">
        <v>7</v>
      </c>
      <c r="F6246" t="s">
        <v>7</v>
      </c>
      <c r="G6246" t="s">
        <v>7</v>
      </c>
      <c r="H6246">
        <v>88903.66</v>
      </c>
      <c r="I6246">
        <v>31736.880000000001</v>
      </c>
      <c r="J6246">
        <v>0</v>
      </c>
    </row>
    <row r="6247" spans="1:10" x14ac:dyDescent="0.35">
      <c r="A6247">
        <v>325499</v>
      </c>
      <c r="B6247" t="s">
        <v>20</v>
      </c>
      <c r="C6247">
        <v>2015</v>
      </c>
      <c r="D6247">
        <v>7</v>
      </c>
      <c r="E6247" t="s">
        <v>7</v>
      </c>
      <c r="F6247" t="s">
        <v>7</v>
      </c>
      <c r="G6247" t="s">
        <v>7</v>
      </c>
      <c r="H6247">
        <v>10343.4</v>
      </c>
      <c r="I6247">
        <v>2856.04</v>
      </c>
      <c r="J6247">
        <v>0</v>
      </c>
    </row>
    <row r="6248" spans="1:10" x14ac:dyDescent="0.35">
      <c r="A6248">
        <v>325500</v>
      </c>
      <c r="B6248" t="s">
        <v>20</v>
      </c>
      <c r="C6248">
        <v>2015</v>
      </c>
      <c r="D6248">
        <v>7</v>
      </c>
      <c r="E6248" t="s">
        <v>7</v>
      </c>
      <c r="F6248" t="s">
        <v>7</v>
      </c>
      <c r="G6248" t="s">
        <v>7</v>
      </c>
      <c r="H6248">
        <v>12065.22</v>
      </c>
      <c r="I6248">
        <v>3052.6</v>
      </c>
      <c r="J6248">
        <v>0</v>
      </c>
    </row>
    <row r="6249" spans="1:10" x14ac:dyDescent="0.35">
      <c r="A6249">
        <v>325501</v>
      </c>
      <c r="B6249" t="s">
        <v>20</v>
      </c>
      <c r="C6249">
        <v>2015</v>
      </c>
      <c r="D6249">
        <v>7</v>
      </c>
      <c r="E6249" t="s">
        <v>7</v>
      </c>
      <c r="F6249" t="s">
        <v>7</v>
      </c>
      <c r="G6249" t="s">
        <v>7</v>
      </c>
      <c r="H6249">
        <v>15599.42</v>
      </c>
      <c r="I6249">
        <v>3682.64</v>
      </c>
      <c r="J6249">
        <v>0</v>
      </c>
    </row>
    <row r="6250" spans="1:10" x14ac:dyDescent="0.35">
      <c r="A6250">
        <v>325504</v>
      </c>
      <c r="B6250" t="s">
        <v>20</v>
      </c>
      <c r="C6250">
        <v>2015</v>
      </c>
      <c r="D6250">
        <v>7</v>
      </c>
      <c r="E6250" t="s">
        <v>7</v>
      </c>
      <c r="F6250" t="s">
        <v>7</v>
      </c>
      <c r="G6250" t="s">
        <v>7</v>
      </c>
      <c r="H6250">
        <v>25949.42</v>
      </c>
      <c r="I6250">
        <v>8271.3799999999992</v>
      </c>
      <c r="J6250">
        <v>0</v>
      </c>
    </row>
    <row r="6251" spans="1:10" x14ac:dyDescent="0.35">
      <c r="A6251">
        <v>325505</v>
      </c>
      <c r="B6251" t="s">
        <v>20</v>
      </c>
      <c r="C6251">
        <v>2015</v>
      </c>
      <c r="D6251">
        <v>7</v>
      </c>
      <c r="E6251" t="s">
        <v>7</v>
      </c>
      <c r="F6251" t="s">
        <v>7</v>
      </c>
      <c r="G6251" t="s">
        <v>7</v>
      </c>
      <c r="H6251">
        <v>41383.199999999997</v>
      </c>
      <c r="I6251">
        <v>12769.28</v>
      </c>
      <c r="J6251">
        <v>0</v>
      </c>
    </row>
    <row r="6252" spans="1:10" x14ac:dyDescent="0.35">
      <c r="A6252">
        <v>325506</v>
      </c>
      <c r="B6252" t="s">
        <v>20</v>
      </c>
      <c r="C6252">
        <v>2015</v>
      </c>
      <c r="D6252">
        <v>7</v>
      </c>
      <c r="E6252" t="s">
        <v>7</v>
      </c>
      <c r="F6252" t="s">
        <v>7</v>
      </c>
      <c r="G6252" t="s">
        <v>7</v>
      </c>
      <c r="H6252">
        <v>79533.2</v>
      </c>
      <c r="I6252">
        <v>23038.37</v>
      </c>
      <c r="J6252">
        <v>0</v>
      </c>
    </row>
    <row r="6253" spans="1:10" x14ac:dyDescent="0.35">
      <c r="A6253">
        <v>325507</v>
      </c>
      <c r="B6253" t="s">
        <v>20</v>
      </c>
      <c r="C6253">
        <v>2015</v>
      </c>
      <c r="D6253">
        <v>7</v>
      </c>
      <c r="E6253" t="s">
        <v>7</v>
      </c>
      <c r="F6253" t="s">
        <v>7</v>
      </c>
      <c r="G6253" t="s">
        <v>7</v>
      </c>
      <c r="H6253">
        <v>29600.66</v>
      </c>
      <c r="I6253">
        <v>8885.25</v>
      </c>
      <c r="J6253">
        <v>0</v>
      </c>
    </row>
    <row r="6254" spans="1:10" x14ac:dyDescent="0.35">
      <c r="A6254">
        <v>325509</v>
      </c>
      <c r="B6254" t="s">
        <v>20</v>
      </c>
      <c r="C6254">
        <v>2015</v>
      </c>
      <c r="D6254">
        <v>7</v>
      </c>
      <c r="E6254" t="s">
        <v>7</v>
      </c>
      <c r="F6254" t="s">
        <v>7</v>
      </c>
      <c r="G6254" t="s">
        <v>7</v>
      </c>
      <c r="H6254">
        <v>67043.02</v>
      </c>
      <c r="I6254">
        <v>20237.7</v>
      </c>
      <c r="J6254">
        <v>0</v>
      </c>
    </row>
    <row r="6255" spans="1:10" x14ac:dyDescent="0.35">
      <c r="A6255">
        <v>325510</v>
      </c>
      <c r="B6255" t="s">
        <v>20</v>
      </c>
      <c r="C6255">
        <v>2015</v>
      </c>
      <c r="D6255">
        <v>7</v>
      </c>
      <c r="E6255" t="s">
        <v>7</v>
      </c>
      <c r="F6255" t="s">
        <v>7</v>
      </c>
      <c r="G6255" t="s">
        <v>7</v>
      </c>
      <c r="H6255">
        <v>147639.67999999999</v>
      </c>
      <c r="I6255">
        <v>49861.98</v>
      </c>
      <c r="J6255">
        <v>0</v>
      </c>
    </row>
    <row r="6256" spans="1:10" x14ac:dyDescent="0.35">
      <c r="A6256">
        <v>325511</v>
      </c>
      <c r="B6256" t="s">
        <v>20</v>
      </c>
      <c r="C6256">
        <v>2015</v>
      </c>
      <c r="D6256">
        <v>7</v>
      </c>
      <c r="E6256" t="s">
        <v>7</v>
      </c>
      <c r="F6256" t="s">
        <v>7</v>
      </c>
      <c r="G6256" t="s">
        <v>7</v>
      </c>
      <c r="H6256">
        <v>65661.36</v>
      </c>
      <c r="I6256">
        <v>19897.560000000001</v>
      </c>
      <c r="J6256">
        <v>0</v>
      </c>
    </row>
    <row r="6257" spans="1:10" x14ac:dyDescent="0.35">
      <c r="A6257">
        <v>325512</v>
      </c>
      <c r="B6257" t="s">
        <v>20</v>
      </c>
      <c r="C6257">
        <v>2015</v>
      </c>
      <c r="D6257">
        <v>7</v>
      </c>
      <c r="E6257" t="s">
        <v>7</v>
      </c>
      <c r="F6257" t="s">
        <v>7</v>
      </c>
      <c r="G6257" t="s">
        <v>7</v>
      </c>
      <c r="H6257">
        <v>22496</v>
      </c>
      <c r="I6257">
        <v>6123.42</v>
      </c>
      <c r="J6257">
        <v>0</v>
      </c>
    </row>
    <row r="6258" spans="1:10" x14ac:dyDescent="0.35">
      <c r="A6258">
        <v>325513</v>
      </c>
      <c r="B6258" t="s">
        <v>20</v>
      </c>
      <c r="C6258">
        <v>2015</v>
      </c>
      <c r="D6258">
        <v>7</v>
      </c>
      <c r="E6258" t="s">
        <v>7</v>
      </c>
      <c r="F6258" t="s">
        <v>7</v>
      </c>
      <c r="G6258" t="s">
        <v>7</v>
      </c>
      <c r="H6258">
        <v>35660.879999999997</v>
      </c>
      <c r="I6258">
        <v>10609.64</v>
      </c>
      <c r="J6258">
        <v>0</v>
      </c>
    </row>
    <row r="6259" spans="1:10" x14ac:dyDescent="0.35">
      <c r="A6259">
        <v>325515</v>
      </c>
      <c r="B6259" t="s">
        <v>20</v>
      </c>
      <c r="C6259">
        <v>2015</v>
      </c>
      <c r="D6259">
        <v>7</v>
      </c>
      <c r="E6259" t="s">
        <v>7</v>
      </c>
      <c r="F6259" t="s">
        <v>7</v>
      </c>
      <c r="G6259" t="s">
        <v>7</v>
      </c>
      <c r="H6259">
        <v>30247.54</v>
      </c>
      <c r="I6259">
        <v>8706.31</v>
      </c>
      <c r="J6259">
        <v>0</v>
      </c>
    </row>
    <row r="6260" spans="1:10" x14ac:dyDescent="0.35">
      <c r="A6260">
        <v>325516</v>
      </c>
      <c r="B6260" t="s">
        <v>20</v>
      </c>
      <c r="C6260">
        <v>2015</v>
      </c>
      <c r="D6260">
        <v>7</v>
      </c>
      <c r="E6260" t="s">
        <v>7</v>
      </c>
      <c r="F6260" t="s">
        <v>7</v>
      </c>
      <c r="G6260" t="s">
        <v>7</v>
      </c>
      <c r="H6260">
        <v>57689.62</v>
      </c>
      <c r="I6260">
        <v>15795.87</v>
      </c>
      <c r="J6260">
        <v>0</v>
      </c>
    </row>
    <row r="6261" spans="1:10" x14ac:dyDescent="0.35">
      <c r="A6261">
        <v>325517</v>
      </c>
      <c r="B6261" t="s">
        <v>20</v>
      </c>
      <c r="C6261">
        <v>2015</v>
      </c>
      <c r="D6261">
        <v>7</v>
      </c>
      <c r="E6261" t="s">
        <v>7</v>
      </c>
      <c r="F6261" t="s">
        <v>7</v>
      </c>
      <c r="G6261" t="s">
        <v>7</v>
      </c>
      <c r="H6261">
        <v>13126.28</v>
      </c>
      <c r="I6261">
        <v>3110.28</v>
      </c>
      <c r="J6261">
        <v>0</v>
      </c>
    </row>
    <row r="6262" spans="1:10" x14ac:dyDescent="0.35">
      <c r="A6262">
        <v>325519</v>
      </c>
      <c r="B6262" t="s">
        <v>20</v>
      </c>
      <c r="C6262">
        <v>2015</v>
      </c>
      <c r="D6262">
        <v>7</v>
      </c>
      <c r="E6262" t="s">
        <v>7</v>
      </c>
      <c r="F6262" t="s">
        <v>7</v>
      </c>
      <c r="G6262" t="s">
        <v>7</v>
      </c>
      <c r="H6262">
        <v>24682.38</v>
      </c>
      <c r="I6262">
        <v>12521.37</v>
      </c>
      <c r="J6262">
        <v>0</v>
      </c>
    </row>
    <row r="6263" spans="1:10" x14ac:dyDescent="0.35">
      <c r="A6263">
        <v>325520</v>
      </c>
      <c r="B6263" t="s">
        <v>20</v>
      </c>
      <c r="C6263">
        <v>2015</v>
      </c>
      <c r="D6263">
        <v>7</v>
      </c>
      <c r="E6263" t="s">
        <v>7</v>
      </c>
      <c r="F6263" t="s">
        <v>7</v>
      </c>
      <c r="G6263" t="s">
        <v>7</v>
      </c>
      <c r="H6263">
        <v>43074.3</v>
      </c>
      <c r="I6263">
        <v>12541.7</v>
      </c>
      <c r="J6263">
        <v>0</v>
      </c>
    </row>
    <row r="6264" spans="1:10" x14ac:dyDescent="0.35">
      <c r="A6264">
        <v>325521</v>
      </c>
      <c r="B6264" t="s">
        <v>20</v>
      </c>
      <c r="C6264">
        <v>2015</v>
      </c>
      <c r="D6264">
        <v>7</v>
      </c>
      <c r="E6264" t="s">
        <v>7</v>
      </c>
      <c r="F6264" t="s">
        <v>7</v>
      </c>
      <c r="G6264" t="s">
        <v>7</v>
      </c>
      <c r="H6264">
        <v>80474.06</v>
      </c>
      <c r="I6264">
        <v>25548.2</v>
      </c>
      <c r="J6264">
        <v>0</v>
      </c>
    </row>
    <row r="6265" spans="1:10" x14ac:dyDescent="0.35">
      <c r="A6265">
        <v>325522</v>
      </c>
      <c r="B6265" t="s">
        <v>20</v>
      </c>
      <c r="C6265">
        <v>2015</v>
      </c>
      <c r="D6265">
        <v>7</v>
      </c>
      <c r="E6265" t="s">
        <v>7</v>
      </c>
      <c r="F6265" t="s">
        <v>7</v>
      </c>
      <c r="G6265" t="s">
        <v>7</v>
      </c>
      <c r="H6265">
        <v>43559.08</v>
      </c>
      <c r="I6265">
        <v>12819.39</v>
      </c>
      <c r="J6265">
        <v>0</v>
      </c>
    </row>
    <row r="6266" spans="1:10" x14ac:dyDescent="0.35">
      <c r="A6266">
        <v>325524</v>
      </c>
      <c r="B6266" t="s">
        <v>20</v>
      </c>
      <c r="C6266">
        <v>2015</v>
      </c>
      <c r="D6266">
        <v>7</v>
      </c>
      <c r="E6266" t="s">
        <v>7</v>
      </c>
      <c r="F6266" t="s">
        <v>7</v>
      </c>
      <c r="G6266" t="s">
        <v>7</v>
      </c>
      <c r="H6266">
        <v>29406.080000000002</v>
      </c>
      <c r="I6266">
        <v>8939.86</v>
      </c>
      <c r="J6266">
        <v>0</v>
      </c>
    </row>
    <row r="6267" spans="1:10" x14ac:dyDescent="0.35">
      <c r="A6267">
        <v>325525</v>
      </c>
      <c r="B6267" t="s">
        <v>20</v>
      </c>
      <c r="C6267">
        <v>2015</v>
      </c>
      <c r="D6267">
        <v>7</v>
      </c>
      <c r="E6267" t="s">
        <v>7</v>
      </c>
      <c r="F6267" t="s">
        <v>7</v>
      </c>
      <c r="G6267" t="s">
        <v>7</v>
      </c>
      <c r="H6267">
        <v>13108.06</v>
      </c>
      <c r="I6267">
        <v>3370.72</v>
      </c>
      <c r="J6267">
        <v>0</v>
      </c>
    </row>
    <row r="6268" spans="1:10" x14ac:dyDescent="0.35">
      <c r="A6268">
        <v>325526</v>
      </c>
      <c r="B6268" t="s">
        <v>20</v>
      </c>
      <c r="C6268">
        <v>2015</v>
      </c>
      <c r="D6268">
        <v>7</v>
      </c>
      <c r="E6268" t="s">
        <v>7</v>
      </c>
      <c r="F6268" t="s">
        <v>7</v>
      </c>
      <c r="G6268" t="s">
        <v>7</v>
      </c>
      <c r="H6268">
        <v>16535.68</v>
      </c>
      <c r="I6268">
        <v>3497</v>
      </c>
      <c r="J6268">
        <v>0</v>
      </c>
    </row>
    <row r="6269" spans="1:10" x14ac:dyDescent="0.35">
      <c r="A6269">
        <v>325528</v>
      </c>
      <c r="B6269" t="s">
        <v>20</v>
      </c>
      <c r="C6269">
        <v>2015</v>
      </c>
      <c r="D6269">
        <v>7</v>
      </c>
      <c r="E6269" t="s">
        <v>7</v>
      </c>
      <c r="F6269" t="s">
        <v>7</v>
      </c>
      <c r="G6269" t="s">
        <v>7</v>
      </c>
      <c r="H6269">
        <v>21840.62</v>
      </c>
      <c r="I6269">
        <v>5596.37</v>
      </c>
      <c r="J6269">
        <v>0</v>
      </c>
    </row>
    <row r="6270" spans="1:10" x14ac:dyDescent="0.35">
      <c r="A6270">
        <v>325530</v>
      </c>
      <c r="B6270" t="s">
        <v>20</v>
      </c>
      <c r="C6270">
        <v>2015</v>
      </c>
      <c r="D6270">
        <v>7</v>
      </c>
      <c r="E6270" t="s">
        <v>7</v>
      </c>
      <c r="F6270" t="s">
        <v>7</v>
      </c>
      <c r="G6270" t="s">
        <v>7</v>
      </c>
      <c r="H6270">
        <v>53937.64</v>
      </c>
      <c r="I6270">
        <v>17056.669999999998</v>
      </c>
      <c r="J6270">
        <v>0</v>
      </c>
    </row>
    <row r="6271" spans="1:10" x14ac:dyDescent="0.35">
      <c r="A6271">
        <v>325533</v>
      </c>
      <c r="B6271" t="s">
        <v>20</v>
      </c>
      <c r="C6271">
        <v>2015</v>
      </c>
      <c r="D6271">
        <v>7</v>
      </c>
      <c r="E6271" t="s">
        <v>7</v>
      </c>
      <c r="F6271" t="s">
        <v>7</v>
      </c>
      <c r="G6271" t="s">
        <v>7</v>
      </c>
      <c r="H6271">
        <v>12863.84</v>
      </c>
      <c r="I6271">
        <v>2972.56</v>
      </c>
      <c r="J6271">
        <v>0</v>
      </c>
    </row>
    <row r="6272" spans="1:10" x14ac:dyDescent="0.35">
      <c r="A6272">
        <v>325540</v>
      </c>
      <c r="B6272" t="s">
        <v>20</v>
      </c>
      <c r="C6272">
        <v>2015</v>
      </c>
      <c r="D6272">
        <v>7</v>
      </c>
      <c r="E6272" t="s">
        <v>7</v>
      </c>
      <c r="F6272" t="s">
        <v>7</v>
      </c>
      <c r="G6272" t="s">
        <v>7</v>
      </c>
      <c r="H6272">
        <v>25080.66</v>
      </c>
      <c r="I6272">
        <v>7391.22</v>
      </c>
      <c r="J6272">
        <v>0</v>
      </c>
    </row>
    <row r="6273" spans="1:10" x14ac:dyDescent="0.35">
      <c r="A6273">
        <v>325541</v>
      </c>
      <c r="B6273" t="s">
        <v>20</v>
      </c>
      <c r="C6273">
        <v>2015</v>
      </c>
      <c r="D6273">
        <v>7</v>
      </c>
      <c r="E6273" t="s">
        <v>7</v>
      </c>
      <c r="F6273" t="s">
        <v>7</v>
      </c>
      <c r="G6273" t="s">
        <v>7</v>
      </c>
      <c r="H6273">
        <v>38839.9</v>
      </c>
      <c r="I6273">
        <v>11608.73</v>
      </c>
      <c r="J6273">
        <v>0</v>
      </c>
    </row>
    <row r="6274" spans="1:10" x14ac:dyDescent="0.35">
      <c r="A6274">
        <v>325546</v>
      </c>
      <c r="B6274" t="s">
        <v>20</v>
      </c>
      <c r="C6274">
        <v>2015</v>
      </c>
      <c r="D6274">
        <v>7</v>
      </c>
      <c r="E6274" t="s">
        <v>7</v>
      </c>
      <c r="F6274" t="s">
        <v>7</v>
      </c>
      <c r="G6274" t="s">
        <v>7</v>
      </c>
      <c r="H6274">
        <v>118525.42</v>
      </c>
      <c r="I6274">
        <v>65313.21</v>
      </c>
      <c r="J6274">
        <v>0</v>
      </c>
    </row>
    <row r="6275" spans="1:10" x14ac:dyDescent="0.35">
      <c r="A6275">
        <v>325547</v>
      </c>
      <c r="B6275" t="s">
        <v>20</v>
      </c>
      <c r="C6275">
        <v>2015</v>
      </c>
      <c r="D6275">
        <v>7</v>
      </c>
      <c r="E6275" t="s">
        <v>7</v>
      </c>
      <c r="F6275" t="s">
        <v>7</v>
      </c>
      <c r="G6275" t="s">
        <v>7</v>
      </c>
      <c r="H6275">
        <v>14649.94</v>
      </c>
      <c r="I6275">
        <v>4332.76</v>
      </c>
      <c r="J6275">
        <v>0</v>
      </c>
    </row>
    <row r="6276" spans="1:10" x14ac:dyDescent="0.35">
      <c r="A6276">
        <v>325548</v>
      </c>
      <c r="B6276" t="s">
        <v>20</v>
      </c>
      <c r="C6276">
        <v>2015</v>
      </c>
      <c r="D6276">
        <v>7</v>
      </c>
      <c r="E6276" t="s">
        <v>7</v>
      </c>
      <c r="F6276" t="s">
        <v>7</v>
      </c>
      <c r="G6276" t="s">
        <v>7</v>
      </c>
      <c r="H6276">
        <v>24977.52</v>
      </c>
      <c r="I6276">
        <v>7091.97</v>
      </c>
      <c r="J6276">
        <v>0</v>
      </c>
    </row>
    <row r="6277" spans="1:10" x14ac:dyDescent="0.35">
      <c r="A6277">
        <v>325552</v>
      </c>
      <c r="B6277" t="s">
        <v>20</v>
      </c>
      <c r="C6277">
        <v>2015</v>
      </c>
      <c r="D6277">
        <v>7</v>
      </c>
      <c r="E6277" t="s">
        <v>7</v>
      </c>
      <c r="F6277" t="s">
        <v>7</v>
      </c>
      <c r="G6277" t="s">
        <v>7</v>
      </c>
      <c r="H6277">
        <v>41607.160000000003</v>
      </c>
      <c r="I6277">
        <v>13302.83</v>
      </c>
      <c r="J6277">
        <v>0</v>
      </c>
    </row>
    <row r="6278" spans="1:10" x14ac:dyDescent="0.35">
      <c r="A6278">
        <v>325553</v>
      </c>
      <c r="B6278" t="s">
        <v>20</v>
      </c>
      <c r="C6278">
        <v>2015</v>
      </c>
      <c r="D6278">
        <v>7</v>
      </c>
      <c r="E6278" t="s">
        <v>7</v>
      </c>
      <c r="F6278" t="s">
        <v>7</v>
      </c>
      <c r="G6278" t="s">
        <v>7</v>
      </c>
      <c r="H6278">
        <v>65413.26</v>
      </c>
      <c r="I6278">
        <v>19409.04</v>
      </c>
      <c r="J6278">
        <v>0</v>
      </c>
    </row>
    <row r="6279" spans="1:10" x14ac:dyDescent="0.35">
      <c r="A6279">
        <v>325554</v>
      </c>
      <c r="B6279" t="s">
        <v>20</v>
      </c>
      <c r="C6279">
        <v>2015</v>
      </c>
      <c r="D6279">
        <v>7</v>
      </c>
      <c r="E6279" t="s">
        <v>7</v>
      </c>
      <c r="F6279" t="s">
        <v>7</v>
      </c>
      <c r="G6279" t="s">
        <v>7</v>
      </c>
      <c r="H6279">
        <v>42664.28</v>
      </c>
      <c r="I6279">
        <v>10640.45</v>
      </c>
      <c r="J6279">
        <v>0</v>
      </c>
    </row>
    <row r="6280" spans="1:10" x14ac:dyDescent="0.35">
      <c r="A6280">
        <v>325555</v>
      </c>
      <c r="B6280" t="s">
        <v>20</v>
      </c>
      <c r="C6280">
        <v>2015</v>
      </c>
      <c r="D6280">
        <v>7</v>
      </c>
      <c r="E6280" t="s">
        <v>7</v>
      </c>
      <c r="F6280" t="s">
        <v>7</v>
      </c>
      <c r="G6280" t="s">
        <v>7</v>
      </c>
      <c r="H6280">
        <v>87452.28</v>
      </c>
      <c r="I6280">
        <v>23951.07</v>
      </c>
      <c r="J6280">
        <v>0</v>
      </c>
    </row>
    <row r="6281" spans="1:10" x14ac:dyDescent="0.35">
      <c r="A6281">
        <v>325556</v>
      </c>
      <c r="B6281" t="s">
        <v>20</v>
      </c>
      <c r="C6281">
        <v>2015</v>
      </c>
      <c r="D6281">
        <v>7</v>
      </c>
      <c r="E6281" t="s">
        <v>7</v>
      </c>
      <c r="F6281" t="s">
        <v>7</v>
      </c>
      <c r="G6281" t="s">
        <v>7</v>
      </c>
      <c r="H6281">
        <v>11115.58</v>
      </c>
      <c r="I6281">
        <v>2583.61</v>
      </c>
      <c r="J6281">
        <v>0</v>
      </c>
    </row>
    <row r="6282" spans="1:10" x14ac:dyDescent="0.35">
      <c r="A6282">
        <v>325560</v>
      </c>
      <c r="B6282" t="s">
        <v>20</v>
      </c>
      <c r="C6282">
        <v>2015</v>
      </c>
      <c r="D6282">
        <v>7</v>
      </c>
      <c r="E6282" t="s">
        <v>7</v>
      </c>
      <c r="F6282" t="s">
        <v>7</v>
      </c>
      <c r="G6282" t="s">
        <v>7</v>
      </c>
      <c r="H6282">
        <v>11685.1</v>
      </c>
      <c r="I6282">
        <v>3058.65</v>
      </c>
      <c r="J6282">
        <v>0</v>
      </c>
    </row>
    <row r="6283" spans="1:10" x14ac:dyDescent="0.35">
      <c r="A6283">
        <v>325562</v>
      </c>
      <c r="B6283" t="s">
        <v>20</v>
      </c>
      <c r="C6283">
        <v>2015</v>
      </c>
      <c r="D6283">
        <v>7</v>
      </c>
      <c r="E6283" t="s">
        <v>7</v>
      </c>
      <c r="F6283" t="s">
        <v>7</v>
      </c>
      <c r="G6283" t="s">
        <v>7</v>
      </c>
      <c r="H6283">
        <v>20417.259999999998</v>
      </c>
      <c r="I6283">
        <v>5515.94</v>
      </c>
      <c r="J6283">
        <v>0</v>
      </c>
    </row>
    <row r="6284" spans="1:10" x14ac:dyDescent="0.35">
      <c r="A6284">
        <v>325564</v>
      </c>
      <c r="B6284" t="s">
        <v>20</v>
      </c>
      <c r="C6284">
        <v>2015</v>
      </c>
      <c r="D6284">
        <v>7</v>
      </c>
      <c r="E6284" t="s">
        <v>7</v>
      </c>
      <c r="F6284" t="s">
        <v>7</v>
      </c>
      <c r="G6284" t="s">
        <v>7</v>
      </c>
      <c r="H6284">
        <v>51079.96</v>
      </c>
      <c r="I6284">
        <v>13767.68</v>
      </c>
      <c r="J6284">
        <v>0</v>
      </c>
    </row>
    <row r="6285" spans="1:10" x14ac:dyDescent="0.35">
      <c r="A6285">
        <v>325565</v>
      </c>
      <c r="B6285" t="s">
        <v>20</v>
      </c>
      <c r="C6285">
        <v>2015</v>
      </c>
      <c r="D6285">
        <v>7</v>
      </c>
      <c r="E6285" t="s">
        <v>7</v>
      </c>
      <c r="F6285" t="s">
        <v>7</v>
      </c>
      <c r="G6285" t="s">
        <v>7</v>
      </c>
      <c r="H6285">
        <v>45727.94</v>
      </c>
      <c r="I6285">
        <v>13165.25</v>
      </c>
      <c r="J6285">
        <v>0</v>
      </c>
    </row>
    <row r="6286" spans="1:10" x14ac:dyDescent="0.35">
      <c r="A6286">
        <v>325566</v>
      </c>
      <c r="B6286" t="s">
        <v>20</v>
      </c>
      <c r="C6286">
        <v>2015</v>
      </c>
      <c r="D6286">
        <v>7</v>
      </c>
      <c r="E6286" t="s">
        <v>7</v>
      </c>
      <c r="F6286" t="s">
        <v>7</v>
      </c>
      <c r="G6286" t="s">
        <v>7</v>
      </c>
      <c r="H6286">
        <v>48661.1</v>
      </c>
      <c r="I6286">
        <v>10752.17</v>
      </c>
      <c r="J6286">
        <v>0</v>
      </c>
    </row>
    <row r="6287" spans="1:10" x14ac:dyDescent="0.35">
      <c r="A6287">
        <v>325567</v>
      </c>
      <c r="B6287" t="s">
        <v>20</v>
      </c>
      <c r="C6287">
        <v>2015</v>
      </c>
      <c r="D6287">
        <v>7</v>
      </c>
      <c r="E6287" t="s">
        <v>7</v>
      </c>
      <c r="F6287" t="s">
        <v>7</v>
      </c>
      <c r="G6287" t="s">
        <v>7</v>
      </c>
      <c r="H6287">
        <v>17115.64</v>
      </c>
      <c r="I6287">
        <v>4676.09</v>
      </c>
      <c r="J6287">
        <v>0</v>
      </c>
    </row>
    <row r="6288" spans="1:10" x14ac:dyDescent="0.35">
      <c r="A6288">
        <v>325571</v>
      </c>
      <c r="B6288" t="s">
        <v>20</v>
      </c>
      <c r="C6288">
        <v>2015</v>
      </c>
      <c r="D6288">
        <v>7</v>
      </c>
      <c r="E6288" t="s">
        <v>7</v>
      </c>
      <c r="F6288" t="s">
        <v>7</v>
      </c>
      <c r="G6288" t="s">
        <v>7</v>
      </c>
      <c r="H6288">
        <v>97520.86</v>
      </c>
      <c r="I6288">
        <v>40645.199999999997</v>
      </c>
      <c r="J6288">
        <v>0</v>
      </c>
    </row>
    <row r="6289" spans="1:10" x14ac:dyDescent="0.35">
      <c r="A6289">
        <v>325572</v>
      </c>
      <c r="B6289" t="s">
        <v>20</v>
      </c>
      <c r="C6289">
        <v>2015</v>
      </c>
      <c r="D6289">
        <v>7</v>
      </c>
      <c r="E6289" t="s">
        <v>7</v>
      </c>
      <c r="F6289" t="s">
        <v>7</v>
      </c>
      <c r="G6289" t="s">
        <v>7</v>
      </c>
      <c r="H6289">
        <v>26391.52</v>
      </c>
      <c r="I6289">
        <v>7871.12</v>
      </c>
      <c r="J6289">
        <v>0</v>
      </c>
    </row>
    <row r="6290" spans="1:10" x14ac:dyDescent="0.35">
      <c r="A6290">
        <v>325574</v>
      </c>
      <c r="B6290" t="s">
        <v>20</v>
      </c>
      <c r="C6290">
        <v>2015</v>
      </c>
      <c r="D6290">
        <v>7</v>
      </c>
      <c r="E6290" t="s">
        <v>7</v>
      </c>
      <c r="F6290" t="s">
        <v>7</v>
      </c>
      <c r="G6290" t="s">
        <v>7</v>
      </c>
      <c r="H6290">
        <v>21435.86</v>
      </c>
      <c r="I6290">
        <v>5916.31</v>
      </c>
      <c r="J6290">
        <v>0</v>
      </c>
    </row>
    <row r="6291" spans="1:10" x14ac:dyDescent="0.35">
      <c r="A6291">
        <v>325576</v>
      </c>
      <c r="B6291" t="s">
        <v>20</v>
      </c>
      <c r="C6291">
        <v>2015</v>
      </c>
      <c r="D6291">
        <v>7</v>
      </c>
      <c r="E6291" t="s">
        <v>7</v>
      </c>
      <c r="F6291" t="s">
        <v>7</v>
      </c>
      <c r="G6291" t="s">
        <v>7</v>
      </c>
      <c r="H6291">
        <v>20128.38</v>
      </c>
      <c r="I6291">
        <v>4852.21</v>
      </c>
      <c r="J6291">
        <v>0</v>
      </c>
    </row>
    <row r="6292" spans="1:10" x14ac:dyDescent="0.35">
      <c r="A6292">
        <v>325577</v>
      </c>
      <c r="B6292" t="s">
        <v>20</v>
      </c>
      <c r="C6292">
        <v>2015</v>
      </c>
      <c r="D6292">
        <v>7</v>
      </c>
      <c r="E6292" t="s">
        <v>7</v>
      </c>
      <c r="F6292" t="s">
        <v>7</v>
      </c>
      <c r="G6292" t="s">
        <v>7</v>
      </c>
      <c r="H6292">
        <v>41723.58</v>
      </c>
      <c r="I6292">
        <v>18904.98</v>
      </c>
      <c r="J6292">
        <v>0</v>
      </c>
    </row>
    <row r="6293" spans="1:10" x14ac:dyDescent="0.35">
      <c r="A6293">
        <v>325578</v>
      </c>
      <c r="B6293" t="s">
        <v>20</v>
      </c>
      <c r="C6293">
        <v>2015</v>
      </c>
      <c r="D6293">
        <v>7</v>
      </c>
      <c r="E6293" t="s">
        <v>7</v>
      </c>
      <c r="F6293" t="s">
        <v>7</v>
      </c>
      <c r="G6293" t="s">
        <v>7</v>
      </c>
      <c r="H6293">
        <v>8437.26</v>
      </c>
      <c r="I6293">
        <v>2301.84</v>
      </c>
      <c r="J6293">
        <v>0</v>
      </c>
    </row>
    <row r="6294" spans="1:10" x14ac:dyDescent="0.35">
      <c r="A6294">
        <v>325579</v>
      </c>
      <c r="B6294" t="s">
        <v>20</v>
      </c>
      <c r="C6294">
        <v>2015</v>
      </c>
      <c r="D6294">
        <v>7</v>
      </c>
      <c r="E6294" t="s">
        <v>7</v>
      </c>
      <c r="F6294" t="s">
        <v>7</v>
      </c>
      <c r="G6294" t="s">
        <v>7</v>
      </c>
      <c r="H6294">
        <v>16298.98</v>
      </c>
      <c r="I6294">
        <v>4648.8900000000003</v>
      </c>
      <c r="J6294">
        <v>0</v>
      </c>
    </row>
    <row r="6295" spans="1:10" x14ac:dyDescent="0.35">
      <c r="A6295">
        <v>325580</v>
      </c>
      <c r="B6295" t="s">
        <v>20</v>
      </c>
      <c r="C6295">
        <v>2015</v>
      </c>
      <c r="D6295">
        <v>7</v>
      </c>
      <c r="E6295" t="s">
        <v>7</v>
      </c>
      <c r="F6295" t="s">
        <v>7</v>
      </c>
      <c r="G6295" t="s">
        <v>7</v>
      </c>
      <c r="H6295">
        <v>11529.32</v>
      </c>
      <c r="I6295">
        <v>2595.94</v>
      </c>
      <c r="J6295">
        <v>0</v>
      </c>
    </row>
    <row r="6296" spans="1:10" x14ac:dyDescent="0.35">
      <c r="A6296">
        <v>325581</v>
      </c>
      <c r="B6296" t="s">
        <v>20</v>
      </c>
      <c r="C6296">
        <v>2015</v>
      </c>
      <c r="D6296">
        <v>7</v>
      </c>
      <c r="E6296" t="s">
        <v>7</v>
      </c>
      <c r="F6296" t="s">
        <v>7</v>
      </c>
      <c r="G6296" t="s">
        <v>7</v>
      </c>
      <c r="H6296">
        <v>57390.22</v>
      </c>
      <c r="I6296">
        <v>23355.89</v>
      </c>
      <c r="J6296">
        <v>0</v>
      </c>
    </row>
    <row r="6297" spans="1:10" x14ac:dyDescent="0.35">
      <c r="A6297">
        <v>325582</v>
      </c>
      <c r="B6297" t="s">
        <v>20</v>
      </c>
      <c r="C6297">
        <v>2015</v>
      </c>
      <c r="D6297">
        <v>7</v>
      </c>
      <c r="E6297" t="s">
        <v>7</v>
      </c>
      <c r="F6297" t="s">
        <v>7</v>
      </c>
      <c r="G6297" t="s">
        <v>7</v>
      </c>
      <c r="H6297">
        <v>31840.34</v>
      </c>
      <c r="I6297">
        <v>9438.7199999999993</v>
      </c>
      <c r="J6297">
        <v>0</v>
      </c>
    </row>
    <row r="6298" spans="1:10" x14ac:dyDescent="0.35">
      <c r="A6298">
        <v>325583</v>
      </c>
      <c r="B6298" t="s">
        <v>20</v>
      </c>
      <c r="C6298">
        <v>2015</v>
      </c>
      <c r="D6298">
        <v>7</v>
      </c>
      <c r="E6298" t="s">
        <v>7</v>
      </c>
      <c r="F6298" t="s">
        <v>7</v>
      </c>
      <c r="G6298" t="s">
        <v>7</v>
      </c>
      <c r="H6298">
        <v>30055.040000000001</v>
      </c>
      <c r="I6298">
        <v>9386.84</v>
      </c>
      <c r="J6298">
        <v>0</v>
      </c>
    </row>
    <row r="6299" spans="1:10" x14ac:dyDescent="0.35">
      <c r="A6299">
        <v>325584</v>
      </c>
      <c r="B6299" t="s">
        <v>20</v>
      </c>
      <c r="C6299">
        <v>2015</v>
      </c>
      <c r="D6299">
        <v>7</v>
      </c>
      <c r="E6299" t="s">
        <v>7</v>
      </c>
      <c r="F6299" t="s">
        <v>7</v>
      </c>
      <c r="G6299" t="s">
        <v>7</v>
      </c>
      <c r="H6299">
        <v>24843.119999999999</v>
      </c>
      <c r="I6299">
        <v>6037.59</v>
      </c>
      <c r="J6299">
        <v>0</v>
      </c>
    </row>
    <row r="6300" spans="1:10" x14ac:dyDescent="0.35">
      <c r="A6300">
        <v>325585</v>
      </c>
      <c r="B6300" t="s">
        <v>20</v>
      </c>
      <c r="C6300">
        <v>2015</v>
      </c>
      <c r="D6300">
        <v>7</v>
      </c>
      <c r="E6300" t="s">
        <v>7</v>
      </c>
      <c r="F6300" t="s">
        <v>7</v>
      </c>
      <c r="G6300" t="s">
        <v>7</v>
      </c>
      <c r="H6300">
        <v>36428</v>
      </c>
      <c r="I6300">
        <v>10670.37</v>
      </c>
      <c r="J6300">
        <v>0</v>
      </c>
    </row>
    <row r="6301" spans="1:10" x14ac:dyDescent="0.35">
      <c r="A6301">
        <v>325586</v>
      </c>
      <c r="B6301" t="s">
        <v>20</v>
      </c>
      <c r="C6301">
        <v>2015</v>
      </c>
      <c r="D6301">
        <v>7</v>
      </c>
      <c r="E6301" t="s">
        <v>7</v>
      </c>
      <c r="F6301" t="s">
        <v>7</v>
      </c>
      <c r="G6301" t="s">
        <v>7</v>
      </c>
      <c r="H6301">
        <v>81459.399999999994</v>
      </c>
      <c r="I6301">
        <v>24789.34</v>
      </c>
      <c r="J6301">
        <v>0</v>
      </c>
    </row>
    <row r="6302" spans="1:10" x14ac:dyDescent="0.35">
      <c r="A6302">
        <v>325587</v>
      </c>
      <c r="B6302" t="s">
        <v>20</v>
      </c>
      <c r="C6302">
        <v>2015</v>
      </c>
      <c r="D6302">
        <v>7</v>
      </c>
      <c r="E6302" t="s">
        <v>7</v>
      </c>
      <c r="F6302" t="s">
        <v>7</v>
      </c>
      <c r="G6302" t="s">
        <v>7</v>
      </c>
      <c r="H6302">
        <v>31326.3</v>
      </c>
      <c r="I6302">
        <v>8791.35</v>
      </c>
      <c r="J6302">
        <v>0</v>
      </c>
    </row>
    <row r="6303" spans="1:10" x14ac:dyDescent="0.35">
      <c r="A6303">
        <v>325588</v>
      </c>
      <c r="B6303" t="s">
        <v>20</v>
      </c>
      <c r="C6303">
        <v>2015</v>
      </c>
      <c r="D6303">
        <v>7</v>
      </c>
      <c r="E6303" t="s">
        <v>7</v>
      </c>
      <c r="F6303" t="s">
        <v>7</v>
      </c>
      <c r="G6303" t="s">
        <v>7</v>
      </c>
      <c r="H6303">
        <v>22547.18</v>
      </c>
      <c r="I6303">
        <v>6284.14</v>
      </c>
      <c r="J6303">
        <v>0</v>
      </c>
    </row>
    <row r="6304" spans="1:10" x14ac:dyDescent="0.35">
      <c r="A6304">
        <v>325589</v>
      </c>
      <c r="B6304" t="s">
        <v>20</v>
      </c>
      <c r="C6304">
        <v>2015</v>
      </c>
      <c r="D6304">
        <v>7</v>
      </c>
      <c r="E6304" t="s">
        <v>7</v>
      </c>
      <c r="F6304" t="s">
        <v>7</v>
      </c>
      <c r="G6304" t="s">
        <v>7</v>
      </c>
      <c r="H6304">
        <v>12712.5</v>
      </c>
      <c r="I6304">
        <v>2927.88</v>
      </c>
      <c r="J6304">
        <v>0</v>
      </c>
    </row>
    <row r="6305" spans="1:10" x14ac:dyDescent="0.35">
      <c r="A6305">
        <v>325591</v>
      </c>
      <c r="B6305" t="s">
        <v>20</v>
      </c>
      <c r="C6305">
        <v>2015</v>
      </c>
      <c r="D6305">
        <v>7</v>
      </c>
      <c r="E6305" t="s">
        <v>7</v>
      </c>
      <c r="F6305" t="s">
        <v>7</v>
      </c>
      <c r="G6305" t="s">
        <v>7</v>
      </c>
      <c r="H6305">
        <v>86003.08</v>
      </c>
      <c r="I6305">
        <v>37352</v>
      </c>
      <c r="J6305">
        <v>0</v>
      </c>
    </row>
    <row r="6306" spans="1:10" x14ac:dyDescent="0.35">
      <c r="A6306">
        <v>325592</v>
      </c>
      <c r="B6306" t="s">
        <v>20</v>
      </c>
      <c r="C6306">
        <v>2015</v>
      </c>
      <c r="D6306">
        <v>7</v>
      </c>
      <c r="E6306" t="s">
        <v>7</v>
      </c>
      <c r="F6306" t="s">
        <v>7</v>
      </c>
      <c r="G6306" t="s">
        <v>7</v>
      </c>
      <c r="H6306">
        <v>33680.5</v>
      </c>
      <c r="I6306">
        <v>9541.7000000000007</v>
      </c>
      <c r="J6306">
        <v>0</v>
      </c>
    </row>
    <row r="6307" spans="1:10" x14ac:dyDescent="0.35">
      <c r="A6307">
        <v>325593</v>
      </c>
      <c r="B6307" t="s">
        <v>20</v>
      </c>
      <c r="C6307">
        <v>2015</v>
      </c>
      <c r="D6307">
        <v>7</v>
      </c>
      <c r="E6307" t="s">
        <v>7</v>
      </c>
      <c r="F6307" t="s">
        <v>7</v>
      </c>
      <c r="G6307" t="s">
        <v>7</v>
      </c>
      <c r="H6307">
        <v>276290.82</v>
      </c>
      <c r="I6307">
        <v>106910.18</v>
      </c>
      <c r="J6307">
        <v>0</v>
      </c>
    </row>
    <row r="6308" spans="1:10" x14ac:dyDescent="0.35">
      <c r="A6308">
        <v>325594</v>
      </c>
      <c r="B6308" t="s">
        <v>20</v>
      </c>
      <c r="C6308">
        <v>2015</v>
      </c>
      <c r="D6308">
        <v>7</v>
      </c>
      <c r="E6308" t="s">
        <v>7</v>
      </c>
      <c r="F6308" t="s">
        <v>7</v>
      </c>
      <c r="G6308" t="s">
        <v>7</v>
      </c>
      <c r="H6308">
        <v>55516.56</v>
      </c>
      <c r="I6308">
        <v>16207.88</v>
      </c>
      <c r="J6308">
        <v>0</v>
      </c>
    </row>
    <row r="6309" spans="1:10" x14ac:dyDescent="0.35">
      <c r="A6309">
        <v>325595</v>
      </c>
      <c r="B6309" t="s">
        <v>20</v>
      </c>
      <c r="C6309">
        <v>2015</v>
      </c>
      <c r="D6309">
        <v>7</v>
      </c>
      <c r="E6309" t="s">
        <v>7</v>
      </c>
      <c r="F6309" t="s">
        <v>7</v>
      </c>
      <c r="G6309" t="s">
        <v>7</v>
      </c>
      <c r="H6309">
        <v>22099.040000000001</v>
      </c>
      <c r="I6309">
        <v>6464.23</v>
      </c>
      <c r="J6309">
        <v>0</v>
      </c>
    </row>
    <row r="6310" spans="1:10" x14ac:dyDescent="0.35">
      <c r="A6310">
        <v>325596</v>
      </c>
      <c r="B6310" t="s">
        <v>20</v>
      </c>
      <c r="C6310">
        <v>2015</v>
      </c>
      <c r="D6310">
        <v>7</v>
      </c>
      <c r="E6310" t="s">
        <v>7</v>
      </c>
      <c r="F6310" t="s">
        <v>7</v>
      </c>
      <c r="G6310" t="s">
        <v>7</v>
      </c>
      <c r="H6310">
        <v>33273.919999999998</v>
      </c>
      <c r="I6310">
        <v>12010.86</v>
      </c>
      <c r="J6310">
        <v>0</v>
      </c>
    </row>
    <row r="6311" spans="1:10" x14ac:dyDescent="0.35">
      <c r="A6311">
        <v>325597</v>
      </c>
      <c r="B6311" t="s">
        <v>20</v>
      </c>
      <c r="C6311">
        <v>2015</v>
      </c>
      <c r="D6311">
        <v>7</v>
      </c>
      <c r="E6311" t="s">
        <v>7</v>
      </c>
      <c r="F6311" t="s">
        <v>7</v>
      </c>
      <c r="G6311" t="s">
        <v>7</v>
      </c>
      <c r="H6311">
        <v>21577.94</v>
      </c>
      <c r="I6311">
        <v>5254.56</v>
      </c>
      <c r="J6311">
        <v>0</v>
      </c>
    </row>
    <row r="6312" spans="1:10" x14ac:dyDescent="0.35">
      <c r="A6312">
        <v>325598</v>
      </c>
      <c r="B6312" t="s">
        <v>20</v>
      </c>
      <c r="C6312">
        <v>2015</v>
      </c>
      <c r="D6312">
        <v>7</v>
      </c>
      <c r="E6312" t="s">
        <v>7</v>
      </c>
      <c r="F6312" t="s">
        <v>7</v>
      </c>
      <c r="G6312" t="s">
        <v>7</v>
      </c>
      <c r="H6312">
        <v>12892.42</v>
      </c>
      <c r="I6312">
        <v>2879.07</v>
      </c>
      <c r="J6312">
        <v>0</v>
      </c>
    </row>
    <row r="6313" spans="1:10" x14ac:dyDescent="0.35">
      <c r="A6313">
        <v>325599</v>
      </c>
      <c r="B6313" t="s">
        <v>20</v>
      </c>
      <c r="C6313">
        <v>2015</v>
      </c>
      <c r="D6313">
        <v>7</v>
      </c>
      <c r="E6313" t="s">
        <v>7</v>
      </c>
      <c r="F6313" t="s">
        <v>7</v>
      </c>
      <c r="G6313" t="s">
        <v>7</v>
      </c>
      <c r="H6313">
        <v>26475.06</v>
      </c>
      <c r="I6313">
        <v>8266.4</v>
      </c>
      <c r="J6313">
        <v>0</v>
      </c>
    </row>
    <row r="6314" spans="1:10" x14ac:dyDescent="0.35">
      <c r="A6314">
        <v>325600</v>
      </c>
      <c r="B6314" t="s">
        <v>20</v>
      </c>
      <c r="C6314">
        <v>2015</v>
      </c>
      <c r="D6314">
        <v>7</v>
      </c>
      <c r="E6314" t="s">
        <v>7</v>
      </c>
      <c r="F6314" t="s">
        <v>7</v>
      </c>
      <c r="G6314" t="s">
        <v>7</v>
      </c>
      <c r="H6314">
        <v>86956.66</v>
      </c>
      <c r="I6314">
        <v>26090.48</v>
      </c>
      <c r="J6314">
        <v>0</v>
      </c>
    </row>
    <row r="6315" spans="1:10" x14ac:dyDescent="0.35">
      <c r="A6315">
        <v>325601</v>
      </c>
      <c r="B6315" t="s">
        <v>20</v>
      </c>
      <c r="C6315">
        <v>2015</v>
      </c>
      <c r="D6315">
        <v>7</v>
      </c>
      <c r="E6315" t="s">
        <v>7</v>
      </c>
      <c r="F6315" t="s">
        <v>7</v>
      </c>
      <c r="G6315" t="s">
        <v>7</v>
      </c>
      <c r="H6315">
        <v>39133.06</v>
      </c>
      <c r="I6315">
        <v>11215.41</v>
      </c>
      <c r="J6315">
        <v>0</v>
      </c>
    </row>
    <row r="6316" spans="1:10" x14ac:dyDescent="0.35">
      <c r="A6316">
        <v>325603</v>
      </c>
      <c r="B6316" t="s">
        <v>20</v>
      </c>
      <c r="C6316">
        <v>2015</v>
      </c>
      <c r="D6316">
        <v>7</v>
      </c>
      <c r="E6316" t="s">
        <v>7</v>
      </c>
      <c r="F6316" t="s">
        <v>7</v>
      </c>
      <c r="G6316" t="s">
        <v>7</v>
      </c>
      <c r="H6316">
        <v>23233.040000000001</v>
      </c>
      <c r="I6316">
        <v>6237.24</v>
      </c>
      <c r="J6316">
        <v>0</v>
      </c>
    </row>
    <row r="6317" spans="1:10" x14ac:dyDescent="0.35">
      <c r="A6317">
        <v>325604</v>
      </c>
      <c r="B6317" t="s">
        <v>20</v>
      </c>
      <c r="C6317">
        <v>2015</v>
      </c>
      <c r="D6317">
        <v>7</v>
      </c>
      <c r="E6317" t="s">
        <v>7</v>
      </c>
      <c r="F6317" t="s">
        <v>7</v>
      </c>
      <c r="G6317" t="s">
        <v>7</v>
      </c>
      <c r="H6317">
        <v>36648.980000000003</v>
      </c>
      <c r="I6317">
        <v>10359.219999999999</v>
      </c>
      <c r="J6317">
        <v>0</v>
      </c>
    </row>
    <row r="6318" spans="1:10" x14ac:dyDescent="0.35">
      <c r="A6318">
        <v>325605</v>
      </c>
      <c r="B6318" t="s">
        <v>20</v>
      </c>
      <c r="C6318">
        <v>2015</v>
      </c>
      <c r="D6318">
        <v>7</v>
      </c>
      <c r="E6318" t="s">
        <v>7</v>
      </c>
      <c r="F6318" t="s">
        <v>7</v>
      </c>
      <c r="G6318" t="s">
        <v>7</v>
      </c>
      <c r="H6318">
        <v>25788.34</v>
      </c>
      <c r="I6318">
        <v>8057.35</v>
      </c>
      <c r="J6318">
        <v>0</v>
      </c>
    </row>
    <row r="6319" spans="1:10" x14ac:dyDescent="0.35">
      <c r="A6319">
        <v>325606</v>
      </c>
      <c r="B6319" t="s">
        <v>20</v>
      </c>
      <c r="C6319">
        <v>2015</v>
      </c>
      <c r="D6319">
        <v>7</v>
      </c>
      <c r="E6319" t="s">
        <v>7</v>
      </c>
      <c r="F6319" t="s">
        <v>7</v>
      </c>
      <c r="G6319" t="s">
        <v>7</v>
      </c>
      <c r="H6319">
        <v>59295.38</v>
      </c>
      <c r="I6319">
        <v>17193.349999999999</v>
      </c>
      <c r="J6319">
        <v>0</v>
      </c>
    </row>
    <row r="6320" spans="1:10" x14ac:dyDescent="0.35">
      <c r="A6320">
        <v>325607</v>
      </c>
      <c r="B6320" t="s">
        <v>20</v>
      </c>
      <c r="C6320">
        <v>2015</v>
      </c>
      <c r="D6320">
        <v>7</v>
      </c>
      <c r="E6320" t="s">
        <v>7</v>
      </c>
      <c r="F6320" t="s">
        <v>7</v>
      </c>
      <c r="G6320" t="s">
        <v>7</v>
      </c>
      <c r="H6320">
        <v>23256.76</v>
      </c>
      <c r="I6320">
        <v>7361.41</v>
      </c>
      <c r="J6320">
        <v>0</v>
      </c>
    </row>
    <row r="6321" spans="1:10" x14ac:dyDescent="0.35">
      <c r="A6321">
        <v>325610</v>
      </c>
      <c r="B6321" t="s">
        <v>20</v>
      </c>
      <c r="C6321">
        <v>2015</v>
      </c>
      <c r="D6321">
        <v>7</v>
      </c>
      <c r="E6321" t="s">
        <v>7</v>
      </c>
      <c r="F6321" t="s">
        <v>7</v>
      </c>
      <c r="G6321" t="s">
        <v>7</v>
      </c>
      <c r="H6321">
        <v>38706.5</v>
      </c>
      <c r="I6321">
        <v>11391.96</v>
      </c>
      <c r="J6321">
        <v>0</v>
      </c>
    </row>
    <row r="6322" spans="1:10" x14ac:dyDescent="0.35">
      <c r="A6322">
        <v>325611</v>
      </c>
      <c r="B6322" t="s">
        <v>20</v>
      </c>
      <c r="C6322">
        <v>2015</v>
      </c>
      <c r="D6322">
        <v>7</v>
      </c>
      <c r="E6322" t="s">
        <v>7</v>
      </c>
      <c r="F6322" t="s">
        <v>7</v>
      </c>
      <c r="G6322" t="s">
        <v>7</v>
      </c>
      <c r="H6322">
        <v>100083.9</v>
      </c>
      <c r="I6322">
        <v>31311.55</v>
      </c>
      <c r="J6322">
        <v>0</v>
      </c>
    </row>
    <row r="6323" spans="1:10" x14ac:dyDescent="0.35">
      <c r="A6323">
        <v>325613</v>
      </c>
      <c r="B6323" t="s">
        <v>20</v>
      </c>
      <c r="C6323">
        <v>2015</v>
      </c>
      <c r="D6323">
        <v>7</v>
      </c>
      <c r="E6323" t="s">
        <v>7</v>
      </c>
      <c r="F6323" t="s">
        <v>7</v>
      </c>
      <c r="G6323" t="s">
        <v>7</v>
      </c>
      <c r="H6323">
        <v>20437.88</v>
      </c>
      <c r="I6323">
        <v>6073.91</v>
      </c>
      <c r="J6323">
        <v>0</v>
      </c>
    </row>
    <row r="6324" spans="1:10" x14ac:dyDescent="0.35">
      <c r="A6324">
        <v>325619</v>
      </c>
      <c r="B6324" t="s">
        <v>20</v>
      </c>
      <c r="C6324">
        <v>2015</v>
      </c>
      <c r="D6324">
        <v>7</v>
      </c>
      <c r="E6324" t="s">
        <v>7</v>
      </c>
      <c r="F6324" t="s">
        <v>7</v>
      </c>
      <c r="G6324" t="s">
        <v>7</v>
      </c>
      <c r="H6324">
        <v>42781.32</v>
      </c>
      <c r="I6324">
        <v>10945.05</v>
      </c>
      <c r="J6324">
        <v>0</v>
      </c>
    </row>
    <row r="6325" spans="1:10" x14ac:dyDescent="0.35">
      <c r="A6325">
        <v>325620</v>
      </c>
      <c r="B6325" t="s">
        <v>20</v>
      </c>
      <c r="C6325">
        <v>2015</v>
      </c>
      <c r="D6325">
        <v>7</v>
      </c>
      <c r="E6325" t="s">
        <v>7</v>
      </c>
      <c r="F6325" t="s">
        <v>7</v>
      </c>
      <c r="G6325" t="s">
        <v>7</v>
      </c>
      <c r="H6325">
        <v>58221.46</v>
      </c>
      <c r="I6325">
        <v>26446.37</v>
      </c>
      <c r="J6325">
        <v>0</v>
      </c>
    </row>
    <row r="6326" spans="1:10" x14ac:dyDescent="0.35">
      <c r="A6326">
        <v>325621</v>
      </c>
      <c r="B6326" t="s">
        <v>20</v>
      </c>
      <c r="C6326">
        <v>2015</v>
      </c>
      <c r="D6326">
        <v>7</v>
      </c>
      <c r="E6326" t="s">
        <v>7</v>
      </c>
      <c r="F6326" t="s">
        <v>7</v>
      </c>
      <c r="G6326" t="s">
        <v>7</v>
      </c>
      <c r="H6326">
        <v>54016.6</v>
      </c>
      <c r="I6326">
        <v>16699.689999999999</v>
      </c>
      <c r="J6326">
        <v>0</v>
      </c>
    </row>
    <row r="6327" spans="1:10" x14ac:dyDescent="0.35">
      <c r="A6327">
        <v>325624</v>
      </c>
      <c r="B6327" t="s">
        <v>20</v>
      </c>
      <c r="C6327">
        <v>2015</v>
      </c>
      <c r="D6327">
        <v>7</v>
      </c>
      <c r="E6327" t="s">
        <v>7</v>
      </c>
      <c r="F6327" t="s">
        <v>7</v>
      </c>
      <c r="G6327" t="s">
        <v>7</v>
      </c>
      <c r="H6327">
        <v>9271.34</v>
      </c>
      <c r="I6327">
        <v>2315.58</v>
      </c>
      <c r="J6327">
        <v>0</v>
      </c>
    </row>
    <row r="6328" spans="1:10" x14ac:dyDescent="0.35">
      <c r="A6328">
        <v>325626</v>
      </c>
      <c r="B6328" t="s">
        <v>20</v>
      </c>
      <c r="C6328">
        <v>2015</v>
      </c>
      <c r="D6328">
        <v>7</v>
      </c>
      <c r="E6328" t="s">
        <v>7</v>
      </c>
      <c r="F6328" t="s">
        <v>7</v>
      </c>
      <c r="G6328" t="s">
        <v>7</v>
      </c>
      <c r="H6328">
        <v>63962.34</v>
      </c>
      <c r="I6328">
        <v>17680.66</v>
      </c>
      <c r="J6328">
        <v>0</v>
      </c>
    </row>
    <row r="6329" spans="1:10" x14ac:dyDescent="0.35">
      <c r="A6329">
        <v>325628</v>
      </c>
      <c r="B6329" t="s">
        <v>20</v>
      </c>
      <c r="C6329">
        <v>2015</v>
      </c>
      <c r="D6329">
        <v>7</v>
      </c>
      <c r="E6329" t="s">
        <v>7</v>
      </c>
      <c r="F6329" t="s">
        <v>7</v>
      </c>
      <c r="G6329" t="s">
        <v>7</v>
      </c>
      <c r="H6329">
        <v>18322.04</v>
      </c>
      <c r="I6329">
        <v>4010.08</v>
      </c>
      <c r="J6329">
        <v>0</v>
      </c>
    </row>
    <row r="6330" spans="1:10" x14ac:dyDescent="0.35">
      <c r="A6330">
        <v>325630</v>
      </c>
      <c r="B6330" t="s">
        <v>20</v>
      </c>
      <c r="C6330">
        <v>2015</v>
      </c>
      <c r="D6330">
        <v>7</v>
      </c>
      <c r="E6330" t="s">
        <v>7</v>
      </c>
      <c r="F6330" t="s">
        <v>7</v>
      </c>
      <c r="G6330" t="s">
        <v>7</v>
      </c>
      <c r="H6330">
        <v>10072.9</v>
      </c>
      <c r="I6330">
        <v>2689.1</v>
      </c>
      <c r="J6330">
        <v>0</v>
      </c>
    </row>
    <row r="6331" spans="1:10" x14ac:dyDescent="0.35">
      <c r="A6331">
        <v>325631</v>
      </c>
      <c r="B6331" t="s">
        <v>20</v>
      </c>
      <c r="C6331">
        <v>2015</v>
      </c>
      <c r="D6331">
        <v>7</v>
      </c>
      <c r="E6331" t="s">
        <v>7</v>
      </c>
      <c r="F6331" t="s">
        <v>7</v>
      </c>
      <c r="G6331" t="s">
        <v>7</v>
      </c>
      <c r="H6331">
        <v>17524.68</v>
      </c>
      <c r="I6331">
        <v>5227.97</v>
      </c>
      <c r="J6331">
        <v>0</v>
      </c>
    </row>
    <row r="6332" spans="1:10" x14ac:dyDescent="0.35">
      <c r="A6332">
        <v>325632</v>
      </c>
      <c r="B6332" t="s">
        <v>20</v>
      </c>
      <c r="C6332">
        <v>2015</v>
      </c>
      <c r="D6332">
        <v>7</v>
      </c>
      <c r="E6332" t="s">
        <v>7</v>
      </c>
      <c r="F6332" t="s">
        <v>7</v>
      </c>
      <c r="G6332" t="s">
        <v>7</v>
      </c>
      <c r="H6332">
        <v>16975.98</v>
      </c>
      <c r="I6332">
        <v>4706.72</v>
      </c>
      <c r="J6332">
        <v>0</v>
      </c>
    </row>
    <row r="6333" spans="1:10" x14ac:dyDescent="0.35">
      <c r="A6333">
        <v>325633</v>
      </c>
      <c r="B6333" t="s">
        <v>20</v>
      </c>
      <c r="C6333">
        <v>2015</v>
      </c>
      <c r="D6333">
        <v>7</v>
      </c>
      <c r="E6333" t="s">
        <v>7</v>
      </c>
      <c r="F6333" t="s">
        <v>7</v>
      </c>
      <c r="G6333" t="s">
        <v>7</v>
      </c>
      <c r="H6333">
        <v>51369.2</v>
      </c>
      <c r="I6333">
        <v>28681.9</v>
      </c>
      <c r="J6333">
        <v>0</v>
      </c>
    </row>
    <row r="6334" spans="1:10" x14ac:dyDescent="0.35">
      <c r="A6334">
        <v>325634</v>
      </c>
      <c r="B6334" t="s">
        <v>20</v>
      </c>
      <c r="C6334">
        <v>2015</v>
      </c>
      <c r="D6334">
        <v>7</v>
      </c>
      <c r="E6334" t="s">
        <v>7</v>
      </c>
      <c r="F6334" t="s">
        <v>7</v>
      </c>
      <c r="G6334" t="s">
        <v>7</v>
      </c>
      <c r="H6334">
        <v>18259.7</v>
      </c>
      <c r="I6334">
        <v>5241.83</v>
      </c>
      <c r="J6334">
        <v>0</v>
      </c>
    </row>
    <row r="6335" spans="1:10" x14ac:dyDescent="0.35">
      <c r="A6335">
        <v>325635</v>
      </c>
      <c r="B6335" t="s">
        <v>20</v>
      </c>
      <c r="C6335">
        <v>2015</v>
      </c>
      <c r="D6335">
        <v>7</v>
      </c>
      <c r="E6335" t="s">
        <v>7</v>
      </c>
      <c r="F6335" t="s">
        <v>7</v>
      </c>
      <c r="G6335" t="s">
        <v>7</v>
      </c>
      <c r="H6335">
        <v>28838.84</v>
      </c>
      <c r="I6335">
        <v>6126.22</v>
      </c>
      <c r="J6335">
        <v>0</v>
      </c>
    </row>
    <row r="6336" spans="1:10" x14ac:dyDescent="0.35">
      <c r="A6336">
        <v>325636</v>
      </c>
      <c r="B6336" t="s">
        <v>20</v>
      </c>
      <c r="C6336">
        <v>2015</v>
      </c>
      <c r="D6336">
        <v>7</v>
      </c>
      <c r="E6336" t="s">
        <v>7</v>
      </c>
      <c r="F6336" t="s">
        <v>7</v>
      </c>
      <c r="G6336" t="s">
        <v>7</v>
      </c>
      <c r="H6336">
        <v>20150.34</v>
      </c>
      <c r="I6336">
        <v>5779.57</v>
      </c>
      <c r="J6336">
        <v>0</v>
      </c>
    </row>
    <row r="6337" spans="1:10" x14ac:dyDescent="0.35">
      <c r="A6337">
        <v>325637</v>
      </c>
      <c r="B6337" t="s">
        <v>20</v>
      </c>
      <c r="C6337">
        <v>2015</v>
      </c>
      <c r="D6337">
        <v>7</v>
      </c>
      <c r="E6337" t="s">
        <v>7</v>
      </c>
      <c r="F6337" t="s">
        <v>7</v>
      </c>
      <c r="G6337" t="s">
        <v>7</v>
      </c>
      <c r="H6337">
        <v>21625</v>
      </c>
      <c r="I6337">
        <v>6391.94</v>
      </c>
      <c r="J6337">
        <v>0</v>
      </c>
    </row>
    <row r="6338" spans="1:10" x14ac:dyDescent="0.35">
      <c r="A6338">
        <v>325639</v>
      </c>
      <c r="B6338" t="s">
        <v>20</v>
      </c>
      <c r="C6338">
        <v>2015</v>
      </c>
      <c r="D6338">
        <v>7</v>
      </c>
      <c r="E6338" t="s">
        <v>7</v>
      </c>
      <c r="F6338" t="s">
        <v>7</v>
      </c>
      <c r="G6338" t="s">
        <v>7</v>
      </c>
      <c r="H6338">
        <v>38372.5</v>
      </c>
      <c r="I6338">
        <v>9928.86</v>
      </c>
      <c r="J6338">
        <v>0</v>
      </c>
    </row>
    <row r="6339" spans="1:10" x14ac:dyDescent="0.35">
      <c r="A6339">
        <v>325640</v>
      </c>
      <c r="B6339" t="s">
        <v>20</v>
      </c>
      <c r="C6339">
        <v>2015</v>
      </c>
      <c r="D6339">
        <v>7</v>
      </c>
      <c r="E6339" t="s">
        <v>7</v>
      </c>
      <c r="F6339" t="s">
        <v>7</v>
      </c>
      <c r="G6339" t="s">
        <v>7</v>
      </c>
      <c r="H6339">
        <v>14649.92</v>
      </c>
      <c r="I6339">
        <v>4334.42</v>
      </c>
      <c r="J6339">
        <v>0</v>
      </c>
    </row>
    <row r="6340" spans="1:10" x14ac:dyDescent="0.35">
      <c r="A6340">
        <v>325642</v>
      </c>
      <c r="B6340" t="s">
        <v>20</v>
      </c>
      <c r="C6340">
        <v>2015</v>
      </c>
      <c r="D6340">
        <v>7</v>
      </c>
      <c r="E6340" t="s">
        <v>7</v>
      </c>
      <c r="F6340" t="s">
        <v>7</v>
      </c>
      <c r="G6340" t="s">
        <v>7</v>
      </c>
      <c r="H6340">
        <v>17355.12</v>
      </c>
      <c r="I6340">
        <v>4626.74</v>
      </c>
      <c r="J6340">
        <v>0</v>
      </c>
    </row>
    <row r="6341" spans="1:10" x14ac:dyDescent="0.35">
      <c r="A6341">
        <v>325644</v>
      </c>
      <c r="B6341" t="s">
        <v>20</v>
      </c>
      <c r="C6341">
        <v>2015</v>
      </c>
      <c r="D6341">
        <v>7</v>
      </c>
      <c r="E6341" t="s">
        <v>7</v>
      </c>
      <c r="F6341" t="s">
        <v>7</v>
      </c>
      <c r="G6341" t="s">
        <v>7</v>
      </c>
      <c r="H6341">
        <v>25196.880000000001</v>
      </c>
      <c r="I6341">
        <v>5179.83</v>
      </c>
      <c r="J6341">
        <v>0</v>
      </c>
    </row>
    <row r="6342" spans="1:10" x14ac:dyDescent="0.35">
      <c r="A6342">
        <v>325645</v>
      </c>
      <c r="B6342" t="s">
        <v>20</v>
      </c>
      <c r="C6342">
        <v>2015</v>
      </c>
      <c r="D6342">
        <v>7</v>
      </c>
      <c r="E6342" t="s">
        <v>7</v>
      </c>
      <c r="F6342" t="s">
        <v>7</v>
      </c>
      <c r="G6342" t="s">
        <v>7</v>
      </c>
      <c r="H6342">
        <v>16085.28</v>
      </c>
      <c r="I6342">
        <v>4552.4399999999996</v>
      </c>
      <c r="J6342">
        <v>0</v>
      </c>
    </row>
    <row r="6343" spans="1:10" x14ac:dyDescent="0.35">
      <c r="A6343">
        <v>325647</v>
      </c>
      <c r="B6343" t="s">
        <v>20</v>
      </c>
      <c r="C6343">
        <v>2015</v>
      </c>
      <c r="D6343">
        <v>7</v>
      </c>
      <c r="E6343" t="s">
        <v>7</v>
      </c>
      <c r="F6343" t="s">
        <v>7</v>
      </c>
      <c r="G6343" t="s">
        <v>7</v>
      </c>
      <c r="H6343">
        <v>28369.14</v>
      </c>
      <c r="I6343">
        <v>14809.02</v>
      </c>
      <c r="J6343">
        <v>0</v>
      </c>
    </row>
    <row r="6344" spans="1:10" x14ac:dyDescent="0.35">
      <c r="A6344">
        <v>325648</v>
      </c>
      <c r="B6344" t="s">
        <v>20</v>
      </c>
      <c r="C6344">
        <v>2015</v>
      </c>
      <c r="D6344">
        <v>7</v>
      </c>
      <c r="E6344" t="s">
        <v>7</v>
      </c>
      <c r="F6344" t="s">
        <v>7</v>
      </c>
      <c r="G6344" t="s">
        <v>7</v>
      </c>
      <c r="H6344">
        <v>34518.199999999997</v>
      </c>
      <c r="I6344">
        <v>10515</v>
      </c>
      <c r="J6344">
        <v>0</v>
      </c>
    </row>
    <row r="6345" spans="1:10" x14ac:dyDescent="0.35">
      <c r="A6345">
        <v>325652</v>
      </c>
      <c r="B6345" t="s">
        <v>20</v>
      </c>
      <c r="C6345">
        <v>2015</v>
      </c>
      <c r="D6345">
        <v>7</v>
      </c>
      <c r="E6345" t="s">
        <v>7</v>
      </c>
      <c r="F6345" t="s">
        <v>7</v>
      </c>
      <c r="G6345" t="s">
        <v>7</v>
      </c>
      <c r="H6345">
        <v>23147.1</v>
      </c>
      <c r="I6345">
        <v>6084.53</v>
      </c>
      <c r="J6345">
        <v>0</v>
      </c>
    </row>
    <row r="6346" spans="1:10" x14ac:dyDescent="0.35">
      <c r="A6346">
        <v>325653</v>
      </c>
      <c r="B6346" t="s">
        <v>20</v>
      </c>
      <c r="C6346">
        <v>2015</v>
      </c>
      <c r="D6346">
        <v>7</v>
      </c>
      <c r="E6346" t="s">
        <v>7</v>
      </c>
      <c r="F6346" t="s">
        <v>7</v>
      </c>
      <c r="G6346" t="s">
        <v>7</v>
      </c>
      <c r="H6346">
        <v>26429</v>
      </c>
      <c r="I6346">
        <v>6392.71</v>
      </c>
      <c r="J6346">
        <v>0</v>
      </c>
    </row>
    <row r="6347" spans="1:10" x14ac:dyDescent="0.35">
      <c r="A6347">
        <v>325654</v>
      </c>
      <c r="B6347" t="s">
        <v>20</v>
      </c>
      <c r="C6347">
        <v>2015</v>
      </c>
      <c r="D6347">
        <v>7</v>
      </c>
      <c r="E6347" t="s">
        <v>7</v>
      </c>
      <c r="F6347" t="s">
        <v>7</v>
      </c>
      <c r="G6347" t="s">
        <v>7</v>
      </c>
      <c r="H6347">
        <v>25255</v>
      </c>
      <c r="I6347">
        <v>7404.68</v>
      </c>
      <c r="J6347">
        <v>0</v>
      </c>
    </row>
    <row r="6348" spans="1:10" x14ac:dyDescent="0.35">
      <c r="A6348">
        <v>325655</v>
      </c>
      <c r="B6348" t="s">
        <v>20</v>
      </c>
      <c r="C6348">
        <v>2015</v>
      </c>
      <c r="D6348">
        <v>7</v>
      </c>
      <c r="E6348" t="s">
        <v>7</v>
      </c>
      <c r="F6348" t="s">
        <v>7</v>
      </c>
      <c r="G6348" t="s">
        <v>7</v>
      </c>
      <c r="H6348">
        <v>24075.74</v>
      </c>
      <c r="I6348">
        <v>7371.6</v>
      </c>
      <c r="J6348">
        <v>0</v>
      </c>
    </row>
    <row r="6349" spans="1:10" x14ac:dyDescent="0.35">
      <c r="A6349">
        <v>325657</v>
      </c>
      <c r="B6349" t="s">
        <v>20</v>
      </c>
      <c r="C6349">
        <v>2015</v>
      </c>
      <c r="D6349">
        <v>7</v>
      </c>
      <c r="E6349" t="s">
        <v>7</v>
      </c>
      <c r="F6349" t="s">
        <v>7</v>
      </c>
      <c r="G6349" t="s">
        <v>7</v>
      </c>
      <c r="H6349">
        <v>25104.080000000002</v>
      </c>
      <c r="I6349">
        <v>7461.33</v>
      </c>
      <c r="J6349">
        <v>0</v>
      </c>
    </row>
    <row r="6350" spans="1:10" x14ac:dyDescent="0.35">
      <c r="A6350">
        <v>325659</v>
      </c>
      <c r="B6350" t="s">
        <v>20</v>
      </c>
      <c r="C6350">
        <v>2015</v>
      </c>
      <c r="D6350">
        <v>7</v>
      </c>
      <c r="E6350" t="s">
        <v>7</v>
      </c>
      <c r="F6350" t="s">
        <v>7</v>
      </c>
      <c r="G6350" t="s">
        <v>7</v>
      </c>
      <c r="H6350">
        <v>61137.34</v>
      </c>
      <c r="I6350">
        <v>37546.660000000003</v>
      </c>
      <c r="J6350">
        <v>0</v>
      </c>
    </row>
    <row r="6351" spans="1:10" x14ac:dyDescent="0.35">
      <c r="A6351">
        <v>325660</v>
      </c>
      <c r="B6351" t="s">
        <v>20</v>
      </c>
      <c r="C6351">
        <v>2015</v>
      </c>
      <c r="D6351">
        <v>7</v>
      </c>
      <c r="E6351" t="s">
        <v>7</v>
      </c>
      <c r="F6351" t="s">
        <v>7</v>
      </c>
      <c r="G6351" t="s">
        <v>7</v>
      </c>
      <c r="H6351">
        <v>13997.66</v>
      </c>
      <c r="I6351">
        <v>4012.95</v>
      </c>
      <c r="J6351">
        <v>0</v>
      </c>
    </row>
    <row r="6352" spans="1:10" x14ac:dyDescent="0.35">
      <c r="A6352">
        <v>325661</v>
      </c>
      <c r="B6352" t="s">
        <v>20</v>
      </c>
      <c r="C6352">
        <v>2015</v>
      </c>
      <c r="D6352">
        <v>7</v>
      </c>
      <c r="E6352" t="s">
        <v>7</v>
      </c>
      <c r="F6352" t="s">
        <v>7</v>
      </c>
      <c r="G6352" t="s">
        <v>7</v>
      </c>
      <c r="H6352">
        <v>18839.68</v>
      </c>
      <c r="I6352">
        <v>4996.33</v>
      </c>
      <c r="J6352">
        <v>0</v>
      </c>
    </row>
    <row r="6353" spans="1:10" x14ac:dyDescent="0.35">
      <c r="A6353">
        <v>325662</v>
      </c>
      <c r="B6353" t="s">
        <v>20</v>
      </c>
      <c r="C6353">
        <v>2015</v>
      </c>
      <c r="D6353">
        <v>7</v>
      </c>
      <c r="E6353" t="s">
        <v>7</v>
      </c>
      <c r="F6353" t="s">
        <v>7</v>
      </c>
      <c r="G6353" t="s">
        <v>7</v>
      </c>
      <c r="H6353">
        <v>21314.959999999999</v>
      </c>
      <c r="I6353">
        <v>5992.25</v>
      </c>
      <c r="J6353">
        <v>0</v>
      </c>
    </row>
    <row r="6354" spans="1:10" x14ac:dyDescent="0.35">
      <c r="A6354">
        <v>325664</v>
      </c>
      <c r="B6354" t="s">
        <v>20</v>
      </c>
      <c r="C6354">
        <v>2015</v>
      </c>
      <c r="D6354">
        <v>7</v>
      </c>
      <c r="E6354" t="s">
        <v>7</v>
      </c>
      <c r="F6354" t="s">
        <v>7</v>
      </c>
      <c r="G6354" t="s">
        <v>7</v>
      </c>
      <c r="H6354">
        <v>15541.24</v>
      </c>
      <c r="I6354">
        <v>4598.51</v>
      </c>
      <c r="J6354">
        <v>0</v>
      </c>
    </row>
    <row r="6355" spans="1:10" x14ac:dyDescent="0.35">
      <c r="A6355">
        <v>325665</v>
      </c>
      <c r="B6355" t="s">
        <v>20</v>
      </c>
      <c r="C6355">
        <v>2015</v>
      </c>
      <c r="D6355">
        <v>7</v>
      </c>
      <c r="E6355" t="s">
        <v>7</v>
      </c>
      <c r="F6355" t="s">
        <v>7</v>
      </c>
      <c r="G6355" t="s">
        <v>7</v>
      </c>
      <c r="H6355">
        <v>31500.04</v>
      </c>
      <c r="I6355">
        <v>10305.81</v>
      </c>
      <c r="J6355">
        <v>0</v>
      </c>
    </row>
    <row r="6356" spans="1:10" x14ac:dyDescent="0.35">
      <c r="A6356">
        <v>325666</v>
      </c>
      <c r="B6356" t="s">
        <v>20</v>
      </c>
      <c r="C6356">
        <v>2015</v>
      </c>
      <c r="D6356">
        <v>7</v>
      </c>
      <c r="E6356" t="s">
        <v>7</v>
      </c>
      <c r="F6356" t="s">
        <v>7</v>
      </c>
      <c r="G6356" t="s">
        <v>7</v>
      </c>
      <c r="H6356">
        <v>102692.06</v>
      </c>
      <c r="I6356">
        <v>74127.850000000006</v>
      </c>
      <c r="J6356">
        <v>0</v>
      </c>
    </row>
    <row r="6357" spans="1:10" x14ac:dyDescent="0.35">
      <c r="A6357">
        <v>325668</v>
      </c>
      <c r="B6357" t="s">
        <v>20</v>
      </c>
      <c r="C6357">
        <v>2015</v>
      </c>
      <c r="D6357">
        <v>7</v>
      </c>
      <c r="E6357" t="s">
        <v>7</v>
      </c>
      <c r="F6357" t="s">
        <v>7</v>
      </c>
      <c r="G6357" t="s">
        <v>7</v>
      </c>
      <c r="H6357">
        <v>46855.7</v>
      </c>
      <c r="I6357">
        <v>9895.25</v>
      </c>
      <c r="J6357">
        <v>0</v>
      </c>
    </row>
    <row r="6358" spans="1:10" x14ac:dyDescent="0.35">
      <c r="A6358">
        <v>325670</v>
      </c>
      <c r="B6358" t="s">
        <v>20</v>
      </c>
      <c r="C6358">
        <v>2015</v>
      </c>
      <c r="D6358">
        <v>7</v>
      </c>
      <c r="E6358" t="s">
        <v>7</v>
      </c>
      <c r="F6358" t="s">
        <v>7</v>
      </c>
      <c r="G6358" t="s">
        <v>7</v>
      </c>
      <c r="H6358">
        <v>40492.019999999997</v>
      </c>
      <c r="I6358">
        <v>10971.84</v>
      </c>
      <c r="J6358">
        <v>0</v>
      </c>
    </row>
    <row r="6359" spans="1:10" x14ac:dyDescent="0.35">
      <c r="A6359">
        <v>325672</v>
      </c>
      <c r="B6359" t="s">
        <v>20</v>
      </c>
      <c r="C6359">
        <v>2015</v>
      </c>
      <c r="D6359">
        <v>7</v>
      </c>
      <c r="E6359" t="s">
        <v>7</v>
      </c>
      <c r="F6359" t="s">
        <v>7</v>
      </c>
      <c r="G6359" t="s">
        <v>7</v>
      </c>
      <c r="H6359">
        <v>9644.44</v>
      </c>
      <c r="I6359">
        <v>2631.74</v>
      </c>
      <c r="J6359">
        <v>0</v>
      </c>
    </row>
    <row r="6360" spans="1:10" x14ac:dyDescent="0.35">
      <c r="A6360">
        <v>325678</v>
      </c>
      <c r="B6360" t="s">
        <v>20</v>
      </c>
      <c r="C6360">
        <v>2015</v>
      </c>
      <c r="D6360">
        <v>7</v>
      </c>
      <c r="E6360" t="s">
        <v>7</v>
      </c>
      <c r="F6360" t="s">
        <v>7</v>
      </c>
      <c r="G6360" t="s">
        <v>7</v>
      </c>
      <c r="H6360">
        <v>45895.62</v>
      </c>
      <c r="I6360">
        <v>13698.85</v>
      </c>
      <c r="J6360">
        <v>0</v>
      </c>
    </row>
    <row r="6361" spans="1:10" x14ac:dyDescent="0.35">
      <c r="A6361">
        <v>325679</v>
      </c>
      <c r="B6361" t="s">
        <v>20</v>
      </c>
      <c r="C6361">
        <v>2015</v>
      </c>
      <c r="D6361">
        <v>7</v>
      </c>
      <c r="E6361" t="s">
        <v>7</v>
      </c>
      <c r="F6361" t="s">
        <v>7</v>
      </c>
      <c r="G6361" t="s">
        <v>7</v>
      </c>
      <c r="H6361">
        <v>9766.5</v>
      </c>
      <c r="I6361">
        <v>2220.7399999999998</v>
      </c>
      <c r="J6361">
        <v>0</v>
      </c>
    </row>
    <row r="6362" spans="1:10" x14ac:dyDescent="0.35">
      <c r="A6362">
        <v>325681</v>
      </c>
      <c r="B6362" t="s">
        <v>20</v>
      </c>
      <c r="C6362">
        <v>2015</v>
      </c>
      <c r="D6362">
        <v>7</v>
      </c>
      <c r="E6362" t="s">
        <v>7</v>
      </c>
      <c r="F6362" t="s">
        <v>7</v>
      </c>
      <c r="G6362" t="s">
        <v>7</v>
      </c>
      <c r="H6362">
        <v>56460.02</v>
      </c>
      <c r="I6362">
        <v>16479.189999999999</v>
      </c>
      <c r="J6362">
        <v>0</v>
      </c>
    </row>
    <row r="6363" spans="1:10" x14ac:dyDescent="0.35">
      <c r="A6363">
        <v>325682</v>
      </c>
      <c r="B6363" t="s">
        <v>20</v>
      </c>
      <c r="C6363">
        <v>2015</v>
      </c>
      <c r="D6363">
        <v>7</v>
      </c>
      <c r="E6363" t="s">
        <v>7</v>
      </c>
      <c r="F6363" t="s">
        <v>7</v>
      </c>
      <c r="G6363" t="s">
        <v>7</v>
      </c>
      <c r="H6363">
        <v>27305.759999999998</v>
      </c>
      <c r="I6363">
        <v>7752.97</v>
      </c>
      <c r="J6363">
        <v>0</v>
      </c>
    </row>
    <row r="6364" spans="1:10" x14ac:dyDescent="0.35">
      <c r="A6364">
        <v>325684</v>
      </c>
      <c r="B6364" t="s">
        <v>20</v>
      </c>
      <c r="C6364">
        <v>2015</v>
      </c>
      <c r="D6364">
        <v>7</v>
      </c>
      <c r="E6364" t="s">
        <v>7</v>
      </c>
      <c r="F6364" t="s">
        <v>7</v>
      </c>
      <c r="G6364" t="s">
        <v>7</v>
      </c>
      <c r="H6364">
        <v>30585.58</v>
      </c>
      <c r="I6364">
        <v>18729.7</v>
      </c>
      <c r="J6364">
        <v>0</v>
      </c>
    </row>
    <row r="6365" spans="1:10" x14ac:dyDescent="0.35">
      <c r="A6365">
        <v>325685</v>
      </c>
      <c r="B6365" t="s">
        <v>20</v>
      </c>
      <c r="C6365">
        <v>2015</v>
      </c>
      <c r="D6365">
        <v>7</v>
      </c>
      <c r="E6365" t="s">
        <v>7</v>
      </c>
      <c r="F6365" t="s">
        <v>7</v>
      </c>
      <c r="G6365" t="s">
        <v>7</v>
      </c>
      <c r="H6365">
        <v>129312.32000000001</v>
      </c>
      <c r="I6365">
        <v>45422.559999999998</v>
      </c>
      <c r="J6365">
        <v>0</v>
      </c>
    </row>
    <row r="6366" spans="1:10" x14ac:dyDescent="0.35">
      <c r="A6366">
        <v>325686</v>
      </c>
      <c r="B6366" t="s">
        <v>20</v>
      </c>
      <c r="C6366">
        <v>2015</v>
      </c>
      <c r="D6366">
        <v>7</v>
      </c>
      <c r="E6366" t="s">
        <v>7</v>
      </c>
      <c r="F6366" t="s">
        <v>7</v>
      </c>
      <c r="G6366" t="s">
        <v>7</v>
      </c>
      <c r="H6366">
        <v>28587.8</v>
      </c>
      <c r="I6366">
        <v>8316.66</v>
      </c>
      <c r="J6366">
        <v>0</v>
      </c>
    </row>
    <row r="6367" spans="1:10" x14ac:dyDescent="0.35">
      <c r="A6367">
        <v>325687</v>
      </c>
      <c r="B6367" t="s">
        <v>20</v>
      </c>
      <c r="C6367">
        <v>2015</v>
      </c>
      <c r="D6367">
        <v>7</v>
      </c>
      <c r="E6367" t="s">
        <v>7</v>
      </c>
      <c r="F6367" t="s">
        <v>7</v>
      </c>
      <c r="G6367" t="s">
        <v>7</v>
      </c>
      <c r="H6367">
        <v>12252.26</v>
      </c>
      <c r="I6367">
        <v>2644.95</v>
      </c>
      <c r="J6367">
        <v>0</v>
      </c>
    </row>
    <row r="6368" spans="1:10" x14ac:dyDescent="0.35">
      <c r="A6368">
        <v>325689</v>
      </c>
      <c r="B6368" t="s">
        <v>20</v>
      </c>
      <c r="C6368">
        <v>2015</v>
      </c>
      <c r="D6368">
        <v>7</v>
      </c>
      <c r="E6368" t="s">
        <v>7</v>
      </c>
      <c r="F6368" t="s">
        <v>7</v>
      </c>
      <c r="G6368" t="s">
        <v>7</v>
      </c>
      <c r="H6368">
        <v>19351.259999999998</v>
      </c>
      <c r="I6368">
        <v>4956.72</v>
      </c>
      <c r="J6368">
        <v>0</v>
      </c>
    </row>
    <row r="6369" spans="1:10" x14ac:dyDescent="0.35">
      <c r="A6369">
        <v>325690</v>
      </c>
      <c r="B6369" t="s">
        <v>20</v>
      </c>
      <c r="C6369">
        <v>2015</v>
      </c>
      <c r="D6369">
        <v>7</v>
      </c>
      <c r="E6369" t="s">
        <v>7</v>
      </c>
      <c r="F6369" t="s">
        <v>7</v>
      </c>
      <c r="G6369" t="s">
        <v>7</v>
      </c>
      <c r="H6369">
        <v>98343.1</v>
      </c>
      <c r="I6369">
        <v>38046.089999999997</v>
      </c>
      <c r="J6369">
        <v>0</v>
      </c>
    </row>
    <row r="6370" spans="1:10" x14ac:dyDescent="0.35">
      <c r="A6370">
        <v>325691</v>
      </c>
      <c r="B6370" t="s">
        <v>20</v>
      </c>
      <c r="C6370">
        <v>2015</v>
      </c>
      <c r="D6370">
        <v>7</v>
      </c>
      <c r="E6370" t="s">
        <v>7</v>
      </c>
      <c r="F6370" t="s">
        <v>7</v>
      </c>
      <c r="G6370" t="s">
        <v>7</v>
      </c>
      <c r="H6370">
        <v>65226.879999999997</v>
      </c>
      <c r="I6370">
        <v>19028.02</v>
      </c>
      <c r="J6370">
        <v>0</v>
      </c>
    </row>
    <row r="6371" spans="1:10" x14ac:dyDescent="0.35">
      <c r="A6371">
        <v>325693</v>
      </c>
      <c r="B6371" t="s">
        <v>20</v>
      </c>
      <c r="C6371">
        <v>2015</v>
      </c>
      <c r="D6371">
        <v>7</v>
      </c>
      <c r="E6371" t="s">
        <v>7</v>
      </c>
      <c r="F6371" t="s">
        <v>7</v>
      </c>
      <c r="G6371" t="s">
        <v>7</v>
      </c>
      <c r="H6371">
        <v>32130.5</v>
      </c>
      <c r="I6371">
        <v>10069.31</v>
      </c>
      <c r="J6371">
        <v>0</v>
      </c>
    </row>
    <row r="6372" spans="1:10" x14ac:dyDescent="0.35">
      <c r="A6372">
        <v>325696</v>
      </c>
      <c r="B6372" t="s">
        <v>20</v>
      </c>
      <c r="C6372">
        <v>2015</v>
      </c>
      <c r="D6372">
        <v>7</v>
      </c>
      <c r="E6372" t="s">
        <v>7</v>
      </c>
      <c r="F6372" t="s">
        <v>7</v>
      </c>
      <c r="G6372" t="s">
        <v>7</v>
      </c>
      <c r="H6372">
        <v>90680.69</v>
      </c>
      <c r="I6372">
        <v>37663.22</v>
      </c>
      <c r="J6372">
        <v>0</v>
      </c>
    </row>
    <row r="6373" spans="1:10" x14ac:dyDescent="0.35">
      <c r="A6373">
        <v>325700</v>
      </c>
      <c r="B6373" t="s">
        <v>20</v>
      </c>
      <c r="C6373">
        <v>2015</v>
      </c>
      <c r="D6373">
        <v>7</v>
      </c>
      <c r="E6373" t="s">
        <v>7</v>
      </c>
      <c r="F6373" t="s">
        <v>7</v>
      </c>
      <c r="G6373" t="s">
        <v>7</v>
      </c>
      <c r="H6373">
        <v>15129.68</v>
      </c>
      <c r="I6373">
        <v>4535.88</v>
      </c>
      <c r="J6373">
        <v>0</v>
      </c>
    </row>
    <row r="6374" spans="1:10" x14ac:dyDescent="0.35">
      <c r="A6374">
        <v>325701</v>
      </c>
      <c r="B6374" t="s">
        <v>20</v>
      </c>
      <c r="C6374">
        <v>2015</v>
      </c>
      <c r="D6374">
        <v>7</v>
      </c>
      <c r="E6374" t="s">
        <v>7</v>
      </c>
      <c r="F6374" t="s">
        <v>7</v>
      </c>
      <c r="G6374" t="s">
        <v>7</v>
      </c>
      <c r="H6374">
        <v>25577.22</v>
      </c>
      <c r="I6374">
        <v>6618.69</v>
      </c>
      <c r="J6374">
        <v>0</v>
      </c>
    </row>
    <row r="6375" spans="1:10" x14ac:dyDescent="0.35">
      <c r="A6375">
        <v>325702</v>
      </c>
      <c r="B6375" t="s">
        <v>20</v>
      </c>
      <c r="C6375">
        <v>2015</v>
      </c>
      <c r="D6375">
        <v>7</v>
      </c>
      <c r="E6375" t="s">
        <v>7</v>
      </c>
      <c r="F6375" t="s">
        <v>7</v>
      </c>
      <c r="G6375" t="s">
        <v>7</v>
      </c>
      <c r="H6375">
        <v>24656.78</v>
      </c>
      <c r="I6375">
        <v>7706.2</v>
      </c>
      <c r="J6375">
        <v>0</v>
      </c>
    </row>
    <row r="6376" spans="1:10" x14ac:dyDescent="0.35">
      <c r="A6376">
        <v>325703</v>
      </c>
      <c r="B6376" t="s">
        <v>20</v>
      </c>
      <c r="C6376">
        <v>2015</v>
      </c>
      <c r="D6376">
        <v>7</v>
      </c>
      <c r="E6376" t="s">
        <v>7</v>
      </c>
      <c r="F6376" t="s">
        <v>7</v>
      </c>
      <c r="G6376" t="s">
        <v>7</v>
      </c>
      <c r="H6376">
        <v>11753.2</v>
      </c>
      <c r="I6376">
        <v>3023.22</v>
      </c>
      <c r="J6376">
        <v>0</v>
      </c>
    </row>
    <row r="6377" spans="1:10" x14ac:dyDescent="0.35">
      <c r="A6377">
        <v>325705</v>
      </c>
      <c r="B6377" t="s">
        <v>20</v>
      </c>
      <c r="C6377">
        <v>2015</v>
      </c>
      <c r="D6377">
        <v>7</v>
      </c>
      <c r="E6377" t="s">
        <v>7</v>
      </c>
      <c r="F6377" t="s">
        <v>7</v>
      </c>
      <c r="G6377" t="s">
        <v>7</v>
      </c>
      <c r="H6377">
        <v>25923.599999999999</v>
      </c>
      <c r="I6377">
        <v>6101.3</v>
      </c>
      <c r="J6377">
        <v>0</v>
      </c>
    </row>
    <row r="6378" spans="1:10" x14ac:dyDescent="0.35">
      <c r="A6378">
        <v>325708</v>
      </c>
      <c r="B6378" t="s">
        <v>20</v>
      </c>
      <c r="C6378">
        <v>2015</v>
      </c>
      <c r="D6378">
        <v>7</v>
      </c>
      <c r="E6378" t="s">
        <v>7</v>
      </c>
      <c r="F6378" t="s">
        <v>7</v>
      </c>
      <c r="G6378" t="s">
        <v>7</v>
      </c>
      <c r="H6378">
        <v>19236.32</v>
      </c>
      <c r="I6378">
        <v>5990.71</v>
      </c>
      <c r="J6378">
        <v>0</v>
      </c>
    </row>
    <row r="6379" spans="1:10" x14ac:dyDescent="0.35">
      <c r="A6379">
        <v>325710</v>
      </c>
      <c r="B6379" t="s">
        <v>20</v>
      </c>
      <c r="C6379">
        <v>2015</v>
      </c>
      <c r="D6379">
        <v>7</v>
      </c>
      <c r="E6379" t="s">
        <v>7</v>
      </c>
      <c r="F6379" t="s">
        <v>7</v>
      </c>
      <c r="G6379" t="s">
        <v>7</v>
      </c>
      <c r="H6379">
        <v>12992.88</v>
      </c>
      <c r="I6379">
        <v>5097.13</v>
      </c>
      <c r="J6379">
        <v>0</v>
      </c>
    </row>
    <row r="6380" spans="1:10" x14ac:dyDescent="0.35">
      <c r="A6380">
        <v>325711</v>
      </c>
      <c r="B6380" t="s">
        <v>20</v>
      </c>
      <c r="C6380">
        <v>2015</v>
      </c>
      <c r="D6380">
        <v>7</v>
      </c>
      <c r="E6380" t="s">
        <v>7</v>
      </c>
      <c r="F6380" t="s">
        <v>7</v>
      </c>
      <c r="G6380" t="s">
        <v>7</v>
      </c>
      <c r="H6380">
        <v>44648.08</v>
      </c>
      <c r="I6380">
        <v>12921.54</v>
      </c>
      <c r="J6380">
        <v>0</v>
      </c>
    </row>
    <row r="6381" spans="1:10" x14ac:dyDescent="0.35">
      <c r="A6381">
        <v>325717</v>
      </c>
      <c r="B6381" t="s">
        <v>20</v>
      </c>
      <c r="C6381">
        <v>2015</v>
      </c>
      <c r="D6381">
        <v>7</v>
      </c>
      <c r="E6381" t="s">
        <v>7</v>
      </c>
      <c r="F6381" t="s">
        <v>7</v>
      </c>
      <c r="G6381" t="s">
        <v>7</v>
      </c>
      <c r="H6381">
        <v>9992.92</v>
      </c>
      <c r="I6381">
        <v>2561.1</v>
      </c>
      <c r="J6381">
        <v>0</v>
      </c>
    </row>
    <row r="6382" spans="1:10" x14ac:dyDescent="0.35">
      <c r="A6382">
        <v>325719</v>
      </c>
      <c r="B6382" t="s">
        <v>20</v>
      </c>
      <c r="C6382">
        <v>2015</v>
      </c>
      <c r="D6382">
        <v>7</v>
      </c>
      <c r="E6382" t="s">
        <v>7</v>
      </c>
      <c r="F6382" t="s">
        <v>7</v>
      </c>
      <c r="G6382" t="s">
        <v>7</v>
      </c>
      <c r="H6382">
        <v>23968.3</v>
      </c>
      <c r="I6382">
        <v>7512.93</v>
      </c>
      <c r="J6382">
        <v>0</v>
      </c>
    </row>
    <row r="6383" spans="1:10" x14ac:dyDescent="0.35">
      <c r="A6383">
        <v>325721</v>
      </c>
      <c r="B6383" t="s">
        <v>20</v>
      </c>
      <c r="C6383">
        <v>2015</v>
      </c>
      <c r="D6383">
        <v>7</v>
      </c>
      <c r="E6383" t="s">
        <v>7</v>
      </c>
      <c r="F6383" t="s">
        <v>7</v>
      </c>
      <c r="G6383" t="s">
        <v>7</v>
      </c>
      <c r="H6383">
        <v>57315.02</v>
      </c>
      <c r="I6383">
        <v>16623.61</v>
      </c>
      <c r="J6383">
        <v>0</v>
      </c>
    </row>
    <row r="6384" spans="1:10" x14ac:dyDescent="0.35">
      <c r="A6384">
        <v>325723</v>
      </c>
      <c r="B6384" t="s">
        <v>20</v>
      </c>
      <c r="C6384">
        <v>2015</v>
      </c>
      <c r="D6384">
        <v>7</v>
      </c>
      <c r="E6384" t="s">
        <v>7</v>
      </c>
      <c r="F6384" t="s">
        <v>7</v>
      </c>
      <c r="G6384" t="s">
        <v>7</v>
      </c>
      <c r="H6384">
        <v>24580.12</v>
      </c>
      <c r="I6384">
        <v>14281.42</v>
      </c>
      <c r="J6384">
        <v>0</v>
      </c>
    </row>
    <row r="6385" spans="1:10" x14ac:dyDescent="0.35">
      <c r="A6385">
        <v>325724</v>
      </c>
      <c r="B6385" t="s">
        <v>20</v>
      </c>
      <c r="C6385">
        <v>2015</v>
      </c>
      <c r="D6385">
        <v>7</v>
      </c>
      <c r="E6385" t="s">
        <v>7</v>
      </c>
      <c r="F6385" t="s">
        <v>7</v>
      </c>
      <c r="G6385" t="s">
        <v>7</v>
      </c>
      <c r="H6385">
        <v>37938.26</v>
      </c>
      <c r="I6385">
        <v>10821.67</v>
      </c>
      <c r="J6385">
        <v>0</v>
      </c>
    </row>
    <row r="6386" spans="1:10" x14ac:dyDescent="0.35">
      <c r="A6386">
        <v>325726</v>
      </c>
      <c r="B6386" t="s">
        <v>20</v>
      </c>
      <c r="C6386">
        <v>2015</v>
      </c>
      <c r="D6386">
        <v>7</v>
      </c>
      <c r="E6386" t="s">
        <v>7</v>
      </c>
      <c r="F6386" t="s">
        <v>7</v>
      </c>
      <c r="G6386" t="s">
        <v>7</v>
      </c>
      <c r="H6386">
        <v>21264.46</v>
      </c>
      <c r="I6386">
        <v>6368.69</v>
      </c>
      <c r="J6386">
        <v>0</v>
      </c>
    </row>
    <row r="6387" spans="1:10" x14ac:dyDescent="0.35">
      <c r="A6387">
        <v>325727</v>
      </c>
      <c r="B6387" t="s">
        <v>20</v>
      </c>
      <c r="C6387">
        <v>2015</v>
      </c>
      <c r="D6387">
        <v>7</v>
      </c>
      <c r="E6387" t="s">
        <v>7</v>
      </c>
      <c r="F6387" t="s">
        <v>7</v>
      </c>
      <c r="G6387" t="s">
        <v>7</v>
      </c>
      <c r="H6387">
        <v>58346.98</v>
      </c>
      <c r="I6387">
        <v>35465.58</v>
      </c>
      <c r="J6387">
        <v>0</v>
      </c>
    </row>
    <row r="6388" spans="1:10" x14ac:dyDescent="0.35">
      <c r="A6388">
        <v>325728</v>
      </c>
      <c r="B6388" t="s">
        <v>20</v>
      </c>
      <c r="C6388">
        <v>2015</v>
      </c>
      <c r="D6388">
        <v>7</v>
      </c>
      <c r="E6388" t="s">
        <v>7</v>
      </c>
      <c r="F6388" t="s">
        <v>7</v>
      </c>
      <c r="G6388" t="s">
        <v>7</v>
      </c>
      <c r="H6388">
        <v>11192.08</v>
      </c>
      <c r="I6388">
        <v>2503.1999999999998</v>
      </c>
      <c r="J6388">
        <v>0</v>
      </c>
    </row>
    <row r="6389" spans="1:10" x14ac:dyDescent="0.35">
      <c r="A6389">
        <v>325730</v>
      </c>
      <c r="B6389" t="s">
        <v>20</v>
      </c>
      <c r="C6389">
        <v>2015</v>
      </c>
      <c r="D6389">
        <v>7</v>
      </c>
      <c r="E6389" t="s">
        <v>7</v>
      </c>
      <c r="F6389" t="s">
        <v>7</v>
      </c>
      <c r="G6389" t="s">
        <v>7</v>
      </c>
      <c r="H6389">
        <v>20936.419999999998</v>
      </c>
      <c r="I6389">
        <v>6281.55</v>
      </c>
      <c r="J6389">
        <v>0</v>
      </c>
    </row>
    <row r="6390" spans="1:10" x14ac:dyDescent="0.35">
      <c r="A6390">
        <v>325731</v>
      </c>
      <c r="B6390" t="s">
        <v>20</v>
      </c>
      <c r="C6390">
        <v>2015</v>
      </c>
      <c r="D6390">
        <v>7</v>
      </c>
      <c r="E6390" t="s">
        <v>7</v>
      </c>
      <c r="F6390" t="s">
        <v>7</v>
      </c>
      <c r="G6390" t="s">
        <v>7</v>
      </c>
      <c r="H6390">
        <v>14930.18</v>
      </c>
      <c r="I6390">
        <v>3412.29</v>
      </c>
      <c r="J6390">
        <v>0</v>
      </c>
    </row>
    <row r="6391" spans="1:10" x14ac:dyDescent="0.35">
      <c r="A6391">
        <v>325732</v>
      </c>
      <c r="B6391" t="s">
        <v>20</v>
      </c>
      <c r="C6391">
        <v>2015</v>
      </c>
      <c r="D6391">
        <v>7</v>
      </c>
      <c r="E6391" t="s">
        <v>7</v>
      </c>
      <c r="F6391" t="s">
        <v>7</v>
      </c>
      <c r="G6391" t="s">
        <v>7</v>
      </c>
      <c r="H6391">
        <v>25556.86</v>
      </c>
      <c r="I6391">
        <v>7762.13</v>
      </c>
      <c r="J6391">
        <v>0</v>
      </c>
    </row>
    <row r="6392" spans="1:10" x14ac:dyDescent="0.35">
      <c r="A6392">
        <v>325733</v>
      </c>
      <c r="B6392" t="s">
        <v>20</v>
      </c>
      <c r="C6392">
        <v>2015</v>
      </c>
      <c r="D6392">
        <v>7</v>
      </c>
      <c r="E6392" t="s">
        <v>7</v>
      </c>
      <c r="F6392" t="s">
        <v>7</v>
      </c>
      <c r="G6392" t="s">
        <v>7</v>
      </c>
      <c r="H6392">
        <v>21404.54</v>
      </c>
      <c r="I6392">
        <v>6589.32</v>
      </c>
      <c r="J6392">
        <v>0</v>
      </c>
    </row>
    <row r="6393" spans="1:10" x14ac:dyDescent="0.35">
      <c r="A6393">
        <v>325734</v>
      </c>
      <c r="B6393" t="s">
        <v>20</v>
      </c>
      <c r="C6393">
        <v>2015</v>
      </c>
      <c r="D6393">
        <v>7</v>
      </c>
      <c r="E6393" t="s">
        <v>7</v>
      </c>
      <c r="F6393" t="s">
        <v>7</v>
      </c>
      <c r="G6393" t="s">
        <v>7</v>
      </c>
      <c r="H6393">
        <v>73958.100000000006</v>
      </c>
      <c r="I6393">
        <v>21709.34</v>
      </c>
      <c r="J6393">
        <v>0</v>
      </c>
    </row>
    <row r="6394" spans="1:10" x14ac:dyDescent="0.35">
      <c r="A6394">
        <v>325735</v>
      </c>
      <c r="B6394" t="s">
        <v>20</v>
      </c>
      <c r="C6394">
        <v>2015</v>
      </c>
      <c r="D6394">
        <v>7</v>
      </c>
      <c r="E6394" t="s">
        <v>7</v>
      </c>
      <c r="F6394" t="s">
        <v>7</v>
      </c>
      <c r="G6394" t="s">
        <v>7</v>
      </c>
      <c r="H6394">
        <v>14080.18</v>
      </c>
      <c r="I6394">
        <v>3812.06</v>
      </c>
      <c r="J6394">
        <v>0</v>
      </c>
    </row>
    <row r="6395" spans="1:10" x14ac:dyDescent="0.35">
      <c r="A6395">
        <v>325737</v>
      </c>
      <c r="B6395" t="s">
        <v>20</v>
      </c>
      <c r="C6395">
        <v>2015</v>
      </c>
      <c r="D6395">
        <v>7</v>
      </c>
      <c r="E6395" t="s">
        <v>7</v>
      </c>
      <c r="F6395" t="s">
        <v>7</v>
      </c>
      <c r="G6395" t="s">
        <v>7</v>
      </c>
      <c r="H6395">
        <v>53849.14</v>
      </c>
      <c r="I6395">
        <v>13442.16</v>
      </c>
      <c r="J6395">
        <v>0</v>
      </c>
    </row>
    <row r="6396" spans="1:10" x14ac:dyDescent="0.35">
      <c r="A6396">
        <v>325740</v>
      </c>
      <c r="B6396" t="s">
        <v>20</v>
      </c>
      <c r="C6396">
        <v>2015</v>
      </c>
      <c r="D6396">
        <v>7</v>
      </c>
      <c r="E6396" t="s">
        <v>7</v>
      </c>
      <c r="F6396" t="s">
        <v>7</v>
      </c>
      <c r="G6396" t="s">
        <v>7</v>
      </c>
      <c r="H6396">
        <v>109795.92</v>
      </c>
      <c r="I6396">
        <v>40483.97</v>
      </c>
      <c r="J6396">
        <v>0</v>
      </c>
    </row>
    <row r="6397" spans="1:10" x14ac:dyDescent="0.35">
      <c r="A6397">
        <v>325741</v>
      </c>
      <c r="B6397" t="s">
        <v>20</v>
      </c>
      <c r="C6397">
        <v>2015</v>
      </c>
      <c r="D6397">
        <v>7</v>
      </c>
      <c r="E6397" t="s">
        <v>7</v>
      </c>
      <c r="F6397" t="s">
        <v>7</v>
      </c>
      <c r="G6397" t="s">
        <v>7</v>
      </c>
      <c r="H6397">
        <v>85585.06</v>
      </c>
      <c r="I6397">
        <v>50825.41</v>
      </c>
      <c r="J6397">
        <v>0</v>
      </c>
    </row>
    <row r="6398" spans="1:10" x14ac:dyDescent="0.35">
      <c r="A6398">
        <v>325744</v>
      </c>
      <c r="B6398" t="s">
        <v>20</v>
      </c>
      <c r="C6398">
        <v>2015</v>
      </c>
      <c r="D6398">
        <v>7</v>
      </c>
      <c r="E6398" t="s">
        <v>7</v>
      </c>
      <c r="F6398" t="s">
        <v>7</v>
      </c>
      <c r="G6398" t="s">
        <v>7</v>
      </c>
      <c r="H6398">
        <v>99462.3</v>
      </c>
      <c r="I6398">
        <v>33942.959999999999</v>
      </c>
      <c r="J6398">
        <v>0</v>
      </c>
    </row>
    <row r="6399" spans="1:10" x14ac:dyDescent="0.35">
      <c r="A6399">
        <v>325746</v>
      </c>
      <c r="B6399" t="s">
        <v>20</v>
      </c>
      <c r="C6399">
        <v>2015</v>
      </c>
      <c r="D6399">
        <v>7</v>
      </c>
      <c r="E6399" t="s">
        <v>7</v>
      </c>
      <c r="F6399" t="s">
        <v>7</v>
      </c>
      <c r="G6399" t="s">
        <v>7</v>
      </c>
      <c r="H6399">
        <v>36178.839999999997</v>
      </c>
      <c r="I6399">
        <v>9106.4</v>
      </c>
      <c r="J6399">
        <v>0</v>
      </c>
    </row>
    <row r="6400" spans="1:10" x14ac:dyDescent="0.35">
      <c r="A6400">
        <v>325749</v>
      </c>
      <c r="B6400" t="s">
        <v>20</v>
      </c>
      <c r="C6400">
        <v>2015</v>
      </c>
      <c r="D6400">
        <v>7</v>
      </c>
      <c r="E6400" t="s">
        <v>7</v>
      </c>
      <c r="F6400" t="s">
        <v>7</v>
      </c>
      <c r="G6400" t="s">
        <v>7</v>
      </c>
      <c r="H6400">
        <v>16872.38</v>
      </c>
      <c r="I6400">
        <v>4923.2</v>
      </c>
      <c r="J6400">
        <v>0</v>
      </c>
    </row>
    <row r="6401" spans="1:10" x14ac:dyDescent="0.35">
      <c r="A6401">
        <v>325751</v>
      </c>
      <c r="B6401" t="s">
        <v>20</v>
      </c>
      <c r="C6401">
        <v>2015</v>
      </c>
      <c r="D6401">
        <v>7</v>
      </c>
      <c r="E6401" t="s">
        <v>7</v>
      </c>
      <c r="F6401" t="s">
        <v>7</v>
      </c>
      <c r="G6401" t="s">
        <v>7</v>
      </c>
      <c r="H6401">
        <v>19686.14</v>
      </c>
      <c r="I6401">
        <v>5610.77</v>
      </c>
      <c r="J6401">
        <v>0</v>
      </c>
    </row>
    <row r="6402" spans="1:10" x14ac:dyDescent="0.35">
      <c r="A6402">
        <v>325753</v>
      </c>
      <c r="B6402" t="s">
        <v>20</v>
      </c>
      <c r="C6402">
        <v>2015</v>
      </c>
      <c r="D6402">
        <v>7</v>
      </c>
      <c r="E6402" t="s">
        <v>7</v>
      </c>
      <c r="F6402" t="s">
        <v>7</v>
      </c>
      <c r="G6402" t="s">
        <v>7</v>
      </c>
      <c r="H6402">
        <v>16720.599999999999</v>
      </c>
      <c r="I6402">
        <v>4450.68</v>
      </c>
      <c r="J6402">
        <v>0</v>
      </c>
    </row>
    <row r="6403" spans="1:10" x14ac:dyDescent="0.35">
      <c r="A6403">
        <v>325755</v>
      </c>
      <c r="B6403" t="s">
        <v>20</v>
      </c>
      <c r="C6403">
        <v>2015</v>
      </c>
      <c r="D6403">
        <v>7</v>
      </c>
      <c r="E6403" t="s">
        <v>7</v>
      </c>
      <c r="F6403" t="s">
        <v>7</v>
      </c>
      <c r="G6403" t="s">
        <v>7</v>
      </c>
      <c r="H6403">
        <v>12941.96</v>
      </c>
      <c r="I6403">
        <v>2880.3</v>
      </c>
      <c r="J6403">
        <v>0</v>
      </c>
    </row>
    <row r="6404" spans="1:10" x14ac:dyDescent="0.35">
      <c r="A6404">
        <v>325757</v>
      </c>
      <c r="B6404" t="s">
        <v>20</v>
      </c>
      <c r="C6404">
        <v>2015</v>
      </c>
      <c r="D6404">
        <v>7</v>
      </c>
      <c r="E6404" t="s">
        <v>7</v>
      </c>
      <c r="F6404" t="s">
        <v>7</v>
      </c>
      <c r="G6404" t="s">
        <v>7</v>
      </c>
      <c r="H6404">
        <v>51945.760000000002</v>
      </c>
      <c r="I6404">
        <v>15572.59</v>
      </c>
      <c r="J6404">
        <v>0</v>
      </c>
    </row>
    <row r="6405" spans="1:10" x14ac:dyDescent="0.35">
      <c r="A6405">
        <v>325758</v>
      </c>
      <c r="B6405" t="s">
        <v>20</v>
      </c>
      <c r="C6405">
        <v>2015</v>
      </c>
      <c r="D6405">
        <v>7</v>
      </c>
      <c r="E6405" t="s">
        <v>7</v>
      </c>
      <c r="F6405" t="s">
        <v>7</v>
      </c>
      <c r="G6405" t="s">
        <v>7</v>
      </c>
      <c r="H6405">
        <v>22939.1</v>
      </c>
      <c r="I6405">
        <v>5204.8500000000004</v>
      </c>
      <c r="J6405">
        <v>0</v>
      </c>
    </row>
    <row r="6406" spans="1:10" x14ac:dyDescent="0.35">
      <c r="A6406">
        <v>325759</v>
      </c>
      <c r="B6406" t="s">
        <v>20</v>
      </c>
      <c r="C6406">
        <v>2015</v>
      </c>
      <c r="D6406">
        <v>7</v>
      </c>
      <c r="E6406" t="s">
        <v>7</v>
      </c>
      <c r="F6406" t="s">
        <v>7</v>
      </c>
      <c r="G6406" t="s">
        <v>7</v>
      </c>
      <c r="H6406">
        <v>18751.32</v>
      </c>
      <c r="I6406">
        <v>5473.53</v>
      </c>
      <c r="J6406">
        <v>0</v>
      </c>
    </row>
    <row r="6407" spans="1:10" x14ac:dyDescent="0.35">
      <c r="A6407">
        <v>325761</v>
      </c>
      <c r="B6407" t="s">
        <v>20</v>
      </c>
      <c r="C6407">
        <v>2015</v>
      </c>
      <c r="D6407">
        <v>7</v>
      </c>
      <c r="E6407" t="s">
        <v>7</v>
      </c>
      <c r="F6407" t="s">
        <v>7</v>
      </c>
      <c r="G6407" t="s">
        <v>7</v>
      </c>
      <c r="H6407">
        <v>15084.94</v>
      </c>
      <c r="I6407">
        <v>3379.52</v>
      </c>
      <c r="J6407">
        <v>0</v>
      </c>
    </row>
    <row r="6408" spans="1:10" x14ac:dyDescent="0.35">
      <c r="A6408">
        <v>325762</v>
      </c>
      <c r="B6408" t="s">
        <v>20</v>
      </c>
      <c r="C6408">
        <v>2015</v>
      </c>
      <c r="D6408">
        <v>7</v>
      </c>
      <c r="E6408" t="s">
        <v>7</v>
      </c>
      <c r="F6408" t="s">
        <v>7</v>
      </c>
      <c r="G6408" t="s">
        <v>7</v>
      </c>
      <c r="H6408">
        <v>26475.26</v>
      </c>
      <c r="I6408">
        <v>6328.35</v>
      </c>
      <c r="J6408">
        <v>0</v>
      </c>
    </row>
    <row r="6409" spans="1:10" x14ac:dyDescent="0.35">
      <c r="A6409">
        <v>325763</v>
      </c>
      <c r="B6409" t="s">
        <v>20</v>
      </c>
      <c r="C6409">
        <v>2015</v>
      </c>
      <c r="D6409">
        <v>7</v>
      </c>
      <c r="E6409" t="s">
        <v>7</v>
      </c>
      <c r="F6409" t="s">
        <v>7</v>
      </c>
      <c r="G6409" t="s">
        <v>7</v>
      </c>
      <c r="H6409">
        <v>31452.58</v>
      </c>
      <c r="I6409">
        <v>16208.16</v>
      </c>
      <c r="J6409">
        <v>0</v>
      </c>
    </row>
    <row r="6410" spans="1:10" x14ac:dyDescent="0.35">
      <c r="A6410">
        <v>325765</v>
      </c>
      <c r="B6410" t="s">
        <v>20</v>
      </c>
      <c r="C6410">
        <v>2015</v>
      </c>
      <c r="D6410">
        <v>7</v>
      </c>
      <c r="E6410" t="s">
        <v>7</v>
      </c>
      <c r="F6410" t="s">
        <v>7</v>
      </c>
      <c r="G6410" t="s">
        <v>7</v>
      </c>
      <c r="H6410">
        <v>11866.34</v>
      </c>
      <c r="I6410">
        <v>2612.39</v>
      </c>
      <c r="J6410">
        <v>0</v>
      </c>
    </row>
    <row r="6411" spans="1:10" x14ac:dyDescent="0.35">
      <c r="A6411">
        <v>325767</v>
      </c>
      <c r="B6411" t="s">
        <v>20</v>
      </c>
      <c r="C6411">
        <v>2015</v>
      </c>
      <c r="D6411">
        <v>7</v>
      </c>
      <c r="E6411" t="s">
        <v>7</v>
      </c>
      <c r="F6411" t="s">
        <v>7</v>
      </c>
      <c r="G6411" t="s">
        <v>7</v>
      </c>
      <c r="H6411">
        <v>22429.52</v>
      </c>
      <c r="I6411">
        <v>5772.77</v>
      </c>
      <c r="J6411">
        <v>0</v>
      </c>
    </row>
    <row r="6412" spans="1:10" x14ac:dyDescent="0.35">
      <c r="A6412">
        <v>325769</v>
      </c>
      <c r="B6412" t="s">
        <v>20</v>
      </c>
      <c r="C6412">
        <v>2015</v>
      </c>
      <c r="D6412">
        <v>7</v>
      </c>
      <c r="E6412" t="s">
        <v>7</v>
      </c>
      <c r="F6412" t="s">
        <v>7</v>
      </c>
      <c r="G6412" t="s">
        <v>7</v>
      </c>
      <c r="H6412">
        <v>23070.38</v>
      </c>
      <c r="I6412">
        <v>7153.84</v>
      </c>
      <c r="J6412">
        <v>0</v>
      </c>
    </row>
    <row r="6413" spans="1:10" x14ac:dyDescent="0.35">
      <c r="A6413">
        <v>325770</v>
      </c>
      <c r="B6413" t="s">
        <v>20</v>
      </c>
      <c r="C6413">
        <v>2015</v>
      </c>
      <c r="D6413">
        <v>7</v>
      </c>
      <c r="E6413" t="s">
        <v>7</v>
      </c>
      <c r="F6413" t="s">
        <v>7</v>
      </c>
      <c r="G6413" t="s">
        <v>7</v>
      </c>
      <c r="H6413">
        <v>47429.06</v>
      </c>
      <c r="I6413">
        <v>14154.4</v>
      </c>
      <c r="J6413">
        <v>0</v>
      </c>
    </row>
    <row r="6414" spans="1:10" x14ac:dyDescent="0.35">
      <c r="A6414">
        <v>325771</v>
      </c>
      <c r="B6414" t="s">
        <v>20</v>
      </c>
      <c r="C6414">
        <v>2015</v>
      </c>
      <c r="D6414">
        <v>7</v>
      </c>
      <c r="E6414" t="s">
        <v>7</v>
      </c>
      <c r="F6414" t="s">
        <v>7</v>
      </c>
      <c r="G6414" t="s">
        <v>7</v>
      </c>
      <c r="H6414">
        <v>28526.26</v>
      </c>
      <c r="I6414">
        <v>8663.91</v>
      </c>
      <c r="J6414">
        <v>0</v>
      </c>
    </row>
    <row r="6415" spans="1:10" x14ac:dyDescent="0.35">
      <c r="A6415">
        <v>325773</v>
      </c>
      <c r="B6415" t="s">
        <v>20</v>
      </c>
      <c r="C6415">
        <v>2015</v>
      </c>
      <c r="D6415">
        <v>7</v>
      </c>
      <c r="E6415" t="s">
        <v>7</v>
      </c>
      <c r="F6415" t="s">
        <v>7</v>
      </c>
      <c r="G6415" t="s">
        <v>7</v>
      </c>
      <c r="H6415">
        <v>121108.82</v>
      </c>
      <c r="I6415">
        <v>38064.769999999997</v>
      </c>
      <c r="J6415">
        <v>0</v>
      </c>
    </row>
    <row r="6416" spans="1:10" x14ac:dyDescent="0.35">
      <c r="A6416">
        <v>325774</v>
      </c>
      <c r="B6416" t="s">
        <v>20</v>
      </c>
      <c r="C6416">
        <v>2015</v>
      </c>
      <c r="D6416">
        <v>7</v>
      </c>
      <c r="E6416" t="s">
        <v>7</v>
      </c>
      <c r="F6416" t="s">
        <v>7</v>
      </c>
      <c r="G6416" t="s">
        <v>7</v>
      </c>
      <c r="H6416">
        <v>22393.48</v>
      </c>
      <c r="I6416">
        <v>6644.98</v>
      </c>
      <c r="J6416">
        <v>0</v>
      </c>
    </row>
    <row r="6417" spans="1:10" x14ac:dyDescent="0.35">
      <c r="A6417">
        <v>325775</v>
      </c>
      <c r="B6417" t="s">
        <v>20</v>
      </c>
      <c r="C6417">
        <v>2015</v>
      </c>
      <c r="D6417">
        <v>7</v>
      </c>
      <c r="E6417" t="s">
        <v>7</v>
      </c>
      <c r="F6417" t="s">
        <v>7</v>
      </c>
      <c r="G6417" t="s">
        <v>7</v>
      </c>
      <c r="H6417">
        <v>10089.14</v>
      </c>
      <c r="I6417">
        <v>2596.42</v>
      </c>
      <c r="J6417">
        <v>0</v>
      </c>
    </row>
    <row r="6418" spans="1:10" x14ac:dyDescent="0.35">
      <c r="A6418">
        <v>325776</v>
      </c>
      <c r="B6418" t="s">
        <v>20</v>
      </c>
      <c r="C6418">
        <v>2015</v>
      </c>
      <c r="D6418">
        <v>7</v>
      </c>
      <c r="E6418" t="s">
        <v>7</v>
      </c>
      <c r="F6418" t="s">
        <v>7</v>
      </c>
      <c r="G6418" t="s">
        <v>7</v>
      </c>
      <c r="H6418">
        <v>21513.42</v>
      </c>
      <c r="I6418">
        <v>6594.93</v>
      </c>
      <c r="J6418">
        <v>0</v>
      </c>
    </row>
    <row r="6419" spans="1:10" x14ac:dyDescent="0.35">
      <c r="A6419">
        <v>325777</v>
      </c>
      <c r="B6419" t="s">
        <v>20</v>
      </c>
      <c r="C6419">
        <v>2015</v>
      </c>
      <c r="D6419">
        <v>7</v>
      </c>
      <c r="E6419" t="s">
        <v>7</v>
      </c>
      <c r="F6419" t="s">
        <v>7</v>
      </c>
      <c r="G6419" t="s">
        <v>7</v>
      </c>
      <c r="H6419">
        <v>56674.42</v>
      </c>
      <c r="I6419">
        <v>18950.53</v>
      </c>
      <c r="J6419">
        <v>0</v>
      </c>
    </row>
    <row r="6420" spans="1:10" x14ac:dyDescent="0.35">
      <c r="A6420">
        <v>325780</v>
      </c>
      <c r="B6420" t="s">
        <v>20</v>
      </c>
      <c r="C6420">
        <v>2015</v>
      </c>
      <c r="D6420">
        <v>7</v>
      </c>
      <c r="E6420" t="s">
        <v>7</v>
      </c>
      <c r="F6420" t="s">
        <v>7</v>
      </c>
      <c r="G6420" t="s">
        <v>7</v>
      </c>
      <c r="H6420">
        <v>26369.599999999999</v>
      </c>
      <c r="I6420">
        <v>6716.08</v>
      </c>
      <c r="J6420">
        <v>0</v>
      </c>
    </row>
    <row r="6421" spans="1:10" x14ac:dyDescent="0.35">
      <c r="A6421">
        <v>325782</v>
      </c>
      <c r="B6421" t="s">
        <v>20</v>
      </c>
      <c r="C6421">
        <v>2015</v>
      </c>
      <c r="D6421">
        <v>7</v>
      </c>
      <c r="E6421" t="s">
        <v>7</v>
      </c>
      <c r="F6421" t="s">
        <v>7</v>
      </c>
      <c r="G6421" t="s">
        <v>7</v>
      </c>
      <c r="H6421">
        <v>16581.5</v>
      </c>
      <c r="I6421">
        <v>4704.32</v>
      </c>
      <c r="J6421">
        <v>0</v>
      </c>
    </row>
    <row r="6422" spans="1:10" x14ac:dyDescent="0.35">
      <c r="A6422">
        <v>325783</v>
      </c>
      <c r="B6422" t="s">
        <v>20</v>
      </c>
      <c r="C6422">
        <v>2015</v>
      </c>
      <c r="D6422">
        <v>7</v>
      </c>
      <c r="E6422" t="s">
        <v>7</v>
      </c>
      <c r="F6422" t="s">
        <v>7</v>
      </c>
      <c r="G6422" t="s">
        <v>7</v>
      </c>
      <c r="H6422">
        <v>41778.800000000003</v>
      </c>
      <c r="I6422">
        <v>12222.21</v>
      </c>
      <c r="J6422">
        <v>0</v>
      </c>
    </row>
    <row r="6423" spans="1:10" x14ac:dyDescent="0.35">
      <c r="A6423">
        <v>325784</v>
      </c>
      <c r="B6423" t="s">
        <v>20</v>
      </c>
      <c r="C6423">
        <v>2015</v>
      </c>
      <c r="D6423">
        <v>7</v>
      </c>
      <c r="E6423" t="s">
        <v>7</v>
      </c>
      <c r="F6423" t="s">
        <v>7</v>
      </c>
      <c r="G6423" t="s">
        <v>7</v>
      </c>
      <c r="H6423">
        <v>60055.96</v>
      </c>
      <c r="I6423">
        <v>38533.47</v>
      </c>
      <c r="J6423">
        <v>0</v>
      </c>
    </row>
    <row r="6424" spans="1:10" x14ac:dyDescent="0.35">
      <c r="A6424">
        <v>325786</v>
      </c>
      <c r="B6424" t="s">
        <v>20</v>
      </c>
      <c r="C6424">
        <v>2015</v>
      </c>
      <c r="D6424">
        <v>7</v>
      </c>
      <c r="E6424" t="s">
        <v>7</v>
      </c>
      <c r="F6424" t="s">
        <v>7</v>
      </c>
      <c r="G6424" t="s">
        <v>7</v>
      </c>
      <c r="H6424">
        <v>10148.200000000001</v>
      </c>
      <c r="I6424">
        <v>2761.02</v>
      </c>
      <c r="J6424">
        <v>0</v>
      </c>
    </row>
    <row r="6425" spans="1:10" x14ac:dyDescent="0.35">
      <c r="A6425">
        <v>325788</v>
      </c>
      <c r="B6425" t="s">
        <v>20</v>
      </c>
      <c r="C6425">
        <v>2015</v>
      </c>
      <c r="D6425">
        <v>7</v>
      </c>
      <c r="E6425" t="s">
        <v>7</v>
      </c>
      <c r="F6425" t="s">
        <v>7</v>
      </c>
      <c r="G6425" t="s">
        <v>7</v>
      </c>
      <c r="H6425">
        <v>23269.66</v>
      </c>
      <c r="I6425">
        <v>6509.61</v>
      </c>
      <c r="J6425">
        <v>0</v>
      </c>
    </row>
    <row r="6426" spans="1:10" x14ac:dyDescent="0.35">
      <c r="A6426">
        <v>325791</v>
      </c>
      <c r="B6426" t="s">
        <v>20</v>
      </c>
      <c r="C6426">
        <v>2015</v>
      </c>
      <c r="D6426">
        <v>7</v>
      </c>
      <c r="E6426" t="s">
        <v>7</v>
      </c>
      <c r="F6426" t="s">
        <v>7</v>
      </c>
      <c r="G6426" t="s">
        <v>7</v>
      </c>
      <c r="H6426">
        <v>23295.200000000001</v>
      </c>
      <c r="I6426">
        <v>5773.99</v>
      </c>
      <c r="J6426">
        <v>0</v>
      </c>
    </row>
    <row r="6427" spans="1:10" x14ac:dyDescent="0.35">
      <c r="A6427">
        <v>325792</v>
      </c>
      <c r="B6427" t="s">
        <v>20</v>
      </c>
      <c r="C6427">
        <v>2015</v>
      </c>
      <c r="D6427">
        <v>7</v>
      </c>
      <c r="E6427" t="s">
        <v>7</v>
      </c>
      <c r="F6427" t="s">
        <v>7</v>
      </c>
      <c r="G6427" t="s">
        <v>7</v>
      </c>
      <c r="H6427">
        <v>21936.68</v>
      </c>
      <c r="I6427">
        <v>6519.46</v>
      </c>
      <c r="J6427">
        <v>0</v>
      </c>
    </row>
    <row r="6428" spans="1:10" x14ac:dyDescent="0.35">
      <c r="A6428">
        <v>325799</v>
      </c>
      <c r="B6428" t="s">
        <v>20</v>
      </c>
      <c r="C6428">
        <v>2015</v>
      </c>
      <c r="D6428">
        <v>7</v>
      </c>
      <c r="E6428" t="s">
        <v>7</v>
      </c>
      <c r="F6428" t="s">
        <v>7</v>
      </c>
      <c r="G6428" t="s">
        <v>7</v>
      </c>
      <c r="H6428">
        <v>65528.54</v>
      </c>
      <c r="I6428">
        <v>19241.21</v>
      </c>
      <c r="J6428">
        <v>0</v>
      </c>
    </row>
    <row r="6429" spans="1:10" x14ac:dyDescent="0.35">
      <c r="A6429">
        <v>325800</v>
      </c>
      <c r="B6429" t="s">
        <v>20</v>
      </c>
      <c r="C6429">
        <v>2015</v>
      </c>
      <c r="D6429">
        <v>7</v>
      </c>
      <c r="E6429" t="s">
        <v>7</v>
      </c>
      <c r="F6429" t="s">
        <v>7</v>
      </c>
      <c r="G6429" t="s">
        <v>7</v>
      </c>
      <c r="H6429">
        <v>42301.440000000002</v>
      </c>
      <c r="I6429">
        <v>14503.74</v>
      </c>
      <c r="J6429">
        <v>0</v>
      </c>
    </row>
    <row r="6430" spans="1:10" x14ac:dyDescent="0.35">
      <c r="A6430">
        <v>325802</v>
      </c>
      <c r="B6430" t="s">
        <v>20</v>
      </c>
      <c r="C6430">
        <v>2015</v>
      </c>
      <c r="D6430">
        <v>7</v>
      </c>
      <c r="E6430" t="s">
        <v>7</v>
      </c>
      <c r="F6430" t="s">
        <v>7</v>
      </c>
      <c r="G6430" t="s">
        <v>7</v>
      </c>
      <c r="H6430">
        <v>33097.18</v>
      </c>
      <c r="I6430">
        <v>9182.49</v>
      </c>
      <c r="J6430">
        <v>0</v>
      </c>
    </row>
    <row r="6431" spans="1:10" x14ac:dyDescent="0.35">
      <c r="A6431">
        <v>325804</v>
      </c>
      <c r="B6431" t="s">
        <v>20</v>
      </c>
      <c r="C6431">
        <v>2015</v>
      </c>
      <c r="D6431">
        <v>7</v>
      </c>
      <c r="E6431" t="s">
        <v>7</v>
      </c>
      <c r="F6431" t="s">
        <v>7</v>
      </c>
      <c r="G6431" t="s">
        <v>7</v>
      </c>
      <c r="H6431">
        <v>24385.98</v>
      </c>
      <c r="I6431">
        <v>12916.35</v>
      </c>
      <c r="J6431">
        <v>0</v>
      </c>
    </row>
    <row r="6432" spans="1:10" x14ac:dyDescent="0.35">
      <c r="A6432">
        <v>325805</v>
      </c>
      <c r="B6432" t="s">
        <v>20</v>
      </c>
      <c r="C6432">
        <v>2015</v>
      </c>
      <c r="D6432">
        <v>7</v>
      </c>
      <c r="E6432" t="s">
        <v>7</v>
      </c>
      <c r="F6432" t="s">
        <v>7</v>
      </c>
      <c r="G6432" t="s">
        <v>7</v>
      </c>
      <c r="H6432">
        <v>93736.86</v>
      </c>
      <c r="I6432">
        <v>45708.73</v>
      </c>
      <c r="J6432">
        <v>0</v>
      </c>
    </row>
    <row r="6433" spans="1:10" x14ac:dyDescent="0.35">
      <c r="A6433">
        <v>325806</v>
      </c>
      <c r="B6433" t="s">
        <v>20</v>
      </c>
      <c r="C6433">
        <v>2015</v>
      </c>
      <c r="D6433">
        <v>7</v>
      </c>
      <c r="E6433" t="s">
        <v>7</v>
      </c>
      <c r="F6433" t="s">
        <v>7</v>
      </c>
      <c r="G6433" t="s">
        <v>7</v>
      </c>
      <c r="H6433">
        <v>14233.72</v>
      </c>
      <c r="I6433">
        <v>4228.24</v>
      </c>
      <c r="J6433">
        <v>0</v>
      </c>
    </row>
    <row r="6434" spans="1:10" x14ac:dyDescent="0.35">
      <c r="A6434">
        <v>325807</v>
      </c>
      <c r="B6434" t="s">
        <v>20</v>
      </c>
      <c r="C6434">
        <v>2015</v>
      </c>
      <c r="D6434">
        <v>7</v>
      </c>
      <c r="E6434" t="s">
        <v>7</v>
      </c>
      <c r="F6434" t="s">
        <v>7</v>
      </c>
      <c r="G6434" t="s">
        <v>7</v>
      </c>
      <c r="H6434">
        <v>27137.7</v>
      </c>
      <c r="I6434">
        <v>7837.48</v>
      </c>
      <c r="J6434">
        <v>0</v>
      </c>
    </row>
    <row r="6435" spans="1:10" x14ac:dyDescent="0.35">
      <c r="A6435">
        <v>325809</v>
      </c>
      <c r="B6435" t="s">
        <v>20</v>
      </c>
      <c r="C6435">
        <v>2015</v>
      </c>
      <c r="D6435">
        <v>7</v>
      </c>
      <c r="E6435" t="s">
        <v>7</v>
      </c>
      <c r="F6435" t="s">
        <v>7</v>
      </c>
      <c r="G6435" t="s">
        <v>7</v>
      </c>
      <c r="H6435">
        <v>84641.88</v>
      </c>
      <c r="I6435">
        <v>45234.54</v>
      </c>
      <c r="J6435">
        <v>0</v>
      </c>
    </row>
    <row r="6436" spans="1:10" x14ac:dyDescent="0.35">
      <c r="A6436">
        <v>325810</v>
      </c>
      <c r="B6436" t="s">
        <v>20</v>
      </c>
      <c r="C6436">
        <v>2015</v>
      </c>
      <c r="D6436">
        <v>7</v>
      </c>
      <c r="E6436" t="s">
        <v>7</v>
      </c>
      <c r="F6436" t="s">
        <v>7</v>
      </c>
      <c r="G6436" t="s">
        <v>7</v>
      </c>
      <c r="H6436">
        <v>29470.7</v>
      </c>
      <c r="I6436">
        <v>8687.83</v>
      </c>
      <c r="J6436">
        <v>0</v>
      </c>
    </row>
    <row r="6437" spans="1:10" x14ac:dyDescent="0.35">
      <c r="A6437">
        <v>325811</v>
      </c>
      <c r="B6437" t="s">
        <v>20</v>
      </c>
      <c r="C6437">
        <v>2015</v>
      </c>
      <c r="D6437">
        <v>7</v>
      </c>
      <c r="E6437" t="s">
        <v>7</v>
      </c>
      <c r="F6437" t="s">
        <v>7</v>
      </c>
      <c r="G6437" t="s">
        <v>7</v>
      </c>
      <c r="H6437">
        <v>30706.240000000002</v>
      </c>
      <c r="I6437">
        <v>8888.8799999999992</v>
      </c>
      <c r="J6437">
        <v>0</v>
      </c>
    </row>
    <row r="6438" spans="1:10" x14ac:dyDescent="0.35">
      <c r="A6438">
        <v>325812</v>
      </c>
      <c r="B6438" t="s">
        <v>20</v>
      </c>
      <c r="C6438">
        <v>2015</v>
      </c>
      <c r="D6438">
        <v>7</v>
      </c>
      <c r="E6438" t="s">
        <v>7</v>
      </c>
      <c r="F6438" t="s">
        <v>7</v>
      </c>
      <c r="G6438" t="s">
        <v>7</v>
      </c>
      <c r="H6438">
        <v>17215</v>
      </c>
      <c r="I6438">
        <v>4569.33</v>
      </c>
      <c r="J6438">
        <v>0</v>
      </c>
    </row>
    <row r="6439" spans="1:10" x14ac:dyDescent="0.35">
      <c r="A6439">
        <v>325813</v>
      </c>
      <c r="B6439" t="s">
        <v>20</v>
      </c>
      <c r="C6439">
        <v>2015</v>
      </c>
      <c r="D6439">
        <v>7</v>
      </c>
      <c r="E6439" t="s">
        <v>7</v>
      </c>
      <c r="F6439" t="s">
        <v>7</v>
      </c>
      <c r="G6439" t="s">
        <v>7</v>
      </c>
      <c r="H6439">
        <v>10429.1</v>
      </c>
      <c r="I6439">
        <v>2330.0700000000002</v>
      </c>
      <c r="J6439">
        <v>0</v>
      </c>
    </row>
    <row r="6440" spans="1:10" x14ac:dyDescent="0.35">
      <c r="A6440">
        <v>325814</v>
      </c>
      <c r="B6440" t="s">
        <v>20</v>
      </c>
      <c r="C6440">
        <v>2015</v>
      </c>
      <c r="D6440">
        <v>7</v>
      </c>
      <c r="E6440" t="s">
        <v>7</v>
      </c>
      <c r="F6440" t="s">
        <v>7</v>
      </c>
      <c r="G6440" t="s">
        <v>7</v>
      </c>
      <c r="H6440">
        <v>24535</v>
      </c>
      <c r="I6440">
        <v>7381.23</v>
      </c>
      <c r="J6440">
        <v>0</v>
      </c>
    </row>
    <row r="6441" spans="1:10" x14ac:dyDescent="0.35">
      <c r="A6441">
        <v>325815</v>
      </c>
      <c r="B6441" t="s">
        <v>20</v>
      </c>
      <c r="C6441">
        <v>2015</v>
      </c>
      <c r="D6441">
        <v>7</v>
      </c>
      <c r="E6441" t="s">
        <v>7</v>
      </c>
      <c r="F6441" t="s">
        <v>7</v>
      </c>
      <c r="G6441" t="s">
        <v>7</v>
      </c>
      <c r="H6441">
        <v>14607.54</v>
      </c>
      <c r="I6441">
        <v>3746.51</v>
      </c>
      <c r="J6441">
        <v>0</v>
      </c>
    </row>
    <row r="6442" spans="1:10" x14ac:dyDescent="0.35">
      <c r="A6442">
        <v>325816</v>
      </c>
      <c r="B6442" t="s">
        <v>20</v>
      </c>
      <c r="C6442">
        <v>2015</v>
      </c>
      <c r="D6442">
        <v>7</v>
      </c>
      <c r="E6442" t="s">
        <v>7</v>
      </c>
      <c r="F6442" t="s">
        <v>7</v>
      </c>
      <c r="G6442" t="s">
        <v>7</v>
      </c>
      <c r="H6442">
        <v>74363.02</v>
      </c>
      <c r="I6442">
        <v>58829.36</v>
      </c>
      <c r="J6442">
        <v>0</v>
      </c>
    </row>
    <row r="6443" spans="1:10" x14ac:dyDescent="0.35">
      <c r="A6443">
        <v>325818</v>
      </c>
      <c r="B6443" t="s">
        <v>20</v>
      </c>
      <c r="C6443">
        <v>2015</v>
      </c>
      <c r="D6443">
        <v>7</v>
      </c>
      <c r="E6443" t="s">
        <v>7</v>
      </c>
      <c r="F6443" t="s">
        <v>7</v>
      </c>
      <c r="G6443" t="s">
        <v>7</v>
      </c>
      <c r="H6443">
        <v>24583.66</v>
      </c>
      <c r="I6443">
        <v>6743.59</v>
      </c>
      <c r="J6443">
        <v>0</v>
      </c>
    </row>
    <row r="6444" spans="1:10" x14ac:dyDescent="0.35">
      <c r="A6444">
        <v>325819</v>
      </c>
      <c r="B6444" t="s">
        <v>20</v>
      </c>
      <c r="C6444">
        <v>2015</v>
      </c>
      <c r="D6444">
        <v>7</v>
      </c>
      <c r="E6444" t="s">
        <v>7</v>
      </c>
      <c r="F6444" t="s">
        <v>7</v>
      </c>
      <c r="G6444" t="s">
        <v>7</v>
      </c>
      <c r="H6444">
        <v>42150.92</v>
      </c>
      <c r="I6444">
        <v>11847.89</v>
      </c>
      <c r="J6444">
        <v>0</v>
      </c>
    </row>
    <row r="6445" spans="1:10" x14ac:dyDescent="0.35">
      <c r="A6445">
        <v>325820</v>
      </c>
      <c r="B6445" t="s">
        <v>20</v>
      </c>
      <c r="C6445">
        <v>2015</v>
      </c>
      <c r="D6445">
        <v>7</v>
      </c>
      <c r="E6445" t="s">
        <v>7</v>
      </c>
      <c r="F6445" t="s">
        <v>7</v>
      </c>
      <c r="G6445" t="s">
        <v>7</v>
      </c>
      <c r="H6445">
        <v>46271.22</v>
      </c>
      <c r="I6445">
        <v>13366.02</v>
      </c>
      <c r="J6445">
        <v>0</v>
      </c>
    </row>
    <row r="6446" spans="1:10" x14ac:dyDescent="0.35">
      <c r="A6446">
        <v>325822</v>
      </c>
      <c r="B6446" t="s">
        <v>20</v>
      </c>
      <c r="C6446">
        <v>2015</v>
      </c>
      <c r="D6446">
        <v>7</v>
      </c>
      <c r="E6446" t="s">
        <v>7</v>
      </c>
      <c r="F6446" t="s">
        <v>7</v>
      </c>
      <c r="G6446" t="s">
        <v>7</v>
      </c>
      <c r="H6446">
        <v>13069.68</v>
      </c>
      <c r="I6446">
        <v>2861.9</v>
      </c>
      <c r="J6446">
        <v>0</v>
      </c>
    </row>
    <row r="6447" spans="1:10" x14ac:dyDescent="0.35">
      <c r="A6447">
        <v>325823</v>
      </c>
      <c r="B6447" t="s">
        <v>20</v>
      </c>
      <c r="C6447">
        <v>2015</v>
      </c>
      <c r="D6447">
        <v>7</v>
      </c>
      <c r="E6447" t="s">
        <v>7</v>
      </c>
      <c r="F6447" t="s">
        <v>7</v>
      </c>
      <c r="G6447" t="s">
        <v>7</v>
      </c>
      <c r="H6447">
        <v>30943.32</v>
      </c>
      <c r="I6447">
        <v>8846.2800000000007</v>
      </c>
      <c r="J6447">
        <v>0</v>
      </c>
    </row>
    <row r="6448" spans="1:10" x14ac:dyDescent="0.35">
      <c r="A6448">
        <v>325824</v>
      </c>
      <c r="B6448" t="s">
        <v>20</v>
      </c>
      <c r="C6448">
        <v>2015</v>
      </c>
      <c r="D6448">
        <v>7</v>
      </c>
      <c r="E6448" t="s">
        <v>7</v>
      </c>
      <c r="F6448" t="s">
        <v>7</v>
      </c>
      <c r="G6448" t="s">
        <v>7</v>
      </c>
      <c r="H6448">
        <v>70804.240000000005</v>
      </c>
      <c r="I6448">
        <v>26474.93</v>
      </c>
      <c r="J6448">
        <v>0</v>
      </c>
    </row>
    <row r="6449" spans="1:10" x14ac:dyDescent="0.35">
      <c r="A6449">
        <v>325825</v>
      </c>
      <c r="B6449" t="s">
        <v>20</v>
      </c>
      <c r="C6449">
        <v>2015</v>
      </c>
      <c r="D6449">
        <v>7</v>
      </c>
      <c r="E6449" t="s">
        <v>7</v>
      </c>
      <c r="F6449" t="s">
        <v>7</v>
      </c>
      <c r="G6449" t="s">
        <v>7</v>
      </c>
      <c r="H6449">
        <v>34833.519999999997</v>
      </c>
      <c r="I6449">
        <v>9063.65</v>
      </c>
      <c r="J6449">
        <v>0</v>
      </c>
    </row>
    <row r="6450" spans="1:10" x14ac:dyDescent="0.35">
      <c r="A6450">
        <v>325826</v>
      </c>
      <c r="B6450" t="s">
        <v>20</v>
      </c>
      <c r="C6450">
        <v>2015</v>
      </c>
      <c r="D6450">
        <v>7</v>
      </c>
      <c r="E6450" t="s">
        <v>7</v>
      </c>
      <c r="F6450" t="s">
        <v>7</v>
      </c>
      <c r="G6450" t="s">
        <v>7</v>
      </c>
      <c r="H6450">
        <v>78536.399999999994</v>
      </c>
      <c r="I6450">
        <v>36299.97</v>
      </c>
      <c r="J6450">
        <v>0</v>
      </c>
    </row>
    <row r="6451" spans="1:10" x14ac:dyDescent="0.35">
      <c r="A6451">
        <v>325832</v>
      </c>
      <c r="B6451" t="s">
        <v>20</v>
      </c>
      <c r="C6451">
        <v>2015</v>
      </c>
      <c r="D6451">
        <v>7</v>
      </c>
      <c r="E6451" t="s">
        <v>7</v>
      </c>
      <c r="F6451" t="s">
        <v>7</v>
      </c>
      <c r="G6451" t="s">
        <v>7</v>
      </c>
      <c r="H6451">
        <v>22075.759999999998</v>
      </c>
      <c r="I6451">
        <v>11511.45</v>
      </c>
      <c r="J6451">
        <v>0</v>
      </c>
    </row>
    <row r="6452" spans="1:10" x14ac:dyDescent="0.35">
      <c r="A6452">
        <v>325833</v>
      </c>
      <c r="B6452" t="s">
        <v>20</v>
      </c>
      <c r="C6452">
        <v>2015</v>
      </c>
      <c r="D6452">
        <v>7</v>
      </c>
      <c r="E6452" t="s">
        <v>7</v>
      </c>
      <c r="F6452" t="s">
        <v>7</v>
      </c>
      <c r="G6452" t="s">
        <v>7</v>
      </c>
      <c r="H6452">
        <v>57764.6</v>
      </c>
      <c r="I6452">
        <v>25892.400000000001</v>
      </c>
      <c r="J6452">
        <v>0</v>
      </c>
    </row>
    <row r="6453" spans="1:10" x14ac:dyDescent="0.35">
      <c r="A6453">
        <v>325835</v>
      </c>
      <c r="B6453" t="s">
        <v>20</v>
      </c>
      <c r="C6453">
        <v>2015</v>
      </c>
      <c r="D6453">
        <v>7</v>
      </c>
      <c r="E6453" t="s">
        <v>7</v>
      </c>
      <c r="F6453" t="s">
        <v>7</v>
      </c>
      <c r="G6453" t="s">
        <v>7</v>
      </c>
      <c r="H6453">
        <v>292653.84000000003</v>
      </c>
      <c r="I6453">
        <v>79088.61</v>
      </c>
      <c r="J6453">
        <v>0</v>
      </c>
    </row>
    <row r="6454" spans="1:10" x14ac:dyDescent="0.35">
      <c r="A6454">
        <v>325837</v>
      </c>
      <c r="B6454" t="s">
        <v>20</v>
      </c>
      <c r="C6454">
        <v>2015</v>
      </c>
      <c r="D6454">
        <v>7</v>
      </c>
      <c r="E6454" t="s">
        <v>7</v>
      </c>
      <c r="F6454" t="s">
        <v>7</v>
      </c>
      <c r="G6454" t="s">
        <v>7</v>
      </c>
      <c r="H6454">
        <v>25550.639999999999</v>
      </c>
      <c r="I6454">
        <v>8191.38</v>
      </c>
      <c r="J6454">
        <v>0</v>
      </c>
    </row>
    <row r="6455" spans="1:10" x14ac:dyDescent="0.35">
      <c r="A6455">
        <v>325838</v>
      </c>
      <c r="B6455" t="s">
        <v>20</v>
      </c>
      <c r="C6455">
        <v>2015</v>
      </c>
      <c r="D6455">
        <v>7</v>
      </c>
      <c r="E6455" t="s">
        <v>7</v>
      </c>
      <c r="F6455" t="s">
        <v>7</v>
      </c>
      <c r="G6455" t="s">
        <v>7</v>
      </c>
      <c r="H6455">
        <v>20787.2</v>
      </c>
      <c r="I6455">
        <v>4786.3500000000004</v>
      </c>
      <c r="J6455">
        <v>0</v>
      </c>
    </row>
    <row r="6456" spans="1:10" x14ac:dyDescent="0.35">
      <c r="A6456">
        <v>325841</v>
      </c>
      <c r="B6456" t="s">
        <v>20</v>
      </c>
      <c r="C6456">
        <v>2015</v>
      </c>
      <c r="D6456">
        <v>7</v>
      </c>
      <c r="E6456" t="s">
        <v>7</v>
      </c>
      <c r="F6456" t="s">
        <v>7</v>
      </c>
      <c r="G6456" t="s">
        <v>7</v>
      </c>
      <c r="H6456">
        <v>61737.8</v>
      </c>
      <c r="I6456">
        <v>18393.63</v>
      </c>
      <c r="J6456">
        <v>0</v>
      </c>
    </row>
    <row r="6457" spans="1:10" x14ac:dyDescent="0.35">
      <c r="A6457">
        <v>325843</v>
      </c>
      <c r="B6457" t="s">
        <v>20</v>
      </c>
      <c r="C6457">
        <v>2015</v>
      </c>
      <c r="D6457">
        <v>7</v>
      </c>
      <c r="E6457" t="s">
        <v>7</v>
      </c>
      <c r="F6457" t="s">
        <v>7</v>
      </c>
      <c r="G6457" t="s">
        <v>7</v>
      </c>
      <c r="H6457">
        <v>31390.959999999999</v>
      </c>
      <c r="I6457">
        <v>9396.35</v>
      </c>
      <c r="J6457">
        <v>0</v>
      </c>
    </row>
    <row r="6458" spans="1:10" x14ac:dyDescent="0.35">
      <c r="A6458">
        <v>325844</v>
      </c>
      <c r="B6458" t="s">
        <v>20</v>
      </c>
      <c r="C6458">
        <v>2015</v>
      </c>
      <c r="D6458">
        <v>7</v>
      </c>
      <c r="E6458" t="s">
        <v>7</v>
      </c>
      <c r="F6458" t="s">
        <v>7</v>
      </c>
      <c r="G6458" t="s">
        <v>7</v>
      </c>
      <c r="H6458">
        <v>19105.04</v>
      </c>
      <c r="I6458">
        <v>5232.91</v>
      </c>
      <c r="J6458">
        <v>0</v>
      </c>
    </row>
    <row r="6459" spans="1:10" x14ac:dyDescent="0.35">
      <c r="A6459">
        <v>325845</v>
      </c>
      <c r="B6459" t="s">
        <v>20</v>
      </c>
      <c r="C6459">
        <v>2015</v>
      </c>
      <c r="D6459">
        <v>7</v>
      </c>
      <c r="E6459" t="s">
        <v>7</v>
      </c>
      <c r="F6459" t="s">
        <v>7</v>
      </c>
      <c r="G6459" t="s">
        <v>7</v>
      </c>
      <c r="H6459">
        <v>21588.74</v>
      </c>
      <c r="I6459">
        <v>5044.66</v>
      </c>
      <c r="J6459">
        <v>0</v>
      </c>
    </row>
    <row r="6460" spans="1:10" x14ac:dyDescent="0.35">
      <c r="A6460">
        <v>325846</v>
      </c>
      <c r="B6460" t="s">
        <v>20</v>
      </c>
      <c r="C6460">
        <v>2015</v>
      </c>
      <c r="D6460">
        <v>7</v>
      </c>
      <c r="E6460" t="s">
        <v>7</v>
      </c>
      <c r="F6460" t="s">
        <v>7</v>
      </c>
      <c r="G6460" t="s">
        <v>7</v>
      </c>
      <c r="H6460">
        <v>32419.74</v>
      </c>
      <c r="I6460">
        <v>10267.51</v>
      </c>
      <c r="J6460">
        <v>0</v>
      </c>
    </row>
    <row r="6461" spans="1:10" x14ac:dyDescent="0.35">
      <c r="A6461">
        <v>325847</v>
      </c>
      <c r="B6461" t="s">
        <v>20</v>
      </c>
      <c r="C6461">
        <v>2015</v>
      </c>
      <c r="D6461">
        <v>7</v>
      </c>
      <c r="E6461" t="s">
        <v>7</v>
      </c>
      <c r="F6461" t="s">
        <v>7</v>
      </c>
      <c r="G6461" t="s">
        <v>7</v>
      </c>
      <c r="H6461">
        <v>28877.56</v>
      </c>
      <c r="I6461">
        <v>7936.53</v>
      </c>
      <c r="J6461">
        <v>0</v>
      </c>
    </row>
    <row r="6462" spans="1:10" x14ac:dyDescent="0.35">
      <c r="A6462">
        <v>325848</v>
      </c>
      <c r="B6462" t="s">
        <v>20</v>
      </c>
      <c r="C6462">
        <v>2015</v>
      </c>
      <c r="D6462">
        <v>7</v>
      </c>
      <c r="E6462" t="s">
        <v>7</v>
      </c>
      <c r="F6462" t="s">
        <v>7</v>
      </c>
      <c r="G6462" t="s">
        <v>7</v>
      </c>
      <c r="H6462">
        <v>77088.460000000006</v>
      </c>
      <c r="I6462">
        <v>31365.31</v>
      </c>
      <c r="J6462">
        <v>0</v>
      </c>
    </row>
    <row r="6463" spans="1:10" x14ac:dyDescent="0.35">
      <c r="A6463">
        <v>325849</v>
      </c>
      <c r="B6463" t="s">
        <v>20</v>
      </c>
      <c r="C6463">
        <v>2015</v>
      </c>
      <c r="D6463">
        <v>7</v>
      </c>
      <c r="E6463" t="s">
        <v>7</v>
      </c>
      <c r="F6463" t="s">
        <v>7</v>
      </c>
      <c r="G6463" t="s">
        <v>7</v>
      </c>
      <c r="H6463">
        <v>30692.58</v>
      </c>
      <c r="I6463">
        <v>12608.43</v>
      </c>
      <c r="J6463">
        <v>0</v>
      </c>
    </row>
    <row r="6464" spans="1:10" x14ac:dyDescent="0.35">
      <c r="A6464">
        <v>325851</v>
      </c>
      <c r="B6464" t="s">
        <v>20</v>
      </c>
      <c r="C6464">
        <v>2015</v>
      </c>
      <c r="D6464">
        <v>7</v>
      </c>
      <c r="E6464" t="s">
        <v>7</v>
      </c>
      <c r="F6464" t="s">
        <v>7</v>
      </c>
      <c r="G6464" t="s">
        <v>7</v>
      </c>
      <c r="H6464">
        <v>30862.34</v>
      </c>
      <c r="I6464">
        <v>9328.7800000000007</v>
      </c>
      <c r="J6464">
        <v>0</v>
      </c>
    </row>
    <row r="6465" spans="1:10" x14ac:dyDescent="0.35">
      <c r="A6465">
        <v>325852</v>
      </c>
      <c r="B6465" t="s">
        <v>20</v>
      </c>
      <c r="C6465">
        <v>2015</v>
      </c>
      <c r="D6465">
        <v>7</v>
      </c>
      <c r="E6465" t="s">
        <v>7</v>
      </c>
      <c r="F6465" t="s">
        <v>7</v>
      </c>
      <c r="G6465" t="s">
        <v>7</v>
      </c>
      <c r="H6465">
        <v>16242.48</v>
      </c>
      <c r="I6465">
        <v>4745.92</v>
      </c>
      <c r="J6465">
        <v>0</v>
      </c>
    </row>
    <row r="6466" spans="1:10" x14ac:dyDescent="0.35">
      <c r="A6466">
        <v>325855</v>
      </c>
      <c r="B6466" t="s">
        <v>20</v>
      </c>
      <c r="C6466">
        <v>2015</v>
      </c>
      <c r="D6466">
        <v>7</v>
      </c>
      <c r="E6466" t="s">
        <v>7</v>
      </c>
      <c r="F6466" t="s">
        <v>7</v>
      </c>
      <c r="G6466" t="s">
        <v>7</v>
      </c>
      <c r="H6466">
        <v>21804.959999999999</v>
      </c>
      <c r="I6466">
        <v>6008.42</v>
      </c>
      <c r="J6466">
        <v>0</v>
      </c>
    </row>
    <row r="6467" spans="1:10" x14ac:dyDescent="0.35">
      <c r="A6467">
        <v>325856</v>
      </c>
      <c r="B6467" t="s">
        <v>20</v>
      </c>
      <c r="C6467">
        <v>2015</v>
      </c>
      <c r="D6467">
        <v>7</v>
      </c>
      <c r="E6467" t="s">
        <v>7</v>
      </c>
      <c r="F6467" t="s">
        <v>7</v>
      </c>
      <c r="G6467" t="s">
        <v>7</v>
      </c>
      <c r="H6467">
        <v>167180.84</v>
      </c>
      <c r="I6467">
        <v>78766.100000000006</v>
      </c>
      <c r="J6467">
        <v>0</v>
      </c>
    </row>
    <row r="6468" spans="1:10" x14ac:dyDescent="0.35">
      <c r="A6468">
        <v>325859</v>
      </c>
      <c r="B6468" t="s">
        <v>20</v>
      </c>
      <c r="C6468">
        <v>2015</v>
      </c>
      <c r="D6468">
        <v>7</v>
      </c>
      <c r="E6468" t="s">
        <v>7</v>
      </c>
      <c r="F6468" t="s">
        <v>7</v>
      </c>
      <c r="G6468" t="s">
        <v>7</v>
      </c>
      <c r="H6468">
        <v>21151.4</v>
      </c>
      <c r="I6468">
        <v>6517.12</v>
      </c>
      <c r="J6468">
        <v>0</v>
      </c>
    </row>
    <row r="6469" spans="1:10" x14ac:dyDescent="0.35">
      <c r="A6469">
        <v>325860</v>
      </c>
      <c r="B6469" t="s">
        <v>20</v>
      </c>
      <c r="C6469">
        <v>2015</v>
      </c>
      <c r="D6469">
        <v>7</v>
      </c>
      <c r="E6469" t="s">
        <v>7</v>
      </c>
      <c r="F6469" t="s">
        <v>7</v>
      </c>
      <c r="G6469" t="s">
        <v>7</v>
      </c>
      <c r="H6469">
        <v>22453.74</v>
      </c>
      <c r="I6469">
        <v>6763.62</v>
      </c>
      <c r="J6469">
        <v>0</v>
      </c>
    </row>
    <row r="6470" spans="1:10" x14ac:dyDescent="0.35">
      <c r="A6470">
        <v>325862</v>
      </c>
      <c r="B6470" t="s">
        <v>20</v>
      </c>
      <c r="C6470">
        <v>2015</v>
      </c>
      <c r="D6470">
        <v>7</v>
      </c>
      <c r="E6470" t="s">
        <v>7</v>
      </c>
      <c r="F6470" t="s">
        <v>7</v>
      </c>
      <c r="G6470" t="s">
        <v>7</v>
      </c>
      <c r="H6470">
        <v>39614.14</v>
      </c>
      <c r="I6470">
        <v>11280</v>
      </c>
      <c r="J6470">
        <v>0</v>
      </c>
    </row>
    <row r="6471" spans="1:10" x14ac:dyDescent="0.35">
      <c r="A6471">
        <v>325863</v>
      </c>
      <c r="B6471" t="s">
        <v>20</v>
      </c>
      <c r="C6471">
        <v>2015</v>
      </c>
      <c r="D6471">
        <v>7</v>
      </c>
      <c r="E6471" t="s">
        <v>7</v>
      </c>
      <c r="F6471" t="s">
        <v>7</v>
      </c>
      <c r="G6471" t="s">
        <v>7</v>
      </c>
      <c r="H6471">
        <v>30683.82</v>
      </c>
      <c r="I6471">
        <v>15151.61</v>
      </c>
      <c r="J6471">
        <v>0</v>
      </c>
    </row>
    <row r="6472" spans="1:10" x14ac:dyDescent="0.35">
      <c r="A6472">
        <v>325865</v>
      </c>
      <c r="B6472" t="s">
        <v>20</v>
      </c>
      <c r="C6472">
        <v>2015</v>
      </c>
      <c r="D6472">
        <v>7</v>
      </c>
      <c r="E6472" t="s">
        <v>7</v>
      </c>
      <c r="F6472" t="s">
        <v>7</v>
      </c>
      <c r="G6472" t="s">
        <v>7</v>
      </c>
      <c r="H6472">
        <v>8816.14</v>
      </c>
      <c r="I6472">
        <v>2761.45</v>
      </c>
      <c r="J6472">
        <v>0</v>
      </c>
    </row>
    <row r="6473" spans="1:10" x14ac:dyDescent="0.35">
      <c r="A6473">
        <v>325866</v>
      </c>
      <c r="B6473" t="s">
        <v>20</v>
      </c>
      <c r="C6473">
        <v>2015</v>
      </c>
      <c r="D6473">
        <v>7</v>
      </c>
      <c r="E6473" t="s">
        <v>7</v>
      </c>
      <c r="F6473" t="s">
        <v>7</v>
      </c>
      <c r="G6473" t="s">
        <v>7</v>
      </c>
      <c r="H6473">
        <v>14448.66</v>
      </c>
      <c r="I6473">
        <v>3266.91</v>
      </c>
      <c r="J6473">
        <v>0</v>
      </c>
    </row>
    <row r="6474" spans="1:10" x14ac:dyDescent="0.35">
      <c r="A6474">
        <v>325868</v>
      </c>
      <c r="B6474" t="s">
        <v>20</v>
      </c>
      <c r="C6474">
        <v>2015</v>
      </c>
      <c r="D6474">
        <v>7</v>
      </c>
      <c r="E6474" t="s">
        <v>7</v>
      </c>
      <c r="F6474" t="s">
        <v>7</v>
      </c>
      <c r="G6474" t="s">
        <v>7</v>
      </c>
      <c r="H6474">
        <v>38161.68</v>
      </c>
      <c r="I6474">
        <v>18592.099999999999</v>
      </c>
      <c r="J6474">
        <v>0</v>
      </c>
    </row>
    <row r="6475" spans="1:10" x14ac:dyDescent="0.35">
      <c r="A6475">
        <v>325869</v>
      </c>
      <c r="B6475" t="s">
        <v>20</v>
      </c>
      <c r="C6475">
        <v>2015</v>
      </c>
      <c r="D6475">
        <v>7</v>
      </c>
      <c r="E6475" t="s">
        <v>7</v>
      </c>
      <c r="F6475" t="s">
        <v>7</v>
      </c>
      <c r="G6475" t="s">
        <v>7</v>
      </c>
      <c r="H6475">
        <v>40937.620000000003</v>
      </c>
      <c r="I6475">
        <v>12441.48</v>
      </c>
      <c r="J6475">
        <v>0</v>
      </c>
    </row>
    <row r="6476" spans="1:10" x14ac:dyDescent="0.35">
      <c r="A6476">
        <v>325870</v>
      </c>
      <c r="B6476" t="s">
        <v>20</v>
      </c>
      <c r="C6476">
        <v>2015</v>
      </c>
      <c r="D6476">
        <v>7</v>
      </c>
      <c r="E6476" t="s">
        <v>7</v>
      </c>
      <c r="F6476" t="s">
        <v>7</v>
      </c>
      <c r="G6476" t="s">
        <v>7</v>
      </c>
      <c r="H6476">
        <v>24489.3</v>
      </c>
      <c r="I6476">
        <v>6033.11</v>
      </c>
      <c r="J6476">
        <v>0</v>
      </c>
    </row>
    <row r="6477" spans="1:10" x14ac:dyDescent="0.35">
      <c r="A6477">
        <v>325871</v>
      </c>
      <c r="B6477" t="s">
        <v>20</v>
      </c>
      <c r="C6477">
        <v>2015</v>
      </c>
      <c r="D6477">
        <v>7</v>
      </c>
      <c r="E6477" t="s">
        <v>7</v>
      </c>
      <c r="F6477" t="s">
        <v>7</v>
      </c>
      <c r="G6477" t="s">
        <v>7</v>
      </c>
      <c r="H6477">
        <v>49392.36</v>
      </c>
      <c r="I6477">
        <v>21351.99</v>
      </c>
      <c r="J6477">
        <v>0</v>
      </c>
    </row>
    <row r="6478" spans="1:10" x14ac:dyDescent="0.35">
      <c r="A6478">
        <v>325876</v>
      </c>
      <c r="B6478" t="s">
        <v>20</v>
      </c>
      <c r="C6478">
        <v>2015</v>
      </c>
      <c r="D6478">
        <v>7</v>
      </c>
      <c r="E6478" t="s">
        <v>7</v>
      </c>
      <c r="F6478" t="s">
        <v>7</v>
      </c>
      <c r="G6478" t="s">
        <v>7</v>
      </c>
      <c r="H6478">
        <v>494146.83</v>
      </c>
      <c r="I6478">
        <v>474036.25</v>
      </c>
      <c r="J6478">
        <v>0</v>
      </c>
    </row>
    <row r="6479" spans="1:10" x14ac:dyDescent="0.35">
      <c r="A6479">
        <v>325878</v>
      </c>
      <c r="B6479" t="s">
        <v>20</v>
      </c>
      <c r="C6479">
        <v>2015</v>
      </c>
      <c r="D6479">
        <v>7</v>
      </c>
      <c r="E6479" t="s">
        <v>7</v>
      </c>
      <c r="F6479" t="s">
        <v>7</v>
      </c>
      <c r="G6479" t="s">
        <v>7</v>
      </c>
      <c r="H6479">
        <v>42601.64</v>
      </c>
      <c r="I6479">
        <v>22258.7</v>
      </c>
      <c r="J6479">
        <v>0</v>
      </c>
    </row>
    <row r="6480" spans="1:10" x14ac:dyDescent="0.35">
      <c r="A6480">
        <v>325879</v>
      </c>
      <c r="B6480" t="s">
        <v>20</v>
      </c>
      <c r="C6480">
        <v>2015</v>
      </c>
      <c r="D6480">
        <v>7</v>
      </c>
      <c r="E6480" t="s">
        <v>7</v>
      </c>
      <c r="F6480" t="s">
        <v>7</v>
      </c>
      <c r="G6480" t="s">
        <v>7</v>
      </c>
      <c r="H6480">
        <v>45502.96</v>
      </c>
      <c r="I6480">
        <v>13113.47</v>
      </c>
      <c r="J6480">
        <v>0</v>
      </c>
    </row>
    <row r="6481" spans="1:10" x14ac:dyDescent="0.35">
      <c r="A6481">
        <v>325881</v>
      </c>
      <c r="B6481" t="s">
        <v>20</v>
      </c>
      <c r="C6481">
        <v>2015</v>
      </c>
      <c r="D6481">
        <v>7</v>
      </c>
      <c r="E6481" t="s">
        <v>7</v>
      </c>
      <c r="F6481" t="s">
        <v>7</v>
      </c>
      <c r="G6481" t="s">
        <v>7</v>
      </c>
      <c r="H6481">
        <v>26258.94</v>
      </c>
      <c r="I6481">
        <v>5991.36</v>
      </c>
      <c r="J6481">
        <v>0</v>
      </c>
    </row>
    <row r="6482" spans="1:10" x14ac:dyDescent="0.35">
      <c r="A6482">
        <v>325882</v>
      </c>
      <c r="B6482" t="s">
        <v>20</v>
      </c>
      <c r="C6482">
        <v>2015</v>
      </c>
      <c r="D6482">
        <v>7</v>
      </c>
      <c r="E6482" t="s">
        <v>7</v>
      </c>
      <c r="F6482" t="s">
        <v>7</v>
      </c>
      <c r="G6482" t="s">
        <v>7</v>
      </c>
      <c r="H6482">
        <v>21497.040000000001</v>
      </c>
      <c r="I6482">
        <v>6315.07</v>
      </c>
      <c r="J6482">
        <v>0</v>
      </c>
    </row>
    <row r="6483" spans="1:10" x14ac:dyDescent="0.35">
      <c r="A6483">
        <v>325885</v>
      </c>
      <c r="B6483" t="s">
        <v>20</v>
      </c>
      <c r="C6483">
        <v>2015</v>
      </c>
      <c r="D6483">
        <v>7</v>
      </c>
      <c r="E6483" t="s">
        <v>7</v>
      </c>
      <c r="F6483" t="s">
        <v>7</v>
      </c>
      <c r="G6483" t="s">
        <v>7</v>
      </c>
      <c r="H6483">
        <v>53589.34</v>
      </c>
      <c r="I6483">
        <v>22979</v>
      </c>
      <c r="J6483">
        <v>0</v>
      </c>
    </row>
    <row r="6484" spans="1:10" x14ac:dyDescent="0.35">
      <c r="A6484">
        <v>325886</v>
      </c>
      <c r="B6484" t="s">
        <v>20</v>
      </c>
      <c r="C6484">
        <v>2015</v>
      </c>
      <c r="D6484">
        <v>7</v>
      </c>
      <c r="E6484" t="s">
        <v>7</v>
      </c>
      <c r="F6484" t="s">
        <v>7</v>
      </c>
      <c r="G6484" t="s">
        <v>7</v>
      </c>
      <c r="H6484">
        <v>26176.14</v>
      </c>
      <c r="I6484">
        <v>7516.42</v>
      </c>
      <c r="J6484">
        <v>0</v>
      </c>
    </row>
    <row r="6485" spans="1:10" x14ac:dyDescent="0.35">
      <c r="A6485">
        <v>325888</v>
      </c>
      <c r="B6485" t="s">
        <v>20</v>
      </c>
      <c r="C6485">
        <v>2015</v>
      </c>
      <c r="D6485">
        <v>7</v>
      </c>
      <c r="E6485" t="s">
        <v>7</v>
      </c>
      <c r="F6485" t="s">
        <v>7</v>
      </c>
      <c r="G6485" t="s">
        <v>7</v>
      </c>
      <c r="H6485">
        <v>90202.04</v>
      </c>
      <c r="I6485">
        <v>44762.74</v>
      </c>
      <c r="J6485">
        <v>0</v>
      </c>
    </row>
    <row r="6486" spans="1:10" x14ac:dyDescent="0.35">
      <c r="A6486">
        <v>325889</v>
      </c>
      <c r="B6486" t="s">
        <v>20</v>
      </c>
      <c r="C6486">
        <v>2015</v>
      </c>
      <c r="D6486">
        <v>7</v>
      </c>
      <c r="E6486" t="s">
        <v>7</v>
      </c>
      <c r="F6486" t="s">
        <v>7</v>
      </c>
      <c r="G6486" t="s">
        <v>7</v>
      </c>
      <c r="H6486">
        <v>31331.040000000001</v>
      </c>
      <c r="I6486">
        <v>6626.84</v>
      </c>
      <c r="J6486">
        <v>0</v>
      </c>
    </row>
    <row r="6487" spans="1:10" x14ac:dyDescent="0.35">
      <c r="A6487">
        <v>325890</v>
      </c>
      <c r="B6487" t="s">
        <v>20</v>
      </c>
      <c r="C6487">
        <v>2015</v>
      </c>
      <c r="D6487">
        <v>7</v>
      </c>
      <c r="E6487" t="s">
        <v>7</v>
      </c>
      <c r="F6487" t="s">
        <v>7</v>
      </c>
      <c r="G6487" t="s">
        <v>7</v>
      </c>
      <c r="H6487">
        <v>49710.04</v>
      </c>
      <c r="I6487">
        <v>14143.82</v>
      </c>
      <c r="J6487">
        <v>0</v>
      </c>
    </row>
    <row r="6488" spans="1:10" x14ac:dyDescent="0.35">
      <c r="A6488">
        <v>325891</v>
      </c>
      <c r="B6488" t="s">
        <v>20</v>
      </c>
      <c r="C6488">
        <v>2015</v>
      </c>
      <c r="D6488">
        <v>7</v>
      </c>
      <c r="E6488" t="s">
        <v>7</v>
      </c>
      <c r="F6488" t="s">
        <v>7</v>
      </c>
      <c r="G6488" t="s">
        <v>7</v>
      </c>
      <c r="H6488">
        <v>26048.68</v>
      </c>
      <c r="I6488">
        <v>6891.78</v>
      </c>
      <c r="J6488">
        <v>0</v>
      </c>
    </row>
    <row r="6489" spans="1:10" x14ac:dyDescent="0.35">
      <c r="A6489">
        <v>325893</v>
      </c>
      <c r="B6489" t="s">
        <v>20</v>
      </c>
      <c r="C6489">
        <v>2015</v>
      </c>
      <c r="D6489">
        <v>7</v>
      </c>
      <c r="E6489" t="s">
        <v>7</v>
      </c>
      <c r="F6489" t="s">
        <v>7</v>
      </c>
      <c r="G6489" t="s">
        <v>7</v>
      </c>
      <c r="H6489">
        <v>29828.560000000001</v>
      </c>
      <c r="I6489">
        <v>8854.73</v>
      </c>
      <c r="J6489">
        <v>0</v>
      </c>
    </row>
    <row r="6490" spans="1:10" x14ac:dyDescent="0.35">
      <c r="A6490">
        <v>325894</v>
      </c>
      <c r="B6490" t="s">
        <v>20</v>
      </c>
      <c r="C6490">
        <v>2015</v>
      </c>
      <c r="D6490">
        <v>7</v>
      </c>
      <c r="E6490" t="s">
        <v>7</v>
      </c>
      <c r="F6490" t="s">
        <v>7</v>
      </c>
      <c r="G6490" t="s">
        <v>7</v>
      </c>
      <c r="H6490">
        <v>32521.200000000001</v>
      </c>
      <c r="I6490">
        <v>10122.459999999999</v>
      </c>
      <c r="J6490">
        <v>0</v>
      </c>
    </row>
    <row r="6491" spans="1:10" x14ac:dyDescent="0.35">
      <c r="A6491">
        <v>325895</v>
      </c>
      <c r="B6491" t="s">
        <v>20</v>
      </c>
      <c r="C6491">
        <v>2015</v>
      </c>
      <c r="D6491">
        <v>7</v>
      </c>
      <c r="E6491" t="s">
        <v>7</v>
      </c>
      <c r="F6491" t="s">
        <v>7</v>
      </c>
      <c r="G6491" t="s">
        <v>7</v>
      </c>
      <c r="H6491">
        <v>101085.66</v>
      </c>
      <c r="I6491">
        <v>45881.71</v>
      </c>
      <c r="J6491">
        <v>0</v>
      </c>
    </row>
    <row r="6492" spans="1:10" x14ac:dyDescent="0.35">
      <c r="A6492">
        <v>325896</v>
      </c>
      <c r="B6492" t="s">
        <v>20</v>
      </c>
      <c r="C6492">
        <v>2015</v>
      </c>
      <c r="D6492">
        <v>7</v>
      </c>
      <c r="E6492" t="s">
        <v>7</v>
      </c>
      <c r="F6492" t="s">
        <v>7</v>
      </c>
      <c r="G6492" t="s">
        <v>7</v>
      </c>
      <c r="H6492">
        <v>26221.32</v>
      </c>
      <c r="I6492">
        <v>5886.84</v>
      </c>
      <c r="J6492">
        <v>0</v>
      </c>
    </row>
    <row r="6493" spans="1:10" x14ac:dyDescent="0.35">
      <c r="A6493">
        <v>325897</v>
      </c>
      <c r="B6493" t="s">
        <v>20</v>
      </c>
      <c r="C6493">
        <v>2015</v>
      </c>
      <c r="D6493">
        <v>7</v>
      </c>
      <c r="E6493" t="s">
        <v>7</v>
      </c>
      <c r="F6493" t="s">
        <v>7</v>
      </c>
      <c r="G6493" t="s">
        <v>7</v>
      </c>
      <c r="H6493">
        <v>17944.240000000002</v>
      </c>
      <c r="I6493">
        <v>5041.2</v>
      </c>
      <c r="J6493">
        <v>0</v>
      </c>
    </row>
    <row r="6494" spans="1:10" x14ac:dyDescent="0.35">
      <c r="A6494">
        <v>325898</v>
      </c>
      <c r="B6494" t="s">
        <v>20</v>
      </c>
      <c r="C6494">
        <v>2015</v>
      </c>
      <c r="D6494">
        <v>7</v>
      </c>
      <c r="E6494" t="s">
        <v>7</v>
      </c>
      <c r="F6494" t="s">
        <v>7</v>
      </c>
      <c r="G6494" t="s">
        <v>7</v>
      </c>
      <c r="H6494">
        <v>20961.3</v>
      </c>
      <c r="I6494">
        <v>5613.43</v>
      </c>
      <c r="J6494">
        <v>0</v>
      </c>
    </row>
    <row r="6495" spans="1:10" x14ac:dyDescent="0.35">
      <c r="A6495">
        <v>325900</v>
      </c>
      <c r="B6495" t="s">
        <v>20</v>
      </c>
      <c r="C6495">
        <v>2015</v>
      </c>
      <c r="D6495">
        <v>7</v>
      </c>
      <c r="E6495" t="s">
        <v>7</v>
      </c>
      <c r="F6495" t="s">
        <v>7</v>
      </c>
      <c r="G6495" t="s">
        <v>7</v>
      </c>
      <c r="H6495">
        <v>15406.74</v>
      </c>
      <c r="I6495">
        <v>4354.46</v>
      </c>
      <c r="J6495">
        <v>0</v>
      </c>
    </row>
    <row r="6496" spans="1:10" x14ac:dyDescent="0.35">
      <c r="A6496">
        <v>325901</v>
      </c>
      <c r="B6496" t="s">
        <v>20</v>
      </c>
      <c r="C6496">
        <v>2015</v>
      </c>
      <c r="D6496">
        <v>7</v>
      </c>
      <c r="E6496" t="s">
        <v>7</v>
      </c>
      <c r="F6496" t="s">
        <v>7</v>
      </c>
      <c r="G6496" t="s">
        <v>7</v>
      </c>
      <c r="H6496">
        <v>49178.14</v>
      </c>
      <c r="I6496">
        <v>14288.3</v>
      </c>
      <c r="J6496">
        <v>0</v>
      </c>
    </row>
    <row r="6497" spans="1:10" x14ac:dyDescent="0.35">
      <c r="A6497">
        <v>325903</v>
      </c>
      <c r="B6497" t="s">
        <v>20</v>
      </c>
      <c r="C6497">
        <v>2015</v>
      </c>
      <c r="D6497">
        <v>7</v>
      </c>
      <c r="E6497" t="s">
        <v>7</v>
      </c>
      <c r="F6497" t="s">
        <v>7</v>
      </c>
      <c r="G6497" t="s">
        <v>7</v>
      </c>
      <c r="H6497">
        <v>9383.1200000000008</v>
      </c>
      <c r="I6497">
        <v>2465.6</v>
      </c>
      <c r="J6497">
        <v>0</v>
      </c>
    </row>
    <row r="6498" spans="1:10" x14ac:dyDescent="0.35">
      <c r="A6498">
        <v>325906</v>
      </c>
      <c r="B6498" t="s">
        <v>20</v>
      </c>
      <c r="C6498">
        <v>2015</v>
      </c>
      <c r="D6498">
        <v>7</v>
      </c>
      <c r="E6498" t="s">
        <v>7</v>
      </c>
      <c r="F6498" t="s">
        <v>7</v>
      </c>
      <c r="G6498" t="s">
        <v>7</v>
      </c>
      <c r="H6498">
        <v>44376.88</v>
      </c>
      <c r="I6498">
        <v>12980.82</v>
      </c>
      <c r="J6498">
        <v>0</v>
      </c>
    </row>
    <row r="6499" spans="1:10" x14ac:dyDescent="0.35">
      <c r="A6499">
        <v>325907</v>
      </c>
      <c r="B6499" t="s">
        <v>20</v>
      </c>
      <c r="C6499">
        <v>2015</v>
      </c>
      <c r="D6499">
        <v>7</v>
      </c>
      <c r="E6499" t="s">
        <v>7</v>
      </c>
      <c r="F6499" t="s">
        <v>7</v>
      </c>
      <c r="G6499" t="s">
        <v>7</v>
      </c>
      <c r="H6499">
        <v>68582.98</v>
      </c>
      <c r="I6499">
        <v>35842.230000000003</v>
      </c>
      <c r="J6499">
        <v>0</v>
      </c>
    </row>
    <row r="6500" spans="1:10" x14ac:dyDescent="0.35">
      <c r="A6500">
        <v>325909</v>
      </c>
      <c r="B6500" t="s">
        <v>20</v>
      </c>
      <c r="C6500">
        <v>2015</v>
      </c>
      <c r="D6500">
        <v>7</v>
      </c>
      <c r="E6500" t="s">
        <v>7</v>
      </c>
      <c r="F6500" t="s">
        <v>7</v>
      </c>
      <c r="G6500" t="s">
        <v>7</v>
      </c>
      <c r="H6500">
        <v>143104.72</v>
      </c>
      <c r="I6500">
        <v>76315.61</v>
      </c>
      <c r="J6500">
        <v>0</v>
      </c>
    </row>
    <row r="6501" spans="1:10" x14ac:dyDescent="0.35">
      <c r="A6501">
        <v>325914</v>
      </c>
      <c r="B6501" t="s">
        <v>20</v>
      </c>
      <c r="C6501">
        <v>2015</v>
      </c>
      <c r="D6501">
        <v>7</v>
      </c>
      <c r="E6501" t="s">
        <v>7</v>
      </c>
      <c r="F6501" t="s">
        <v>7</v>
      </c>
      <c r="G6501" t="s">
        <v>7</v>
      </c>
      <c r="H6501">
        <v>23353.72</v>
      </c>
      <c r="I6501">
        <v>7079</v>
      </c>
      <c r="J6501">
        <v>0</v>
      </c>
    </row>
    <row r="6502" spans="1:10" x14ac:dyDescent="0.35">
      <c r="A6502">
        <v>325915</v>
      </c>
      <c r="B6502" t="s">
        <v>20</v>
      </c>
      <c r="C6502">
        <v>2015</v>
      </c>
      <c r="D6502">
        <v>7</v>
      </c>
      <c r="E6502" t="s">
        <v>7</v>
      </c>
      <c r="F6502" t="s">
        <v>7</v>
      </c>
      <c r="G6502" t="s">
        <v>7</v>
      </c>
      <c r="H6502">
        <v>35481.980000000003</v>
      </c>
      <c r="I6502">
        <v>14693.25</v>
      </c>
      <c r="J6502">
        <v>0</v>
      </c>
    </row>
    <row r="6503" spans="1:10" x14ac:dyDescent="0.35">
      <c r="A6503">
        <v>325917</v>
      </c>
      <c r="B6503" t="s">
        <v>20</v>
      </c>
      <c r="C6503">
        <v>2015</v>
      </c>
      <c r="D6503">
        <v>7</v>
      </c>
      <c r="E6503" t="s">
        <v>7</v>
      </c>
      <c r="F6503" t="s">
        <v>7</v>
      </c>
      <c r="G6503" t="s">
        <v>7</v>
      </c>
      <c r="H6503">
        <v>8543.56</v>
      </c>
      <c r="I6503">
        <v>2285.59</v>
      </c>
      <c r="J6503">
        <v>0</v>
      </c>
    </row>
    <row r="6504" spans="1:10" x14ac:dyDescent="0.35">
      <c r="A6504">
        <v>325919</v>
      </c>
      <c r="B6504" t="s">
        <v>20</v>
      </c>
      <c r="C6504">
        <v>2015</v>
      </c>
      <c r="D6504">
        <v>7</v>
      </c>
      <c r="E6504" t="s">
        <v>7</v>
      </c>
      <c r="F6504" t="s">
        <v>7</v>
      </c>
      <c r="G6504" t="s">
        <v>7</v>
      </c>
      <c r="H6504">
        <v>24445.22</v>
      </c>
      <c r="I6504">
        <v>6250.09</v>
      </c>
      <c r="J6504">
        <v>0</v>
      </c>
    </row>
    <row r="6505" spans="1:10" x14ac:dyDescent="0.35">
      <c r="A6505">
        <v>325921</v>
      </c>
      <c r="B6505" t="s">
        <v>20</v>
      </c>
      <c r="C6505">
        <v>2015</v>
      </c>
      <c r="D6505">
        <v>7</v>
      </c>
      <c r="E6505" t="s">
        <v>7</v>
      </c>
      <c r="F6505" t="s">
        <v>7</v>
      </c>
      <c r="G6505" t="s">
        <v>7</v>
      </c>
      <c r="H6505">
        <v>30158.22</v>
      </c>
      <c r="I6505">
        <v>7329.01</v>
      </c>
      <c r="J6505">
        <v>0</v>
      </c>
    </row>
    <row r="6506" spans="1:10" x14ac:dyDescent="0.35">
      <c r="A6506">
        <v>325922</v>
      </c>
      <c r="B6506" t="s">
        <v>20</v>
      </c>
      <c r="C6506">
        <v>2015</v>
      </c>
      <c r="D6506">
        <v>7</v>
      </c>
      <c r="E6506" t="s">
        <v>7</v>
      </c>
      <c r="F6506" t="s">
        <v>7</v>
      </c>
      <c r="G6506" t="s">
        <v>7</v>
      </c>
      <c r="H6506">
        <v>15154.96</v>
      </c>
      <c r="I6506">
        <v>4493.47</v>
      </c>
      <c r="J6506">
        <v>0</v>
      </c>
    </row>
    <row r="6507" spans="1:10" x14ac:dyDescent="0.35">
      <c r="A6507">
        <v>325924</v>
      </c>
      <c r="B6507" t="s">
        <v>20</v>
      </c>
      <c r="C6507">
        <v>2015</v>
      </c>
      <c r="D6507">
        <v>7</v>
      </c>
      <c r="E6507" t="s">
        <v>7</v>
      </c>
      <c r="F6507" t="s">
        <v>7</v>
      </c>
      <c r="G6507" t="s">
        <v>7</v>
      </c>
      <c r="H6507">
        <v>35654.699999999997</v>
      </c>
      <c r="I6507">
        <v>8908.5499999999993</v>
      </c>
      <c r="J6507">
        <v>0</v>
      </c>
    </row>
    <row r="6508" spans="1:10" x14ac:dyDescent="0.35">
      <c r="A6508">
        <v>325925</v>
      </c>
      <c r="B6508" t="s">
        <v>20</v>
      </c>
      <c r="C6508">
        <v>2015</v>
      </c>
      <c r="D6508">
        <v>7</v>
      </c>
      <c r="E6508" t="s">
        <v>7</v>
      </c>
      <c r="F6508" t="s">
        <v>7</v>
      </c>
      <c r="G6508" t="s">
        <v>7</v>
      </c>
      <c r="H6508">
        <v>11191.64</v>
      </c>
      <c r="I6508">
        <v>2461.4299999999998</v>
      </c>
      <c r="J6508">
        <v>0</v>
      </c>
    </row>
    <row r="6509" spans="1:10" x14ac:dyDescent="0.35">
      <c r="A6509">
        <v>325926</v>
      </c>
      <c r="B6509" t="s">
        <v>20</v>
      </c>
      <c r="C6509">
        <v>2015</v>
      </c>
      <c r="D6509">
        <v>7</v>
      </c>
      <c r="E6509" t="s">
        <v>7</v>
      </c>
      <c r="F6509" t="s">
        <v>7</v>
      </c>
      <c r="G6509" t="s">
        <v>7</v>
      </c>
      <c r="H6509">
        <v>64143.98</v>
      </c>
      <c r="I6509">
        <v>19706.18</v>
      </c>
      <c r="J6509">
        <v>0</v>
      </c>
    </row>
    <row r="6510" spans="1:10" x14ac:dyDescent="0.35">
      <c r="A6510">
        <v>325927</v>
      </c>
      <c r="B6510" t="s">
        <v>20</v>
      </c>
      <c r="C6510">
        <v>2015</v>
      </c>
      <c r="D6510">
        <v>7</v>
      </c>
      <c r="E6510" t="s">
        <v>7</v>
      </c>
      <c r="F6510" t="s">
        <v>7</v>
      </c>
      <c r="G6510" t="s">
        <v>7</v>
      </c>
      <c r="H6510">
        <v>12378.28</v>
      </c>
      <c r="I6510">
        <v>2800.1</v>
      </c>
      <c r="J6510">
        <v>0</v>
      </c>
    </row>
    <row r="6511" spans="1:10" x14ac:dyDescent="0.35">
      <c r="A6511">
        <v>325931</v>
      </c>
      <c r="B6511" t="s">
        <v>20</v>
      </c>
      <c r="C6511">
        <v>2015</v>
      </c>
      <c r="D6511">
        <v>7</v>
      </c>
      <c r="E6511" t="s">
        <v>7</v>
      </c>
      <c r="F6511" t="s">
        <v>7</v>
      </c>
      <c r="G6511" t="s">
        <v>7</v>
      </c>
      <c r="H6511">
        <v>25886.78</v>
      </c>
      <c r="I6511">
        <v>12829.9</v>
      </c>
      <c r="J6511">
        <v>0</v>
      </c>
    </row>
    <row r="6512" spans="1:10" x14ac:dyDescent="0.35">
      <c r="A6512">
        <v>325933</v>
      </c>
      <c r="B6512" t="s">
        <v>20</v>
      </c>
      <c r="C6512">
        <v>2015</v>
      </c>
      <c r="D6512">
        <v>7</v>
      </c>
      <c r="E6512" t="s">
        <v>7</v>
      </c>
      <c r="F6512" t="s">
        <v>7</v>
      </c>
      <c r="G6512" t="s">
        <v>7</v>
      </c>
      <c r="H6512">
        <v>17375.86</v>
      </c>
      <c r="I6512">
        <v>5024.47</v>
      </c>
      <c r="J6512">
        <v>0</v>
      </c>
    </row>
    <row r="6513" spans="1:10" x14ac:dyDescent="0.35">
      <c r="A6513">
        <v>325935</v>
      </c>
      <c r="B6513" t="s">
        <v>20</v>
      </c>
      <c r="C6513">
        <v>2015</v>
      </c>
      <c r="D6513">
        <v>7</v>
      </c>
      <c r="E6513" t="s">
        <v>7</v>
      </c>
      <c r="F6513" t="s">
        <v>7</v>
      </c>
      <c r="G6513" t="s">
        <v>7</v>
      </c>
      <c r="H6513">
        <v>41563.72</v>
      </c>
      <c r="I6513">
        <v>12039.29</v>
      </c>
      <c r="J6513">
        <v>0</v>
      </c>
    </row>
    <row r="6514" spans="1:10" x14ac:dyDescent="0.35">
      <c r="A6514">
        <v>325937</v>
      </c>
      <c r="B6514" t="s">
        <v>20</v>
      </c>
      <c r="C6514">
        <v>2015</v>
      </c>
      <c r="D6514">
        <v>7</v>
      </c>
      <c r="E6514" t="s">
        <v>7</v>
      </c>
      <c r="F6514" t="s">
        <v>7</v>
      </c>
      <c r="G6514" t="s">
        <v>7</v>
      </c>
      <c r="H6514">
        <v>48732.82</v>
      </c>
      <c r="I6514">
        <v>15698.78</v>
      </c>
      <c r="J6514">
        <v>0</v>
      </c>
    </row>
    <row r="6515" spans="1:10" x14ac:dyDescent="0.35">
      <c r="A6515">
        <v>325938</v>
      </c>
      <c r="B6515" t="s">
        <v>20</v>
      </c>
      <c r="C6515">
        <v>2015</v>
      </c>
      <c r="D6515">
        <v>7</v>
      </c>
      <c r="E6515" t="s">
        <v>7</v>
      </c>
      <c r="F6515" t="s">
        <v>7</v>
      </c>
      <c r="G6515" t="s">
        <v>7</v>
      </c>
      <c r="H6515">
        <v>29748.2</v>
      </c>
      <c r="I6515">
        <v>8003.8</v>
      </c>
      <c r="J6515">
        <v>0</v>
      </c>
    </row>
    <row r="6516" spans="1:10" x14ac:dyDescent="0.35">
      <c r="A6516">
        <v>325939</v>
      </c>
      <c r="B6516" t="s">
        <v>20</v>
      </c>
      <c r="C6516">
        <v>2015</v>
      </c>
      <c r="D6516">
        <v>7</v>
      </c>
      <c r="E6516" t="s">
        <v>7</v>
      </c>
      <c r="F6516" t="s">
        <v>7</v>
      </c>
      <c r="G6516" t="s">
        <v>7</v>
      </c>
      <c r="H6516">
        <v>62356.02</v>
      </c>
      <c r="I6516">
        <v>18849.84</v>
      </c>
      <c r="J6516">
        <v>0</v>
      </c>
    </row>
    <row r="6517" spans="1:10" x14ac:dyDescent="0.35">
      <c r="A6517">
        <v>325941</v>
      </c>
      <c r="B6517" t="s">
        <v>20</v>
      </c>
      <c r="C6517">
        <v>2015</v>
      </c>
      <c r="D6517">
        <v>7</v>
      </c>
      <c r="E6517" t="s">
        <v>7</v>
      </c>
      <c r="F6517" t="s">
        <v>7</v>
      </c>
      <c r="G6517" t="s">
        <v>7</v>
      </c>
      <c r="H6517">
        <v>44052.24</v>
      </c>
      <c r="I6517">
        <v>13107</v>
      </c>
      <c r="J6517">
        <v>0</v>
      </c>
    </row>
    <row r="6518" spans="1:10" x14ac:dyDescent="0.35">
      <c r="A6518">
        <v>325945</v>
      </c>
      <c r="B6518" t="s">
        <v>20</v>
      </c>
      <c r="C6518">
        <v>2015</v>
      </c>
      <c r="D6518">
        <v>7</v>
      </c>
      <c r="E6518" t="s">
        <v>7</v>
      </c>
      <c r="F6518" t="s">
        <v>7</v>
      </c>
      <c r="G6518" t="s">
        <v>7</v>
      </c>
      <c r="H6518">
        <v>255779.02</v>
      </c>
      <c r="I6518">
        <v>93578.75</v>
      </c>
      <c r="J6518">
        <v>0</v>
      </c>
    </row>
    <row r="6519" spans="1:10" x14ac:dyDescent="0.35">
      <c r="A6519">
        <v>325946</v>
      </c>
      <c r="B6519" t="s">
        <v>20</v>
      </c>
      <c r="C6519">
        <v>2015</v>
      </c>
      <c r="D6519">
        <v>7</v>
      </c>
      <c r="E6519" t="s">
        <v>7</v>
      </c>
      <c r="F6519" t="s">
        <v>7</v>
      </c>
      <c r="G6519" t="s">
        <v>7</v>
      </c>
      <c r="H6519">
        <v>10337.540000000001</v>
      </c>
      <c r="I6519">
        <v>2359.65</v>
      </c>
      <c r="J6519">
        <v>0</v>
      </c>
    </row>
    <row r="6520" spans="1:10" x14ac:dyDescent="0.35">
      <c r="A6520">
        <v>325947</v>
      </c>
      <c r="B6520" t="s">
        <v>20</v>
      </c>
      <c r="C6520">
        <v>2015</v>
      </c>
      <c r="D6520">
        <v>7</v>
      </c>
      <c r="E6520" t="s">
        <v>7</v>
      </c>
      <c r="F6520" t="s">
        <v>7</v>
      </c>
      <c r="G6520" t="s">
        <v>7</v>
      </c>
      <c r="H6520">
        <v>30620.38</v>
      </c>
      <c r="I6520">
        <v>8501.8700000000008</v>
      </c>
      <c r="J6520">
        <v>0</v>
      </c>
    </row>
    <row r="6521" spans="1:10" x14ac:dyDescent="0.35">
      <c r="A6521">
        <v>325948</v>
      </c>
      <c r="B6521" t="s">
        <v>20</v>
      </c>
      <c r="C6521">
        <v>2015</v>
      </c>
      <c r="D6521">
        <v>7</v>
      </c>
      <c r="E6521" t="s">
        <v>7</v>
      </c>
      <c r="F6521" t="s">
        <v>7</v>
      </c>
      <c r="G6521" t="s">
        <v>7</v>
      </c>
      <c r="H6521">
        <v>29071.72</v>
      </c>
      <c r="I6521">
        <v>14813.7</v>
      </c>
      <c r="J6521">
        <v>0</v>
      </c>
    </row>
    <row r="6522" spans="1:10" x14ac:dyDescent="0.35">
      <c r="A6522">
        <v>325949</v>
      </c>
      <c r="B6522" t="s">
        <v>20</v>
      </c>
      <c r="C6522">
        <v>2015</v>
      </c>
      <c r="D6522">
        <v>7</v>
      </c>
      <c r="E6522" t="s">
        <v>7</v>
      </c>
      <c r="F6522" t="s">
        <v>7</v>
      </c>
      <c r="G6522" t="s">
        <v>7</v>
      </c>
      <c r="H6522">
        <v>23433.84</v>
      </c>
      <c r="I6522">
        <v>6805.45</v>
      </c>
      <c r="J6522">
        <v>0</v>
      </c>
    </row>
    <row r="6523" spans="1:10" x14ac:dyDescent="0.35">
      <c r="A6523">
        <v>325952</v>
      </c>
      <c r="B6523" t="s">
        <v>20</v>
      </c>
      <c r="C6523">
        <v>2015</v>
      </c>
      <c r="D6523">
        <v>7</v>
      </c>
      <c r="E6523" t="s">
        <v>7</v>
      </c>
      <c r="F6523" t="s">
        <v>7</v>
      </c>
      <c r="G6523" t="s">
        <v>7</v>
      </c>
      <c r="H6523">
        <v>10550.68</v>
      </c>
      <c r="I6523">
        <v>2502.54</v>
      </c>
      <c r="J6523">
        <v>0</v>
      </c>
    </row>
    <row r="6524" spans="1:10" x14ac:dyDescent="0.35">
      <c r="A6524">
        <v>325953</v>
      </c>
      <c r="B6524" t="s">
        <v>20</v>
      </c>
      <c r="C6524">
        <v>2015</v>
      </c>
      <c r="D6524">
        <v>7</v>
      </c>
      <c r="E6524" t="s">
        <v>7</v>
      </c>
      <c r="F6524" t="s">
        <v>7</v>
      </c>
      <c r="G6524" t="s">
        <v>7</v>
      </c>
      <c r="H6524">
        <v>31345.279999999999</v>
      </c>
      <c r="I6524">
        <v>8747.08</v>
      </c>
      <c r="J6524">
        <v>0</v>
      </c>
    </row>
    <row r="6525" spans="1:10" x14ac:dyDescent="0.35">
      <c r="A6525">
        <v>325954</v>
      </c>
      <c r="B6525" t="s">
        <v>20</v>
      </c>
      <c r="C6525">
        <v>2015</v>
      </c>
      <c r="D6525">
        <v>7</v>
      </c>
      <c r="E6525" t="s">
        <v>7</v>
      </c>
      <c r="F6525" t="s">
        <v>7</v>
      </c>
      <c r="G6525" t="s">
        <v>7</v>
      </c>
      <c r="H6525">
        <v>76490.66</v>
      </c>
      <c r="I6525">
        <v>51682.22</v>
      </c>
      <c r="J6525">
        <v>0</v>
      </c>
    </row>
    <row r="6526" spans="1:10" x14ac:dyDescent="0.35">
      <c r="A6526">
        <v>325955</v>
      </c>
      <c r="B6526" t="s">
        <v>20</v>
      </c>
      <c r="C6526">
        <v>2015</v>
      </c>
      <c r="D6526">
        <v>7</v>
      </c>
      <c r="E6526" t="s">
        <v>7</v>
      </c>
      <c r="F6526" t="s">
        <v>7</v>
      </c>
      <c r="G6526" t="s">
        <v>7</v>
      </c>
      <c r="H6526">
        <v>26558.82</v>
      </c>
      <c r="I6526">
        <v>7834.44</v>
      </c>
      <c r="J6526">
        <v>0</v>
      </c>
    </row>
    <row r="6527" spans="1:10" x14ac:dyDescent="0.35">
      <c r="A6527">
        <v>325956</v>
      </c>
      <c r="B6527" t="s">
        <v>20</v>
      </c>
      <c r="C6527">
        <v>2015</v>
      </c>
      <c r="D6527">
        <v>7</v>
      </c>
      <c r="E6527" t="s">
        <v>7</v>
      </c>
      <c r="F6527" t="s">
        <v>7</v>
      </c>
      <c r="G6527" t="s">
        <v>7</v>
      </c>
      <c r="H6527">
        <v>23489.38</v>
      </c>
      <c r="I6527">
        <v>9640.08</v>
      </c>
      <c r="J6527">
        <v>0</v>
      </c>
    </row>
    <row r="6528" spans="1:10" x14ac:dyDescent="0.35">
      <c r="A6528">
        <v>325957</v>
      </c>
      <c r="B6528" t="s">
        <v>20</v>
      </c>
      <c r="C6528">
        <v>2015</v>
      </c>
      <c r="D6528">
        <v>7</v>
      </c>
      <c r="E6528" t="s">
        <v>7</v>
      </c>
      <c r="F6528" t="s">
        <v>7</v>
      </c>
      <c r="G6528" t="s">
        <v>7</v>
      </c>
      <c r="H6528">
        <v>33306.14</v>
      </c>
      <c r="I6528">
        <v>10373.02</v>
      </c>
      <c r="J6528">
        <v>0</v>
      </c>
    </row>
    <row r="6529" spans="1:10" x14ac:dyDescent="0.35">
      <c r="A6529">
        <v>325963</v>
      </c>
      <c r="B6529" t="s">
        <v>20</v>
      </c>
      <c r="C6529">
        <v>2015</v>
      </c>
      <c r="D6529">
        <v>7</v>
      </c>
      <c r="E6529" t="s">
        <v>7</v>
      </c>
      <c r="F6529" t="s">
        <v>7</v>
      </c>
      <c r="G6529" t="s">
        <v>7</v>
      </c>
      <c r="H6529">
        <v>33225.54</v>
      </c>
      <c r="I6529">
        <v>7939.53</v>
      </c>
      <c r="J6529">
        <v>0</v>
      </c>
    </row>
    <row r="6530" spans="1:10" x14ac:dyDescent="0.35">
      <c r="A6530">
        <v>325965</v>
      </c>
      <c r="B6530" t="s">
        <v>20</v>
      </c>
      <c r="C6530">
        <v>2015</v>
      </c>
      <c r="D6530">
        <v>7</v>
      </c>
      <c r="E6530" t="s">
        <v>7</v>
      </c>
      <c r="F6530" t="s">
        <v>7</v>
      </c>
      <c r="G6530" t="s">
        <v>7</v>
      </c>
      <c r="H6530">
        <v>21210.98</v>
      </c>
      <c r="I6530">
        <v>4838.54</v>
      </c>
      <c r="J6530">
        <v>0</v>
      </c>
    </row>
    <row r="6531" spans="1:10" x14ac:dyDescent="0.35">
      <c r="A6531">
        <v>325966</v>
      </c>
      <c r="B6531" t="s">
        <v>20</v>
      </c>
      <c r="C6531">
        <v>2015</v>
      </c>
      <c r="D6531">
        <v>7</v>
      </c>
      <c r="E6531" t="s">
        <v>7</v>
      </c>
      <c r="F6531" t="s">
        <v>7</v>
      </c>
      <c r="G6531" t="s">
        <v>7</v>
      </c>
      <c r="H6531">
        <v>22634.560000000001</v>
      </c>
      <c r="I6531">
        <v>5264.66</v>
      </c>
      <c r="J6531">
        <v>0</v>
      </c>
    </row>
    <row r="6532" spans="1:10" x14ac:dyDescent="0.35">
      <c r="A6532">
        <v>325967</v>
      </c>
      <c r="B6532" t="s">
        <v>20</v>
      </c>
      <c r="C6532">
        <v>2015</v>
      </c>
      <c r="D6532">
        <v>7</v>
      </c>
      <c r="E6532" t="s">
        <v>7</v>
      </c>
      <c r="F6532" t="s">
        <v>7</v>
      </c>
      <c r="G6532" t="s">
        <v>7</v>
      </c>
      <c r="H6532">
        <v>102759.74</v>
      </c>
      <c r="I6532">
        <v>54750.83</v>
      </c>
      <c r="J6532">
        <v>0</v>
      </c>
    </row>
    <row r="6533" spans="1:10" x14ac:dyDescent="0.35">
      <c r="A6533">
        <v>325971</v>
      </c>
      <c r="B6533" t="s">
        <v>20</v>
      </c>
      <c r="C6533">
        <v>2015</v>
      </c>
      <c r="D6533">
        <v>7</v>
      </c>
      <c r="E6533" t="s">
        <v>7</v>
      </c>
      <c r="F6533" t="s">
        <v>7</v>
      </c>
      <c r="G6533" t="s">
        <v>7</v>
      </c>
      <c r="H6533">
        <v>74410.36</v>
      </c>
      <c r="I6533">
        <v>34505.769999999997</v>
      </c>
      <c r="J6533">
        <v>0</v>
      </c>
    </row>
    <row r="6534" spans="1:10" x14ac:dyDescent="0.35">
      <c r="A6534">
        <v>325974</v>
      </c>
      <c r="B6534" t="s">
        <v>20</v>
      </c>
      <c r="C6534">
        <v>2015</v>
      </c>
      <c r="D6534">
        <v>7</v>
      </c>
      <c r="E6534" t="s">
        <v>7</v>
      </c>
      <c r="F6534" t="s">
        <v>7</v>
      </c>
      <c r="G6534" t="s">
        <v>7</v>
      </c>
      <c r="H6534">
        <v>35330</v>
      </c>
      <c r="I6534">
        <v>10114.280000000001</v>
      </c>
      <c r="J6534">
        <v>0</v>
      </c>
    </row>
    <row r="6535" spans="1:10" x14ac:dyDescent="0.35">
      <c r="A6535">
        <v>325975</v>
      </c>
      <c r="B6535" t="s">
        <v>20</v>
      </c>
      <c r="C6535">
        <v>2015</v>
      </c>
      <c r="D6535">
        <v>7</v>
      </c>
      <c r="E6535" t="s">
        <v>7</v>
      </c>
      <c r="F6535" t="s">
        <v>7</v>
      </c>
      <c r="G6535" t="s">
        <v>7</v>
      </c>
      <c r="H6535">
        <v>88445.58</v>
      </c>
      <c r="I6535">
        <v>37632.03</v>
      </c>
      <c r="J6535">
        <v>0</v>
      </c>
    </row>
    <row r="6536" spans="1:10" x14ac:dyDescent="0.35">
      <c r="A6536">
        <v>325977</v>
      </c>
      <c r="B6536" t="s">
        <v>20</v>
      </c>
      <c r="C6536">
        <v>2015</v>
      </c>
      <c r="D6536">
        <v>7</v>
      </c>
      <c r="E6536" t="s">
        <v>7</v>
      </c>
      <c r="F6536" t="s">
        <v>7</v>
      </c>
      <c r="G6536" t="s">
        <v>7</v>
      </c>
      <c r="H6536">
        <v>27854.58</v>
      </c>
      <c r="I6536">
        <v>7955.91</v>
      </c>
      <c r="J6536">
        <v>0</v>
      </c>
    </row>
    <row r="6537" spans="1:10" x14ac:dyDescent="0.35">
      <c r="A6537">
        <v>325978</v>
      </c>
      <c r="B6537" t="s">
        <v>20</v>
      </c>
      <c r="C6537">
        <v>2015</v>
      </c>
      <c r="D6537">
        <v>7</v>
      </c>
      <c r="E6537" t="s">
        <v>7</v>
      </c>
      <c r="F6537" t="s">
        <v>7</v>
      </c>
      <c r="G6537" t="s">
        <v>7</v>
      </c>
      <c r="H6537">
        <v>39649.56</v>
      </c>
      <c r="I6537">
        <v>20587.54</v>
      </c>
      <c r="J6537">
        <v>0</v>
      </c>
    </row>
    <row r="6538" spans="1:10" x14ac:dyDescent="0.35">
      <c r="A6538">
        <v>325979</v>
      </c>
      <c r="B6538" t="s">
        <v>20</v>
      </c>
      <c r="C6538">
        <v>2015</v>
      </c>
      <c r="D6538">
        <v>7</v>
      </c>
      <c r="E6538" t="s">
        <v>7</v>
      </c>
      <c r="F6538" t="s">
        <v>7</v>
      </c>
      <c r="G6538" t="s">
        <v>7</v>
      </c>
      <c r="H6538">
        <v>74174.86</v>
      </c>
      <c r="I6538">
        <v>25220.12</v>
      </c>
      <c r="J6538">
        <v>0</v>
      </c>
    </row>
    <row r="6539" spans="1:10" x14ac:dyDescent="0.35">
      <c r="A6539">
        <v>325980</v>
      </c>
      <c r="B6539" t="s">
        <v>20</v>
      </c>
      <c r="C6539">
        <v>2015</v>
      </c>
      <c r="D6539">
        <v>7</v>
      </c>
      <c r="E6539" t="s">
        <v>7</v>
      </c>
      <c r="F6539" t="s">
        <v>7</v>
      </c>
      <c r="G6539" t="s">
        <v>7</v>
      </c>
      <c r="H6539">
        <v>39430.86</v>
      </c>
      <c r="I6539">
        <v>11878.53</v>
      </c>
      <c r="J6539">
        <v>0</v>
      </c>
    </row>
    <row r="6540" spans="1:10" x14ac:dyDescent="0.35">
      <c r="A6540">
        <v>325983</v>
      </c>
      <c r="B6540" t="s">
        <v>20</v>
      </c>
      <c r="C6540">
        <v>2015</v>
      </c>
      <c r="D6540">
        <v>7</v>
      </c>
      <c r="E6540" t="s">
        <v>7</v>
      </c>
      <c r="F6540" t="s">
        <v>7</v>
      </c>
      <c r="G6540" t="s">
        <v>7</v>
      </c>
      <c r="H6540">
        <v>70749.94</v>
      </c>
      <c r="I6540">
        <v>19267.849999999999</v>
      </c>
      <c r="J6540">
        <v>0</v>
      </c>
    </row>
    <row r="6541" spans="1:10" x14ac:dyDescent="0.35">
      <c r="A6541">
        <v>325984</v>
      </c>
      <c r="B6541" t="s">
        <v>20</v>
      </c>
      <c r="C6541">
        <v>2015</v>
      </c>
      <c r="D6541">
        <v>7</v>
      </c>
      <c r="E6541" t="s">
        <v>7</v>
      </c>
      <c r="F6541" t="s">
        <v>7</v>
      </c>
      <c r="G6541" t="s">
        <v>7</v>
      </c>
      <c r="H6541">
        <v>28936.18</v>
      </c>
      <c r="I6541">
        <v>8943.19</v>
      </c>
      <c r="J6541">
        <v>0</v>
      </c>
    </row>
    <row r="6542" spans="1:10" x14ac:dyDescent="0.35">
      <c r="A6542">
        <v>325985</v>
      </c>
      <c r="B6542" t="s">
        <v>20</v>
      </c>
      <c r="C6542">
        <v>2015</v>
      </c>
      <c r="D6542">
        <v>7</v>
      </c>
      <c r="E6542" t="s">
        <v>7</v>
      </c>
      <c r="F6542" t="s">
        <v>7</v>
      </c>
      <c r="G6542" t="s">
        <v>7</v>
      </c>
      <c r="H6542">
        <v>12536.68</v>
      </c>
      <c r="I6542">
        <v>2891.54</v>
      </c>
      <c r="J6542">
        <v>0</v>
      </c>
    </row>
    <row r="6543" spans="1:10" x14ac:dyDescent="0.35">
      <c r="A6543">
        <v>325988</v>
      </c>
      <c r="B6543" t="s">
        <v>20</v>
      </c>
      <c r="C6543">
        <v>2015</v>
      </c>
      <c r="D6543">
        <v>7</v>
      </c>
      <c r="E6543" t="s">
        <v>7</v>
      </c>
      <c r="F6543" t="s">
        <v>7</v>
      </c>
      <c r="G6543" t="s">
        <v>7</v>
      </c>
      <c r="H6543">
        <v>62290.58</v>
      </c>
      <c r="I6543">
        <v>19929.59</v>
      </c>
      <c r="J6543">
        <v>0</v>
      </c>
    </row>
    <row r="6544" spans="1:10" x14ac:dyDescent="0.35">
      <c r="A6544">
        <v>325989</v>
      </c>
      <c r="B6544" t="s">
        <v>20</v>
      </c>
      <c r="C6544">
        <v>2015</v>
      </c>
      <c r="D6544">
        <v>7</v>
      </c>
      <c r="E6544" t="s">
        <v>7</v>
      </c>
      <c r="F6544" t="s">
        <v>7</v>
      </c>
      <c r="G6544" t="s">
        <v>7</v>
      </c>
      <c r="H6544">
        <v>16141.76</v>
      </c>
      <c r="I6544">
        <v>4555.8</v>
      </c>
      <c r="J6544">
        <v>0</v>
      </c>
    </row>
    <row r="6545" spans="1:10" x14ac:dyDescent="0.35">
      <c r="A6545">
        <v>325993</v>
      </c>
      <c r="B6545" t="s">
        <v>20</v>
      </c>
      <c r="C6545">
        <v>2015</v>
      </c>
      <c r="D6545">
        <v>7</v>
      </c>
      <c r="E6545" t="s">
        <v>7</v>
      </c>
      <c r="F6545" t="s">
        <v>7</v>
      </c>
      <c r="G6545" t="s">
        <v>7</v>
      </c>
      <c r="H6545">
        <v>32578.7</v>
      </c>
      <c r="I6545">
        <v>12322.5</v>
      </c>
      <c r="J6545">
        <v>0</v>
      </c>
    </row>
    <row r="6546" spans="1:10" x14ac:dyDescent="0.35">
      <c r="A6546">
        <v>325995</v>
      </c>
      <c r="B6546" t="s">
        <v>20</v>
      </c>
      <c r="C6546">
        <v>2015</v>
      </c>
      <c r="D6546">
        <v>7</v>
      </c>
      <c r="E6546" t="s">
        <v>7</v>
      </c>
      <c r="F6546" t="s">
        <v>7</v>
      </c>
      <c r="G6546" t="s">
        <v>7</v>
      </c>
      <c r="H6546">
        <v>54730.12</v>
      </c>
      <c r="I6546">
        <v>15795.73</v>
      </c>
      <c r="J6546">
        <v>0</v>
      </c>
    </row>
    <row r="6547" spans="1:10" x14ac:dyDescent="0.35">
      <c r="A6547">
        <v>325999</v>
      </c>
      <c r="B6547" t="s">
        <v>20</v>
      </c>
      <c r="C6547">
        <v>2015</v>
      </c>
      <c r="D6547">
        <v>7</v>
      </c>
      <c r="E6547" t="s">
        <v>7</v>
      </c>
      <c r="F6547" t="s">
        <v>7</v>
      </c>
      <c r="G6547" t="s">
        <v>7</v>
      </c>
      <c r="H6547">
        <v>78453.679999999993</v>
      </c>
      <c r="I6547">
        <v>32184.61</v>
      </c>
      <c r="J6547">
        <v>0</v>
      </c>
    </row>
    <row r="6548" spans="1:10" x14ac:dyDescent="0.35">
      <c r="A6548">
        <v>326000</v>
      </c>
      <c r="B6548" t="s">
        <v>20</v>
      </c>
      <c r="C6548">
        <v>2015</v>
      </c>
      <c r="D6548">
        <v>7</v>
      </c>
      <c r="E6548" t="s">
        <v>7</v>
      </c>
      <c r="F6548" t="s">
        <v>7</v>
      </c>
      <c r="G6548" t="s">
        <v>7</v>
      </c>
      <c r="H6548">
        <v>12556.3</v>
      </c>
      <c r="I6548">
        <v>2846.07</v>
      </c>
      <c r="J6548">
        <v>0</v>
      </c>
    </row>
    <row r="6549" spans="1:10" x14ac:dyDescent="0.35">
      <c r="A6549">
        <v>326001</v>
      </c>
      <c r="B6549" t="s">
        <v>20</v>
      </c>
      <c r="C6549">
        <v>2015</v>
      </c>
      <c r="D6549">
        <v>7</v>
      </c>
      <c r="E6549" t="s">
        <v>7</v>
      </c>
      <c r="F6549" t="s">
        <v>7</v>
      </c>
      <c r="G6549" t="s">
        <v>7</v>
      </c>
      <c r="H6549">
        <v>27065.48</v>
      </c>
      <c r="I6549">
        <v>15021.56</v>
      </c>
      <c r="J6549">
        <v>0</v>
      </c>
    </row>
    <row r="6550" spans="1:10" x14ac:dyDescent="0.35">
      <c r="A6550">
        <v>326005</v>
      </c>
      <c r="B6550" t="s">
        <v>20</v>
      </c>
      <c r="C6550">
        <v>2015</v>
      </c>
      <c r="D6550">
        <v>7</v>
      </c>
      <c r="E6550" t="s">
        <v>7</v>
      </c>
      <c r="F6550" t="s">
        <v>7</v>
      </c>
      <c r="G6550" t="s">
        <v>7</v>
      </c>
      <c r="H6550">
        <v>71924.539999999994</v>
      </c>
      <c r="I6550">
        <v>39528.300000000003</v>
      </c>
      <c r="J6550">
        <v>0</v>
      </c>
    </row>
    <row r="6551" spans="1:10" x14ac:dyDescent="0.35">
      <c r="A6551">
        <v>326007</v>
      </c>
      <c r="B6551" t="s">
        <v>20</v>
      </c>
      <c r="C6551">
        <v>2015</v>
      </c>
      <c r="D6551">
        <v>7</v>
      </c>
      <c r="E6551" t="s">
        <v>7</v>
      </c>
      <c r="F6551" t="s">
        <v>7</v>
      </c>
      <c r="G6551" t="s">
        <v>7</v>
      </c>
      <c r="H6551">
        <v>50204.98</v>
      </c>
      <c r="I6551">
        <v>14203.18</v>
      </c>
      <c r="J6551">
        <v>0</v>
      </c>
    </row>
    <row r="6552" spans="1:10" x14ac:dyDescent="0.35">
      <c r="A6552">
        <v>326008</v>
      </c>
      <c r="B6552" t="s">
        <v>20</v>
      </c>
      <c r="C6552">
        <v>2015</v>
      </c>
      <c r="D6552">
        <v>7</v>
      </c>
      <c r="E6552" t="s">
        <v>7</v>
      </c>
      <c r="F6552" t="s">
        <v>7</v>
      </c>
      <c r="G6552" t="s">
        <v>7</v>
      </c>
      <c r="H6552">
        <v>18950.64</v>
      </c>
      <c r="I6552">
        <v>5828.04</v>
      </c>
      <c r="J6552">
        <v>0</v>
      </c>
    </row>
    <row r="6553" spans="1:10" x14ac:dyDescent="0.35">
      <c r="A6553">
        <v>326009</v>
      </c>
      <c r="B6553" t="s">
        <v>20</v>
      </c>
      <c r="C6553">
        <v>2015</v>
      </c>
      <c r="D6553">
        <v>7</v>
      </c>
      <c r="E6553" t="s">
        <v>7</v>
      </c>
      <c r="F6553" t="s">
        <v>7</v>
      </c>
      <c r="G6553" t="s">
        <v>7</v>
      </c>
      <c r="H6553">
        <v>47839.58</v>
      </c>
      <c r="I6553">
        <v>11834.36</v>
      </c>
      <c r="J6553">
        <v>0</v>
      </c>
    </row>
    <row r="6554" spans="1:10" x14ac:dyDescent="0.35">
      <c r="A6554">
        <v>326010</v>
      </c>
      <c r="B6554" t="s">
        <v>20</v>
      </c>
      <c r="C6554">
        <v>2015</v>
      </c>
      <c r="D6554">
        <v>7</v>
      </c>
      <c r="E6554" t="s">
        <v>7</v>
      </c>
      <c r="F6554" t="s">
        <v>7</v>
      </c>
      <c r="G6554" t="s">
        <v>7</v>
      </c>
      <c r="H6554">
        <v>69304.12</v>
      </c>
      <c r="I6554">
        <v>21270.9</v>
      </c>
      <c r="J6554">
        <v>0</v>
      </c>
    </row>
    <row r="6555" spans="1:10" x14ac:dyDescent="0.35">
      <c r="A6555">
        <v>326014</v>
      </c>
      <c r="B6555" t="s">
        <v>20</v>
      </c>
      <c r="C6555">
        <v>2015</v>
      </c>
      <c r="D6555">
        <v>7</v>
      </c>
      <c r="E6555" t="s">
        <v>7</v>
      </c>
      <c r="F6555" t="s">
        <v>7</v>
      </c>
      <c r="G6555" t="s">
        <v>7</v>
      </c>
      <c r="H6555">
        <v>33517.72</v>
      </c>
      <c r="I6555">
        <v>9719.02</v>
      </c>
      <c r="J6555">
        <v>0</v>
      </c>
    </row>
    <row r="6556" spans="1:10" x14ac:dyDescent="0.35">
      <c r="A6556">
        <v>326015</v>
      </c>
      <c r="B6556" t="s">
        <v>20</v>
      </c>
      <c r="C6556">
        <v>2015</v>
      </c>
      <c r="D6556">
        <v>7</v>
      </c>
      <c r="E6556" t="s">
        <v>7</v>
      </c>
      <c r="F6556" t="s">
        <v>7</v>
      </c>
      <c r="G6556" t="s">
        <v>7</v>
      </c>
      <c r="H6556">
        <v>9476.52</v>
      </c>
      <c r="I6556">
        <v>2604.21</v>
      </c>
      <c r="J6556">
        <v>0</v>
      </c>
    </row>
    <row r="6557" spans="1:10" x14ac:dyDescent="0.35">
      <c r="A6557">
        <v>326016</v>
      </c>
      <c r="B6557" t="s">
        <v>20</v>
      </c>
      <c r="C6557">
        <v>2015</v>
      </c>
      <c r="D6557">
        <v>7</v>
      </c>
      <c r="E6557" t="s">
        <v>7</v>
      </c>
      <c r="F6557" t="s">
        <v>7</v>
      </c>
      <c r="G6557" t="s">
        <v>7</v>
      </c>
      <c r="H6557">
        <v>48798.720000000001</v>
      </c>
      <c r="I6557">
        <v>12333.82</v>
      </c>
      <c r="J6557">
        <v>0</v>
      </c>
    </row>
    <row r="6558" spans="1:10" x14ac:dyDescent="0.35">
      <c r="A6558">
        <v>326017</v>
      </c>
      <c r="B6558" t="s">
        <v>20</v>
      </c>
      <c r="C6558">
        <v>2015</v>
      </c>
      <c r="D6558">
        <v>7</v>
      </c>
      <c r="E6558" t="s">
        <v>7</v>
      </c>
      <c r="F6558" t="s">
        <v>7</v>
      </c>
      <c r="G6558" t="s">
        <v>7</v>
      </c>
      <c r="H6558">
        <v>32340.240000000002</v>
      </c>
      <c r="I6558">
        <v>8253.91</v>
      </c>
      <c r="J6558">
        <v>0</v>
      </c>
    </row>
    <row r="6559" spans="1:10" x14ac:dyDescent="0.35">
      <c r="A6559">
        <v>326018</v>
      </c>
      <c r="B6559" t="s">
        <v>20</v>
      </c>
      <c r="C6559">
        <v>2015</v>
      </c>
      <c r="D6559">
        <v>7</v>
      </c>
      <c r="E6559" t="s">
        <v>7</v>
      </c>
      <c r="F6559" t="s">
        <v>7</v>
      </c>
      <c r="G6559" t="s">
        <v>7</v>
      </c>
      <c r="H6559">
        <v>82610.820000000007</v>
      </c>
      <c r="I6559">
        <v>24434.46</v>
      </c>
      <c r="J6559">
        <v>0</v>
      </c>
    </row>
    <row r="6560" spans="1:10" x14ac:dyDescent="0.35">
      <c r="A6560">
        <v>326019</v>
      </c>
      <c r="B6560" t="s">
        <v>20</v>
      </c>
      <c r="C6560">
        <v>2015</v>
      </c>
      <c r="D6560">
        <v>7</v>
      </c>
      <c r="E6560" t="s">
        <v>7</v>
      </c>
      <c r="F6560" t="s">
        <v>7</v>
      </c>
      <c r="G6560" t="s">
        <v>7</v>
      </c>
      <c r="H6560">
        <v>38449.980000000003</v>
      </c>
      <c r="I6560">
        <v>15960.57</v>
      </c>
      <c r="J6560">
        <v>0</v>
      </c>
    </row>
    <row r="6561" spans="1:10" x14ac:dyDescent="0.35">
      <c r="A6561">
        <v>326020</v>
      </c>
      <c r="B6561" t="s">
        <v>20</v>
      </c>
      <c r="C6561">
        <v>2015</v>
      </c>
      <c r="D6561">
        <v>7</v>
      </c>
      <c r="E6561" t="s">
        <v>7</v>
      </c>
      <c r="F6561" t="s">
        <v>7</v>
      </c>
      <c r="G6561" t="s">
        <v>7</v>
      </c>
      <c r="H6561">
        <v>14844.66</v>
      </c>
      <c r="I6561">
        <v>2660.1</v>
      </c>
      <c r="J6561">
        <v>0</v>
      </c>
    </row>
    <row r="6562" spans="1:10" x14ac:dyDescent="0.35">
      <c r="A6562">
        <v>326021</v>
      </c>
      <c r="B6562" t="s">
        <v>20</v>
      </c>
      <c r="C6562">
        <v>2015</v>
      </c>
      <c r="D6562">
        <v>7</v>
      </c>
      <c r="E6562" t="s">
        <v>7</v>
      </c>
      <c r="F6562" t="s">
        <v>7</v>
      </c>
      <c r="G6562" t="s">
        <v>7</v>
      </c>
      <c r="H6562">
        <v>31286.240000000002</v>
      </c>
      <c r="I6562">
        <v>8311.65</v>
      </c>
      <c r="J6562">
        <v>0</v>
      </c>
    </row>
    <row r="6563" spans="1:10" x14ac:dyDescent="0.35">
      <c r="A6563">
        <v>326022</v>
      </c>
      <c r="B6563" t="s">
        <v>20</v>
      </c>
      <c r="C6563">
        <v>2015</v>
      </c>
      <c r="D6563">
        <v>7</v>
      </c>
      <c r="E6563" t="s">
        <v>7</v>
      </c>
      <c r="F6563" t="s">
        <v>7</v>
      </c>
      <c r="G6563" t="s">
        <v>7</v>
      </c>
      <c r="H6563">
        <v>8304.92</v>
      </c>
      <c r="I6563">
        <v>2103.9499999999998</v>
      </c>
      <c r="J6563">
        <v>0</v>
      </c>
    </row>
    <row r="6564" spans="1:10" x14ac:dyDescent="0.35">
      <c r="A6564">
        <v>326023</v>
      </c>
      <c r="B6564" t="s">
        <v>20</v>
      </c>
      <c r="C6564">
        <v>2015</v>
      </c>
      <c r="D6564">
        <v>7</v>
      </c>
      <c r="E6564" t="s">
        <v>7</v>
      </c>
      <c r="F6564" t="s">
        <v>7</v>
      </c>
      <c r="G6564" t="s">
        <v>7</v>
      </c>
      <c r="H6564">
        <v>32650.560000000001</v>
      </c>
      <c r="I6564">
        <v>10027.1</v>
      </c>
      <c r="J6564">
        <v>0</v>
      </c>
    </row>
    <row r="6565" spans="1:10" x14ac:dyDescent="0.35">
      <c r="A6565">
        <v>326024</v>
      </c>
      <c r="B6565" t="s">
        <v>20</v>
      </c>
      <c r="C6565">
        <v>2015</v>
      </c>
      <c r="D6565">
        <v>7</v>
      </c>
      <c r="E6565" t="s">
        <v>7</v>
      </c>
      <c r="F6565" t="s">
        <v>7</v>
      </c>
      <c r="G6565" t="s">
        <v>7</v>
      </c>
      <c r="H6565">
        <v>92878.42</v>
      </c>
      <c r="I6565">
        <v>67918.69</v>
      </c>
      <c r="J6565">
        <v>0</v>
      </c>
    </row>
    <row r="6566" spans="1:10" x14ac:dyDescent="0.35">
      <c r="A6566">
        <v>326025</v>
      </c>
      <c r="B6566" t="s">
        <v>20</v>
      </c>
      <c r="C6566">
        <v>2015</v>
      </c>
      <c r="D6566">
        <v>7</v>
      </c>
      <c r="E6566" t="s">
        <v>7</v>
      </c>
      <c r="F6566" t="s">
        <v>7</v>
      </c>
      <c r="G6566" t="s">
        <v>7</v>
      </c>
      <c r="H6566">
        <v>26686.86</v>
      </c>
      <c r="I6566">
        <v>7288.92</v>
      </c>
      <c r="J6566">
        <v>0</v>
      </c>
    </row>
    <row r="6567" spans="1:10" x14ac:dyDescent="0.35">
      <c r="A6567">
        <v>326026</v>
      </c>
      <c r="B6567" t="s">
        <v>20</v>
      </c>
      <c r="C6567">
        <v>2015</v>
      </c>
      <c r="D6567">
        <v>7</v>
      </c>
      <c r="E6567" t="s">
        <v>7</v>
      </c>
      <c r="F6567" t="s">
        <v>7</v>
      </c>
      <c r="G6567" t="s">
        <v>7</v>
      </c>
      <c r="H6567">
        <v>19528.64</v>
      </c>
      <c r="I6567">
        <v>3810.61</v>
      </c>
      <c r="J6567">
        <v>0</v>
      </c>
    </row>
    <row r="6568" spans="1:10" x14ac:dyDescent="0.35">
      <c r="A6568">
        <v>326027</v>
      </c>
      <c r="B6568" t="s">
        <v>20</v>
      </c>
      <c r="C6568">
        <v>2015</v>
      </c>
      <c r="D6568">
        <v>7</v>
      </c>
      <c r="E6568" t="s">
        <v>7</v>
      </c>
      <c r="F6568" t="s">
        <v>7</v>
      </c>
      <c r="G6568" t="s">
        <v>7</v>
      </c>
      <c r="H6568">
        <v>40921.32</v>
      </c>
      <c r="I6568">
        <v>12820.97</v>
      </c>
      <c r="J6568">
        <v>0</v>
      </c>
    </row>
    <row r="6569" spans="1:10" x14ac:dyDescent="0.35">
      <c r="A6569">
        <v>326028</v>
      </c>
      <c r="B6569" t="s">
        <v>20</v>
      </c>
      <c r="C6569">
        <v>2015</v>
      </c>
      <c r="D6569">
        <v>7</v>
      </c>
      <c r="E6569" t="s">
        <v>7</v>
      </c>
      <c r="F6569" t="s">
        <v>7</v>
      </c>
      <c r="G6569" t="s">
        <v>7</v>
      </c>
      <c r="H6569">
        <v>34199.46</v>
      </c>
      <c r="I6569">
        <v>9751.15</v>
      </c>
      <c r="J6569">
        <v>0</v>
      </c>
    </row>
    <row r="6570" spans="1:10" x14ac:dyDescent="0.35">
      <c r="A6570">
        <v>326030</v>
      </c>
      <c r="B6570" t="s">
        <v>20</v>
      </c>
      <c r="C6570">
        <v>2015</v>
      </c>
      <c r="D6570">
        <v>7</v>
      </c>
      <c r="E6570" t="s">
        <v>7</v>
      </c>
      <c r="F6570" t="s">
        <v>7</v>
      </c>
      <c r="G6570" t="s">
        <v>7</v>
      </c>
      <c r="H6570">
        <v>9351.86</v>
      </c>
      <c r="I6570">
        <v>2430.16</v>
      </c>
      <c r="J6570">
        <v>0</v>
      </c>
    </row>
    <row r="6571" spans="1:10" x14ac:dyDescent="0.35">
      <c r="A6571">
        <v>326032</v>
      </c>
      <c r="B6571" t="s">
        <v>20</v>
      </c>
      <c r="C6571">
        <v>2015</v>
      </c>
      <c r="D6571">
        <v>7</v>
      </c>
      <c r="E6571" t="s">
        <v>7</v>
      </c>
      <c r="F6571" t="s">
        <v>7</v>
      </c>
      <c r="G6571" t="s">
        <v>7</v>
      </c>
      <c r="H6571">
        <v>29968.720000000001</v>
      </c>
      <c r="I6571">
        <v>8900.17</v>
      </c>
      <c r="J6571">
        <v>0</v>
      </c>
    </row>
    <row r="6572" spans="1:10" x14ac:dyDescent="0.35">
      <c r="A6572">
        <v>326034</v>
      </c>
      <c r="B6572" t="s">
        <v>20</v>
      </c>
      <c r="C6572">
        <v>2015</v>
      </c>
      <c r="D6572">
        <v>7</v>
      </c>
      <c r="E6572" t="s">
        <v>7</v>
      </c>
      <c r="F6572" t="s">
        <v>7</v>
      </c>
      <c r="G6572" t="s">
        <v>7</v>
      </c>
      <c r="H6572">
        <v>32780.160000000003</v>
      </c>
      <c r="I6572">
        <v>8673.7900000000009</v>
      </c>
      <c r="J6572">
        <v>0</v>
      </c>
    </row>
    <row r="6573" spans="1:10" x14ac:dyDescent="0.35">
      <c r="A6573">
        <v>326036</v>
      </c>
      <c r="B6573" t="s">
        <v>20</v>
      </c>
      <c r="C6573">
        <v>2015</v>
      </c>
      <c r="D6573">
        <v>7</v>
      </c>
      <c r="E6573" t="s">
        <v>7</v>
      </c>
      <c r="F6573" t="s">
        <v>7</v>
      </c>
      <c r="G6573" t="s">
        <v>7</v>
      </c>
      <c r="H6573">
        <v>64712.02</v>
      </c>
      <c r="I6573">
        <v>21669.03</v>
      </c>
      <c r="J6573">
        <v>0</v>
      </c>
    </row>
    <row r="6574" spans="1:10" x14ac:dyDescent="0.35">
      <c r="A6574">
        <v>326038</v>
      </c>
      <c r="B6574" t="s">
        <v>20</v>
      </c>
      <c r="C6574">
        <v>2015</v>
      </c>
      <c r="D6574">
        <v>7</v>
      </c>
      <c r="E6574" t="s">
        <v>7</v>
      </c>
      <c r="F6574" t="s">
        <v>7</v>
      </c>
      <c r="G6574" t="s">
        <v>7</v>
      </c>
      <c r="H6574">
        <v>57387.3</v>
      </c>
      <c r="I6574">
        <v>24152.560000000001</v>
      </c>
      <c r="J6574">
        <v>0</v>
      </c>
    </row>
    <row r="6575" spans="1:10" x14ac:dyDescent="0.35">
      <c r="A6575">
        <v>326040</v>
      </c>
      <c r="B6575" t="s">
        <v>20</v>
      </c>
      <c r="C6575">
        <v>2015</v>
      </c>
      <c r="D6575">
        <v>7</v>
      </c>
      <c r="E6575" t="s">
        <v>7</v>
      </c>
      <c r="F6575" t="s">
        <v>7</v>
      </c>
      <c r="G6575" t="s">
        <v>7</v>
      </c>
      <c r="H6575">
        <v>16979.099999999999</v>
      </c>
      <c r="I6575">
        <v>4801.1099999999997</v>
      </c>
      <c r="J6575">
        <v>0</v>
      </c>
    </row>
    <row r="6576" spans="1:10" x14ac:dyDescent="0.35">
      <c r="A6576">
        <v>326041</v>
      </c>
      <c r="B6576" t="s">
        <v>20</v>
      </c>
      <c r="C6576">
        <v>2015</v>
      </c>
      <c r="D6576">
        <v>7</v>
      </c>
      <c r="E6576" t="s">
        <v>7</v>
      </c>
      <c r="F6576" t="s">
        <v>7</v>
      </c>
      <c r="G6576" t="s">
        <v>7</v>
      </c>
      <c r="H6576">
        <v>46619.66</v>
      </c>
      <c r="I6576">
        <v>30878.18</v>
      </c>
      <c r="J6576">
        <v>0</v>
      </c>
    </row>
    <row r="6577" spans="1:10" x14ac:dyDescent="0.35">
      <c r="A6577">
        <v>326044</v>
      </c>
      <c r="B6577" t="s">
        <v>20</v>
      </c>
      <c r="C6577">
        <v>2015</v>
      </c>
      <c r="D6577">
        <v>7</v>
      </c>
      <c r="E6577" t="s">
        <v>7</v>
      </c>
      <c r="F6577" t="s">
        <v>7</v>
      </c>
      <c r="G6577" t="s">
        <v>7</v>
      </c>
      <c r="H6577">
        <v>28080.400000000001</v>
      </c>
      <c r="I6577">
        <v>8610.9</v>
      </c>
      <c r="J6577">
        <v>0</v>
      </c>
    </row>
    <row r="6578" spans="1:10" x14ac:dyDescent="0.35">
      <c r="A6578">
        <v>326045</v>
      </c>
      <c r="B6578" t="s">
        <v>20</v>
      </c>
      <c r="C6578">
        <v>2015</v>
      </c>
      <c r="D6578">
        <v>7</v>
      </c>
      <c r="E6578" t="s">
        <v>7</v>
      </c>
      <c r="F6578" t="s">
        <v>7</v>
      </c>
      <c r="G6578" t="s">
        <v>7</v>
      </c>
      <c r="H6578">
        <v>74563.240000000005</v>
      </c>
      <c r="I6578">
        <v>21819.62</v>
      </c>
      <c r="J6578">
        <v>0</v>
      </c>
    </row>
    <row r="6579" spans="1:10" x14ac:dyDescent="0.35">
      <c r="A6579">
        <v>326046</v>
      </c>
      <c r="B6579" t="s">
        <v>20</v>
      </c>
      <c r="C6579">
        <v>2015</v>
      </c>
      <c r="D6579">
        <v>7</v>
      </c>
      <c r="E6579" t="s">
        <v>7</v>
      </c>
      <c r="F6579" t="s">
        <v>7</v>
      </c>
      <c r="G6579" t="s">
        <v>7</v>
      </c>
      <c r="H6579">
        <v>22617.88</v>
      </c>
      <c r="I6579">
        <v>6977.94</v>
      </c>
      <c r="J6579">
        <v>0</v>
      </c>
    </row>
    <row r="6580" spans="1:10" x14ac:dyDescent="0.35">
      <c r="A6580">
        <v>326048</v>
      </c>
      <c r="B6580" t="s">
        <v>20</v>
      </c>
      <c r="C6580">
        <v>2015</v>
      </c>
      <c r="D6580">
        <v>7</v>
      </c>
      <c r="E6580" t="s">
        <v>7</v>
      </c>
      <c r="F6580" t="s">
        <v>7</v>
      </c>
      <c r="G6580" t="s">
        <v>7</v>
      </c>
      <c r="H6580">
        <v>19791.16</v>
      </c>
      <c r="I6580">
        <v>5591.42</v>
      </c>
      <c r="J6580">
        <v>0</v>
      </c>
    </row>
    <row r="6581" spans="1:10" x14ac:dyDescent="0.35">
      <c r="A6581">
        <v>326050</v>
      </c>
      <c r="B6581" t="s">
        <v>20</v>
      </c>
      <c r="C6581">
        <v>2015</v>
      </c>
      <c r="D6581">
        <v>7</v>
      </c>
      <c r="E6581" t="s">
        <v>7</v>
      </c>
      <c r="F6581" t="s">
        <v>7</v>
      </c>
      <c r="G6581" t="s">
        <v>7</v>
      </c>
      <c r="H6581">
        <v>32706.36</v>
      </c>
      <c r="I6581">
        <v>9019.52</v>
      </c>
      <c r="J6581">
        <v>0</v>
      </c>
    </row>
    <row r="6582" spans="1:10" x14ac:dyDescent="0.35">
      <c r="A6582">
        <v>326051</v>
      </c>
      <c r="B6582" t="s">
        <v>20</v>
      </c>
      <c r="C6582">
        <v>2015</v>
      </c>
      <c r="D6582">
        <v>7</v>
      </c>
      <c r="E6582" t="s">
        <v>7</v>
      </c>
      <c r="F6582" t="s">
        <v>7</v>
      </c>
      <c r="G6582" t="s">
        <v>7</v>
      </c>
      <c r="H6582">
        <v>22337.82</v>
      </c>
      <c r="I6582">
        <v>9159.3700000000008</v>
      </c>
      <c r="J6582">
        <v>0</v>
      </c>
    </row>
    <row r="6583" spans="1:10" x14ac:dyDescent="0.35">
      <c r="A6583">
        <v>326052</v>
      </c>
      <c r="B6583" t="s">
        <v>20</v>
      </c>
      <c r="C6583">
        <v>2015</v>
      </c>
      <c r="D6583">
        <v>7</v>
      </c>
      <c r="E6583" t="s">
        <v>7</v>
      </c>
      <c r="F6583" t="s">
        <v>7</v>
      </c>
      <c r="G6583" t="s">
        <v>7</v>
      </c>
      <c r="H6583">
        <v>50873.38</v>
      </c>
      <c r="I6583">
        <v>24489.14</v>
      </c>
      <c r="J6583">
        <v>0</v>
      </c>
    </row>
    <row r="6584" spans="1:10" x14ac:dyDescent="0.35">
      <c r="A6584">
        <v>326053</v>
      </c>
      <c r="B6584" t="s">
        <v>20</v>
      </c>
      <c r="C6584">
        <v>2015</v>
      </c>
      <c r="D6584">
        <v>7</v>
      </c>
      <c r="E6584" t="s">
        <v>7</v>
      </c>
      <c r="F6584" t="s">
        <v>7</v>
      </c>
      <c r="G6584" t="s">
        <v>7</v>
      </c>
      <c r="H6584">
        <v>9287.7800000000007</v>
      </c>
      <c r="I6584">
        <v>2398.77</v>
      </c>
      <c r="J6584">
        <v>0</v>
      </c>
    </row>
    <row r="6585" spans="1:10" x14ac:dyDescent="0.35">
      <c r="A6585">
        <v>326055</v>
      </c>
      <c r="B6585" t="s">
        <v>20</v>
      </c>
      <c r="C6585">
        <v>2015</v>
      </c>
      <c r="D6585">
        <v>7</v>
      </c>
      <c r="E6585" t="s">
        <v>7</v>
      </c>
      <c r="F6585" t="s">
        <v>7</v>
      </c>
      <c r="G6585" t="s">
        <v>7</v>
      </c>
      <c r="H6585">
        <v>68195.850000000006</v>
      </c>
      <c r="I6585">
        <v>23139.33</v>
      </c>
      <c r="J6585">
        <v>0</v>
      </c>
    </row>
    <row r="6586" spans="1:10" x14ac:dyDescent="0.35">
      <c r="A6586">
        <v>326058</v>
      </c>
      <c r="B6586" t="s">
        <v>20</v>
      </c>
      <c r="C6586">
        <v>2015</v>
      </c>
      <c r="D6586">
        <v>7</v>
      </c>
      <c r="E6586" t="s">
        <v>7</v>
      </c>
      <c r="F6586" t="s">
        <v>7</v>
      </c>
      <c r="G6586" t="s">
        <v>7</v>
      </c>
      <c r="H6586">
        <v>21200.78</v>
      </c>
      <c r="I6586">
        <v>3871.69</v>
      </c>
      <c r="J6586">
        <v>0</v>
      </c>
    </row>
    <row r="6587" spans="1:10" x14ac:dyDescent="0.35">
      <c r="A6587">
        <v>326059</v>
      </c>
      <c r="B6587" t="s">
        <v>20</v>
      </c>
      <c r="C6587">
        <v>2015</v>
      </c>
      <c r="D6587">
        <v>7</v>
      </c>
      <c r="E6587" t="s">
        <v>7</v>
      </c>
      <c r="F6587" t="s">
        <v>7</v>
      </c>
      <c r="G6587" t="s">
        <v>7</v>
      </c>
      <c r="H6587">
        <v>17913.96</v>
      </c>
      <c r="I6587">
        <v>5203.5</v>
      </c>
      <c r="J6587">
        <v>0</v>
      </c>
    </row>
    <row r="6588" spans="1:10" x14ac:dyDescent="0.35">
      <c r="A6588">
        <v>326060</v>
      </c>
      <c r="B6588" t="s">
        <v>20</v>
      </c>
      <c r="C6588">
        <v>2015</v>
      </c>
      <c r="D6588">
        <v>7</v>
      </c>
      <c r="E6588" t="s">
        <v>7</v>
      </c>
      <c r="F6588" t="s">
        <v>7</v>
      </c>
      <c r="G6588" t="s">
        <v>7</v>
      </c>
      <c r="H6588">
        <v>99715.68</v>
      </c>
      <c r="I6588">
        <v>57451.64</v>
      </c>
      <c r="J6588">
        <v>0</v>
      </c>
    </row>
    <row r="6589" spans="1:10" x14ac:dyDescent="0.35">
      <c r="A6589">
        <v>326061</v>
      </c>
      <c r="B6589" t="s">
        <v>20</v>
      </c>
      <c r="C6589">
        <v>2015</v>
      </c>
      <c r="D6589">
        <v>7</v>
      </c>
      <c r="E6589" t="s">
        <v>7</v>
      </c>
      <c r="F6589" t="s">
        <v>7</v>
      </c>
      <c r="G6589" t="s">
        <v>7</v>
      </c>
      <c r="H6589">
        <v>9331.4</v>
      </c>
      <c r="I6589">
        <v>2481.42</v>
      </c>
      <c r="J6589">
        <v>0</v>
      </c>
    </row>
    <row r="6590" spans="1:10" x14ac:dyDescent="0.35">
      <c r="A6590">
        <v>326062</v>
      </c>
      <c r="B6590" t="s">
        <v>20</v>
      </c>
      <c r="C6590">
        <v>2015</v>
      </c>
      <c r="D6590">
        <v>7</v>
      </c>
      <c r="E6590" t="s">
        <v>7</v>
      </c>
      <c r="F6590" t="s">
        <v>7</v>
      </c>
      <c r="G6590" t="s">
        <v>7</v>
      </c>
      <c r="H6590">
        <v>11969.08</v>
      </c>
      <c r="I6590">
        <v>3251.66</v>
      </c>
      <c r="J6590">
        <v>0</v>
      </c>
    </row>
    <row r="6591" spans="1:10" x14ac:dyDescent="0.35">
      <c r="A6591">
        <v>326063</v>
      </c>
      <c r="B6591" t="s">
        <v>20</v>
      </c>
      <c r="C6591">
        <v>2015</v>
      </c>
      <c r="D6591">
        <v>7</v>
      </c>
      <c r="E6591" t="s">
        <v>7</v>
      </c>
      <c r="F6591" t="s">
        <v>7</v>
      </c>
      <c r="G6591" t="s">
        <v>7</v>
      </c>
      <c r="H6591">
        <v>75296.460000000006</v>
      </c>
      <c r="I6591">
        <v>54709.38</v>
      </c>
      <c r="J6591">
        <v>0</v>
      </c>
    </row>
    <row r="6592" spans="1:10" x14ac:dyDescent="0.35">
      <c r="A6592">
        <v>326066</v>
      </c>
      <c r="B6592" t="s">
        <v>20</v>
      </c>
      <c r="C6592">
        <v>2015</v>
      </c>
      <c r="D6592">
        <v>7</v>
      </c>
      <c r="E6592" t="s">
        <v>7</v>
      </c>
      <c r="F6592" t="s">
        <v>7</v>
      </c>
      <c r="G6592" t="s">
        <v>7</v>
      </c>
      <c r="H6592">
        <v>28600</v>
      </c>
      <c r="I6592">
        <v>9121.76</v>
      </c>
      <c r="J6592">
        <v>0</v>
      </c>
    </row>
    <row r="6593" spans="1:10" x14ac:dyDescent="0.35">
      <c r="A6593">
        <v>326068</v>
      </c>
      <c r="B6593" t="s">
        <v>20</v>
      </c>
      <c r="C6593">
        <v>2015</v>
      </c>
      <c r="D6593">
        <v>7</v>
      </c>
      <c r="E6593" t="s">
        <v>7</v>
      </c>
      <c r="F6593" t="s">
        <v>7</v>
      </c>
      <c r="G6593" t="s">
        <v>7</v>
      </c>
      <c r="H6593">
        <v>32777.360000000001</v>
      </c>
      <c r="I6593">
        <v>10093.73</v>
      </c>
      <c r="J6593">
        <v>0</v>
      </c>
    </row>
    <row r="6594" spans="1:10" x14ac:dyDescent="0.35">
      <c r="A6594">
        <v>326069</v>
      </c>
      <c r="B6594" t="s">
        <v>20</v>
      </c>
      <c r="C6594">
        <v>2015</v>
      </c>
      <c r="D6594">
        <v>7</v>
      </c>
      <c r="E6594" t="s">
        <v>7</v>
      </c>
      <c r="F6594" t="s">
        <v>7</v>
      </c>
      <c r="G6594" t="s">
        <v>7</v>
      </c>
      <c r="H6594">
        <v>19969.12</v>
      </c>
      <c r="I6594">
        <v>5036.54</v>
      </c>
      <c r="J6594">
        <v>0</v>
      </c>
    </row>
    <row r="6595" spans="1:10" x14ac:dyDescent="0.35">
      <c r="A6595">
        <v>326070</v>
      </c>
      <c r="B6595" t="s">
        <v>20</v>
      </c>
      <c r="C6595">
        <v>2015</v>
      </c>
      <c r="D6595">
        <v>7</v>
      </c>
      <c r="E6595" t="s">
        <v>7</v>
      </c>
      <c r="F6595" t="s">
        <v>7</v>
      </c>
      <c r="G6595" t="s">
        <v>7</v>
      </c>
      <c r="H6595">
        <v>64945.84</v>
      </c>
      <c r="I6595">
        <v>56106.07</v>
      </c>
      <c r="J6595">
        <v>0</v>
      </c>
    </row>
    <row r="6596" spans="1:10" x14ac:dyDescent="0.35">
      <c r="A6596">
        <v>326071</v>
      </c>
      <c r="B6596" t="s">
        <v>20</v>
      </c>
      <c r="C6596">
        <v>2015</v>
      </c>
      <c r="D6596">
        <v>7</v>
      </c>
      <c r="E6596" t="s">
        <v>7</v>
      </c>
      <c r="F6596" t="s">
        <v>7</v>
      </c>
      <c r="G6596" t="s">
        <v>7</v>
      </c>
      <c r="H6596">
        <v>149418.84</v>
      </c>
      <c r="I6596">
        <v>65741.25</v>
      </c>
      <c r="J6596">
        <v>0</v>
      </c>
    </row>
    <row r="6597" spans="1:10" x14ac:dyDescent="0.35">
      <c r="A6597">
        <v>326072</v>
      </c>
      <c r="B6597" t="s">
        <v>20</v>
      </c>
      <c r="C6597">
        <v>2015</v>
      </c>
      <c r="D6597">
        <v>7</v>
      </c>
      <c r="E6597" t="s">
        <v>7</v>
      </c>
      <c r="F6597" t="s">
        <v>7</v>
      </c>
      <c r="G6597" t="s">
        <v>7</v>
      </c>
      <c r="H6597">
        <v>26580.46</v>
      </c>
      <c r="I6597">
        <v>9533.44</v>
      </c>
      <c r="J6597">
        <v>0</v>
      </c>
    </row>
    <row r="6598" spans="1:10" x14ac:dyDescent="0.35">
      <c r="A6598">
        <v>326074</v>
      </c>
      <c r="B6598" t="s">
        <v>20</v>
      </c>
      <c r="C6598">
        <v>2015</v>
      </c>
      <c r="D6598">
        <v>7</v>
      </c>
      <c r="E6598" t="s">
        <v>7</v>
      </c>
      <c r="F6598" t="s">
        <v>7</v>
      </c>
      <c r="G6598" t="s">
        <v>7</v>
      </c>
      <c r="H6598">
        <v>36184.1</v>
      </c>
      <c r="I6598">
        <v>10560.96</v>
      </c>
      <c r="J6598">
        <v>0</v>
      </c>
    </row>
    <row r="6599" spans="1:10" x14ac:dyDescent="0.35">
      <c r="A6599">
        <v>326079</v>
      </c>
      <c r="B6599" t="s">
        <v>20</v>
      </c>
      <c r="C6599">
        <v>2015</v>
      </c>
      <c r="D6599">
        <v>7</v>
      </c>
      <c r="E6599" t="s">
        <v>7</v>
      </c>
      <c r="F6599" t="s">
        <v>7</v>
      </c>
      <c r="G6599" t="s">
        <v>7</v>
      </c>
      <c r="H6599">
        <v>26046.880000000001</v>
      </c>
      <c r="I6599">
        <v>7694.29</v>
      </c>
      <c r="J6599">
        <v>0</v>
      </c>
    </row>
    <row r="6600" spans="1:10" x14ac:dyDescent="0.35">
      <c r="A6600">
        <v>326084</v>
      </c>
      <c r="B6600" t="s">
        <v>20</v>
      </c>
      <c r="C6600">
        <v>2015</v>
      </c>
      <c r="D6600">
        <v>7</v>
      </c>
      <c r="E6600" t="s">
        <v>7</v>
      </c>
      <c r="F6600" t="s">
        <v>7</v>
      </c>
      <c r="G6600" t="s">
        <v>7</v>
      </c>
      <c r="H6600">
        <v>10235.14</v>
      </c>
      <c r="I6600">
        <v>2766.73</v>
      </c>
      <c r="J6600">
        <v>0</v>
      </c>
    </row>
    <row r="6601" spans="1:10" x14ac:dyDescent="0.35">
      <c r="A6601">
        <v>326085</v>
      </c>
      <c r="B6601" t="s">
        <v>20</v>
      </c>
      <c r="C6601">
        <v>2015</v>
      </c>
      <c r="D6601">
        <v>7</v>
      </c>
      <c r="E6601" t="s">
        <v>7</v>
      </c>
      <c r="F6601" t="s">
        <v>7</v>
      </c>
      <c r="G6601" t="s">
        <v>7</v>
      </c>
      <c r="H6601">
        <v>18696.02</v>
      </c>
      <c r="I6601">
        <v>3742.7</v>
      </c>
      <c r="J6601">
        <v>0</v>
      </c>
    </row>
    <row r="6602" spans="1:10" x14ac:dyDescent="0.35">
      <c r="A6602">
        <v>326087</v>
      </c>
      <c r="B6602" t="s">
        <v>20</v>
      </c>
      <c r="C6602">
        <v>2015</v>
      </c>
      <c r="D6602">
        <v>7</v>
      </c>
      <c r="E6602" t="s">
        <v>7</v>
      </c>
      <c r="F6602" t="s">
        <v>7</v>
      </c>
      <c r="G6602" t="s">
        <v>7</v>
      </c>
      <c r="H6602">
        <v>80325.539999999994</v>
      </c>
      <c r="I6602">
        <v>28531.16</v>
      </c>
      <c r="J6602">
        <v>0</v>
      </c>
    </row>
    <row r="6603" spans="1:10" x14ac:dyDescent="0.35">
      <c r="A6603">
        <v>326088</v>
      </c>
      <c r="B6603" t="s">
        <v>20</v>
      </c>
      <c r="C6603">
        <v>2015</v>
      </c>
      <c r="D6603">
        <v>7</v>
      </c>
      <c r="E6603" t="s">
        <v>7</v>
      </c>
      <c r="F6603" t="s">
        <v>7</v>
      </c>
      <c r="G6603" t="s">
        <v>7</v>
      </c>
      <c r="H6603">
        <v>26279.3</v>
      </c>
      <c r="I6603">
        <v>8072.02</v>
      </c>
      <c r="J6603">
        <v>0</v>
      </c>
    </row>
    <row r="6604" spans="1:10" x14ac:dyDescent="0.35">
      <c r="A6604">
        <v>326089</v>
      </c>
      <c r="B6604" t="s">
        <v>20</v>
      </c>
      <c r="C6604">
        <v>2015</v>
      </c>
      <c r="D6604">
        <v>7</v>
      </c>
      <c r="E6604" t="s">
        <v>7</v>
      </c>
      <c r="F6604" t="s">
        <v>7</v>
      </c>
      <c r="G6604" t="s">
        <v>7</v>
      </c>
      <c r="H6604">
        <v>40820.879999999997</v>
      </c>
      <c r="I6604">
        <v>12146.12</v>
      </c>
      <c r="J6604">
        <v>0</v>
      </c>
    </row>
    <row r="6605" spans="1:10" x14ac:dyDescent="0.35">
      <c r="A6605">
        <v>326090</v>
      </c>
      <c r="B6605" t="s">
        <v>20</v>
      </c>
      <c r="C6605">
        <v>2015</v>
      </c>
      <c r="D6605">
        <v>7</v>
      </c>
      <c r="E6605" t="s">
        <v>7</v>
      </c>
      <c r="F6605" t="s">
        <v>7</v>
      </c>
      <c r="G6605" t="s">
        <v>7</v>
      </c>
      <c r="H6605">
        <v>52884.639999999999</v>
      </c>
      <c r="I6605">
        <v>15796.6</v>
      </c>
      <c r="J6605">
        <v>0</v>
      </c>
    </row>
    <row r="6606" spans="1:10" x14ac:dyDescent="0.35">
      <c r="A6606">
        <v>326092</v>
      </c>
      <c r="B6606" t="s">
        <v>20</v>
      </c>
      <c r="C6606">
        <v>2015</v>
      </c>
      <c r="D6606">
        <v>7</v>
      </c>
      <c r="E6606" t="s">
        <v>7</v>
      </c>
      <c r="F6606" t="s">
        <v>7</v>
      </c>
      <c r="G6606" t="s">
        <v>7</v>
      </c>
      <c r="H6606">
        <v>30216.26</v>
      </c>
      <c r="I6606">
        <v>9101.51</v>
      </c>
      <c r="J6606">
        <v>0</v>
      </c>
    </row>
    <row r="6607" spans="1:10" x14ac:dyDescent="0.35">
      <c r="A6607">
        <v>326094</v>
      </c>
      <c r="B6607" t="s">
        <v>20</v>
      </c>
      <c r="C6607">
        <v>2015</v>
      </c>
      <c r="D6607">
        <v>7</v>
      </c>
      <c r="E6607" t="s">
        <v>7</v>
      </c>
      <c r="F6607" t="s">
        <v>7</v>
      </c>
      <c r="G6607" t="s">
        <v>7</v>
      </c>
      <c r="H6607">
        <v>8179.6</v>
      </c>
      <c r="I6607">
        <v>2275.44</v>
      </c>
      <c r="J6607">
        <v>0</v>
      </c>
    </row>
    <row r="6608" spans="1:10" x14ac:dyDescent="0.35">
      <c r="A6608">
        <v>326095</v>
      </c>
      <c r="B6608" t="s">
        <v>20</v>
      </c>
      <c r="C6608">
        <v>2015</v>
      </c>
      <c r="D6608">
        <v>7</v>
      </c>
      <c r="E6608" t="s">
        <v>7</v>
      </c>
      <c r="F6608" t="s">
        <v>7</v>
      </c>
      <c r="G6608" t="s">
        <v>7</v>
      </c>
      <c r="H6608">
        <v>252052.2</v>
      </c>
      <c r="I6608">
        <v>232916.97</v>
      </c>
      <c r="J6608">
        <v>0</v>
      </c>
    </row>
    <row r="6609" spans="1:10" x14ac:dyDescent="0.35">
      <c r="A6609">
        <v>326096</v>
      </c>
      <c r="B6609" t="s">
        <v>20</v>
      </c>
      <c r="C6609">
        <v>2015</v>
      </c>
      <c r="D6609">
        <v>7</v>
      </c>
      <c r="E6609" t="s">
        <v>7</v>
      </c>
      <c r="F6609" t="s">
        <v>7</v>
      </c>
      <c r="G6609" t="s">
        <v>7</v>
      </c>
      <c r="H6609">
        <v>42852.38</v>
      </c>
      <c r="I6609">
        <v>13102.44</v>
      </c>
      <c r="J6609">
        <v>0</v>
      </c>
    </row>
    <row r="6610" spans="1:10" x14ac:dyDescent="0.35">
      <c r="A6610">
        <v>326097</v>
      </c>
      <c r="B6610" t="s">
        <v>20</v>
      </c>
      <c r="C6610">
        <v>2015</v>
      </c>
      <c r="D6610">
        <v>7</v>
      </c>
      <c r="E6610" t="s">
        <v>7</v>
      </c>
      <c r="F6610" t="s">
        <v>7</v>
      </c>
      <c r="G6610" t="s">
        <v>7</v>
      </c>
      <c r="H6610">
        <v>32465.919999999998</v>
      </c>
      <c r="I6610">
        <v>10151.68</v>
      </c>
      <c r="J6610">
        <v>0</v>
      </c>
    </row>
    <row r="6611" spans="1:10" x14ac:dyDescent="0.35">
      <c r="A6611">
        <v>326099</v>
      </c>
      <c r="B6611" t="s">
        <v>20</v>
      </c>
      <c r="C6611">
        <v>2015</v>
      </c>
      <c r="D6611">
        <v>7</v>
      </c>
      <c r="E6611" t="s">
        <v>7</v>
      </c>
      <c r="F6611" t="s">
        <v>7</v>
      </c>
      <c r="G6611" t="s">
        <v>7</v>
      </c>
      <c r="H6611">
        <v>62749.22</v>
      </c>
      <c r="I6611">
        <v>26846.31</v>
      </c>
      <c r="J6611">
        <v>0</v>
      </c>
    </row>
    <row r="6612" spans="1:10" x14ac:dyDescent="0.35">
      <c r="A6612">
        <v>326101</v>
      </c>
      <c r="B6612" t="s">
        <v>20</v>
      </c>
      <c r="C6612">
        <v>2015</v>
      </c>
      <c r="D6612">
        <v>7</v>
      </c>
      <c r="E6612" t="s">
        <v>7</v>
      </c>
      <c r="F6612" t="s">
        <v>7</v>
      </c>
      <c r="G6612" t="s">
        <v>7</v>
      </c>
      <c r="H6612">
        <v>34090.699999999997</v>
      </c>
      <c r="I6612">
        <v>9065.59</v>
      </c>
      <c r="J6612">
        <v>0</v>
      </c>
    </row>
    <row r="6613" spans="1:10" x14ac:dyDescent="0.35">
      <c r="A6613">
        <v>326102</v>
      </c>
      <c r="B6613" t="s">
        <v>20</v>
      </c>
      <c r="C6613">
        <v>2015</v>
      </c>
      <c r="D6613">
        <v>7</v>
      </c>
      <c r="E6613" t="s">
        <v>7</v>
      </c>
      <c r="F6613" t="s">
        <v>7</v>
      </c>
      <c r="G6613" t="s">
        <v>7</v>
      </c>
      <c r="H6613">
        <v>34169.120000000003</v>
      </c>
      <c r="I6613">
        <v>8773.6299999999992</v>
      </c>
      <c r="J6613">
        <v>0</v>
      </c>
    </row>
    <row r="6614" spans="1:10" x14ac:dyDescent="0.35">
      <c r="A6614">
        <v>326103</v>
      </c>
      <c r="B6614" t="s">
        <v>20</v>
      </c>
      <c r="C6614">
        <v>2015</v>
      </c>
      <c r="D6614">
        <v>7</v>
      </c>
      <c r="E6614" t="s">
        <v>7</v>
      </c>
      <c r="F6614" t="s">
        <v>7</v>
      </c>
      <c r="G6614" t="s">
        <v>7</v>
      </c>
      <c r="H6614">
        <v>28946.06</v>
      </c>
      <c r="I6614">
        <v>9029.7099999999991</v>
      </c>
      <c r="J6614">
        <v>0</v>
      </c>
    </row>
    <row r="6615" spans="1:10" x14ac:dyDescent="0.35">
      <c r="A6615">
        <v>326104</v>
      </c>
      <c r="B6615" t="s">
        <v>20</v>
      </c>
      <c r="C6615">
        <v>2015</v>
      </c>
      <c r="D6615">
        <v>7</v>
      </c>
      <c r="E6615" t="s">
        <v>7</v>
      </c>
      <c r="F6615" t="s">
        <v>7</v>
      </c>
      <c r="G6615" t="s">
        <v>7</v>
      </c>
      <c r="H6615">
        <v>26726.32</v>
      </c>
      <c r="I6615">
        <v>7076.89</v>
      </c>
      <c r="J6615">
        <v>0</v>
      </c>
    </row>
    <row r="6616" spans="1:10" x14ac:dyDescent="0.35">
      <c r="A6616">
        <v>326105</v>
      </c>
      <c r="B6616" t="s">
        <v>20</v>
      </c>
      <c r="C6616">
        <v>2015</v>
      </c>
      <c r="D6616">
        <v>7</v>
      </c>
      <c r="E6616" t="s">
        <v>7</v>
      </c>
      <c r="F6616" t="s">
        <v>7</v>
      </c>
      <c r="G6616" t="s">
        <v>7</v>
      </c>
      <c r="H6616">
        <v>21395.18</v>
      </c>
      <c r="I6616">
        <v>3115.32</v>
      </c>
      <c r="J6616">
        <v>0</v>
      </c>
    </row>
    <row r="6617" spans="1:10" x14ac:dyDescent="0.35">
      <c r="A6617">
        <v>326106</v>
      </c>
      <c r="B6617" t="s">
        <v>20</v>
      </c>
      <c r="C6617">
        <v>2015</v>
      </c>
      <c r="D6617">
        <v>7</v>
      </c>
      <c r="E6617" t="s">
        <v>7</v>
      </c>
      <c r="F6617" t="s">
        <v>7</v>
      </c>
      <c r="G6617" t="s">
        <v>7</v>
      </c>
      <c r="H6617">
        <v>76933.279999999999</v>
      </c>
      <c r="I6617">
        <v>32742.79</v>
      </c>
      <c r="J6617">
        <v>0</v>
      </c>
    </row>
    <row r="6618" spans="1:10" x14ac:dyDescent="0.35">
      <c r="A6618">
        <v>326108</v>
      </c>
      <c r="B6618" t="s">
        <v>20</v>
      </c>
      <c r="C6618">
        <v>2015</v>
      </c>
      <c r="D6618">
        <v>7</v>
      </c>
      <c r="E6618" t="s">
        <v>7</v>
      </c>
      <c r="F6618" t="s">
        <v>7</v>
      </c>
      <c r="G6618" t="s">
        <v>7</v>
      </c>
      <c r="H6618">
        <v>43135.22</v>
      </c>
      <c r="I6618">
        <v>12023.31</v>
      </c>
      <c r="J6618">
        <v>0</v>
      </c>
    </row>
    <row r="6619" spans="1:10" x14ac:dyDescent="0.35">
      <c r="A6619">
        <v>326109</v>
      </c>
      <c r="B6619" t="s">
        <v>20</v>
      </c>
      <c r="C6619">
        <v>2015</v>
      </c>
      <c r="D6619">
        <v>7</v>
      </c>
      <c r="E6619" t="s">
        <v>7</v>
      </c>
      <c r="F6619" t="s">
        <v>7</v>
      </c>
      <c r="G6619" t="s">
        <v>7</v>
      </c>
      <c r="H6619">
        <v>24299.7</v>
      </c>
      <c r="I6619">
        <v>6744.41</v>
      </c>
      <c r="J6619">
        <v>0</v>
      </c>
    </row>
    <row r="6620" spans="1:10" x14ac:dyDescent="0.35">
      <c r="A6620">
        <v>326110</v>
      </c>
      <c r="B6620" t="s">
        <v>20</v>
      </c>
      <c r="C6620">
        <v>2015</v>
      </c>
      <c r="D6620">
        <v>7</v>
      </c>
      <c r="E6620" t="s">
        <v>7</v>
      </c>
      <c r="F6620" t="s">
        <v>7</v>
      </c>
      <c r="G6620" t="s">
        <v>7</v>
      </c>
      <c r="H6620">
        <v>33564.14</v>
      </c>
      <c r="I6620">
        <v>10221.56</v>
      </c>
      <c r="J6620">
        <v>0</v>
      </c>
    </row>
    <row r="6621" spans="1:10" x14ac:dyDescent="0.35">
      <c r="A6621">
        <v>326113</v>
      </c>
      <c r="B6621" t="s">
        <v>20</v>
      </c>
      <c r="C6621">
        <v>2015</v>
      </c>
      <c r="D6621">
        <v>7</v>
      </c>
      <c r="E6621" t="s">
        <v>7</v>
      </c>
      <c r="F6621" t="s">
        <v>7</v>
      </c>
      <c r="G6621" t="s">
        <v>7</v>
      </c>
      <c r="H6621">
        <v>29287.64</v>
      </c>
      <c r="I6621">
        <v>8786.4500000000007</v>
      </c>
      <c r="J6621">
        <v>0</v>
      </c>
    </row>
    <row r="6622" spans="1:10" x14ac:dyDescent="0.35">
      <c r="A6622">
        <v>326117</v>
      </c>
      <c r="B6622" t="s">
        <v>20</v>
      </c>
      <c r="C6622">
        <v>2015</v>
      </c>
      <c r="D6622">
        <v>7</v>
      </c>
      <c r="E6622" t="s">
        <v>7</v>
      </c>
      <c r="F6622" t="s">
        <v>7</v>
      </c>
      <c r="G6622" t="s">
        <v>7</v>
      </c>
      <c r="H6622">
        <v>30667.1</v>
      </c>
      <c r="I6622">
        <v>9133.9699999999993</v>
      </c>
      <c r="J6622">
        <v>0</v>
      </c>
    </row>
    <row r="6623" spans="1:10" x14ac:dyDescent="0.35">
      <c r="A6623">
        <v>326118</v>
      </c>
      <c r="B6623" t="s">
        <v>20</v>
      </c>
      <c r="C6623">
        <v>2015</v>
      </c>
      <c r="D6623">
        <v>7</v>
      </c>
      <c r="E6623" t="s">
        <v>7</v>
      </c>
      <c r="F6623" t="s">
        <v>7</v>
      </c>
      <c r="G6623" t="s">
        <v>7</v>
      </c>
      <c r="H6623">
        <v>11065.28</v>
      </c>
      <c r="I6623">
        <v>2524.4699999999998</v>
      </c>
      <c r="J6623">
        <v>0</v>
      </c>
    </row>
    <row r="6624" spans="1:10" x14ac:dyDescent="0.35">
      <c r="A6624">
        <v>326119</v>
      </c>
      <c r="B6624" t="s">
        <v>20</v>
      </c>
      <c r="C6624">
        <v>2015</v>
      </c>
      <c r="D6624">
        <v>7</v>
      </c>
      <c r="E6624" t="s">
        <v>7</v>
      </c>
      <c r="F6624" t="s">
        <v>7</v>
      </c>
      <c r="G6624" t="s">
        <v>7</v>
      </c>
      <c r="H6624">
        <v>50573.98</v>
      </c>
      <c r="I6624">
        <v>13781.52</v>
      </c>
      <c r="J6624">
        <v>0</v>
      </c>
    </row>
    <row r="6625" spans="1:10" x14ac:dyDescent="0.35">
      <c r="A6625">
        <v>326120</v>
      </c>
      <c r="B6625" t="s">
        <v>20</v>
      </c>
      <c r="C6625">
        <v>2015</v>
      </c>
      <c r="D6625">
        <v>7</v>
      </c>
      <c r="E6625" t="s">
        <v>7</v>
      </c>
      <c r="F6625" t="s">
        <v>7</v>
      </c>
      <c r="G6625" t="s">
        <v>7</v>
      </c>
      <c r="H6625">
        <v>24631.1</v>
      </c>
      <c r="I6625">
        <v>12391.56</v>
      </c>
      <c r="J6625">
        <v>0</v>
      </c>
    </row>
    <row r="6626" spans="1:10" x14ac:dyDescent="0.35">
      <c r="A6626">
        <v>326122</v>
      </c>
      <c r="B6626" t="s">
        <v>20</v>
      </c>
      <c r="C6626">
        <v>2015</v>
      </c>
      <c r="D6626">
        <v>7</v>
      </c>
      <c r="E6626" t="s">
        <v>7</v>
      </c>
      <c r="F6626" t="s">
        <v>7</v>
      </c>
      <c r="G6626" t="s">
        <v>7</v>
      </c>
      <c r="H6626">
        <v>67558.42</v>
      </c>
      <c r="I6626">
        <v>20742.09</v>
      </c>
      <c r="J6626">
        <v>0</v>
      </c>
    </row>
    <row r="6627" spans="1:10" x14ac:dyDescent="0.35">
      <c r="A6627">
        <v>326123</v>
      </c>
      <c r="B6627" t="s">
        <v>20</v>
      </c>
      <c r="C6627">
        <v>2015</v>
      </c>
      <c r="D6627">
        <v>7</v>
      </c>
      <c r="E6627" t="s">
        <v>7</v>
      </c>
      <c r="F6627" t="s">
        <v>7</v>
      </c>
      <c r="G6627" t="s">
        <v>7</v>
      </c>
      <c r="H6627">
        <v>77590.039999999994</v>
      </c>
      <c r="I6627">
        <v>26298.45</v>
      </c>
      <c r="J6627">
        <v>0</v>
      </c>
    </row>
    <row r="6628" spans="1:10" x14ac:dyDescent="0.35">
      <c r="A6628">
        <v>326125</v>
      </c>
      <c r="B6628" t="s">
        <v>20</v>
      </c>
      <c r="C6628">
        <v>2015</v>
      </c>
      <c r="D6628">
        <v>7</v>
      </c>
      <c r="E6628" t="s">
        <v>7</v>
      </c>
      <c r="F6628" t="s">
        <v>7</v>
      </c>
      <c r="G6628" t="s">
        <v>7</v>
      </c>
      <c r="H6628">
        <v>30557.58</v>
      </c>
      <c r="I6628">
        <v>7855.63</v>
      </c>
      <c r="J6628">
        <v>0</v>
      </c>
    </row>
    <row r="6629" spans="1:10" x14ac:dyDescent="0.35">
      <c r="A6629">
        <v>326126</v>
      </c>
      <c r="B6629" t="s">
        <v>20</v>
      </c>
      <c r="C6629">
        <v>2015</v>
      </c>
      <c r="D6629">
        <v>7</v>
      </c>
      <c r="E6629" t="s">
        <v>7</v>
      </c>
      <c r="F6629" t="s">
        <v>7</v>
      </c>
      <c r="G6629" t="s">
        <v>7</v>
      </c>
      <c r="H6629">
        <v>36526.300000000003</v>
      </c>
      <c r="I6629">
        <v>10730.8</v>
      </c>
      <c r="J6629">
        <v>0</v>
      </c>
    </row>
    <row r="6630" spans="1:10" x14ac:dyDescent="0.35">
      <c r="A6630">
        <v>326128</v>
      </c>
      <c r="B6630" t="s">
        <v>20</v>
      </c>
      <c r="C6630">
        <v>2015</v>
      </c>
      <c r="D6630">
        <v>7</v>
      </c>
      <c r="E6630" t="s">
        <v>7</v>
      </c>
      <c r="F6630" t="s">
        <v>7</v>
      </c>
      <c r="G6630" t="s">
        <v>7</v>
      </c>
      <c r="H6630">
        <v>11803.76</v>
      </c>
      <c r="I6630">
        <v>2694.2</v>
      </c>
      <c r="J6630">
        <v>0</v>
      </c>
    </row>
    <row r="6631" spans="1:10" x14ac:dyDescent="0.35">
      <c r="A6631">
        <v>326130</v>
      </c>
      <c r="B6631" t="s">
        <v>20</v>
      </c>
      <c r="C6631">
        <v>2015</v>
      </c>
      <c r="D6631">
        <v>7</v>
      </c>
      <c r="E6631" t="s">
        <v>7</v>
      </c>
      <c r="F6631" t="s">
        <v>7</v>
      </c>
      <c r="G6631" t="s">
        <v>7</v>
      </c>
      <c r="H6631">
        <v>17812.599999999999</v>
      </c>
      <c r="I6631">
        <v>4328.7700000000004</v>
      </c>
      <c r="J6631">
        <v>0</v>
      </c>
    </row>
    <row r="6632" spans="1:10" x14ac:dyDescent="0.35">
      <c r="A6632">
        <v>326131</v>
      </c>
      <c r="B6632" t="s">
        <v>20</v>
      </c>
      <c r="C6632">
        <v>2015</v>
      </c>
      <c r="D6632">
        <v>7</v>
      </c>
      <c r="E6632" t="s">
        <v>7</v>
      </c>
      <c r="F6632" t="s">
        <v>7</v>
      </c>
      <c r="G6632" t="s">
        <v>7</v>
      </c>
      <c r="H6632">
        <v>38311.339999999997</v>
      </c>
      <c r="I6632">
        <v>10474.290000000001</v>
      </c>
      <c r="J6632">
        <v>0</v>
      </c>
    </row>
    <row r="6633" spans="1:10" x14ac:dyDescent="0.35">
      <c r="A6633">
        <v>326132</v>
      </c>
      <c r="B6633" t="s">
        <v>20</v>
      </c>
      <c r="C6633">
        <v>2015</v>
      </c>
      <c r="D6633">
        <v>7</v>
      </c>
      <c r="E6633" t="s">
        <v>7</v>
      </c>
      <c r="F6633" t="s">
        <v>7</v>
      </c>
      <c r="G6633" t="s">
        <v>7</v>
      </c>
      <c r="H6633">
        <v>29859.48</v>
      </c>
      <c r="I6633">
        <v>8839.2900000000009</v>
      </c>
      <c r="J6633">
        <v>0</v>
      </c>
    </row>
    <row r="6634" spans="1:10" x14ac:dyDescent="0.35">
      <c r="A6634">
        <v>326133</v>
      </c>
      <c r="B6634" t="s">
        <v>20</v>
      </c>
      <c r="C6634">
        <v>2015</v>
      </c>
      <c r="D6634">
        <v>7</v>
      </c>
      <c r="E6634" t="s">
        <v>7</v>
      </c>
      <c r="F6634" t="s">
        <v>7</v>
      </c>
      <c r="G6634" t="s">
        <v>7</v>
      </c>
      <c r="H6634">
        <v>19999.62</v>
      </c>
      <c r="I6634">
        <v>3055.72</v>
      </c>
      <c r="J6634">
        <v>0</v>
      </c>
    </row>
    <row r="6635" spans="1:10" x14ac:dyDescent="0.35">
      <c r="A6635">
        <v>326134</v>
      </c>
      <c r="B6635" t="s">
        <v>20</v>
      </c>
      <c r="C6635">
        <v>2015</v>
      </c>
      <c r="D6635">
        <v>7</v>
      </c>
      <c r="E6635" t="s">
        <v>7</v>
      </c>
      <c r="F6635" t="s">
        <v>7</v>
      </c>
      <c r="G6635" t="s">
        <v>7</v>
      </c>
      <c r="H6635">
        <v>11361.66</v>
      </c>
      <c r="I6635">
        <v>2556.2399999999998</v>
      </c>
      <c r="J6635">
        <v>0</v>
      </c>
    </row>
    <row r="6636" spans="1:10" x14ac:dyDescent="0.35">
      <c r="A6636">
        <v>326135</v>
      </c>
      <c r="B6636" t="s">
        <v>20</v>
      </c>
      <c r="C6636">
        <v>2015</v>
      </c>
      <c r="D6636">
        <v>7</v>
      </c>
      <c r="E6636" t="s">
        <v>7</v>
      </c>
      <c r="F6636" t="s">
        <v>7</v>
      </c>
      <c r="G6636" t="s">
        <v>7</v>
      </c>
      <c r="H6636">
        <v>28512.46</v>
      </c>
      <c r="I6636">
        <v>8946.91</v>
      </c>
      <c r="J6636">
        <v>0</v>
      </c>
    </row>
    <row r="6637" spans="1:10" x14ac:dyDescent="0.35">
      <c r="A6637">
        <v>326138</v>
      </c>
      <c r="B6637" t="s">
        <v>20</v>
      </c>
      <c r="C6637">
        <v>2015</v>
      </c>
      <c r="D6637">
        <v>7</v>
      </c>
      <c r="E6637" t="s">
        <v>7</v>
      </c>
      <c r="F6637" t="s">
        <v>7</v>
      </c>
      <c r="G6637" t="s">
        <v>7</v>
      </c>
      <c r="H6637">
        <v>37489.519999999997</v>
      </c>
      <c r="I6637">
        <v>11374.19</v>
      </c>
      <c r="J6637">
        <v>0</v>
      </c>
    </row>
    <row r="6638" spans="1:10" x14ac:dyDescent="0.35">
      <c r="A6638">
        <v>326139</v>
      </c>
      <c r="B6638" t="s">
        <v>20</v>
      </c>
      <c r="C6638">
        <v>2015</v>
      </c>
      <c r="D6638">
        <v>7</v>
      </c>
      <c r="E6638" t="s">
        <v>7</v>
      </c>
      <c r="F6638" t="s">
        <v>7</v>
      </c>
      <c r="G6638" t="s">
        <v>7</v>
      </c>
      <c r="H6638">
        <v>25080.799999999999</v>
      </c>
      <c r="I6638">
        <v>7197.43</v>
      </c>
      <c r="J6638">
        <v>0</v>
      </c>
    </row>
    <row r="6639" spans="1:10" x14ac:dyDescent="0.35">
      <c r="A6639">
        <v>326140</v>
      </c>
      <c r="B6639" t="s">
        <v>20</v>
      </c>
      <c r="C6639">
        <v>2015</v>
      </c>
      <c r="D6639">
        <v>7</v>
      </c>
      <c r="E6639" t="s">
        <v>7</v>
      </c>
      <c r="F6639" t="s">
        <v>7</v>
      </c>
      <c r="G6639" t="s">
        <v>7</v>
      </c>
      <c r="H6639">
        <v>62531.68</v>
      </c>
      <c r="I6639">
        <v>19215.669999999998</v>
      </c>
      <c r="J6639">
        <v>0</v>
      </c>
    </row>
    <row r="6640" spans="1:10" x14ac:dyDescent="0.35">
      <c r="A6640">
        <v>326141</v>
      </c>
      <c r="B6640" t="s">
        <v>20</v>
      </c>
      <c r="C6640">
        <v>2015</v>
      </c>
      <c r="D6640">
        <v>7</v>
      </c>
      <c r="E6640" t="s">
        <v>7</v>
      </c>
      <c r="F6640" t="s">
        <v>7</v>
      </c>
      <c r="G6640" t="s">
        <v>7</v>
      </c>
      <c r="H6640">
        <v>10990.32</v>
      </c>
      <c r="I6640">
        <v>3005.95</v>
      </c>
      <c r="J6640">
        <v>0</v>
      </c>
    </row>
    <row r="6641" spans="1:10" x14ac:dyDescent="0.35">
      <c r="A6641">
        <v>326144</v>
      </c>
      <c r="B6641" t="s">
        <v>20</v>
      </c>
      <c r="C6641">
        <v>2015</v>
      </c>
      <c r="D6641">
        <v>7</v>
      </c>
      <c r="E6641" t="s">
        <v>7</v>
      </c>
      <c r="F6641" t="s">
        <v>7</v>
      </c>
      <c r="G6641" t="s">
        <v>7</v>
      </c>
      <c r="H6641">
        <v>24978.68</v>
      </c>
      <c r="I6641">
        <v>7491.2</v>
      </c>
      <c r="J6641">
        <v>0</v>
      </c>
    </row>
    <row r="6642" spans="1:10" x14ac:dyDescent="0.35">
      <c r="A6642">
        <v>326145</v>
      </c>
      <c r="B6642" t="s">
        <v>20</v>
      </c>
      <c r="C6642">
        <v>2015</v>
      </c>
      <c r="D6642">
        <v>7</v>
      </c>
      <c r="E6642" t="s">
        <v>7</v>
      </c>
      <c r="F6642" t="s">
        <v>7</v>
      </c>
      <c r="G6642" t="s">
        <v>7</v>
      </c>
      <c r="H6642">
        <v>16402.02</v>
      </c>
      <c r="I6642">
        <v>3195.35</v>
      </c>
      <c r="J6642">
        <v>0</v>
      </c>
    </row>
    <row r="6643" spans="1:10" x14ac:dyDescent="0.35">
      <c r="A6643">
        <v>326146</v>
      </c>
      <c r="B6643" t="s">
        <v>20</v>
      </c>
      <c r="C6643">
        <v>2015</v>
      </c>
      <c r="D6643">
        <v>7</v>
      </c>
      <c r="E6643" t="s">
        <v>7</v>
      </c>
      <c r="F6643" t="s">
        <v>7</v>
      </c>
      <c r="G6643" t="s">
        <v>7</v>
      </c>
      <c r="H6643">
        <v>26652.34</v>
      </c>
      <c r="I6643">
        <v>7356.03</v>
      </c>
      <c r="J6643">
        <v>0</v>
      </c>
    </row>
    <row r="6644" spans="1:10" x14ac:dyDescent="0.35">
      <c r="A6644">
        <v>326147</v>
      </c>
      <c r="B6644" t="s">
        <v>20</v>
      </c>
      <c r="C6644">
        <v>2015</v>
      </c>
      <c r="D6644">
        <v>7</v>
      </c>
      <c r="E6644" t="s">
        <v>7</v>
      </c>
      <c r="F6644" t="s">
        <v>7</v>
      </c>
      <c r="G6644" t="s">
        <v>7</v>
      </c>
      <c r="H6644">
        <v>19629.98</v>
      </c>
      <c r="I6644">
        <v>5533.4</v>
      </c>
      <c r="J6644">
        <v>0</v>
      </c>
    </row>
    <row r="6645" spans="1:10" x14ac:dyDescent="0.35">
      <c r="A6645">
        <v>326148</v>
      </c>
      <c r="B6645" t="s">
        <v>20</v>
      </c>
      <c r="C6645">
        <v>2015</v>
      </c>
      <c r="D6645">
        <v>7</v>
      </c>
      <c r="E6645" t="s">
        <v>7</v>
      </c>
      <c r="F6645" t="s">
        <v>7</v>
      </c>
      <c r="G6645" t="s">
        <v>7</v>
      </c>
      <c r="H6645">
        <v>10808.34</v>
      </c>
      <c r="I6645">
        <v>2498.98</v>
      </c>
      <c r="J6645">
        <v>0</v>
      </c>
    </row>
    <row r="6646" spans="1:10" x14ac:dyDescent="0.35">
      <c r="A6646">
        <v>326150</v>
      </c>
      <c r="B6646" t="s">
        <v>20</v>
      </c>
      <c r="C6646">
        <v>2015</v>
      </c>
      <c r="D6646">
        <v>7</v>
      </c>
      <c r="E6646" t="s">
        <v>7</v>
      </c>
      <c r="F6646" t="s">
        <v>7</v>
      </c>
      <c r="G6646" t="s">
        <v>7</v>
      </c>
      <c r="H6646">
        <v>142656.35</v>
      </c>
      <c r="I6646">
        <v>68956.03</v>
      </c>
      <c r="J6646">
        <v>0</v>
      </c>
    </row>
    <row r="6647" spans="1:10" x14ac:dyDescent="0.35">
      <c r="A6647">
        <v>326151</v>
      </c>
      <c r="B6647" t="s">
        <v>20</v>
      </c>
      <c r="C6647">
        <v>2015</v>
      </c>
      <c r="D6647">
        <v>7</v>
      </c>
      <c r="E6647" t="s">
        <v>7</v>
      </c>
      <c r="F6647" t="s">
        <v>7</v>
      </c>
      <c r="G6647" t="s">
        <v>7</v>
      </c>
      <c r="H6647">
        <v>26896.1</v>
      </c>
      <c r="I6647">
        <v>7571.99</v>
      </c>
      <c r="J6647">
        <v>0</v>
      </c>
    </row>
    <row r="6648" spans="1:10" x14ac:dyDescent="0.35">
      <c r="A6648">
        <v>326153</v>
      </c>
      <c r="B6648" t="s">
        <v>20</v>
      </c>
      <c r="C6648">
        <v>2015</v>
      </c>
      <c r="D6648">
        <v>7</v>
      </c>
      <c r="E6648" t="s">
        <v>7</v>
      </c>
      <c r="F6648" t="s">
        <v>7</v>
      </c>
      <c r="G6648" t="s">
        <v>7</v>
      </c>
      <c r="H6648">
        <v>24524.5</v>
      </c>
      <c r="I6648">
        <v>7336.01</v>
      </c>
      <c r="J6648">
        <v>0</v>
      </c>
    </row>
    <row r="6649" spans="1:10" x14ac:dyDescent="0.35">
      <c r="A6649">
        <v>326154</v>
      </c>
      <c r="B6649" t="s">
        <v>20</v>
      </c>
      <c r="C6649">
        <v>2015</v>
      </c>
      <c r="D6649">
        <v>7</v>
      </c>
      <c r="E6649" t="s">
        <v>7</v>
      </c>
      <c r="F6649" t="s">
        <v>7</v>
      </c>
      <c r="G6649" t="s">
        <v>7</v>
      </c>
      <c r="H6649">
        <v>24992.54</v>
      </c>
      <c r="I6649">
        <v>7944.24</v>
      </c>
      <c r="J6649">
        <v>0</v>
      </c>
    </row>
    <row r="6650" spans="1:10" x14ac:dyDescent="0.35">
      <c r="A6650">
        <v>326155</v>
      </c>
      <c r="B6650" t="s">
        <v>20</v>
      </c>
      <c r="C6650">
        <v>2015</v>
      </c>
      <c r="D6650">
        <v>7</v>
      </c>
      <c r="E6650" t="s">
        <v>7</v>
      </c>
      <c r="F6650" t="s">
        <v>7</v>
      </c>
      <c r="G6650" t="s">
        <v>7</v>
      </c>
      <c r="H6650">
        <v>15398.88</v>
      </c>
      <c r="I6650">
        <v>4376.22</v>
      </c>
      <c r="J6650">
        <v>0</v>
      </c>
    </row>
    <row r="6651" spans="1:10" x14ac:dyDescent="0.35">
      <c r="A6651">
        <v>326157</v>
      </c>
      <c r="B6651" t="s">
        <v>20</v>
      </c>
      <c r="C6651">
        <v>2015</v>
      </c>
      <c r="D6651">
        <v>7</v>
      </c>
      <c r="E6651" t="s">
        <v>7</v>
      </c>
      <c r="F6651" t="s">
        <v>7</v>
      </c>
      <c r="G6651" t="s">
        <v>7</v>
      </c>
      <c r="H6651">
        <v>48473.24</v>
      </c>
      <c r="I6651">
        <v>15478.2</v>
      </c>
      <c r="J6651">
        <v>0</v>
      </c>
    </row>
    <row r="6652" spans="1:10" x14ac:dyDescent="0.35">
      <c r="A6652">
        <v>326159</v>
      </c>
      <c r="B6652" t="s">
        <v>20</v>
      </c>
      <c r="C6652">
        <v>2015</v>
      </c>
      <c r="D6652">
        <v>7</v>
      </c>
      <c r="E6652" t="s">
        <v>7</v>
      </c>
      <c r="F6652" t="s">
        <v>7</v>
      </c>
      <c r="G6652" t="s">
        <v>7</v>
      </c>
      <c r="H6652">
        <v>50687.519999999997</v>
      </c>
      <c r="I6652">
        <v>34945.760000000002</v>
      </c>
      <c r="J6652">
        <v>0</v>
      </c>
    </row>
    <row r="6653" spans="1:10" x14ac:dyDescent="0.35">
      <c r="A6653">
        <v>326160</v>
      </c>
      <c r="B6653" t="s">
        <v>20</v>
      </c>
      <c r="C6653">
        <v>2015</v>
      </c>
      <c r="D6653">
        <v>7</v>
      </c>
      <c r="E6653" t="s">
        <v>7</v>
      </c>
      <c r="F6653" t="s">
        <v>7</v>
      </c>
      <c r="G6653" t="s">
        <v>7</v>
      </c>
      <c r="H6653">
        <v>30147.17</v>
      </c>
      <c r="I6653">
        <v>11633.4</v>
      </c>
      <c r="J6653">
        <v>0</v>
      </c>
    </row>
    <row r="6654" spans="1:10" x14ac:dyDescent="0.35">
      <c r="A6654">
        <v>326161</v>
      </c>
      <c r="B6654" t="s">
        <v>20</v>
      </c>
      <c r="C6654">
        <v>2015</v>
      </c>
      <c r="D6654">
        <v>7</v>
      </c>
      <c r="E6654" t="s">
        <v>7</v>
      </c>
      <c r="F6654" t="s">
        <v>7</v>
      </c>
      <c r="G6654" t="s">
        <v>7</v>
      </c>
      <c r="H6654">
        <v>127303.28</v>
      </c>
      <c r="I6654">
        <v>42467.6</v>
      </c>
      <c r="J6654">
        <v>0</v>
      </c>
    </row>
    <row r="6655" spans="1:10" x14ac:dyDescent="0.35">
      <c r="A6655">
        <v>326166</v>
      </c>
      <c r="B6655" t="s">
        <v>20</v>
      </c>
      <c r="C6655">
        <v>2015</v>
      </c>
      <c r="D6655">
        <v>7</v>
      </c>
      <c r="E6655" t="s">
        <v>7</v>
      </c>
      <c r="F6655" t="s">
        <v>7</v>
      </c>
      <c r="G6655" t="s">
        <v>7</v>
      </c>
      <c r="H6655">
        <v>74936.960000000006</v>
      </c>
      <c r="I6655">
        <v>35469.49</v>
      </c>
      <c r="J6655">
        <v>0</v>
      </c>
    </row>
    <row r="6656" spans="1:10" x14ac:dyDescent="0.35">
      <c r="A6656">
        <v>326167</v>
      </c>
      <c r="B6656" t="s">
        <v>20</v>
      </c>
      <c r="C6656">
        <v>2015</v>
      </c>
      <c r="D6656">
        <v>7</v>
      </c>
      <c r="E6656" t="s">
        <v>7</v>
      </c>
      <c r="F6656" t="s">
        <v>7</v>
      </c>
      <c r="G6656" t="s">
        <v>7</v>
      </c>
      <c r="H6656">
        <v>21577.02</v>
      </c>
      <c r="I6656">
        <v>4886.3</v>
      </c>
      <c r="J6656">
        <v>0</v>
      </c>
    </row>
    <row r="6657" spans="1:10" x14ac:dyDescent="0.35">
      <c r="A6657">
        <v>326168</v>
      </c>
      <c r="B6657" t="s">
        <v>20</v>
      </c>
      <c r="C6657">
        <v>2015</v>
      </c>
      <c r="D6657">
        <v>7</v>
      </c>
      <c r="E6657" t="s">
        <v>7</v>
      </c>
      <c r="F6657" t="s">
        <v>7</v>
      </c>
      <c r="G6657" t="s">
        <v>7</v>
      </c>
      <c r="H6657">
        <v>19837.740000000002</v>
      </c>
      <c r="I6657">
        <v>5708.86</v>
      </c>
      <c r="J6657">
        <v>0</v>
      </c>
    </row>
    <row r="6658" spans="1:10" x14ac:dyDescent="0.35">
      <c r="A6658">
        <v>326169</v>
      </c>
      <c r="B6658" t="s">
        <v>20</v>
      </c>
      <c r="C6658">
        <v>2015</v>
      </c>
      <c r="D6658">
        <v>7</v>
      </c>
      <c r="E6658" t="s">
        <v>7</v>
      </c>
      <c r="F6658" t="s">
        <v>7</v>
      </c>
      <c r="G6658" t="s">
        <v>7</v>
      </c>
      <c r="H6658">
        <v>18519.259999999998</v>
      </c>
      <c r="I6658">
        <v>5736.97</v>
      </c>
      <c r="J6658">
        <v>0</v>
      </c>
    </row>
    <row r="6659" spans="1:10" x14ac:dyDescent="0.35">
      <c r="A6659">
        <v>326170</v>
      </c>
      <c r="B6659" t="s">
        <v>20</v>
      </c>
      <c r="C6659">
        <v>2015</v>
      </c>
      <c r="D6659">
        <v>7</v>
      </c>
      <c r="E6659" t="s">
        <v>7</v>
      </c>
      <c r="F6659" t="s">
        <v>7</v>
      </c>
      <c r="G6659" t="s">
        <v>7</v>
      </c>
      <c r="H6659">
        <v>23724.18</v>
      </c>
      <c r="I6659">
        <v>7391.84</v>
      </c>
      <c r="J6659">
        <v>0</v>
      </c>
    </row>
    <row r="6660" spans="1:10" x14ac:dyDescent="0.35">
      <c r="A6660">
        <v>326172</v>
      </c>
      <c r="B6660" t="s">
        <v>20</v>
      </c>
      <c r="C6660">
        <v>2015</v>
      </c>
      <c r="D6660">
        <v>7</v>
      </c>
      <c r="E6660" t="s">
        <v>7</v>
      </c>
      <c r="F6660" t="s">
        <v>7</v>
      </c>
      <c r="G6660" t="s">
        <v>7</v>
      </c>
      <c r="H6660">
        <v>16807.560000000001</v>
      </c>
      <c r="I6660">
        <v>4748.41</v>
      </c>
      <c r="J6660">
        <v>0</v>
      </c>
    </row>
    <row r="6661" spans="1:10" x14ac:dyDescent="0.35">
      <c r="A6661">
        <v>326174</v>
      </c>
      <c r="B6661" t="s">
        <v>20</v>
      </c>
      <c r="C6661">
        <v>2015</v>
      </c>
      <c r="D6661">
        <v>7</v>
      </c>
      <c r="E6661" t="s">
        <v>7</v>
      </c>
      <c r="F6661" t="s">
        <v>7</v>
      </c>
      <c r="G6661" t="s">
        <v>7</v>
      </c>
      <c r="H6661">
        <v>9681.7000000000007</v>
      </c>
      <c r="I6661">
        <v>2725.23</v>
      </c>
      <c r="J6661">
        <v>0</v>
      </c>
    </row>
    <row r="6662" spans="1:10" x14ac:dyDescent="0.35">
      <c r="A6662">
        <v>326175</v>
      </c>
      <c r="B6662" t="s">
        <v>20</v>
      </c>
      <c r="C6662">
        <v>2015</v>
      </c>
      <c r="D6662">
        <v>7</v>
      </c>
      <c r="E6662" t="s">
        <v>7</v>
      </c>
      <c r="F6662" t="s">
        <v>7</v>
      </c>
      <c r="G6662" t="s">
        <v>7</v>
      </c>
      <c r="H6662">
        <v>35943.980000000003</v>
      </c>
      <c r="I6662">
        <v>7315.44</v>
      </c>
      <c r="J6662">
        <v>0</v>
      </c>
    </row>
    <row r="6663" spans="1:10" x14ac:dyDescent="0.35">
      <c r="A6663">
        <v>326176</v>
      </c>
      <c r="B6663" t="s">
        <v>20</v>
      </c>
      <c r="C6663">
        <v>2015</v>
      </c>
      <c r="D6663">
        <v>7</v>
      </c>
      <c r="E6663" t="s">
        <v>7</v>
      </c>
      <c r="F6663" t="s">
        <v>7</v>
      </c>
      <c r="G6663" t="s">
        <v>7</v>
      </c>
      <c r="H6663">
        <v>58446.48</v>
      </c>
      <c r="I6663">
        <v>51478.59</v>
      </c>
      <c r="J6663">
        <v>0</v>
      </c>
    </row>
    <row r="6664" spans="1:10" x14ac:dyDescent="0.35">
      <c r="A6664">
        <v>326183</v>
      </c>
      <c r="B6664" t="s">
        <v>20</v>
      </c>
      <c r="C6664">
        <v>2015</v>
      </c>
      <c r="D6664">
        <v>7</v>
      </c>
      <c r="E6664" t="s">
        <v>7</v>
      </c>
      <c r="F6664" t="s">
        <v>7</v>
      </c>
      <c r="G6664" t="s">
        <v>7</v>
      </c>
      <c r="H6664">
        <v>13147</v>
      </c>
      <c r="I6664">
        <v>3719.11</v>
      </c>
      <c r="J6664">
        <v>0</v>
      </c>
    </row>
    <row r="6665" spans="1:10" x14ac:dyDescent="0.35">
      <c r="A6665">
        <v>326184</v>
      </c>
      <c r="B6665" t="s">
        <v>20</v>
      </c>
      <c r="C6665">
        <v>2015</v>
      </c>
      <c r="D6665">
        <v>7</v>
      </c>
      <c r="E6665" t="s">
        <v>7</v>
      </c>
      <c r="F6665" t="s">
        <v>7</v>
      </c>
      <c r="G6665" t="s">
        <v>7</v>
      </c>
      <c r="H6665">
        <v>17529.18</v>
      </c>
      <c r="I6665">
        <v>4582.2700000000004</v>
      </c>
      <c r="J6665">
        <v>0</v>
      </c>
    </row>
    <row r="6666" spans="1:10" x14ac:dyDescent="0.35">
      <c r="A6666">
        <v>326185</v>
      </c>
      <c r="B6666" t="s">
        <v>20</v>
      </c>
      <c r="C6666">
        <v>2015</v>
      </c>
      <c r="D6666">
        <v>7</v>
      </c>
      <c r="E6666" t="s">
        <v>7</v>
      </c>
      <c r="F6666" t="s">
        <v>7</v>
      </c>
      <c r="G6666" t="s">
        <v>7</v>
      </c>
      <c r="H6666">
        <v>21707.78</v>
      </c>
      <c r="I6666">
        <v>6670.94</v>
      </c>
      <c r="J6666">
        <v>0</v>
      </c>
    </row>
    <row r="6667" spans="1:10" x14ac:dyDescent="0.35">
      <c r="A6667">
        <v>326186</v>
      </c>
      <c r="B6667" t="s">
        <v>20</v>
      </c>
      <c r="C6667">
        <v>2015</v>
      </c>
      <c r="D6667">
        <v>7</v>
      </c>
      <c r="E6667" t="s">
        <v>7</v>
      </c>
      <c r="F6667" t="s">
        <v>7</v>
      </c>
      <c r="G6667" t="s">
        <v>7</v>
      </c>
      <c r="H6667">
        <v>31161.18</v>
      </c>
      <c r="I6667">
        <v>7838.54</v>
      </c>
      <c r="J6667">
        <v>0</v>
      </c>
    </row>
    <row r="6668" spans="1:10" x14ac:dyDescent="0.35">
      <c r="A6668">
        <v>326187</v>
      </c>
      <c r="B6668" t="s">
        <v>20</v>
      </c>
      <c r="C6668">
        <v>2015</v>
      </c>
      <c r="D6668">
        <v>7</v>
      </c>
      <c r="E6668" t="s">
        <v>7</v>
      </c>
      <c r="F6668" t="s">
        <v>7</v>
      </c>
      <c r="G6668" t="s">
        <v>7</v>
      </c>
      <c r="H6668">
        <v>19725.5</v>
      </c>
      <c r="I6668">
        <v>4703.79</v>
      </c>
      <c r="J6668">
        <v>0</v>
      </c>
    </row>
    <row r="6669" spans="1:10" x14ac:dyDescent="0.35">
      <c r="A6669">
        <v>326188</v>
      </c>
      <c r="B6669" t="s">
        <v>20</v>
      </c>
      <c r="C6669">
        <v>2015</v>
      </c>
      <c r="D6669">
        <v>7</v>
      </c>
      <c r="E6669" t="s">
        <v>7</v>
      </c>
      <c r="F6669" t="s">
        <v>7</v>
      </c>
      <c r="G6669" t="s">
        <v>7</v>
      </c>
      <c r="H6669">
        <v>39399.14</v>
      </c>
      <c r="I6669">
        <v>5675.37</v>
      </c>
      <c r="J6669">
        <v>0</v>
      </c>
    </row>
    <row r="6670" spans="1:10" x14ac:dyDescent="0.35">
      <c r="A6670">
        <v>326189</v>
      </c>
      <c r="B6670" t="s">
        <v>20</v>
      </c>
      <c r="C6670">
        <v>2015</v>
      </c>
      <c r="D6670">
        <v>7</v>
      </c>
      <c r="E6670" t="s">
        <v>7</v>
      </c>
      <c r="F6670" t="s">
        <v>7</v>
      </c>
      <c r="G6670" t="s">
        <v>7</v>
      </c>
      <c r="H6670">
        <v>25933.18</v>
      </c>
      <c r="I6670">
        <v>7336.65</v>
      </c>
      <c r="J6670">
        <v>0</v>
      </c>
    </row>
    <row r="6671" spans="1:10" x14ac:dyDescent="0.35">
      <c r="A6671">
        <v>326190</v>
      </c>
      <c r="B6671" t="s">
        <v>20</v>
      </c>
      <c r="C6671">
        <v>2015</v>
      </c>
      <c r="D6671">
        <v>7</v>
      </c>
      <c r="E6671" t="s">
        <v>7</v>
      </c>
      <c r="F6671" t="s">
        <v>7</v>
      </c>
      <c r="G6671" t="s">
        <v>7</v>
      </c>
      <c r="H6671">
        <v>19213.88</v>
      </c>
      <c r="I6671">
        <v>7733.61</v>
      </c>
      <c r="J6671">
        <v>0</v>
      </c>
    </row>
    <row r="6672" spans="1:10" x14ac:dyDescent="0.35">
      <c r="A6672">
        <v>326192</v>
      </c>
      <c r="B6672" t="s">
        <v>20</v>
      </c>
      <c r="C6672">
        <v>2015</v>
      </c>
      <c r="D6672">
        <v>7</v>
      </c>
      <c r="E6672" t="s">
        <v>7</v>
      </c>
      <c r="F6672" t="s">
        <v>7</v>
      </c>
      <c r="G6672" t="s">
        <v>7</v>
      </c>
      <c r="H6672">
        <v>36065.74</v>
      </c>
      <c r="I6672">
        <v>10674.62</v>
      </c>
      <c r="J6672">
        <v>0</v>
      </c>
    </row>
    <row r="6673" spans="1:10" x14ac:dyDescent="0.35">
      <c r="A6673">
        <v>326195</v>
      </c>
      <c r="B6673" t="s">
        <v>20</v>
      </c>
      <c r="C6673">
        <v>2015</v>
      </c>
      <c r="D6673">
        <v>7</v>
      </c>
      <c r="E6673" t="s">
        <v>7</v>
      </c>
      <c r="F6673" t="s">
        <v>7</v>
      </c>
      <c r="G6673" t="s">
        <v>7</v>
      </c>
      <c r="H6673">
        <v>68558.880000000005</v>
      </c>
      <c r="I6673">
        <v>28775.55</v>
      </c>
      <c r="J6673">
        <v>0</v>
      </c>
    </row>
    <row r="6674" spans="1:10" x14ac:dyDescent="0.35">
      <c r="A6674">
        <v>326197</v>
      </c>
      <c r="B6674" t="s">
        <v>20</v>
      </c>
      <c r="C6674">
        <v>2015</v>
      </c>
      <c r="D6674">
        <v>7</v>
      </c>
      <c r="E6674" t="s">
        <v>7</v>
      </c>
      <c r="F6674" t="s">
        <v>7</v>
      </c>
      <c r="G6674" t="s">
        <v>7</v>
      </c>
      <c r="H6674">
        <v>25236.04</v>
      </c>
      <c r="I6674">
        <v>15951.44</v>
      </c>
      <c r="J6674">
        <v>0</v>
      </c>
    </row>
    <row r="6675" spans="1:10" x14ac:dyDescent="0.35">
      <c r="A6675">
        <v>326198</v>
      </c>
      <c r="B6675" t="s">
        <v>20</v>
      </c>
      <c r="C6675">
        <v>2015</v>
      </c>
      <c r="D6675">
        <v>7</v>
      </c>
      <c r="E6675" t="s">
        <v>7</v>
      </c>
      <c r="F6675" t="s">
        <v>7</v>
      </c>
      <c r="G6675" t="s">
        <v>7</v>
      </c>
      <c r="H6675">
        <v>24809.040000000001</v>
      </c>
      <c r="I6675">
        <v>6573.44</v>
      </c>
      <c r="J6675">
        <v>0</v>
      </c>
    </row>
    <row r="6676" spans="1:10" x14ac:dyDescent="0.35">
      <c r="A6676">
        <v>326199</v>
      </c>
      <c r="B6676" t="s">
        <v>20</v>
      </c>
      <c r="C6676">
        <v>2015</v>
      </c>
      <c r="D6676">
        <v>7</v>
      </c>
      <c r="E6676" t="s">
        <v>7</v>
      </c>
      <c r="F6676" t="s">
        <v>7</v>
      </c>
      <c r="G6676" t="s">
        <v>7</v>
      </c>
      <c r="H6676">
        <v>81073.440000000002</v>
      </c>
      <c r="I6676">
        <v>36712.92</v>
      </c>
      <c r="J6676">
        <v>0</v>
      </c>
    </row>
    <row r="6677" spans="1:10" x14ac:dyDescent="0.35">
      <c r="A6677">
        <v>326200</v>
      </c>
      <c r="B6677" t="s">
        <v>20</v>
      </c>
      <c r="C6677">
        <v>2015</v>
      </c>
      <c r="D6677">
        <v>7</v>
      </c>
      <c r="E6677" t="s">
        <v>7</v>
      </c>
      <c r="F6677" t="s">
        <v>7</v>
      </c>
      <c r="G6677" t="s">
        <v>7</v>
      </c>
      <c r="H6677">
        <v>38178.44</v>
      </c>
      <c r="I6677">
        <v>11875.66</v>
      </c>
      <c r="J6677">
        <v>0</v>
      </c>
    </row>
    <row r="6678" spans="1:10" x14ac:dyDescent="0.35">
      <c r="A6678">
        <v>326202</v>
      </c>
      <c r="B6678" t="s">
        <v>20</v>
      </c>
      <c r="C6678">
        <v>2015</v>
      </c>
      <c r="D6678">
        <v>7</v>
      </c>
      <c r="E6678" t="s">
        <v>7</v>
      </c>
      <c r="F6678" t="s">
        <v>7</v>
      </c>
      <c r="G6678" t="s">
        <v>7</v>
      </c>
      <c r="H6678">
        <v>31741.66</v>
      </c>
      <c r="I6678">
        <v>8868.31</v>
      </c>
      <c r="J6678">
        <v>0</v>
      </c>
    </row>
    <row r="6679" spans="1:10" x14ac:dyDescent="0.35">
      <c r="A6679">
        <v>326205</v>
      </c>
      <c r="B6679" t="s">
        <v>20</v>
      </c>
      <c r="C6679">
        <v>2015</v>
      </c>
      <c r="D6679">
        <v>7</v>
      </c>
      <c r="E6679" t="s">
        <v>7</v>
      </c>
      <c r="F6679" t="s">
        <v>7</v>
      </c>
      <c r="G6679" t="s">
        <v>7</v>
      </c>
      <c r="H6679">
        <v>14936.3</v>
      </c>
      <c r="I6679">
        <v>4298.41</v>
      </c>
      <c r="J6679">
        <v>0</v>
      </c>
    </row>
    <row r="6680" spans="1:10" x14ac:dyDescent="0.35">
      <c r="A6680">
        <v>326206</v>
      </c>
      <c r="B6680" t="s">
        <v>20</v>
      </c>
      <c r="C6680">
        <v>2015</v>
      </c>
      <c r="D6680">
        <v>7</v>
      </c>
      <c r="E6680" t="s">
        <v>7</v>
      </c>
      <c r="F6680" t="s">
        <v>7</v>
      </c>
      <c r="G6680" t="s">
        <v>7</v>
      </c>
      <c r="H6680">
        <v>99156.9</v>
      </c>
      <c r="I6680">
        <v>63804.39</v>
      </c>
      <c r="J6680">
        <v>0</v>
      </c>
    </row>
    <row r="6681" spans="1:10" x14ac:dyDescent="0.35">
      <c r="A6681">
        <v>326207</v>
      </c>
      <c r="B6681" t="s">
        <v>20</v>
      </c>
      <c r="C6681">
        <v>2015</v>
      </c>
      <c r="D6681">
        <v>7</v>
      </c>
      <c r="E6681" t="s">
        <v>7</v>
      </c>
      <c r="F6681" t="s">
        <v>7</v>
      </c>
      <c r="G6681" t="s">
        <v>7</v>
      </c>
      <c r="H6681">
        <v>12814.88</v>
      </c>
      <c r="I6681">
        <v>3793.89</v>
      </c>
      <c r="J6681">
        <v>0</v>
      </c>
    </row>
    <row r="6682" spans="1:10" x14ac:dyDescent="0.35">
      <c r="A6682">
        <v>326210</v>
      </c>
      <c r="B6682" t="s">
        <v>20</v>
      </c>
      <c r="C6682">
        <v>2015</v>
      </c>
      <c r="D6682">
        <v>7</v>
      </c>
      <c r="E6682" t="s">
        <v>7</v>
      </c>
      <c r="F6682" t="s">
        <v>7</v>
      </c>
      <c r="G6682" t="s">
        <v>7</v>
      </c>
      <c r="H6682">
        <v>40604.120000000003</v>
      </c>
      <c r="I6682">
        <v>12576.17</v>
      </c>
      <c r="J6682">
        <v>0</v>
      </c>
    </row>
    <row r="6683" spans="1:10" x14ac:dyDescent="0.35">
      <c r="A6683">
        <v>326211</v>
      </c>
      <c r="B6683" t="s">
        <v>20</v>
      </c>
      <c r="C6683">
        <v>2015</v>
      </c>
      <c r="D6683">
        <v>7</v>
      </c>
      <c r="E6683" t="s">
        <v>7</v>
      </c>
      <c r="F6683" t="s">
        <v>7</v>
      </c>
      <c r="G6683" t="s">
        <v>7</v>
      </c>
      <c r="H6683">
        <v>35286.22</v>
      </c>
      <c r="I6683">
        <v>6928.04</v>
      </c>
      <c r="J6683">
        <v>0</v>
      </c>
    </row>
    <row r="6684" spans="1:10" x14ac:dyDescent="0.35">
      <c r="A6684">
        <v>326212</v>
      </c>
      <c r="B6684" t="s">
        <v>20</v>
      </c>
      <c r="C6684">
        <v>2015</v>
      </c>
      <c r="D6684">
        <v>7</v>
      </c>
      <c r="E6684" t="s">
        <v>7</v>
      </c>
      <c r="F6684" t="s">
        <v>7</v>
      </c>
      <c r="G6684" t="s">
        <v>7</v>
      </c>
      <c r="H6684">
        <v>31846.16</v>
      </c>
      <c r="I6684">
        <v>9618.73</v>
      </c>
      <c r="J6684">
        <v>0</v>
      </c>
    </row>
    <row r="6685" spans="1:10" x14ac:dyDescent="0.35">
      <c r="A6685">
        <v>326214</v>
      </c>
      <c r="B6685" t="s">
        <v>20</v>
      </c>
      <c r="C6685">
        <v>2015</v>
      </c>
      <c r="D6685">
        <v>7</v>
      </c>
      <c r="E6685" t="s">
        <v>7</v>
      </c>
      <c r="F6685" t="s">
        <v>7</v>
      </c>
      <c r="G6685" t="s">
        <v>7</v>
      </c>
      <c r="H6685">
        <v>37314.080000000002</v>
      </c>
      <c r="I6685">
        <v>11242.17</v>
      </c>
      <c r="J6685">
        <v>0</v>
      </c>
    </row>
    <row r="6686" spans="1:10" x14ac:dyDescent="0.35">
      <c r="A6686">
        <v>326215</v>
      </c>
      <c r="B6686" t="s">
        <v>20</v>
      </c>
      <c r="C6686">
        <v>2015</v>
      </c>
      <c r="D6686">
        <v>7</v>
      </c>
      <c r="E6686" t="s">
        <v>7</v>
      </c>
      <c r="F6686" t="s">
        <v>7</v>
      </c>
      <c r="G6686" t="s">
        <v>7</v>
      </c>
      <c r="H6686">
        <v>54430.28</v>
      </c>
      <c r="I6686">
        <v>38283.39</v>
      </c>
      <c r="J6686">
        <v>0</v>
      </c>
    </row>
    <row r="6687" spans="1:10" x14ac:dyDescent="0.35">
      <c r="A6687">
        <v>326216</v>
      </c>
      <c r="B6687" t="s">
        <v>20</v>
      </c>
      <c r="C6687">
        <v>2015</v>
      </c>
      <c r="D6687">
        <v>7</v>
      </c>
      <c r="E6687" t="s">
        <v>7</v>
      </c>
      <c r="F6687" t="s">
        <v>7</v>
      </c>
      <c r="G6687" t="s">
        <v>7</v>
      </c>
      <c r="H6687">
        <v>101132.84</v>
      </c>
      <c r="I6687">
        <v>52701.8</v>
      </c>
      <c r="J6687">
        <v>0</v>
      </c>
    </row>
    <row r="6688" spans="1:10" x14ac:dyDescent="0.35">
      <c r="A6688">
        <v>326218</v>
      </c>
      <c r="B6688" t="s">
        <v>20</v>
      </c>
      <c r="C6688">
        <v>2015</v>
      </c>
      <c r="D6688">
        <v>7</v>
      </c>
      <c r="E6688" t="s">
        <v>7</v>
      </c>
      <c r="F6688" t="s">
        <v>7</v>
      </c>
      <c r="G6688" t="s">
        <v>7</v>
      </c>
      <c r="H6688">
        <v>24100.02</v>
      </c>
      <c r="I6688">
        <v>6625.77</v>
      </c>
      <c r="J6688">
        <v>0</v>
      </c>
    </row>
    <row r="6689" spans="1:10" x14ac:dyDescent="0.35">
      <c r="A6689">
        <v>326220</v>
      </c>
      <c r="B6689" t="s">
        <v>20</v>
      </c>
      <c r="C6689">
        <v>2015</v>
      </c>
      <c r="D6689">
        <v>7</v>
      </c>
      <c r="E6689" t="s">
        <v>7</v>
      </c>
      <c r="F6689" t="s">
        <v>7</v>
      </c>
      <c r="G6689" t="s">
        <v>7</v>
      </c>
      <c r="H6689">
        <v>15615.44</v>
      </c>
      <c r="I6689">
        <v>2592.27</v>
      </c>
      <c r="J6689">
        <v>0</v>
      </c>
    </row>
    <row r="6690" spans="1:10" x14ac:dyDescent="0.35">
      <c r="A6690">
        <v>326221</v>
      </c>
      <c r="B6690" t="s">
        <v>20</v>
      </c>
      <c r="C6690">
        <v>2015</v>
      </c>
      <c r="D6690">
        <v>7</v>
      </c>
      <c r="E6690" t="s">
        <v>7</v>
      </c>
      <c r="F6690" t="s">
        <v>7</v>
      </c>
      <c r="G6690" t="s">
        <v>7</v>
      </c>
      <c r="H6690">
        <v>10080.16</v>
      </c>
      <c r="I6690">
        <v>2970.7</v>
      </c>
      <c r="J6690">
        <v>0</v>
      </c>
    </row>
    <row r="6691" spans="1:10" x14ac:dyDescent="0.35">
      <c r="A6691">
        <v>326222</v>
      </c>
      <c r="B6691" t="s">
        <v>20</v>
      </c>
      <c r="C6691">
        <v>2015</v>
      </c>
      <c r="D6691">
        <v>7</v>
      </c>
      <c r="E6691" t="s">
        <v>7</v>
      </c>
      <c r="F6691" t="s">
        <v>7</v>
      </c>
      <c r="G6691" t="s">
        <v>7</v>
      </c>
      <c r="H6691">
        <v>23224.560000000001</v>
      </c>
      <c r="I6691">
        <v>10014.14</v>
      </c>
      <c r="J6691">
        <v>0</v>
      </c>
    </row>
    <row r="6692" spans="1:10" x14ac:dyDescent="0.35">
      <c r="A6692">
        <v>326223</v>
      </c>
      <c r="B6692" t="s">
        <v>20</v>
      </c>
      <c r="C6692">
        <v>2015</v>
      </c>
      <c r="D6692">
        <v>7</v>
      </c>
      <c r="E6692" t="s">
        <v>7</v>
      </c>
      <c r="F6692" t="s">
        <v>7</v>
      </c>
      <c r="G6692" t="s">
        <v>7</v>
      </c>
      <c r="H6692">
        <v>24690.58</v>
      </c>
      <c r="I6692">
        <v>4639.59</v>
      </c>
      <c r="J6692">
        <v>0</v>
      </c>
    </row>
    <row r="6693" spans="1:10" x14ac:dyDescent="0.35">
      <c r="A6693">
        <v>326224</v>
      </c>
      <c r="B6693" t="s">
        <v>20</v>
      </c>
      <c r="C6693">
        <v>2015</v>
      </c>
      <c r="D6693">
        <v>7</v>
      </c>
      <c r="E6693" t="s">
        <v>7</v>
      </c>
      <c r="F6693" t="s">
        <v>7</v>
      </c>
      <c r="G6693" t="s">
        <v>7</v>
      </c>
      <c r="H6693">
        <v>48279.74</v>
      </c>
      <c r="I6693">
        <v>14822.73</v>
      </c>
      <c r="J6693">
        <v>0</v>
      </c>
    </row>
    <row r="6694" spans="1:10" x14ac:dyDescent="0.35">
      <c r="A6694">
        <v>326225</v>
      </c>
      <c r="B6694" t="s">
        <v>20</v>
      </c>
      <c r="C6694">
        <v>2015</v>
      </c>
      <c r="D6694">
        <v>7</v>
      </c>
      <c r="E6694" t="s">
        <v>7</v>
      </c>
      <c r="F6694" t="s">
        <v>7</v>
      </c>
      <c r="G6694" t="s">
        <v>7</v>
      </c>
      <c r="H6694">
        <v>37778.22</v>
      </c>
      <c r="I6694">
        <v>10313.209999999999</v>
      </c>
      <c r="J6694">
        <v>0</v>
      </c>
    </row>
    <row r="6695" spans="1:10" x14ac:dyDescent="0.35">
      <c r="A6695">
        <v>326226</v>
      </c>
      <c r="B6695" t="s">
        <v>20</v>
      </c>
      <c r="C6695">
        <v>2015</v>
      </c>
      <c r="D6695">
        <v>7</v>
      </c>
      <c r="E6695" t="s">
        <v>7</v>
      </c>
      <c r="F6695" t="s">
        <v>7</v>
      </c>
      <c r="G6695" t="s">
        <v>7</v>
      </c>
      <c r="H6695">
        <v>21518.62</v>
      </c>
      <c r="I6695">
        <v>6387.07</v>
      </c>
      <c r="J6695">
        <v>0</v>
      </c>
    </row>
    <row r="6696" spans="1:10" x14ac:dyDescent="0.35">
      <c r="A6696">
        <v>326227</v>
      </c>
      <c r="B6696" t="s">
        <v>20</v>
      </c>
      <c r="C6696">
        <v>2015</v>
      </c>
      <c r="D6696">
        <v>7</v>
      </c>
      <c r="E6696" t="s">
        <v>7</v>
      </c>
      <c r="F6696" t="s">
        <v>7</v>
      </c>
      <c r="G6696" t="s">
        <v>7</v>
      </c>
      <c r="H6696">
        <v>62806.2</v>
      </c>
      <c r="I6696">
        <v>23881.74</v>
      </c>
      <c r="J6696">
        <v>0</v>
      </c>
    </row>
    <row r="6697" spans="1:10" x14ac:dyDescent="0.35">
      <c r="A6697">
        <v>326228</v>
      </c>
      <c r="B6697" t="s">
        <v>20</v>
      </c>
      <c r="C6697">
        <v>2015</v>
      </c>
      <c r="D6697">
        <v>7</v>
      </c>
      <c r="E6697" t="s">
        <v>7</v>
      </c>
      <c r="F6697" t="s">
        <v>7</v>
      </c>
      <c r="G6697" t="s">
        <v>7</v>
      </c>
      <c r="H6697">
        <v>26664.799999999999</v>
      </c>
      <c r="I6697">
        <v>6867.62</v>
      </c>
      <c r="J6697">
        <v>0</v>
      </c>
    </row>
    <row r="6698" spans="1:10" x14ac:dyDescent="0.35">
      <c r="A6698">
        <v>326229</v>
      </c>
      <c r="B6698" t="s">
        <v>20</v>
      </c>
      <c r="C6698">
        <v>2015</v>
      </c>
      <c r="D6698">
        <v>7</v>
      </c>
      <c r="E6698" t="s">
        <v>7</v>
      </c>
      <c r="F6698" t="s">
        <v>7</v>
      </c>
      <c r="G6698" t="s">
        <v>7</v>
      </c>
      <c r="H6698">
        <v>19912.64</v>
      </c>
      <c r="I6698">
        <v>5180.6499999999996</v>
      </c>
      <c r="J6698">
        <v>0</v>
      </c>
    </row>
    <row r="6699" spans="1:10" x14ac:dyDescent="0.35">
      <c r="A6699">
        <v>326231</v>
      </c>
      <c r="B6699" t="s">
        <v>20</v>
      </c>
      <c r="C6699">
        <v>2015</v>
      </c>
      <c r="D6699">
        <v>7</v>
      </c>
      <c r="E6699" t="s">
        <v>7</v>
      </c>
      <c r="F6699" t="s">
        <v>7</v>
      </c>
      <c r="G6699" t="s">
        <v>7</v>
      </c>
      <c r="H6699">
        <v>56692.78</v>
      </c>
      <c r="I6699">
        <v>30918.2</v>
      </c>
      <c r="J6699">
        <v>0</v>
      </c>
    </row>
    <row r="6700" spans="1:10" x14ac:dyDescent="0.35">
      <c r="A6700">
        <v>326232</v>
      </c>
      <c r="B6700" t="s">
        <v>20</v>
      </c>
      <c r="C6700">
        <v>2015</v>
      </c>
      <c r="D6700">
        <v>7</v>
      </c>
      <c r="E6700" t="s">
        <v>7</v>
      </c>
      <c r="F6700" t="s">
        <v>7</v>
      </c>
      <c r="G6700" t="s">
        <v>7</v>
      </c>
      <c r="H6700">
        <v>12830.22</v>
      </c>
      <c r="I6700">
        <v>2742.28</v>
      </c>
      <c r="J6700">
        <v>0</v>
      </c>
    </row>
    <row r="6701" spans="1:10" x14ac:dyDescent="0.35">
      <c r="A6701">
        <v>326234</v>
      </c>
      <c r="B6701" t="s">
        <v>20</v>
      </c>
      <c r="C6701">
        <v>2015</v>
      </c>
      <c r="D6701">
        <v>7</v>
      </c>
      <c r="E6701" t="s">
        <v>7</v>
      </c>
      <c r="F6701" t="s">
        <v>7</v>
      </c>
      <c r="G6701" t="s">
        <v>7</v>
      </c>
      <c r="H6701">
        <v>20252.22</v>
      </c>
      <c r="I6701">
        <v>5434.24</v>
      </c>
      <c r="J6701">
        <v>0</v>
      </c>
    </row>
    <row r="6702" spans="1:10" x14ac:dyDescent="0.35">
      <c r="A6702">
        <v>326236</v>
      </c>
      <c r="B6702" t="s">
        <v>20</v>
      </c>
      <c r="C6702">
        <v>2015</v>
      </c>
      <c r="D6702">
        <v>7</v>
      </c>
      <c r="E6702" t="s">
        <v>7</v>
      </c>
      <c r="F6702" t="s">
        <v>7</v>
      </c>
      <c r="G6702" t="s">
        <v>7</v>
      </c>
      <c r="H6702">
        <v>19458.22</v>
      </c>
      <c r="I6702">
        <v>8510.49</v>
      </c>
      <c r="J6702">
        <v>0</v>
      </c>
    </row>
    <row r="6703" spans="1:10" x14ac:dyDescent="0.35">
      <c r="A6703">
        <v>326237</v>
      </c>
      <c r="B6703" t="s">
        <v>20</v>
      </c>
      <c r="C6703">
        <v>2015</v>
      </c>
      <c r="D6703">
        <v>7</v>
      </c>
      <c r="E6703" t="s">
        <v>7</v>
      </c>
      <c r="F6703" t="s">
        <v>7</v>
      </c>
      <c r="G6703" t="s">
        <v>7</v>
      </c>
      <c r="H6703">
        <v>43132.58</v>
      </c>
      <c r="I6703">
        <v>12946.66</v>
      </c>
      <c r="J6703">
        <v>0</v>
      </c>
    </row>
    <row r="6704" spans="1:10" x14ac:dyDescent="0.35">
      <c r="A6704">
        <v>326238</v>
      </c>
      <c r="B6704" t="s">
        <v>20</v>
      </c>
      <c r="C6704">
        <v>2015</v>
      </c>
      <c r="D6704">
        <v>7</v>
      </c>
      <c r="E6704" t="s">
        <v>7</v>
      </c>
      <c r="F6704" t="s">
        <v>7</v>
      </c>
      <c r="G6704" t="s">
        <v>7</v>
      </c>
      <c r="H6704">
        <v>39219.019999999997</v>
      </c>
      <c r="I6704">
        <v>13739.89</v>
      </c>
      <c r="J6704">
        <v>0</v>
      </c>
    </row>
    <row r="6705" spans="1:10" x14ac:dyDescent="0.35">
      <c r="A6705">
        <v>326239</v>
      </c>
      <c r="B6705" t="s">
        <v>20</v>
      </c>
      <c r="C6705">
        <v>2015</v>
      </c>
      <c r="D6705">
        <v>7</v>
      </c>
      <c r="E6705" t="s">
        <v>7</v>
      </c>
      <c r="F6705" t="s">
        <v>7</v>
      </c>
      <c r="G6705" t="s">
        <v>7</v>
      </c>
      <c r="H6705">
        <v>8885.9599999999991</v>
      </c>
      <c r="I6705">
        <v>2342.64</v>
      </c>
      <c r="J6705">
        <v>0</v>
      </c>
    </row>
    <row r="6706" spans="1:10" x14ac:dyDescent="0.35">
      <c r="A6706">
        <v>326240</v>
      </c>
      <c r="B6706" t="s">
        <v>20</v>
      </c>
      <c r="C6706">
        <v>2015</v>
      </c>
      <c r="D6706">
        <v>7</v>
      </c>
      <c r="E6706" t="s">
        <v>7</v>
      </c>
      <c r="F6706" t="s">
        <v>7</v>
      </c>
      <c r="G6706" t="s">
        <v>7</v>
      </c>
      <c r="H6706">
        <v>44325.62</v>
      </c>
      <c r="I6706">
        <v>12322.5</v>
      </c>
      <c r="J6706">
        <v>0</v>
      </c>
    </row>
    <row r="6707" spans="1:10" x14ac:dyDescent="0.35">
      <c r="A6707">
        <v>326241</v>
      </c>
      <c r="B6707" t="s">
        <v>20</v>
      </c>
      <c r="C6707">
        <v>2015</v>
      </c>
      <c r="D6707">
        <v>7</v>
      </c>
      <c r="E6707" t="s">
        <v>7</v>
      </c>
      <c r="F6707" t="s">
        <v>7</v>
      </c>
      <c r="G6707" t="s">
        <v>7</v>
      </c>
      <c r="H6707">
        <v>20390.259999999998</v>
      </c>
      <c r="I6707">
        <v>5643.32</v>
      </c>
      <c r="J6707">
        <v>0</v>
      </c>
    </row>
    <row r="6708" spans="1:10" x14ac:dyDescent="0.35">
      <c r="A6708">
        <v>326242</v>
      </c>
      <c r="B6708" t="s">
        <v>20</v>
      </c>
      <c r="C6708">
        <v>2015</v>
      </c>
      <c r="D6708">
        <v>7</v>
      </c>
      <c r="E6708" t="s">
        <v>7</v>
      </c>
      <c r="F6708" t="s">
        <v>7</v>
      </c>
      <c r="G6708" t="s">
        <v>7</v>
      </c>
      <c r="H6708">
        <v>56084.88</v>
      </c>
      <c r="I6708">
        <v>23640.080000000002</v>
      </c>
      <c r="J6708">
        <v>0</v>
      </c>
    </row>
    <row r="6709" spans="1:10" x14ac:dyDescent="0.35">
      <c r="A6709">
        <v>326244</v>
      </c>
      <c r="B6709" t="s">
        <v>20</v>
      </c>
      <c r="C6709">
        <v>2015</v>
      </c>
      <c r="D6709">
        <v>7</v>
      </c>
      <c r="E6709" t="s">
        <v>7</v>
      </c>
      <c r="F6709" t="s">
        <v>7</v>
      </c>
      <c r="G6709" t="s">
        <v>7</v>
      </c>
      <c r="H6709">
        <v>65341.32</v>
      </c>
      <c r="I6709">
        <v>38526.71</v>
      </c>
      <c r="J6709">
        <v>0</v>
      </c>
    </row>
    <row r="6710" spans="1:10" x14ac:dyDescent="0.35">
      <c r="A6710">
        <v>326246</v>
      </c>
      <c r="B6710" t="s">
        <v>20</v>
      </c>
      <c r="C6710">
        <v>2015</v>
      </c>
      <c r="D6710">
        <v>7</v>
      </c>
      <c r="E6710" t="s">
        <v>7</v>
      </c>
      <c r="F6710" t="s">
        <v>7</v>
      </c>
      <c r="G6710" t="s">
        <v>7</v>
      </c>
      <c r="H6710">
        <v>20355.14</v>
      </c>
      <c r="I6710">
        <v>5319.07</v>
      </c>
      <c r="J6710">
        <v>0</v>
      </c>
    </row>
    <row r="6711" spans="1:10" x14ac:dyDescent="0.35">
      <c r="A6711">
        <v>326253</v>
      </c>
      <c r="B6711" t="s">
        <v>20</v>
      </c>
      <c r="C6711">
        <v>2015</v>
      </c>
      <c r="D6711">
        <v>7</v>
      </c>
      <c r="E6711" t="s">
        <v>7</v>
      </c>
      <c r="F6711" t="s">
        <v>7</v>
      </c>
      <c r="G6711" t="s">
        <v>7</v>
      </c>
      <c r="H6711">
        <v>39665.160000000003</v>
      </c>
      <c r="I6711">
        <v>12221.35</v>
      </c>
      <c r="J6711">
        <v>0</v>
      </c>
    </row>
    <row r="6712" spans="1:10" x14ac:dyDescent="0.35">
      <c r="A6712">
        <v>326254</v>
      </c>
      <c r="B6712" t="s">
        <v>20</v>
      </c>
      <c r="C6712">
        <v>2015</v>
      </c>
      <c r="D6712">
        <v>7</v>
      </c>
      <c r="E6712" t="s">
        <v>7</v>
      </c>
      <c r="F6712" t="s">
        <v>7</v>
      </c>
      <c r="G6712" t="s">
        <v>7</v>
      </c>
      <c r="H6712">
        <v>139891.28</v>
      </c>
      <c r="I6712">
        <v>42269.23</v>
      </c>
      <c r="J6712">
        <v>0</v>
      </c>
    </row>
    <row r="6713" spans="1:10" x14ac:dyDescent="0.35">
      <c r="A6713">
        <v>326258</v>
      </c>
      <c r="B6713" t="s">
        <v>20</v>
      </c>
      <c r="C6713">
        <v>2015</v>
      </c>
      <c r="D6713">
        <v>7</v>
      </c>
      <c r="E6713" t="s">
        <v>7</v>
      </c>
      <c r="F6713" t="s">
        <v>7</v>
      </c>
      <c r="G6713" t="s">
        <v>7</v>
      </c>
      <c r="H6713">
        <v>26797.64</v>
      </c>
      <c r="I6713">
        <v>7720.42</v>
      </c>
      <c r="J6713">
        <v>0</v>
      </c>
    </row>
    <row r="6714" spans="1:10" x14ac:dyDescent="0.35">
      <c r="A6714">
        <v>326261</v>
      </c>
      <c r="B6714" t="s">
        <v>20</v>
      </c>
      <c r="C6714">
        <v>2015</v>
      </c>
      <c r="D6714">
        <v>7</v>
      </c>
      <c r="E6714" t="s">
        <v>7</v>
      </c>
      <c r="F6714" t="s">
        <v>7</v>
      </c>
      <c r="G6714" t="s">
        <v>7</v>
      </c>
      <c r="H6714">
        <v>138683.98000000001</v>
      </c>
      <c r="I6714">
        <v>42509.31</v>
      </c>
      <c r="J6714">
        <v>0</v>
      </c>
    </row>
    <row r="6715" spans="1:10" x14ac:dyDescent="0.35">
      <c r="A6715">
        <v>326262</v>
      </c>
      <c r="B6715" t="s">
        <v>20</v>
      </c>
      <c r="C6715">
        <v>2015</v>
      </c>
      <c r="D6715">
        <v>7</v>
      </c>
      <c r="E6715" t="s">
        <v>7</v>
      </c>
      <c r="F6715" t="s">
        <v>7</v>
      </c>
      <c r="G6715" t="s">
        <v>7</v>
      </c>
      <c r="H6715">
        <v>29429.54</v>
      </c>
      <c r="I6715">
        <v>8977.09</v>
      </c>
      <c r="J6715">
        <v>0</v>
      </c>
    </row>
    <row r="6716" spans="1:10" x14ac:dyDescent="0.35">
      <c r="A6716">
        <v>326263</v>
      </c>
      <c r="B6716" t="s">
        <v>20</v>
      </c>
      <c r="C6716">
        <v>2015</v>
      </c>
      <c r="D6716">
        <v>7</v>
      </c>
      <c r="E6716" t="s">
        <v>7</v>
      </c>
      <c r="F6716" t="s">
        <v>7</v>
      </c>
      <c r="G6716" t="s">
        <v>7</v>
      </c>
      <c r="H6716">
        <v>38512.199999999997</v>
      </c>
      <c r="I6716">
        <v>8757.9500000000007</v>
      </c>
      <c r="J6716">
        <v>0</v>
      </c>
    </row>
    <row r="6717" spans="1:10" x14ac:dyDescent="0.35">
      <c r="A6717">
        <v>326264</v>
      </c>
      <c r="B6717" t="s">
        <v>20</v>
      </c>
      <c r="C6717">
        <v>2015</v>
      </c>
      <c r="D6717">
        <v>7</v>
      </c>
      <c r="E6717" t="s">
        <v>7</v>
      </c>
      <c r="F6717" t="s">
        <v>7</v>
      </c>
      <c r="G6717" t="s">
        <v>7</v>
      </c>
      <c r="H6717">
        <v>86395.25</v>
      </c>
      <c r="I6717">
        <v>46489.61</v>
      </c>
      <c r="J6717">
        <v>0</v>
      </c>
    </row>
    <row r="6718" spans="1:10" x14ac:dyDescent="0.35">
      <c r="A6718">
        <v>326265</v>
      </c>
      <c r="B6718" t="s">
        <v>20</v>
      </c>
      <c r="C6718">
        <v>2015</v>
      </c>
      <c r="D6718">
        <v>7</v>
      </c>
      <c r="E6718" t="s">
        <v>7</v>
      </c>
      <c r="F6718" t="s">
        <v>7</v>
      </c>
      <c r="G6718" t="s">
        <v>7</v>
      </c>
      <c r="H6718">
        <v>45968.160000000003</v>
      </c>
      <c r="I6718">
        <v>13185.61</v>
      </c>
      <c r="J6718">
        <v>0</v>
      </c>
    </row>
    <row r="6719" spans="1:10" x14ac:dyDescent="0.35">
      <c r="A6719">
        <v>326266</v>
      </c>
      <c r="B6719" t="s">
        <v>20</v>
      </c>
      <c r="C6719">
        <v>2015</v>
      </c>
      <c r="D6719">
        <v>7</v>
      </c>
      <c r="E6719" t="s">
        <v>7</v>
      </c>
      <c r="F6719" t="s">
        <v>7</v>
      </c>
      <c r="G6719" t="s">
        <v>7</v>
      </c>
      <c r="H6719">
        <v>19696.060000000001</v>
      </c>
      <c r="I6719">
        <v>4601.12</v>
      </c>
      <c r="J6719">
        <v>0</v>
      </c>
    </row>
    <row r="6720" spans="1:10" x14ac:dyDescent="0.35">
      <c r="A6720">
        <v>326268</v>
      </c>
      <c r="B6720" t="s">
        <v>20</v>
      </c>
      <c r="C6720">
        <v>2015</v>
      </c>
      <c r="D6720">
        <v>7</v>
      </c>
      <c r="E6720" t="s">
        <v>7</v>
      </c>
      <c r="F6720" t="s">
        <v>7</v>
      </c>
      <c r="G6720" t="s">
        <v>7</v>
      </c>
      <c r="H6720">
        <v>22943.42</v>
      </c>
      <c r="I6720">
        <v>7011.65</v>
      </c>
      <c r="J6720">
        <v>0</v>
      </c>
    </row>
    <row r="6721" spans="1:10" x14ac:dyDescent="0.35">
      <c r="A6721">
        <v>326269</v>
      </c>
      <c r="B6721" t="s">
        <v>20</v>
      </c>
      <c r="C6721">
        <v>2015</v>
      </c>
      <c r="D6721">
        <v>7</v>
      </c>
      <c r="E6721" t="s">
        <v>7</v>
      </c>
      <c r="F6721" t="s">
        <v>7</v>
      </c>
      <c r="G6721" t="s">
        <v>7</v>
      </c>
      <c r="H6721">
        <v>82424.039999999994</v>
      </c>
      <c r="I6721">
        <v>35938.74</v>
      </c>
      <c r="J6721">
        <v>0</v>
      </c>
    </row>
    <row r="6722" spans="1:10" x14ac:dyDescent="0.35">
      <c r="A6722">
        <v>326271</v>
      </c>
      <c r="B6722" t="s">
        <v>20</v>
      </c>
      <c r="C6722">
        <v>2015</v>
      </c>
      <c r="D6722">
        <v>7</v>
      </c>
      <c r="E6722" t="s">
        <v>7</v>
      </c>
      <c r="F6722" t="s">
        <v>7</v>
      </c>
      <c r="G6722" t="s">
        <v>7</v>
      </c>
      <c r="H6722">
        <v>93949.78</v>
      </c>
      <c r="I6722">
        <v>41671.99</v>
      </c>
      <c r="J6722">
        <v>0</v>
      </c>
    </row>
    <row r="6723" spans="1:10" x14ac:dyDescent="0.35">
      <c r="A6723">
        <v>326273</v>
      </c>
      <c r="B6723" t="s">
        <v>20</v>
      </c>
      <c r="C6723">
        <v>2015</v>
      </c>
      <c r="D6723">
        <v>7</v>
      </c>
      <c r="E6723" t="s">
        <v>7</v>
      </c>
      <c r="F6723" t="s">
        <v>7</v>
      </c>
      <c r="G6723" t="s">
        <v>7</v>
      </c>
      <c r="H6723">
        <v>28057.86</v>
      </c>
      <c r="I6723">
        <v>8636.39</v>
      </c>
      <c r="J6723">
        <v>0</v>
      </c>
    </row>
    <row r="6724" spans="1:10" x14ac:dyDescent="0.35">
      <c r="A6724">
        <v>326275</v>
      </c>
      <c r="B6724" t="s">
        <v>20</v>
      </c>
      <c r="C6724">
        <v>2015</v>
      </c>
      <c r="D6724">
        <v>7</v>
      </c>
      <c r="E6724" t="s">
        <v>7</v>
      </c>
      <c r="F6724" t="s">
        <v>7</v>
      </c>
      <c r="G6724" t="s">
        <v>7</v>
      </c>
      <c r="H6724">
        <v>18364.46</v>
      </c>
      <c r="I6724">
        <v>5665.44</v>
      </c>
      <c r="J6724">
        <v>0</v>
      </c>
    </row>
    <row r="6725" spans="1:10" x14ac:dyDescent="0.35">
      <c r="A6725">
        <v>326277</v>
      </c>
      <c r="B6725" t="s">
        <v>20</v>
      </c>
      <c r="C6725">
        <v>2015</v>
      </c>
      <c r="D6725">
        <v>7</v>
      </c>
      <c r="E6725" t="s">
        <v>7</v>
      </c>
      <c r="F6725" t="s">
        <v>7</v>
      </c>
      <c r="G6725" t="s">
        <v>7</v>
      </c>
      <c r="H6725">
        <v>30400.86</v>
      </c>
      <c r="I6725">
        <v>7746.06</v>
      </c>
      <c r="J6725">
        <v>0</v>
      </c>
    </row>
    <row r="6726" spans="1:10" x14ac:dyDescent="0.35">
      <c r="A6726">
        <v>326278</v>
      </c>
      <c r="B6726" t="s">
        <v>20</v>
      </c>
      <c r="C6726">
        <v>2015</v>
      </c>
      <c r="D6726">
        <v>7</v>
      </c>
      <c r="E6726" t="s">
        <v>7</v>
      </c>
      <c r="F6726" t="s">
        <v>7</v>
      </c>
      <c r="G6726" t="s">
        <v>7</v>
      </c>
      <c r="H6726">
        <v>33027.480000000003</v>
      </c>
      <c r="I6726">
        <v>10350.14</v>
      </c>
      <c r="J6726">
        <v>0</v>
      </c>
    </row>
    <row r="6727" spans="1:10" x14ac:dyDescent="0.35">
      <c r="A6727">
        <v>326280</v>
      </c>
      <c r="B6727" t="s">
        <v>20</v>
      </c>
      <c r="C6727">
        <v>2015</v>
      </c>
      <c r="D6727">
        <v>7</v>
      </c>
      <c r="E6727" t="s">
        <v>7</v>
      </c>
      <c r="F6727" t="s">
        <v>7</v>
      </c>
      <c r="G6727" t="s">
        <v>7</v>
      </c>
      <c r="H6727">
        <v>15174.68</v>
      </c>
      <c r="I6727">
        <v>4470.7700000000004</v>
      </c>
      <c r="J6727">
        <v>0</v>
      </c>
    </row>
    <row r="6728" spans="1:10" x14ac:dyDescent="0.35">
      <c r="A6728">
        <v>326281</v>
      </c>
      <c r="B6728" t="s">
        <v>20</v>
      </c>
      <c r="C6728">
        <v>2015</v>
      </c>
      <c r="D6728">
        <v>7</v>
      </c>
      <c r="E6728" t="s">
        <v>7</v>
      </c>
      <c r="F6728" t="s">
        <v>7</v>
      </c>
      <c r="G6728" t="s">
        <v>7</v>
      </c>
      <c r="H6728">
        <v>68211.14</v>
      </c>
      <c r="I6728">
        <v>19934.900000000001</v>
      </c>
      <c r="J6728">
        <v>0</v>
      </c>
    </row>
    <row r="6729" spans="1:10" x14ac:dyDescent="0.35">
      <c r="A6729">
        <v>326283</v>
      </c>
      <c r="B6729" t="s">
        <v>20</v>
      </c>
      <c r="C6729">
        <v>2015</v>
      </c>
      <c r="D6729">
        <v>7</v>
      </c>
      <c r="E6729" t="s">
        <v>7</v>
      </c>
      <c r="F6729" t="s">
        <v>7</v>
      </c>
      <c r="G6729" t="s">
        <v>7</v>
      </c>
      <c r="H6729">
        <v>38777.339999999997</v>
      </c>
      <c r="I6729">
        <v>11495.03</v>
      </c>
      <c r="J6729">
        <v>0</v>
      </c>
    </row>
    <row r="6730" spans="1:10" x14ac:dyDescent="0.35">
      <c r="A6730">
        <v>326284</v>
      </c>
      <c r="B6730" t="s">
        <v>20</v>
      </c>
      <c r="C6730">
        <v>2015</v>
      </c>
      <c r="D6730">
        <v>7</v>
      </c>
      <c r="E6730" t="s">
        <v>7</v>
      </c>
      <c r="F6730" t="s">
        <v>7</v>
      </c>
      <c r="G6730" t="s">
        <v>7</v>
      </c>
      <c r="H6730">
        <v>45606.54</v>
      </c>
      <c r="I6730">
        <v>25790.28</v>
      </c>
      <c r="J6730">
        <v>0</v>
      </c>
    </row>
    <row r="6731" spans="1:10" x14ac:dyDescent="0.35">
      <c r="A6731">
        <v>326285</v>
      </c>
      <c r="B6731" t="s">
        <v>20</v>
      </c>
      <c r="C6731">
        <v>2015</v>
      </c>
      <c r="D6731">
        <v>7</v>
      </c>
      <c r="E6731" t="s">
        <v>7</v>
      </c>
      <c r="F6731" t="s">
        <v>7</v>
      </c>
      <c r="G6731" t="s">
        <v>7</v>
      </c>
      <c r="H6731">
        <v>13996.52</v>
      </c>
      <c r="I6731">
        <v>3685.84</v>
      </c>
      <c r="J6731">
        <v>0</v>
      </c>
    </row>
    <row r="6732" spans="1:10" x14ac:dyDescent="0.35">
      <c r="A6732">
        <v>326286</v>
      </c>
      <c r="B6732" t="s">
        <v>20</v>
      </c>
      <c r="C6732">
        <v>2015</v>
      </c>
      <c r="D6732">
        <v>7</v>
      </c>
      <c r="E6732" t="s">
        <v>7</v>
      </c>
      <c r="F6732" t="s">
        <v>7</v>
      </c>
      <c r="G6732" t="s">
        <v>7</v>
      </c>
      <c r="H6732">
        <v>26662.18</v>
      </c>
      <c r="I6732">
        <v>7415.76</v>
      </c>
      <c r="J6732">
        <v>0</v>
      </c>
    </row>
    <row r="6733" spans="1:10" x14ac:dyDescent="0.35">
      <c r="A6733">
        <v>326287</v>
      </c>
      <c r="B6733" t="s">
        <v>20</v>
      </c>
      <c r="C6733">
        <v>2015</v>
      </c>
      <c r="D6733">
        <v>7</v>
      </c>
      <c r="E6733" t="s">
        <v>7</v>
      </c>
      <c r="F6733" t="s">
        <v>7</v>
      </c>
      <c r="G6733" t="s">
        <v>7</v>
      </c>
      <c r="H6733">
        <v>20666.400000000001</v>
      </c>
      <c r="I6733">
        <v>4979.59</v>
      </c>
      <c r="J6733">
        <v>0</v>
      </c>
    </row>
    <row r="6734" spans="1:10" x14ac:dyDescent="0.35">
      <c r="A6734">
        <v>326288</v>
      </c>
      <c r="B6734" t="s">
        <v>20</v>
      </c>
      <c r="C6734">
        <v>2015</v>
      </c>
      <c r="D6734">
        <v>7</v>
      </c>
      <c r="E6734" t="s">
        <v>7</v>
      </c>
      <c r="F6734" t="s">
        <v>7</v>
      </c>
      <c r="G6734" t="s">
        <v>7</v>
      </c>
      <c r="H6734">
        <v>38901.96</v>
      </c>
      <c r="I6734">
        <v>20508.09</v>
      </c>
      <c r="J6734">
        <v>0</v>
      </c>
    </row>
    <row r="6735" spans="1:10" x14ac:dyDescent="0.35">
      <c r="A6735">
        <v>326290</v>
      </c>
      <c r="B6735" t="s">
        <v>20</v>
      </c>
      <c r="C6735">
        <v>2015</v>
      </c>
      <c r="D6735">
        <v>7</v>
      </c>
      <c r="E6735" t="s">
        <v>7</v>
      </c>
      <c r="F6735" t="s">
        <v>7</v>
      </c>
      <c r="G6735" t="s">
        <v>7</v>
      </c>
      <c r="H6735">
        <v>87173.78</v>
      </c>
      <c r="I6735">
        <v>39721.699999999997</v>
      </c>
      <c r="J6735">
        <v>0</v>
      </c>
    </row>
    <row r="6736" spans="1:10" x14ac:dyDescent="0.35">
      <c r="A6736">
        <v>326291</v>
      </c>
      <c r="B6736" t="s">
        <v>20</v>
      </c>
      <c r="C6736">
        <v>2015</v>
      </c>
      <c r="D6736">
        <v>7</v>
      </c>
      <c r="E6736" t="s">
        <v>7</v>
      </c>
      <c r="F6736" t="s">
        <v>7</v>
      </c>
      <c r="G6736" t="s">
        <v>7</v>
      </c>
      <c r="H6736">
        <v>77693.98</v>
      </c>
      <c r="I6736">
        <v>30946.400000000001</v>
      </c>
      <c r="J6736">
        <v>0</v>
      </c>
    </row>
    <row r="6737" spans="1:10" x14ac:dyDescent="0.35">
      <c r="A6737">
        <v>326293</v>
      </c>
      <c r="B6737" t="s">
        <v>20</v>
      </c>
      <c r="C6737">
        <v>2015</v>
      </c>
      <c r="D6737">
        <v>7</v>
      </c>
      <c r="E6737" t="s">
        <v>7</v>
      </c>
      <c r="F6737" t="s">
        <v>7</v>
      </c>
      <c r="G6737" t="s">
        <v>7</v>
      </c>
      <c r="H6737">
        <v>15710.58</v>
      </c>
      <c r="I6737">
        <v>4513.6099999999997</v>
      </c>
      <c r="J6737">
        <v>0</v>
      </c>
    </row>
    <row r="6738" spans="1:10" x14ac:dyDescent="0.35">
      <c r="A6738">
        <v>326296</v>
      </c>
      <c r="B6738" t="s">
        <v>20</v>
      </c>
      <c r="C6738">
        <v>2015</v>
      </c>
      <c r="D6738">
        <v>7</v>
      </c>
      <c r="E6738" t="s">
        <v>7</v>
      </c>
      <c r="F6738" t="s">
        <v>7</v>
      </c>
      <c r="G6738" t="s">
        <v>7</v>
      </c>
      <c r="H6738">
        <v>21470.34</v>
      </c>
      <c r="I6738">
        <v>7260.83</v>
      </c>
      <c r="J6738">
        <v>0</v>
      </c>
    </row>
    <row r="6739" spans="1:10" x14ac:dyDescent="0.35">
      <c r="A6739">
        <v>326297</v>
      </c>
      <c r="B6739" t="s">
        <v>20</v>
      </c>
      <c r="C6739">
        <v>2015</v>
      </c>
      <c r="D6739">
        <v>7</v>
      </c>
      <c r="E6739" t="s">
        <v>7</v>
      </c>
      <c r="F6739" t="s">
        <v>7</v>
      </c>
      <c r="G6739" t="s">
        <v>7</v>
      </c>
      <c r="H6739">
        <v>115576.66</v>
      </c>
      <c r="I6739">
        <v>55218.39</v>
      </c>
      <c r="J6739">
        <v>0</v>
      </c>
    </row>
    <row r="6740" spans="1:10" x14ac:dyDescent="0.35">
      <c r="A6740">
        <v>326298</v>
      </c>
      <c r="B6740" t="s">
        <v>20</v>
      </c>
      <c r="C6740">
        <v>2015</v>
      </c>
      <c r="D6740">
        <v>7</v>
      </c>
      <c r="E6740" t="s">
        <v>7</v>
      </c>
      <c r="F6740" t="s">
        <v>7</v>
      </c>
      <c r="G6740" t="s">
        <v>7</v>
      </c>
      <c r="H6740">
        <v>32119.84</v>
      </c>
      <c r="I6740">
        <v>8489.3700000000008</v>
      </c>
      <c r="J6740">
        <v>0</v>
      </c>
    </row>
    <row r="6741" spans="1:10" x14ac:dyDescent="0.35">
      <c r="A6741">
        <v>326299</v>
      </c>
      <c r="B6741" t="s">
        <v>20</v>
      </c>
      <c r="C6741">
        <v>2015</v>
      </c>
      <c r="D6741">
        <v>7</v>
      </c>
      <c r="E6741" t="s">
        <v>7</v>
      </c>
      <c r="F6741" t="s">
        <v>7</v>
      </c>
      <c r="G6741" t="s">
        <v>7</v>
      </c>
      <c r="H6741">
        <v>53560.42</v>
      </c>
      <c r="I6741">
        <v>23751.69</v>
      </c>
      <c r="J6741">
        <v>0</v>
      </c>
    </row>
    <row r="6742" spans="1:10" x14ac:dyDescent="0.35">
      <c r="A6742">
        <v>326300</v>
      </c>
      <c r="B6742" t="s">
        <v>20</v>
      </c>
      <c r="C6742">
        <v>2015</v>
      </c>
      <c r="D6742">
        <v>7</v>
      </c>
      <c r="E6742" t="s">
        <v>7</v>
      </c>
      <c r="F6742" t="s">
        <v>7</v>
      </c>
      <c r="G6742" t="s">
        <v>7</v>
      </c>
      <c r="H6742">
        <v>25258.22</v>
      </c>
      <c r="I6742">
        <v>7149.34</v>
      </c>
      <c r="J6742">
        <v>0</v>
      </c>
    </row>
    <row r="6743" spans="1:10" x14ac:dyDescent="0.35">
      <c r="A6743">
        <v>326301</v>
      </c>
      <c r="B6743" t="s">
        <v>20</v>
      </c>
      <c r="C6743">
        <v>2015</v>
      </c>
      <c r="D6743">
        <v>7</v>
      </c>
      <c r="E6743" t="s">
        <v>7</v>
      </c>
      <c r="F6743" t="s">
        <v>7</v>
      </c>
      <c r="G6743" t="s">
        <v>7</v>
      </c>
      <c r="H6743">
        <v>37364.28</v>
      </c>
      <c r="I6743">
        <v>10598.75</v>
      </c>
      <c r="J6743">
        <v>0</v>
      </c>
    </row>
    <row r="6744" spans="1:10" x14ac:dyDescent="0.35">
      <c r="A6744">
        <v>326302</v>
      </c>
      <c r="B6744" t="s">
        <v>20</v>
      </c>
      <c r="C6744">
        <v>2015</v>
      </c>
      <c r="D6744">
        <v>7</v>
      </c>
      <c r="E6744" t="s">
        <v>7</v>
      </c>
      <c r="F6744" t="s">
        <v>7</v>
      </c>
      <c r="G6744" t="s">
        <v>7</v>
      </c>
      <c r="H6744">
        <v>37023.68</v>
      </c>
      <c r="I6744">
        <v>27620.799999999999</v>
      </c>
      <c r="J6744">
        <v>0</v>
      </c>
    </row>
    <row r="6745" spans="1:10" x14ac:dyDescent="0.35">
      <c r="A6745">
        <v>326303</v>
      </c>
      <c r="B6745" t="s">
        <v>20</v>
      </c>
      <c r="C6745">
        <v>2015</v>
      </c>
      <c r="D6745">
        <v>7</v>
      </c>
      <c r="E6745" t="s">
        <v>7</v>
      </c>
      <c r="F6745" t="s">
        <v>7</v>
      </c>
      <c r="G6745" t="s">
        <v>7</v>
      </c>
      <c r="H6745">
        <v>16347.24</v>
      </c>
      <c r="I6745">
        <v>4358.26</v>
      </c>
      <c r="J6745">
        <v>0</v>
      </c>
    </row>
    <row r="6746" spans="1:10" x14ac:dyDescent="0.35">
      <c r="A6746">
        <v>326304</v>
      </c>
      <c r="B6746" t="s">
        <v>20</v>
      </c>
      <c r="C6746">
        <v>2015</v>
      </c>
      <c r="D6746">
        <v>7</v>
      </c>
      <c r="E6746" t="s">
        <v>7</v>
      </c>
      <c r="F6746" t="s">
        <v>7</v>
      </c>
      <c r="G6746" t="s">
        <v>7</v>
      </c>
      <c r="H6746">
        <v>70036.5</v>
      </c>
      <c r="I6746">
        <v>39519.72</v>
      </c>
      <c r="J6746">
        <v>0</v>
      </c>
    </row>
    <row r="6747" spans="1:10" x14ac:dyDescent="0.35">
      <c r="A6747">
        <v>326306</v>
      </c>
      <c r="B6747" t="s">
        <v>20</v>
      </c>
      <c r="C6747">
        <v>2015</v>
      </c>
      <c r="D6747">
        <v>7</v>
      </c>
      <c r="E6747" t="s">
        <v>7</v>
      </c>
      <c r="F6747" t="s">
        <v>7</v>
      </c>
      <c r="G6747" t="s">
        <v>7</v>
      </c>
      <c r="H6747">
        <v>31548.16</v>
      </c>
      <c r="I6747">
        <v>16753.03</v>
      </c>
      <c r="J6747">
        <v>0</v>
      </c>
    </row>
    <row r="6748" spans="1:10" x14ac:dyDescent="0.35">
      <c r="A6748">
        <v>326307</v>
      </c>
      <c r="B6748" t="s">
        <v>20</v>
      </c>
      <c r="C6748">
        <v>2015</v>
      </c>
      <c r="D6748">
        <v>7</v>
      </c>
      <c r="E6748" t="s">
        <v>7</v>
      </c>
      <c r="F6748" t="s">
        <v>7</v>
      </c>
      <c r="G6748" t="s">
        <v>7</v>
      </c>
      <c r="H6748">
        <v>21776.9</v>
      </c>
      <c r="I6748">
        <v>4948.22</v>
      </c>
      <c r="J6748">
        <v>0</v>
      </c>
    </row>
    <row r="6749" spans="1:10" x14ac:dyDescent="0.35">
      <c r="A6749">
        <v>326308</v>
      </c>
      <c r="B6749" t="s">
        <v>20</v>
      </c>
      <c r="C6749">
        <v>2015</v>
      </c>
      <c r="D6749">
        <v>7</v>
      </c>
      <c r="E6749" t="s">
        <v>7</v>
      </c>
      <c r="F6749" t="s">
        <v>7</v>
      </c>
      <c r="G6749" t="s">
        <v>7</v>
      </c>
      <c r="H6749">
        <v>119017.56</v>
      </c>
      <c r="I6749">
        <v>77758.570000000007</v>
      </c>
      <c r="J6749">
        <v>0</v>
      </c>
    </row>
    <row r="6750" spans="1:10" x14ac:dyDescent="0.35">
      <c r="A6750">
        <v>326309</v>
      </c>
      <c r="B6750" t="s">
        <v>20</v>
      </c>
      <c r="C6750">
        <v>2015</v>
      </c>
      <c r="D6750">
        <v>7</v>
      </c>
      <c r="E6750" t="s">
        <v>7</v>
      </c>
      <c r="F6750" t="s">
        <v>7</v>
      </c>
      <c r="G6750" t="s">
        <v>7</v>
      </c>
      <c r="H6750">
        <v>32140.25</v>
      </c>
      <c r="I6750">
        <v>20855.34</v>
      </c>
      <c r="J6750">
        <v>0</v>
      </c>
    </row>
    <row r="6751" spans="1:10" x14ac:dyDescent="0.35">
      <c r="A6751">
        <v>326310</v>
      </c>
      <c r="B6751" t="s">
        <v>20</v>
      </c>
      <c r="C6751">
        <v>2015</v>
      </c>
      <c r="D6751">
        <v>7</v>
      </c>
      <c r="E6751" t="s">
        <v>7</v>
      </c>
      <c r="F6751" t="s">
        <v>7</v>
      </c>
      <c r="G6751" t="s">
        <v>7</v>
      </c>
      <c r="H6751">
        <v>109355.19</v>
      </c>
      <c r="I6751">
        <v>56950.7</v>
      </c>
      <c r="J6751">
        <v>0</v>
      </c>
    </row>
    <row r="6752" spans="1:10" x14ac:dyDescent="0.35">
      <c r="A6752">
        <v>326312</v>
      </c>
      <c r="B6752" t="s">
        <v>20</v>
      </c>
      <c r="C6752">
        <v>2015</v>
      </c>
      <c r="D6752">
        <v>7</v>
      </c>
      <c r="E6752" t="s">
        <v>7</v>
      </c>
      <c r="F6752" t="s">
        <v>7</v>
      </c>
      <c r="G6752" t="s">
        <v>7</v>
      </c>
      <c r="H6752">
        <v>33247.54</v>
      </c>
      <c r="I6752">
        <v>9388.41</v>
      </c>
      <c r="J6752">
        <v>0</v>
      </c>
    </row>
    <row r="6753" spans="1:10" x14ac:dyDescent="0.35">
      <c r="A6753">
        <v>326313</v>
      </c>
      <c r="B6753" t="s">
        <v>20</v>
      </c>
      <c r="C6753">
        <v>2015</v>
      </c>
      <c r="D6753">
        <v>7</v>
      </c>
      <c r="E6753" t="s">
        <v>7</v>
      </c>
      <c r="F6753" t="s">
        <v>7</v>
      </c>
      <c r="G6753" t="s">
        <v>7</v>
      </c>
      <c r="H6753">
        <v>18574.900000000001</v>
      </c>
      <c r="I6753">
        <v>5344.78</v>
      </c>
      <c r="J6753">
        <v>0</v>
      </c>
    </row>
    <row r="6754" spans="1:10" x14ac:dyDescent="0.35">
      <c r="A6754">
        <v>326315</v>
      </c>
      <c r="B6754" t="s">
        <v>20</v>
      </c>
      <c r="C6754">
        <v>2015</v>
      </c>
      <c r="D6754">
        <v>7</v>
      </c>
      <c r="E6754" t="s">
        <v>7</v>
      </c>
      <c r="F6754" t="s">
        <v>7</v>
      </c>
      <c r="G6754" t="s">
        <v>7</v>
      </c>
      <c r="H6754">
        <v>11263.44</v>
      </c>
      <c r="I6754">
        <v>2697.3</v>
      </c>
      <c r="J6754">
        <v>0</v>
      </c>
    </row>
    <row r="6755" spans="1:10" x14ac:dyDescent="0.35">
      <c r="A6755">
        <v>326319</v>
      </c>
      <c r="B6755" t="s">
        <v>20</v>
      </c>
      <c r="C6755">
        <v>2015</v>
      </c>
      <c r="D6755">
        <v>7</v>
      </c>
      <c r="E6755" t="s">
        <v>7</v>
      </c>
      <c r="F6755" t="s">
        <v>7</v>
      </c>
      <c r="G6755" t="s">
        <v>7</v>
      </c>
      <c r="H6755">
        <v>37960.699999999997</v>
      </c>
      <c r="I6755">
        <v>11117.15</v>
      </c>
      <c r="J6755">
        <v>0</v>
      </c>
    </row>
    <row r="6756" spans="1:10" x14ac:dyDescent="0.35">
      <c r="A6756">
        <v>326323</v>
      </c>
      <c r="B6756" t="s">
        <v>20</v>
      </c>
      <c r="C6756">
        <v>2015</v>
      </c>
      <c r="D6756">
        <v>7</v>
      </c>
      <c r="E6756" t="s">
        <v>7</v>
      </c>
      <c r="F6756" t="s">
        <v>7</v>
      </c>
      <c r="G6756" t="s">
        <v>7</v>
      </c>
      <c r="H6756">
        <v>78383.679999999993</v>
      </c>
      <c r="I6756">
        <v>32737.75</v>
      </c>
      <c r="J6756">
        <v>0</v>
      </c>
    </row>
    <row r="6757" spans="1:10" x14ac:dyDescent="0.35">
      <c r="A6757">
        <v>326326</v>
      </c>
      <c r="B6757" t="s">
        <v>20</v>
      </c>
      <c r="C6757">
        <v>2015</v>
      </c>
      <c r="D6757">
        <v>7</v>
      </c>
      <c r="E6757" t="s">
        <v>7</v>
      </c>
      <c r="F6757" t="s">
        <v>7</v>
      </c>
      <c r="G6757" t="s">
        <v>7</v>
      </c>
      <c r="H6757">
        <v>50099.82</v>
      </c>
      <c r="I6757">
        <v>15234.93</v>
      </c>
      <c r="J6757">
        <v>0</v>
      </c>
    </row>
    <row r="6758" spans="1:10" x14ac:dyDescent="0.35">
      <c r="A6758">
        <v>326328</v>
      </c>
      <c r="B6758" t="s">
        <v>20</v>
      </c>
      <c r="C6758">
        <v>2015</v>
      </c>
      <c r="D6758">
        <v>7</v>
      </c>
      <c r="E6758" t="s">
        <v>7</v>
      </c>
      <c r="F6758" t="s">
        <v>7</v>
      </c>
      <c r="G6758" t="s">
        <v>7</v>
      </c>
      <c r="H6758">
        <v>36106.379999999997</v>
      </c>
      <c r="I6758">
        <v>17007.060000000001</v>
      </c>
      <c r="J6758">
        <v>0</v>
      </c>
    </row>
    <row r="6759" spans="1:10" x14ac:dyDescent="0.35">
      <c r="A6759">
        <v>326330</v>
      </c>
      <c r="B6759" t="s">
        <v>20</v>
      </c>
      <c r="C6759">
        <v>2015</v>
      </c>
      <c r="D6759">
        <v>7</v>
      </c>
      <c r="E6759" t="s">
        <v>7</v>
      </c>
      <c r="F6759" t="s">
        <v>7</v>
      </c>
      <c r="G6759" t="s">
        <v>7</v>
      </c>
      <c r="H6759">
        <v>23286.6</v>
      </c>
      <c r="I6759">
        <v>6884.56</v>
      </c>
      <c r="J6759">
        <v>0</v>
      </c>
    </row>
    <row r="6760" spans="1:10" x14ac:dyDescent="0.35">
      <c r="A6760">
        <v>326332</v>
      </c>
      <c r="B6760" t="s">
        <v>20</v>
      </c>
      <c r="C6760">
        <v>2015</v>
      </c>
      <c r="D6760">
        <v>7</v>
      </c>
      <c r="E6760" t="s">
        <v>7</v>
      </c>
      <c r="F6760" t="s">
        <v>7</v>
      </c>
      <c r="G6760" t="s">
        <v>7</v>
      </c>
      <c r="H6760">
        <v>127839.38</v>
      </c>
      <c r="I6760">
        <v>49626.52</v>
      </c>
      <c r="J6760">
        <v>0</v>
      </c>
    </row>
    <row r="6761" spans="1:10" x14ac:dyDescent="0.35">
      <c r="A6761">
        <v>326333</v>
      </c>
      <c r="B6761" t="s">
        <v>20</v>
      </c>
      <c r="C6761">
        <v>2015</v>
      </c>
      <c r="D6761">
        <v>7</v>
      </c>
      <c r="E6761" t="s">
        <v>7</v>
      </c>
      <c r="F6761" t="s">
        <v>7</v>
      </c>
      <c r="G6761" t="s">
        <v>7</v>
      </c>
      <c r="H6761">
        <v>23526.880000000001</v>
      </c>
      <c r="I6761">
        <v>6908.14</v>
      </c>
      <c r="J6761">
        <v>0</v>
      </c>
    </row>
    <row r="6762" spans="1:10" x14ac:dyDescent="0.35">
      <c r="A6762">
        <v>326335</v>
      </c>
      <c r="B6762" t="s">
        <v>20</v>
      </c>
      <c r="C6762">
        <v>2015</v>
      </c>
      <c r="D6762">
        <v>7</v>
      </c>
      <c r="E6762" t="s">
        <v>7</v>
      </c>
      <c r="F6762" t="s">
        <v>7</v>
      </c>
      <c r="G6762" t="s">
        <v>7</v>
      </c>
      <c r="H6762">
        <v>22560.02</v>
      </c>
      <c r="I6762">
        <v>6638.31</v>
      </c>
      <c r="J6762">
        <v>0</v>
      </c>
    </row>
    <row r="6763" spans="1:10" x14ac:dyDescent="0.35">
      <c r="A6763">
        <v>326336</v>
      </c>
      <c r="B6763" t="s">
        <v>20</v>
      </c>
      <c r="C6763">
        <v>2015</v>
      </c>
      <c r="D6763">
        <v>7</v>
      </c>
      <c r="E6763" t="s">
        <v>7</v>
      </c>
      <c r="F6763" t="s">
        <v>7</v>
      </c>
      <c r="G6763" t="s">
        <v>7</v>
      </c>
      <c r="H6763">
        <v>29020.28</v>
      </c>
      <c r="I6763">
        <v>8744.0499999999993</v>
      </c>
      <c r="J6763">
        <v>0</v>
      </c>
    </row>
    <row r="6764" spans="1:10" x14ac:dyDescent="0.35">
      <c r="A6764">
        <v>326337</v>
      </c>
      <c r="B6764" t="s">
        <v>20</v>
      </c>
      <c r="C6764">
        <v>2015</v>
      </c>
      <c r="D6764">
        <v>7</v>
      </c>
      <c r="E6764" t="s">
        <v>7</v>
      </c>
      <c r="F6764" t="s">
        <v>7</v>
      </c>
      <c r="G6764" t="s">
        <v>7</v>
      </c>
      <c r="H6764">
        <v>24273.48</v>
      </c>
      <c r="I6764">
        <v>9903.27</v>
      </c>
      <c r="J6764">
        <v>0</v>
      </c>
    </row>
    <row r="6765" spans="1:10" x14ac:dyDescent="0.35">
      <c r="A6765">
        <v>326339</v>
      </c>
      <c r="B6765" t="s">
        <v>20</v>
      </c>
      <c r="C6765">
        <v>2015</v>
      </c>
      <c r="D6765">
        <v>7</v>
      </c>
      <c r="E6765" t="s">
        <v>7</v>
      </c>
      <c r="F6765" t="s">
        <v>7</v>
      </c>
      <c r="G6765" t="s">
        <v>7</v>
      </c>
      <c r="H6765">
        <v>37470.44</v>
      </c>
      <c r="I6765">
        <v>11606.84</v>
      </c>
      <c r="J6765">
        <v>0</v>
      </c>
    </row>
    <row r="6766" spans="1:10" x14ac:dyDescent="0.35">
      <c r="A6766">
        <v>326340</v>
      </c>
      <c r="B6766" t="s">
        <v>20</v>
      </c>
      <c r="C6766">
        <v>2015</v>
      </c>
      <c r="D6766">
        <v>7</v>
      </c>
      <c r="E6766" t="s">
        <v>7</v>
      </c>
      <c r="F6766" t="s">
        <v>7</v>
      </c>
      <c r="G6766" t="s">
        <v>7</v>
      </c>
      <c r="H6766">
        <v>75067.16</v>
      </c>
      <c r="I6766">
        <v>40858.89</v>
      </c>
      <c r="J6766">
        <v>0</v>
      </c>
    </row>
    <row r="6767" spans="1:10" x14ac:dyDescent="0.35">
      <c r="A6767">
        <v>326341</v>
      </c>
      <c r="B6767" t="s">
        <v>20</v>
      </c>
      <c r="C6767">
        <v>2015</v>
      </c>
      <c r="D6767">
        <v>7</v>
      </c>
      <c r="E6767" t="s">
        <v>7</v>
      </c>
      <c r="F6767" t="s">
        <v>7</v>
      </c>
      <c r="G6767" t="s">
        <v>7</v>
      </c>
      <c r="H6767">
        <v>50563.28</v>
      </c>
      <c r="I6767">
        <v>21916.81</v>
      </c>
      <c r="J6767">
        <v>0</v>
      </c>
    </row>
    <row r="6768" spans="1:10" x14ac:dyDescent="0.35">
      <c r="A6768">
        <v>326342</v>
      </c>
      <c r="B6768" t="s">
        <v>20</v>
      </c>
      <c r="C6768">
        <v>2015</v>
      </c>
      <c r="D6768">
        <v>7</v>
      </c>
      <c r="E6768" t="s">
        <v>7</v>
      </c>
      <c r="F6768" t="s">
        <v>7</v>
      </c>
      <c r="G6768" t="s">
        <v>7</v>
      </c>
      <c r="H6768">
        <v>19821.68</v>
      </c>
      <c r="I6768">
        <v>5638.19</v>
      </c>
      <c r="J6768">
        <v>0</v>
      </c>
    </row>
    <row r="6769" spans="1:10" x14ac:dyDescent="0.35">
      <c r="A6769">
        <v>326344</v>
      </c>
      <c r="B6769" t="s">
        <v>20</v>
      </c>
      <c r="C6769">
        <v>2015</v>
      </c>
      <c r="D6769">
        <v>7</v>
      </c>
      <c r="E6769" t="s">
        <v>7</v>
      </c>
      <c r="F6769" t="s">
        <v>7</v>
      </c>
      <c r="G6769" t="s">
        <v>7</v>
      </c>
      <c r="H6769">
        <v>31630.04</v>
      </c>
      <c r="I6769">
        <v>11969.22</v>
      </c>
      <c r="J6769">
        <v>0</v>
      </c>
    </row>
    <row r="6770" spans="1:10" x14ac:dyDescent="0.35">
      <c r="A6770">
        <v>326345</v>
      </c>
      <c r="B6770" t="s">
        <v>20</v>
      </c>
      <c r="C6770">
        <v>2015</v>
      </c>
      <c r="D6770">
        <v>7</v>
      </c>
      <c r="E6770" t="s">
        <v>7</v>
      </c>
      <c r="F6770" t="s">
        <v>7</v>
      </c>
      <c r="G6770" t="s">
        <v>7</v>
      </c>
      <c r="H6770">
        <v>16289.66</v>
      </c>
      <c r="I6770">
        <v>11132.76</v>
      </c>
      <c r="J6770">
        <v>0</v>
      </c>
    </row>
    <row r="6771" spans="1:10" x14ac:dyDescent="0.35">
      <c r="A6771">
        <v>326346</v>
      </c>
      <c r="B6771" t="s">
        <v>20</v>
      </c>
      <c r="C6771">
        <v>2015</v>
      </c>
      <c r="D6771">
        <v>7</v>
      </c>
      <c r="E6771" t="s">
        <v>7</v>
      </c>
      <c r="F6771" t="s">
        <v>7</v>
      </c>
      <c r="G6771" t="s">
        <v>7</v>
      </c>
      <c r="H6771">
        <v>37878.46</v>
      </c>
      <c r="I6771">
        <v>11278.28</v>
      </c>
      <c r="J6771">
        <v>0</v>
      </c>
    </row>
    <row r="6772" spans="1:10" x14ac:dyDescent="0.35">
      <c r="A6772">
        <v>326348</v>
      </c>
      <c r="B6772" t="s">
        <v>20</v>
      </c>
      <c r="C6772">
        <v>2015</v>
      </c>
      <c r="D6772">
        <v>7</v>
      </c>
      <c r="E6772" t="s">
        <v>7</v>
      </c>
      <c r="F6772" t="s">
        <v>7</v>
      </c>
      <c r="G6772" t="s">
        <v>7</v>
      </c>
      <c r="H6772">
        <v>19658.7</v>
      </c>
      <c r="I6772">
        <v>5574.66</v>
      </c>
      <c r="J6772">
        <v>0</v>
      </c>
    </row>
    <row r="6773" spans="1:10" x14ac:dyDescent="0.35">
      <c r="A6773">
        <v>326350</v>
      </c>
      <c r="B6773" t="s">
        <v>20</v>
      </c>
      <c r="C6773">
        <v>2015</v>
      </c>
      <c r="D6773">
        <v>7</v>
      </c>
      <c r="E6773" t="s">
        <v>7</v>
      </c>
      <c r="F6773" t="s">
        <v>7</v>
      </c>
      <c r="G6773" t="s">
        <v>7</v>
      </c>
      <c r="H6773">
        <v>43982.2</v>
      </c>
      <c r="I6773">
        <v>25791.75</v>
      </c>
      <c r="J6773">
        <v>0</v>
      </c>
    </row>
    <row r="6774" spans="1:10" x14ac:dyDescent="0.35">
      <c r="A6774">
        <v>326352</v>
      </c>
      <c r="B6774" t="s">
        <v>20</v>
      </c>
      <c r="C6774">
        <v>2015</v>
      </c>
      <c r="D6774">
        <v>7</v>
      </c>
      <c r="E6774" t="s">
        <v>7</v>
      </c>
      <c r="F6774" t="s">
        <v>7</v>
      </c>
      <c r="G6774" t="s">
        <v>7</v>
      </c>
      <c r="H6774">
        <v>22775.9</v>
      </c>
      <c r="I6774">
        <v>6551.58</v>
      </c>
      <c r="J6774">
        <v>0</v>
      </c>
    </row>
    <row r="6775" spans="1:10" x14ac:dyDescent="0.35">
      <c r="A6775">
        <v>326353</v>
      </c>
      <c r="B6775" t="s">
        <v>20</v>
      </c>
      <c r="C6775">
        <v>2015</v>
      </c>
      <c r="D6775">
        <v>7</v>
      </c>
      <c r="E6775" t="s">
        <v>7</v>
      </c>
      <c r="F6775" t="s">
        <v>7</v>
      </c>
      <c r="G6775" t="s">
        <v>7</v>
      </c>
      <c r="H6775">
        <v>16138.22</v>
      </c>
      <c r="I6775">
        <v>4591.01</v>
      </c>
      <c r="J6775">
        <v>0</v>
      </c>
    </row>
    <row r="6776" spans="1:10" x14ac:dyDescent="0.35">
      <c r="A6776">
        <v>326355</v>
      </c>
      <c r="B6776" t="s">
        <v>20</v>
      </c>
      <c r="C6776">
        <v>2015</v>
      </c>
      <c r="D6776">
        <v>7</v>
      </c>
      <c r="E6776" t="s">
        <v>7</v>
      </c>
      <c r="F6776" t="s">
        <v>7</v>
      </c>
      <c r="G6776" t="s">
        <v>7</v>
      </c>
      <c r="H6776">
        <v>28715.84</v>
      </c>
      <c r="I6776">
        <v>8248.2099999999991</v>
      </c>
      <c r="J6776">
        <v>0</v>
      </c>
    </row>
    <row r="6777" spans="1:10" x14ac:dyDescent="0.35">
      <c r="A6777">
        <v>326359</v>
      </c>
      <c r="B6777" t="s">
        <v>20</v>
      </c>
      <c r="C6777">
        <v>2015</v>
      </c>
      <c r="D6777">
        <v>7</v>
      </c>
      <c r="E6777" t="s">
        <v>7</v>
      </c>
      <c r="F6777" t="s">
        <v>7</v>
      </c>
      <c r="G6777" t="s">
        <v>7</v>
      </c>
      <c r="H6777">
        <v>48925.64</v>
      </c>
      <c r="I6777">
        <v>27729.52</v>
      </c>
      <c r="J6777">
        <v>0</v>
      </c>
    </row>
    <row r="6778" spans="1:10" x14ac:dyDescent="0.35">
      <c r="A6778">
        <v>326361</v>
      </c>
      <c r="B6778" t="s">
        <v>20</v>
      </c>
      <c r="C6778">
        <v>2015</v>
      </c>
      <c r="D6778">
        <v>7</v>
      </c>
      <c r="E6778" t="s">
        <v>7</v>
      </c>
      <c r="F6778" t="s">
        <v>7</v>
      </c>
      <c r="G6778" t="s">
        <v>7</v>
      </c>
      <c r="H6778">
        <v>42909.94</v>
      </c>
      <c r="I6778">
        <v>11690.53</v>
      </c>
      <c r="J6778">
        <v>0</v>
      </c>
    </row>
    <row r="6779" spans="1:10" x14ac:dyDescent="0.35">
      <c r="A6779">
        <v>326362</v>
      </c>
      <c r="B6779" t="s">
        <v>20</v>
      </c>
      <c r="C6779">
        <v>2015</v>
      </c>
      <c r="D6779">
        <v>7</v>
      </c>
      <c r="E6779" t="s">
        <v>7</v>
      </c>
      <c r="F6779" t="s">
        <v>7</v>
      </c>
      <c r="G6779" t="s">
        <v>7</v>
      </c>
      <c r="H6779">
        <v>25070.3</v>
      </c>
      <c r="I6779">
        <v>7311.11</v>
      </c>
      <c r="J6779">
        <v>0</v>
      </c>
    </row>
    <row r="6780" spans="1:10" x14ac:dyDescent="0.35">
      <c r="A6780">
        <v>326365</v>
      </c>
      <c r="B6780" t="s">
        <v>20</v>
      </c>
      <c r="C6780">
        <v>2015</v>
      </c>
      <c r="D6780">
        <v>7</v>
      </c>
      <c r="E6780" t="s">
        <v>7</v>
      </c>
      <c r="F6780" t="s">
        <v>7</v>
      </c>
      <c r="G6780" t="s">
        <v>7</v>
      </c>
      <c r="H6780">
        <v>22132.240000000002</v>
      </c>
      <c r="I6780">
        <v>4818.0200000000004</v>
      </c>
      <c r="J6780">
        <v>0</v>
      </c>
    </row>
    <row r="6781" spans="1:10" x14ac:dyDescent="0.35">
      <c r="A6781">
        <v>326367</v>
      </c>
      <c r="B6781" t="s">
        <v>20</v>
      </c>
      <c r="C6781">
        <v>2015</v>
      </c>
      <c r="D6781">
        <v>7</v>
      </c>
      <c r="E6781" t="s">
        <v>7</v>
      </c>
      <c r="F6781" t="s">
        <v>7</v>
      </c>
      <c r="G6781" t="s">
        <v>7</v>
      </c>
      <c r="H6781">
        <v>27779.24</v>
      </c>
      <c r="I6781">
        <v>7701.91</v>
      </c>
      <c r="J6781">
        <v>0</v>
      </c>
    </row>
    <row r="6782" spans="1:10" x14ac:dyDescent="0.35">
      <c r="A6782">
        <v>326368</v>
      </c>
      <c r="B6782" t="s">
        <v>20</v>
      </c>
      <c r="C6782">
        <v>2015</v>
      </c>
      <c r="D6782">
        <v>7</v>
      </c>
      <c r="E6782" t="s">
        <v>7</v>
      </c>
      <c r="F6782" t="s">
        <v>7</v>
      </c>
      <c r="G6782" t="s">
        <v>7</v>
      </c>
      <c r="H6782">
        <v>24153.06</v>
      </c>
      <c r="I6782">
        <v>6369.2</v>
      </c>
      <c r="J6782">
        <v>0</v>
      </c>
    </row>
    <row r="6783" spans="1:10" x14ac:dyDescent="0.35">
      <c r="A6783">
        <v>326374</v>
      </c>
      <c r="B6783" t="s">
        <v>20</v>
      </c>
      <c r="C6783">
        <v>2015</v>
      </c>
      <c r="D6783">
        <v>7</v>
      </c>
      <c r="E6783" t="s">
        <v>7</v>
      </c>
      <c r="F6783" t="s">
        <v>7</v>
      </c>
      <c r="G6783" t="s">
        <v>7</v>
      </c>
      <c r="H6783">
        <v>74691.16</v>
      </c>
      <c r="I6783">
        <v>32464.42</v>
      </c>
      <c r="J6783">
        <v>0</v>
      </c>
    </row>
    <row r="6784" spans="1:10" x14ac:dyDescent="0.35">
      <c r="A6784">
        <v>326375</v>
      </c>
      <c r="B6784" t="s">
        <v>20</v>
      </c>
      <c r="C6784">
        <v>2015</v>
      </c>
      <c r="D6784">
        <v>7</v>
      </c>
      <c r="E6784" t="s">
        <v>7</v>
      </c>
      <c r="F6784" t="s">
        <v>7</v>
      </c>
      <c r="G6784" t="s">
        <v>7</v>
      </c>
      <c r="H6784">
        <v>28662.1</v>
      </c>
      <c r="I6784">
        <v>8344</v>
      </c>
      <c r="J6784">
        <v>0</v>
      </c>
    </row>
    <row r="6785" spans="1:10" x14ac:dyDescent="0.35">
      <c r="A6785">
        <v>326378</v>
      </c>
      <c r="B6785" t="s">
        <v>20</v>
      </c>
      <c r="C6785">
        <v>2015</v>
      </c>
      <c r="D6785">
        <v>7</v>
      </c>
      <c r="E6785" t="s">
        <v>7</v>
      </c>
      <c r="F6785" t="s">
        <v>7</v>
      </c>
      <c r="G6785" t="s">
        <v>7</v>
      </c>
      <c r="H6785">
        <v>36774.76</v>
      </c>
      <c r="I6785">
        <v>15839.01</v>
      </c>
      <c r="J6785">
        <v>0</v>
      </c>
    </row>
    <row r="6786" spans="1:10" x14ac:dyDescent="0.35">
      <c r="A6786">
        <v>326380</v>
      </c>
      <c r="B6786" t="s">
        <v>20</v>
      </c>
      <c r="C6786">
        <v>2015</v>
      </c>
      <c r="D6786">
        <v>7</v>
      </c>
      <c r="E6786" t="s">
        <v>7</v>
      </c>
      <c r="F6786" t="s">
        <v>7</v>
      </c>
      <c r="G6786" t="s">
        <v>7</v>
      </c>
      <c r="H6786">
        <v>11284.36</v>
      </c>
      <c r="I6786">
        <v>2925.98</v>
      </c>
      <c r="J6786">
        <v>0</v>
      </c>
    </row>
    <row r="6787" spans="1:10" x14ac:dyDescent="0.35">
      <c r="A6787">
        <v>326381</v>
      </c>
      <c r="B6787" t="s">
        <v>20</v>
      </c>
      <c r="C6787">
        <v>2015</v>
      </c>
      <c r="D6787">
        <v>7</v>
      </c>
      <c r="E6787" t="s">
        <v>7</v>
      </c>
      <c r="F6787" t="s">
        <v>7</v>
      </c>
      <c r="G6787" t="s">
        <v>7</v>
      </c>
      <c r="H6787">
        <v>71866.679999999993</v>
      </c>
      <c r="I6787">
        <v>32291.62</v>
      </c>
      <c r="J6787">
        <v>0</v>
      </c>
    </row>
    <row r="6788" spans="1:10" x14ac:dyDescent="0.35">
      <c r="A6788">
        <v>326382</v>
      </c>
      <c r="B6788" t="s">
        <v>20</v>
      </c>
      <c r="C6788">
        <v>2015</v>
      </c>
      <c r="D6788">
        <v>7</v>
      </c>
      <c r="E6788" t="s">
        <v>7</v>
      </c>
      <c r="F6788" t="s">
        <v>7</v>
      </c>
      <c r="G6788" t="s">
        <v>7</v>
      </c>
      <c r="H6788">
        <v>15722.2</v>
      </c>
      <c r="I6788">
        <v>3447.52</v>
      </c>
      <c r="J6788">
        <v>0</v>
      </c>
    </row>
    <row r="6789" spans="1:10" x14ac:dyDescent="0.35">
      <c r="A6789">
        <v>326386</v>
      </c>
      <c r="B6789" t="s">
        <v>20</v>
      </c>
      <c r="C6789">
        <v>2015</v>
      </c>
      <c r="D6789">
        <v>7</v>
      </c>
      <c r="E6789" t="s">
        <v>7</v>
      </c>
      <c r="F6789" t="s">
        <v>7</v>
      </c>
      <c r="G6789" t="s">
        <v>7</v>
      </c>
      <c r="H6789">
        <v>41472.480000000003</v>
      </c>
      <c r="I6789">
        <v>10695.46</v>
      </c>
      <c r="J6789">
        <v>0</v>
      </c>
    </row>
    <row r="6790" spans="1:10" x14ac:dyDescent="0.35">
      <c r="A6790">
        <v>326387</v>
      </c>
      <c r="B6790" t="s">
        <v>20</v>
      </c>
      <c r="C6790">
        <v>2015</v>
      </c>
      <c r="D6790">
        <v>7</v>
      </c>
      <c r="E6790" t="s">
        <v>7</v>
      </c>
      <c r="F6790" t="s">
        <v>7</v>
      </c>
      <c r="G6790" t="s">
        <v>7</v>
      </c>
      <c r="H6790">
        <v>22603.34</v>
      </c>
      <c r="I6790">
        <v>5862.67</v>
      </c>
      <c r="J6790">
        <v>0</v>
      </c>
    </row>
    <row r="6791" spans="1:10" x14ac:dyDescent="0.35">
      <c r="A6791">
        <v>326388</v>
      </c>
      <c r="B6791" t="s">
        <v>20</v>
      </c>
      <c r="C6791">
        <v>2015</v>
      </c>
      <c r="D6791">
        <v>7</v>
      </c>
      <c r="E6791" t="s">
        <v>7</v>
      </c>
      <c r="F6791" t="s">
        <v>7</v>
      </c>
      <c r="G6791" t="s">
        <v>7</v>
      </c>
      <c r="H6791">
        <v>28741.24</v>
      </c>
      <c r="I6791">
        <v>6590.88</v>
      </c>
      <c r="J6791">
        <v>0</v>
      </c>
    </row>
    <row r="6792" spans="1:10" x14ac:dyDescent="0.35">
      <c r="A6792">
        <v>326389</v>
      </c>
      <c r="B6792" t="s">
        <v>20</v>
      </c>
      <c r="C6792">
        <v>2015</v>
      </c>
      <c r="D6792">
        <v>7</v>
      </c>
      <c r="E6792" t="s">
        <v>7</v>
      </c>
      <c r="F6792" t="s">
        <v>7</v>
      </c>
      <c r="G6792" t="s">
        <v>7</v>
      </c>
      <c r="H6792">
        <v>20170.62</v>
      </c>
      <c r="I6792">
        <v>4931.5</v>
      </c>
      <c r="J6792">
        <v>0</v>
      </c>
    </row>
    <row r="6793" spans="1:10" x14ac:dyDescent="0.35">
      <c r="A6793">
        <v>326391</v>
      </c>
      <c r="B6793" t="s">
        <v>20</v>
      </c>
      <c r="C6793">
        <v>2015</v>
      </c>
      <c r="D6793">
        <v>7</v>
      </c>
      <c r="E6793" t="s">
        <v>7</v>
      </c>
      <c r="F6793" t="s">
        <v>7</v>
      </c>
      <c r="G6793" t="s">
        <v>7</v>
      </c>
      <c r="H6793">
        <v>23987.98</v>
      </c>
      <c r="I6793">
        <v>5730.03</v>
      </c>
      <c r="J6793">
        <v>0</v>
      </c>
    </row>
    <row r="6794" spans="1:10" x14ac:dyDescent="0.35">
      <c r="A6794">
        <v>326393</v>
      </c>
      <c r="B6794" t="s">
        <v>20</v>
      </c>
      <c r="C6794">
        <v>2015</v>
      </c>
      <c r="D6794">
        <v>7</v>
      </c>
      <c r="E6794" t="s">
        <v>7</v>
      </c>
      <c r="F6794" t="s">
        <v>7</v>
      </c>
      <c r="G6794" t="s">
        <v>7</v>
      </c>
      <c r="H6794">
        <v>23344.66</v>
      </c>
      <c r="I6794">
        <v>6749.8</v>
      </c>
      <c r="J6794">
        <v>0</v>
      </c>
    </row>
    <row r="6795" spans="1:10" x14ac:dyDescent="0.35">
      <c r="A6795">
        <v>326394</v>
      </c>
      <c r="B6795" t="s">
        <v>20</v>
      </c>
      <c r="C6795">
        <v>2015</v>
      </c>
      <c r="D6795">
        <v>7</v>
      </c>
      <c r="E6795" t="s">
        <v>7</v>
      </c>
      <c r="F6795" t="s">
        <v>7</v>
      </c>
      <c r="G6795" t="s">
        <v>7</v>
      </c>
      <c r="H6795">
        <v>45682.04</v>
      </c>
      <c r="I6795">
        <v>13006.71</v>
      </c>
      <c r="J6795">
        <v>0</v>
      </c>
    </row>
    <row r="6796" spans="1:10" x14ac:dyDescent="0.35">
      <c r="A6796">
        <v>326395</v>
      </c>
      <c r="B6796" t="s">
        <v>20</v>
      </c>
      <c r="C6796">
        <v>2015</v>
      </c>
      <c r="D6796">
        <v>7</v>
      </c>
      <c r="E6796" t="s">
        <v>7</v>
      </c>
      <c r="F6796" t="s">
        <v>7</v>
      </c>
      <c r="G6796" t="s">
        <v>7</v>
      </c>
      <c r="H6796">
        <v>19860.46</v>
      </c>
      <c r="I6796">
        <v>6017.57</v>
      </c>
      <c r="J6796">
        <v>0</v>
      </c>
    </row>
    <row r="6797" spans="1:10" x14ac:dyDescent="0.35">
      <c r="A6797">
        <v>326397</v>
      </c>
      <c r="B6797" t="s">
        <v>20</v>
      </c>
      <c r="C6797">
        <v>2015</v>
      </c>
      <c r="D6797">
        <v>7</v>
      </c>
      <c r="E6797" t="s">
        <v>7</v>
      </c>
      <c r="F6797" t="s">
        <v>7</v>
      </c>
      <c r="G6797" t="s">
        <v>7</v>
      </c>
      <c r="H6797">
        <v>25697.5</v>
      </c>
      <c r="I6797">
        <v>6883.98</v>
      </c>
      <c r="J6797">
        <v>0</v>
      </c>
    </row>
    <row r="6798" spans="1:10" x14ac:dyDescent="0.35">
      <c r="A6798">
        <v>326398</v>
      </c>
      <c r="B6798" t="s">
        <v>20</v>
      </c>
      <c r="C6798">
        <v>2015</v>
      </c>
      <c r="D6798">
        <v>7</v>
      </c>
      <c r="E6798" t="s">
        <v>7</v>
      </c>
      <c r="F6798" t="s">
        <v>7</v>
      </c>
      <c r="G6798" t="s">
        <v>7</v>
      </c>
      <c r="H6798">
        <v>182449.54</v>
      </c>
      <c r="I6798">
        <v>134502.79</v>
      </c>
      <c r="J6798">
        <v>0</v>
      </c>
    </row>
    <row r="6799" spans="1:10" x14ac:dyDescent="0.35">
      <c r="A6799">
        <v>326400</v>
      </c>
      <c r="B6799" t="s">
        <v>20</v>
      </c>
      <c r="C6799">
        <v>2015</v>
      </c>
      <c r="D6799">
        <v>7</v>
      </c>
      <c r="E6799" t="s">
        <v>7</v>
      </c>
      <c r="F6799" t="s">
        <v>7</v>
      </c>
      <c r="G6799" t="s">
        <v>7</v>
      </c>
      <c r="H6799">
        <v>22919.86</v>
      </c>
      <c r="I6799">
        <v>7282.34</v>
      </c>
      <c r="J6799">
        <v>0</v>
      </c>
    </row>
    <row r="6800" spans="1:10" x14ac:dyDescent="0.35">
      <c r="A6800">
        <v>326401</v>
      </c>
      <c r="B6800" t="s">
        <v>20</v>
      </c>
      <c r="C6800">
        <v>2015</v>
      </c>
      <c r="D6800">
        <v>7</v>
      </c>
      <c r="E6800" t="s">
        <v>7</v>
      </c>
      <c r="F6800" t="s">
        <v>7</v>
      </c>
      <c r="G6800" t="s">
        <v>7</v>
      </c>
      <c r="H6800">
        <v>51438.32</v>
      </c>
      <c r="I6800">
        <v>35714.71</v>
      </c>
      <c r="J6800">
        <v>0</v>
      </c>
    </row>
    <row r="6801" spans="1:10" x14ac:dyDescent="0.35">
      <c r="A6801">
        <v>326402</v>
      </c>
      <c r="B6801" t="s">
        <v>20</v>
      </c>
      <c r="C6801">
        <v>2015</v>
      </c>
      <c r="D6801">
        <v>7</v>
      </c>
      <c r="E6801" t="s">
        <v>7</v>
      </c>
      <c r="F6801" t="s">
        <v>7</v>
      </c>
      <c r="G6801" t="s">
        <v>7</v>
      </c>
      <c r="H6801">
        <v>25247.96</v>
      </c>
      <c r="I6801">
        <v>6638.04</v>
      </c>
      <c r="J6801">
        <v>0</v>
      </c>
    </row>
    <row r="6802" spans="1:10" x14ac:dyDescent="0.35">
      <c r="A6802">
        <v>326403</v>
      </c>
      <c r="B6802" t="s">
        <v>20</v>
      </c>
      <c r="C6802">
        <v>2015</v>
      </c>
      <c r="D6802">
        <v>7</v>
      </c>
      <c r="E6802" t="s">
        <v>7</v>
      </c>
      <c r="F6802" t="s">
        <v>7</v>
      </c>
      <c r="G6802" t="s">
        <v>7</v>
      </c>
      <c r="H6802">
        <v>45920.34</v>
      </c>
      <c r="I6802">
        <v>14138.06</v>
      </c>
      <c r="J6802">
        <v>0</v>
      </c>
    </row>
    <row r="6803" spans="1:10" x14ac:dyDescent="0.35">
      <c r="A6803">
        <v>326405</v>
      </c>
      <c r="B6803" t="s">
        <v>20</v>
      </c>
      <c r="C6803">
        <v>2015</v>
      </c>
      <c r="D6803">
        <v>7</v>
      </c>
      <c r="E6803" t="s">
        <v>7</v>
      </c>
      <c r="F6803" t="s">
        <v>7</v>
      </c>
      <c r="G6803" t="s">
        <v>7</v>
      </c>
      <c r="H6803">
        <v>107899.28</v>
      </c>
      <c r="I6803">
        <v>30363.25</v>
      </c>
      <c r="J6803">
        <v>0</v>
      </c>
    </row>
    <row r="6804" spans="1:10" x14ac:dyDescent="0.35">
      <c r="A6804">
        <v>326406</v>
      </c>
      <c r="B6804" t="s">
        <v>20</v>
      </c>
      <c r="C6804">
        <v>2015</v>
      </c>
      <c r="D6804">
        <v>7</v>
      </c>
      <c r="E6804" t="s">
        <v>7</v>
      </c>
      <c r="F6804" t="s">
        <v>7</v>
      </c>
      <c r="G6804" t="s">
        <v>7</v>
      </c>
      <c r="H6804">
        <v>49139.22</v>
      </c>
      <c r="I6804">
        <v>15483.66</v>
      </c>
      <c r="J6804">
        <v>0</v>
      </c>
    </row>
    <row r="6805" spans="1:10" x14ac:dyDescent="0.35">
      <c r="A6805">
        <v>326408</v>
      </c>
      <c r="B6805" t="s">
        <v>20</v>
      </c>
      <c r="C6805">
        <v>2015</v>
      </c>
      <c r="D6805">
        <v>7</v>
      </c>
      <c r="E6805" t="s">
        <v>7</v>
      </c>
      <c r="F6805" t="s">
        <v>7</v>
      </c>
      <c r="G6805" t="s">
        <v>7</v>
      </c>
      <c r="H6805">
        <v>21145.3</v>
      </c>
      <c r="I6805">
        <v>5496.79</v>
      </c>
      <c r="J6805">
        <v>0</v>
      </c>
    </row>
    <row r="6806" spans="1:10" x14ac:dyDescent="0.35">
      <c r="A6806">
        <v>326409</v>
      </c>
      <c r="B6806" t="s">
        <v>20</v>
      </c>
      <c r="C6806">
        <v>2015</v>
      </c>
      <c r="D6806">
        <v>7</v>
      </c>
      <c r="E6806" t="s">
        <v>7</v>
      </c>
      <c r="F6806" t="s">
        <v>7</v>
      </c>
      <c r="G6806" t="s">
        <v>7</v>
      </c>
      <c r="H6806">
        <v>39942.78</v>
      </c>
      <c r="I6806">
        <v>10931.12</v>
      </c>
      <c r="J6806">
        <v>0</v>
      </c>
    </row>
    <row r="6807" spans="1:10" x14ac:dyDescent="0.35">
      <c r="A6807">
        <v>326410</v>
      </c>
      <c r="B6807" t="s">
        <v>20</v>
      </c>
      <c r="C6807">
        <v>2015</v>
      </c>
      <c r="D6807">
        <v>7</v>
      </c>
      <c r="E6807" t="s">
        <v>7</v>
      </c>
      <c r="F6807" t="s">
        <v>7</v>
      </c>
      <c r="G6807" t="s">
        <v>7</v>
      </c>
      <c r="H6807">
        <v>28257.82</v>
      </c>
      <c r="I6807">
        <v>6842.94</v>
      </c>
      <c r="J6807">
        <v>0</v>
      </c>
    </row>
    <row r="6808" spans="1:10" x14ac:dyDescent="0.35">
      <c r="A6808">
        <v>326411</v>
      </c>
      <c r="B6808" t="s">
        <v>20</v>
      </c>
      <c r="C6808">
        <v>2015</v>
      </c>
      <c r="D6808">
        <v>7</v>
      </c>
      <c r="E6808" t="s">
        <v>7</v>
      </c>
      <c r="F6808" t="s">
        <v>7</v>
      </c>
      <c r="G6808" t="s">
        <v>7</v>
      </c>
      <c r="H6808">
        <v>87446.32</v>
      </c>
      <c r="I6808">
        <v>51245.16</v>
      </c>
      <c r="J6808">
        <v>0</v>
      </c>
    </row>
    <row r="6809" spans="1:10" x14ac:dyDescent="0.35">
      <c r="A6809">
        <v>326414</v>
      </c>
      <c r="B6809" t="s">
        <v>20</v>
      </c>
      <c r="C6809">
        <v>2015</v>
      </c>
      <c r="D6809">
        <v>7</v>
      </c>
      <c r="E6809" t="s">
        <v>7</v>
      </c>
      <c r="F6809" t="s">
        <v>7</v>
      </c>
      <c r="G6809" t="s">
        <v>7</v>
      </c>
      <c r="H6809">
        <v>24433.14</v>
      </c>
      <c r="I6809">
        <v>7528.79</v>
      </c>
      <c r="J6809">
        <v>0</v>
      </c>
    </row>
    <row r="6810" spans="1:10" x14ac:dyDescent="0.35">
      <c r="A6810">
        <v>326415</v>
      </c>
      <c r="B6810" t="s">
        <v>20</v>
      </c>
      <c r="C6810">
        <v>2015</v>
      </c>
      <c r="D6810">
        <v>7</v>
      </c>
      <c r="E6810" t="s">
        <v>7</v>
      </c>
      <c r="F6810" t="s">
        <v>7</v>
      </c>
      <c r="G6810" t="s">
        <v>7</v>
      </c>
      <c r="H6810">
        <v>60779.64</v>
      </c>
      <c r="I6810">
        <v>25016.53</v>
      </c>
      <c r="J6810">
        <v>0</v>
      </c>
    </row>
    <row r="6811" spans="1:10" x14ac:dyDescent="0.35">
      <c r="A6811">
        <v>326416</v>
      </c>
      <c r="B6811" t="s">
        <v>20</v>
      </c>
      <c r="C6811">
        <v>2015</v>
      </c>
      <c r="D6811">
        <v>7</v>
      </c>
      <c r="E6811" t="s">
        <v>7</v>
      </c>
      <c r="F6811" t="s">
        <v>7</v>
      </c>
      <c r="G6811" t="s">
        <v>7</v>
      </c>
      <c r="H6811">
        <v>16566.52</v>
      </c>
      <c r="I6811">
        <v>4910.3599999999997</v>
      </c>
      <c r="J6811">
        <v>0</v>
      </c>
    </row>
    <row r="6812" spans="1:10" x14ac:dyDescent="0.35">
      <c r="A6812">
        <v>326417</v>
      </c>
      <c r="B6812" t="s">
        <v>20</v>
      </c>
      <c r="C6812">
        <v>2015</v>
      </c>
      <c r="D6812">
        <v>7</v>
      </c>
      <c r="E6812" t="s">
        <v>7</v>
      </c>
      <c r="F6812" t="s">
        <v>7</v>
      </c>
      <c r="G6812" t="s">
        <v>7</v>
      </c>
      <c r="H6812">
        <v>45411.26</v>
      </c>
      <c r="I6812">
        <v>18928.77</v>
      </c>
      <c r="J6812">
        <v>0</v>
      </c>
    </row>
    <row r="6813" spans="1:10" x14ac:dyDescent="0.35">
      <c r="A6813">
        <v>326418</v>
      </c>
      <c r="B6813" t="s">
        <v>20</v>
      </c>
      <c r="C6813">
        <v>2015</v>
      </c>
      <c r="D6813">
        <v>7</v>
      </c>
      <c r="E6813" t="s">
        <v>7</v>
      </c>
      <c r="F6813" t="s">
        <v>7</v>
      </c>
      <c r="G6813" t="s">
        <v>7</v>
      </c>
      <c r="H6813">
        <v>16445.68</v>
      </c>
      <c r="I6813">
        <v>4414.2700000000004</v>
      </c>
      <c r="J6813">
        <v>0</v>
      </c>
    </row>
    <row r="6814" spans="1:10" x14ac:dyDescent="0.35">
      <c r="A6814">
        <v>326419</v>
      </c>
      <c r="B6814" t="s">
        <v>20</v>
      </c>
      <c r="C6814">
        <v>2015</v>
      </c>
      <c r="D6814">
        <v>7</v>
      </c>
      <c r="E6814" t="s">
        <v>7</v>
      </c>
      <c r="F6814" t="s">
        <v>7</v>
      </c>
      <c r="G6814" t="s">
        <v>7</v>
      </c>
      <c r="H6814">
        <v>58321.279999999999</v>
      </c>
      <c r="I6814">
        <v>31536.68</v>
      </c>
      <c r="J6814">
        <v>0</v>
      </c>
    </row>
    <row r="6815" spans="1:10" x14ac:dyDescent="0.35">
      <c r="A6815">
        <v>326420</v>
      </c>
      <c r="B6815" t="s">
        <v>20</v>
      </c>
      <c r="C6815">
        <v>2015</v>
      </c>
      <c r="D6815">
        <v>7</v>
      </c>
      <c r="E6815" t="s">
        <v>7</v>
      </c>
      <c r="F6815" t="s">
        <v>7</v>
      </c>
      <c r="G6815" t="s">
        <v>7</v>
      </c>
      <c r="H6815">
        <v>39582.980000000003</v>
      </c>
      <c r="I6815">
        <v>11115.45</v>
      </c>
      <c r="J6815">
        <v>0</v>
      </c>
    </row>
    <row r="6816" spans="1:10" x14ac:dyDescent="0.35">
      <c r="A6816">
        <v>326421</v>
      </c>
      <c r="B6816" t="s">
        <v>20</v>
      </c>
      <c r="C6816">
        <v>2015</v>
      </c>
      <c r="D6816">
        <v>7</v>
      </c>
      <c r="E6816" t="s">
        <v>7</v>
      </c>
      <c r="F6816" t="s">
        <v>7</v>
      </c>
      <c r="G6816" t="s">
        <v>7</v>
      </c>
      <c r="H6816">
        <v>23977.94</v>
      </c>
      <c r="I6816">
        <v>5938.03</v>
      </c>
      <c r="J6816">
        <v>0</v>
      </c>
    </row>
    <row r="6817" spans="1:10" x14ac:dyDescent="0.35">
      <c r="A6817">
        <v>326424</v>
      </c>
      <c r="B6817" t="s">
        <v>20</v>
      </c>
      <c r="C6817">
        <v>2015</v>
      </c>
      <c r="D6817">
        <v>7</v>
      </c>
      <c r="E6817" t="s">
        <v>7</v>
      </c>
      <c r="F6817" t="s">
        <v>7</v>
      </c>
      <c r="G6817" t="s">
        <v>7</v>
      </c>
      <c r="H6817">
        <v>27989.34</v>
      </c>
      <c r="I6817">
        <v>8134.3</v>
      </c>
      <c r="J6817">
        <v>0</v>
      </c>
    </row>
    <row r="6818" spans="1:10" x14ac:dyDescent="0.35">
      <c r="A6818">
        <v>326425</v>
      </c>
      <c r="B6818" t="s">
        <v>20</v>
      </c>
      <c r="C6818">
        <v>2015</v>
      </c>
      <c r="D6818">
        <v>7</v>
      </c>
      <c r="E6818" t="s">
        <v>7</v>
      </c>
      <c r="F6818" t="s">
        <v>7</v>
      </c>
      <c r="G6818" t="s">
        <v>7</v>
      </c>
      <c r="H6818">
        <v>18945.18</v>
      </c>
      <c r="I6818">
        <v>5385.07</v>
      </c>
      <c r="J6818">
        <v>0</v>
      </c>
    </row>
    <row r="6819" spans="1:10" x14ac:dyDescent="0.35">
      <c r="A6819">
        <v>326426</v>
      </c>
      <c r="B6819" t="s">
        <v>20</v>
      </c>
      <c r="C6819">
        <v>2015</v>
      </c>
      <c r="D6819">
        <v>7</v>
      </c>
      <c r="E6819" t="s">
        <v>7</v>
      </c>
      <c r="F6819" t="s">
        <v>7</v>
      </c>
      <c r="G6819" t="s">
        <v>7</v>
      </c>
      <c r="H6819">
        <v>88973.69</v>
      </c>
      <c r="I6819">
        <v>51481.58</v>
      </c>
      <c r="J6819">
        <v>0</v>
      </c>
    </row>
    <row r="6820" spans="1:10" x14ac:dyDescent="0.35">
      <c r="A6820">
        <v>326427</v>
      </c>
      <c r="B6820" t="s">
        <v>20</v>
      </c>
      <c r="C6820">
        <v>2015</v>
      </c>
      <c r="D6820">
        <v>7</v>
      </c>
      <c r="E6820" t="s">
        <v>7</v>
      </c>
      <c r="F6820" t="s">
        <v>7</v>
      </c>
      <c r="G6820" t="s">
        <v>7</v>
      </c>
      <c r="H6820">
        <v>25042.14</v>
      </c>
      <c r="I6820">
        <v>6826.23</v>
      </c>
      <c r="J6820">
        <v>0</v>
      </c>
    </row>
    <row r="6821" spans="1:10" x14ac:dyDescent="0.35">
      <c r="A6821">
        <v>326429</v>
      </c>
      <c r="B6821" t="s">
        <v>20</v>
      </c>
      <c r="C6821">
        <v>2015</v>
      </c>
      <c r="D6821">
        <v>7</v>
      </c>
      <c r="E6821" t="s">
        <v>7</v>
      </c>
      <c r="F6821" t="s">
        <v>7</v>
      </c>
      <c r="G6821" t="s">
        <v>7</v>
      </c>
      <c r="H6821">
        <v>28851.08</v>
      </c>
      <c r="I6821">
        <v>7308.86</v>
      </c>
      <c r="J6821">
        <v>0</v>
      </c>
    </row>
    <row r="6822" spans="1:10" x14ac:dyDescent="0.35">
      <c r="A6822">
        <v>326431</v>
      </c>
      <c r="B6822" t="s">
        <v>20</v>
      </c>
      <c r="C6822">
        <v>2015</v>
      </c>
      <c r="D6822">
        <v>7</v>
      </c>
      <c r="E6822" t="s">
        <v>7</v>
      </c>
      <c r="F6822" t="s">
        <v>7</v>
      </c>
      <c r="G6822" t="s">
        <v>7</v>
      </c>
      <c r="H6822">
        <v>53209.599999999999</v>
      </c>
      <c r="I6822">
        <v>16203.49</v>
      </c>
      <c r="J6822">
        <v>0</v>
      </c>
    </row>
    <row r="6823" spans="1:10" x14ac:dyDescent="0.35">
      <c r="A6823">
        <v>326432</v>
      </c>
      <c r="B6823" t="s">
        <v>20</v>
      </c>
      <c r="C6823">
        <v>2015</v>
      </c>
      <c r="D6823">
        <v>7</v>
      </c>
      <c r="E6823" t="s">
        <v>7</v>
      </c>
      <c r="F6823" t="s">
        <v>7</v>
      </c>
      <c r="G6823" t="s">
        <v>7</v>
      </c>
      <c r="H6823">
        <v>59869.24</v>
      </c>
      <c r="I6823">
        <v>26668.21</v>
      </c>
      <c r="J6823">
        <v>0</v>
      </c>
    </row>
    <row r="6824" spans="1:10" x14ac:dyDescent="0.35">
      <c r="A6824">
        <v>326434</v>
      </c>
      <c r="B6824" t="s">
        <v>20</v>
      </c>
      <c r="C6824">
        <v>2015</v>
      </c>
      <c r="D6824">
        <v>7</v>
      </c>
      <c r="E6824" t="s">
        <v>7</v>
      </c>
      <c r="F6824" t="s">
        <v>7</v>
      </c>
      <c r="G6824" t="s">
        <v>7</v>
      </c>
      <c r="H6824">
        <v>44575</v>
      </c>
      <c r="I6824">
        <v>12112.56</v>
      </c>
      <c r="J6824">
        <v>0</v>
      </c>
    </row>
    <row r="6825" spans="1:10" x14ac:dyDescent="0.35">
      <c r="A6825">
        <v>326437</v>
      </c>
      <c r="B6825" t="s">
        <v>20</v>
      </c>
      <c r="C6825">
        <v>2015</v>
      </c>
      <c r="D6825">
        <v>7</v>
      </c>
      <c r="E6825" t="s">
        <v>7</v>
      </c>
      <c r="F6825" t="s">
        <v>7</v>
      </c>
      <c r="G6825" t="s">
        <v>7</v>
      </c>
      <c r="H6825">
        <v>52067.16</v>
      </c>
      <c r="I6825">
        <v>18647.95</v>
      </c>
      <c r="J6825">
        <v>0</v>
      </c>
    </row>
    <row r="6826" spans="1:10" x14ac:dyDescent="0.35">
      <c r="A6826">
        <v>326438</v>
      </c>
      <c r="B6826" t="s">
        <v>20</v>
      </c>
      <c r="C6826">
        <v>2015</v>
      </c>
      <c r="D6826">
        <v>7</v>
      </c>
      <c r="E6826" t="s">
        <v>7</v>
      </c>
      <c r="F6826" t="s">
        <v>7</v>
      </c>
      <c r="G6826" t="s">
        <v>7</v>
      </c>
      <c r="H6826">
        <v>17571.86</v>
      </c>
      <c r="I6826">
        <v>3281.53</v>
      </c>
      <c r="J6826">
        <v>0</v>
      </c>
    </row>
    <row r="6827" spans="1:10" x14ac:dyDescent="0.35">
      <c r="A6827">
        <v>326441</v>
      </c>
      <c r="B6827" t="s">
        <v>20</v>
      </c>
      <c r="C6827">
        <v>2015</v>
      </c>
      <c r="D6827">
        <v>7</v>
      </c>
      <c r="E6827" t="s">
        <v>7</v>
      </c>
      <c r="F6827" t="s">
        <v>7</v>
      </c>
      <c r="G6827" t="s">
        <v>7</v>
      </c>
      <c r="H6827">
        <v>35497.86</v>
      </c>
      <c r="I6827">
        <v>10730.06</v>
      </c>
      <c r="J6827">
        <v>0</v>
      </c>
    </row>
    <row r="6828" spans="1:10" x14ac:dyDescent="0.35">
      <c r="A6828">
        <v>326443</v>
      </c>
      <c r="B6828" t="s">
        <v>20</v>
      </c>
      <c r="C6828">
        <v>2015</v>
      </c>
      <c r="D6828">
        <v>7</v>
      </c>
      <c r="E6828" t="s">
        <v>7</v>
      </c>
      <c r="F6828" t="s">
        <v>7</v>
      </c>
      <c r="G6828" t="s">
        <v>7</v>
      </c>
      <c r="H6828">
        <v>28975.66</v>
      </c>
      <c r="I6828">
        <v>9252.24</v>
      </c>
      <c r="J6828">
        <v>0</v>
      </c>
    </row>
    <row r="6829" spans="1:10" x14ac:dyDescent="0.35">
      <c r="A6829">
        <v>326444</v>
      </c>
      <c r="B6829" t="s">
        <v>20</v>
      </c>
      <c r="C6829">
        <v>2015</v>
      </c>
      <c r="D6829">
        <v>7</v>
      </c>
      <c r="E6829" t="s">
        <v>7</v>
      </c>
      <c r="F6829" t="s">
        <v>7</v>
      </c>
      <c r="G6829" t="s">
        <v>7</v>
      </c>
      <c r="H6829">
        <v>17493.7</v>
      </c>
      <c r="I6829">
        <v>4741.87</v>
      </c>
      <c r="J6829">
        <v>0</v>
      </c>
    </row>
    <row r="6830" spans="1:10" x14ac:dyDescent="0.35">
      <c r="A6830">
        <v>326447</v>
      </c>
      <c r="B6830" t="s">
        <v>20</v>
      </c>
      <c r="C6830">
        <v>2015</v>
      </c>
      <c r="D6830">
        <v>7</v>
      </c>
      <c r="E6830" t="s">
        <v>7</v>
      </c>
      <c r="F6830" t="s">
        <v>7</v>
      </c>
      <c r="G6830" t="s">
        <v>7</v>
      </c>
      <c r="H6830">
        <v>24002.36</v>
      </c>
      <c r="I6830">
        <v>9058.9500000000007</v>
      </c>
      <c r="J6830">
        <v>0</v>
      </c>
    </row>
    <row r="6831" spans="1:10" x14ac:dyDescent="0.35">
      <c r="A6831">
        <v>326451</v>
      </c>
      <c r="B6831" t="s">
        <v>20</v>
      </c>
      <c r="C6831">
        <v>2015</v>
      </c>
      <c r="D6831">
        <v>7</v>
      </c>
      <c r="E6831" t="s">
        <v>7</v>
      </c>
      <c r="F6831" t="s">
        <v>7</v>
      </c>
      <c r="G6831" t="s">
        <v>7</v>
      </c>
      <c r="H6831">
        <v>31427.72</v>
      </c>
      <c r="I6831">
        <v>9330.2199999999993</v>
      </c>
      <c r="J6831">
        <v>0</v>
      </c>
    </row>
    <row r="6832" spans="1:10" x14ac:dyDescent="0.35">
      <c r="A6832">
        <v>326452</v>
      </c>
      <c r="B6832" t="s">
        <v>20</v>
      </c>
      <c r="C6832">
        <v>2015</v>
      </c>
      <c r="D6832">
        <v>7</v>
      </c>
      <c r="E6832" t="s">
        <v>7</v>
      </c>
      <c r="F6832" t="s">
        <v>7</v>
      </c>
      <c r="G6832" t="s">
        <v>7</v>
      </c>
      <c r="H6832">
        <v>18508.18</v>
      </c>
      <c r="I6832">
        <v>5054.51</v>
      </c>
      <c r="J6832">
        <v>0</v>
      </c>
    </row>
    <row r="6833" spans="1:10" x14ac:dyDescent="0.35">
      <c r="A6833">
        <v>326453</v>
      </c>
      <c r="B6833" t="s">
        <v>20</v>
      </c>
      <c r="C6833">
        <v>2015</v>
      </c>
      <c r="D6833">
        <v>7</v>
      </c>
      <c r="E6833" t="s">
        <v>7</v>
      </c>
      <c r="F6833" t="s">
        <v>7</v>
      </c>
      <c r="G6833" t="s">
        <v>7</v>
      </c>
      <c r="H6833">
        <v>8407.64</v>
      </c>
      <c r="I6833">
        <v>2431.7199999999998</v>
      </c>
      <c r="J6833">
        <v>0</v>
      </c>
    </row>
    <row r="6834" spans="1:10" x14ac:dyDescent="0.35">
      <c r="A6834">
        <v>326454</v>
      </c>
      <c r="B6834" t="s">
        <v>20</v>
      </c>
      <c r="C6834">
        <v>2015</v>
      </c>
      <c r="D6834">
        <v>7</v>
      </c>
      <c r="E6834" t="s">
        <v>7</v>
      </c>
      <c r="F6834" t="s">
        <v>7</v>
      </c>
      <c r="G6834" t="s">
        <v>7</v>
      </c>
      <c r="H6834">
        <v>64370.34</v>
      </c>
      <c r="I6834">
        <v>40387.360000000001</v>
      </c>
      <c r="J6834">
        <v>0</v>
      </c>
    </row>
    <row r="6835" spans="1:10" x14ac:dyDescent="0.35">
      <c r="A6835">
        <v>326455</v>
      </c>
      <c r="B6835" t="s">
        <v>20</v>
      </c>
      <c r="C6835">
        <v>2015</v>
      </c>
      <c r="D6835">
        <v>7</v>
      </c>
      <c r="E6835" t="s">
        <v>7</v>
      </c>
      <c r="F6835" t="s">
        <v>7</v>
      </c>
      <c r="G6835" t="s">
        <v>7</v>
      </c>
      <c r="H6835">
        <v>54223.58</v>
      </c>
      <c r="I6835">
        <v>15409.8</v>
      </c>
      <c r="J6835">
        <v>0</v>
      </c>
    </row>
    <row r="6836" spans="1:10" x14ac:dyDescent="0.35">
      <c r="A6836">
        <v>326456</v>
      </c>
      <c r="B6836" t="s">
        <v>20</v>
      </c>
      <c r="C6836">
        <v>2015</v>
      </c>
      <c r="D6836">
        <v>7</v>
      </c>
      <c r="E6836" t="s">
        <v>7</v>
      </c>
      <c r="F6836" t="s">
        <v>7</v>
      </c>
      <c r="G6836" t="s">
        <v>7</v>
      </c>
      <c r="H6836">
        <v>26507.62</v>
      </c>
      <c r="I6836">
        <v>5941.38</v>
      </c>
      <c r="J6836">
        <v>0</v>
      </c>
    </row>
    <row r="6837" spans="1:10" x14ac:dyDescent="0.35">
      <c r="A6837">
        <v>326458</v>
      </c>
      <c r="B6837" t="s">
        <v>20</v>
      </c>
      <c r="C6837">
        <v>2015</v>
      </c>
      <c r="D6837">
        <v>7</v>
      </c>
      <c r="E6837" t="s">
        <v>7</v>
      </c>
      <c r="F6837" t="s">
        <v>7</v>
      </c>
      <c r="G6837" t="s">
        <v>7</v>
      </c>
      <c r="H6837">
        <v>34597.72</v>
      </c>
      <c r="I6837">
        <v>9062.16</v>
      </c>
      <c r="J6837">
        <v>0</v>
      </c>
    </row>
    <row r="6838" spans="1:10" x14ac:dyDescent="0.35">
      <c r="A6838">
        <v>326459</v>
      </c>
      <c r="B6838" t="s">
        <v>20</v>
      </c>
      <c r="C6838">
        <v>2015</v>
      </c>
      <c r="D6838">
        <v>7</v>
      </c>
      <c r="E6838" t="s">
        <v>7</v>
      </c>
      <c r="F6838" t="s">
        <v>7</v>
      </c>
      <c r="G6838" t="s">
        <v>7</v>
      </c>
      <c r="H6838">
        <v>28786.62</v>
      </c>
      <c r="I6838">
        <v>7932.88</v>
      </c>
      <c r="J6838">
        <v>0</v>
      </c>
    </row>
    <row r="6839" spans="1:10" x14ac:dyDescent="0.35">
      <c r="A6839">
        <v>326461</v>
      </c>
      <c r="B6839" t="s">
        <v>20</v>
      </c>
      <c r="C6839">
        <v>2015</v>
      </c>
      <c r="D6839">
        <v>7</v>
      </c>
      <c r="E6839" t="s">
        <v>7</v>
      </c>
      <c r="F6839" t="s">
        <v>7</v>
      </c>
      <c r="G6839" t="s">
        <v>7</v>
      </c>
      <c r="H6839">
        <v>11795.16</v>
      </c>
      <c r="I6839">
        <v>3129.4</v>
      </c>
      <c r="J6839">
        <v>0</v>
      </c>
    </row>
    <row r="6840" spans="1:10" x14ac:dyDescent="0.35">
      <c r="A6840">
        <v>326462</v>
      </c>
      <c r="B6840" t="s">
        <v>20</v>
      </c>
      <c r="C6840">
        <v>2015</v>
      </c>
      <c r="D6840">
        <v>7</v>
      </c>
      <c r="E6840" t="s">
        <v>7</v>
      </c>
      <c r="F6840" t="s">
        <v>7</v>
      </c>
      <c r="G6840" t="s">
        <v>7</v>
      </c>
      <c r="H6840">
        <v>15883.86</v>
      </c>
      <c r="I6840">
        <v>3180.24</v>
      </c>
      <c r="J6840">
        <v>0</v>
      </c>
    </row>
    <row r="6841" spans="1:10" x14ac:dyDescent="0.35">
      <c r="A6841">
        <v>326464</v>
      </c>
      <c r="B6841" t="s">
        <v>20</v>
      </c>
      <c r="C6841">
        <v>2015</v>
      </c>
      <c r="D6841">
        <v>7</v>
      </c>
      <c r="E6841" t="s">
        <v>7</v>
      </c>
      <c r="F6841" t="s">
        <v>7</v>
      </c>
      <c r="G6841" t="s">
        <v>7</v>
      </c>
      <c r="H6841">
        <v>16019.18</v>
      </c>
      <c r="I6841">
        <v>4673.83</v>
      </c>
      <c r="J6841">
        <v>0</v>
      </c>
    </row>
    <row r="6842" spans="1:10" x14ac:dyDescent="0.35">
      <c r="A6842">
        <v>326465</v>
      </c>
      <c r="B6842" t="s">
        <v>20</v>
      </c>
      <c r="C6842">
        <v>2015</v>
      </c>
      <c r="D6842">
        <v>7</v>
      </c>
      <c r="E6842" t="s">
        <v>7</v>
      </c>
      <c r="F6842" t="s">
        <v>7</v>
      </c>
      <c r="G6842" t="s">
        <v>7</v>
      </c>
      <c r="H6842">
        <v>32090.62</v>
      </c>
      <c r="I6842">
        <v>8257.67</v>
      </c>
      <c r="J6842">
        <v>0</v>
      </c>
    </row>
    <row r="6843" spans="1:10" x14ac:dyDescent="0.35">
      <c r="A6843">
        <v>326466</v>
      </c>
      <c r="B6843" t="s">
        <v>20</v>
      </c>
      <c r="C6843">
        <v>2015</v>
      </c>
      <c r="D6843">
        <v>7</v>
      </c>
      <c r="E6843" t="s">
        <v>7</v>
      </c>
      <c r="F6843" t="s">
        <v>7</v>
      </c>
      <c r="G6843" t="s">
        <v>7</v>
      </c>
      <c r="H6843">
        <v>13427</v>
      </c>
      <c r="I6843">
        <v>3472.45</v>
      </c>
      <c r="J6843">
        <v>0</v>
      </c>
    </row>
    <row r="6844" spans="1:10" x14ac:dyDescent="0.35">
      <c r="A6844">
        <v>326470</v>
      </c>
      <c r="B6844" t="s">
        <v>20</v>
      </c>
      <c r="C6844">
        <v>2015</v>
      </c>
      <c r="D6844">
        <v>7</v>
      </c>
      <c r="E6844" t="s">
        <v>7</v>
      </c>
      <c r="F6844" t="s">
        <v>7</v>
      </c>
      <c r="G6844" t="s">
        <v>7</v>
      </c>
      <c r="H6844">
        <v>22689.26</v>
      </c>
      <c r="I6844">
        <v>6797.84</v>
      </c>
      <c r="J6844">
        <v>0</v>
      </c>
    </row>
    <row r="6845" spans="1:10" x14ac:dyDescent="0.35">
      <c r="A6845">
        <v>326471</v>
      </c>
      <c r="B6845" t="s">
        <v>20</v>
      </c>
      <c r="C6845">
        <v>2015</v>
      </c>
      <c r="D6845">
        <v>7</v>
      </c>
      <c r="E6845" t="s">
        <v>7</v>
      </c>
      <c r="F6845" t="s">
        <v>7</v>
      </c>
      <c r="G6845" t="s">
        <v>7</v>
      </c>
      <c r="H6845">
        <v>20733.5</v>
      </c>
      <c r="I6845">
        <v>6361.97</v>
      </c>
      <c r="J6845">
        <v>0</v>
      </c>
    </row>
    <row r="6846" spans="1:10" x14ac:dyDescent="0.35">
      <c r="A6846">
        <v>326474</v>
      </c>
      <c r="B6846" t="s">
        <v>20</v>
      </c>
      <c r="C6846">
        <v>2015</v>
      </c>
      <c r="D6846">
        <v>7</v>
      </c>
      <c r="E6846" t="s">
        <v>7</v>
      </c>
      <c r="F6846" t="s">
        <v>7</v>
      </c>
      <c r="G6846" t="s">
        <v>7</v>
      </c>
      <c r="H6846">
        <v>10352.92</v>
      </c>
      <c r="I6846">
        <v>2767.6</v>
      </c>
      <c r="J6846">
        <v>0</v>
      </c>
    </row>
    <row r="6847" spans="1:10" x14ac:dyDescent="0.35">
      <c r="A6847">
        <v>326475</v>
      </c>
      <c r="B6847" t="s">
        <v>20</v>
      </c>
      <c r="C6847">
        <v>2015</v>
      </c>
      <c r="D6847">
        <v>7</v>
      </c>
      <c r="E6847" t="s">
        <v>7</v>
      </c>
      <c r="F6847" t="s">
        <v>7</v>
      </c>
      <c r="G6847" t="s">
        <v>7</v>
      </c>
      <c r="H6847">
        <v>8302.58</v>
      </c>
      <c r="I6847">
        <v>2278.5</v>
      </c>
      <c r="J6847">
        <v>0</v>
      </c>
    </row>
    <row r="6848" spans="1:10" x14ac:dyDescent="0.35">
      <c r="A6848">
        <v>326476</v>
      </c>
      <c r="B6848" t="s">
        <v>20</v>
      </c>
      <c r="C6848">
        <v>2015</v>
      </c>
      <c r="D6848">
        <v>7</v>
      </c>
      <c r="E6848" t="s">
        <v>7</v>
      </c>
      <c r="F6848" t="s">
        <v>7</v>
      </c>
      <c r="G6848" t="s">
        <v>7</v>
      </c>
      <c r="H6848">
        <v>24222.32</v>
      </c>
      <c r="I6848">
        <v>7059.58</v>
      </c>
      <c r="J6848">
        <v>0</v>
      </c>
    </row>
    <row r="6849" spans="1:10" x14ac:dyDescent="0.35">
      <c r="A6849">
        <v>326478</v>
      </c>
      <c r="B6849" t="s">
        <v>20</v>
      </c>
      <c r="C6849">
        <v>2015</v>
      </c>
      <c r="D6849">
        <v>7</v>
      </c>
      <c r="E6849" t="s">
        <v>7</v>
      </c>
      <c r="F6849" t="s">
        <v>7</v>
      </c>
      <c r="G6849" t="s">
        <v>7</v>
      </c>
      <c r="H6849">
        <v>56816.9</v>
      </c>
      <c r="I6849">
        <v>23432.32</v>
      </c>
      <c r="J6849">
        <v>0</v>
      </c>
    </row>
    <row r="6850" spans="1:10" x14ac:dyDescent="0.35">
      <c r="A6850">
        <v>326480</v>
      </c>
      <c r="B6850" t="s">
        <v>20</v>
      </c>
      <c r="C6850">
        <v>2015</v>
      </c>
      <c r="D6850">
        <v>7</v>
      </c>
      <c r="E6850" t="s">
        <v>7</v>
      </c>
      <c r="F6850" t="s">
        <v>7</v>
      </c>
      <c r="G6850" t="s">
        <v>7</v>
      </c>
      <c r="H6850">
        <v>69310.740000000005</v>
      </c>
      <c r="I6850">
        <v>20639.2</v>
      </c>
      <c r="J6850">
        <v>0</v>
      </c>
    </row>
    <row r="6851" spans="1:10" x14ac:dyDescent="0.35">
      <c r="A6851">
        <v>326483</v>
      </c>
      <c r="B6851" t="s">
        <v>20</v>
      </c>
      <c r="C6851">
        <v>2015</v>
      </c>
      <c r="D6851">
        <v>7</v>
      </c>
      <c r="E6851" t="s">
        <v>7</v>
      </c>
      <c r="F6851" t="s">
        <v>7</v>
      </c>
      <c r="G6851" t="s">
        <v>7</v>
      </c>
      <c r="H6851">
        <v>37025.56</v>
      </c>
      <c r="I6851">
        <v>11149.49</v>
      </c>
      <c r="J6851">
        <v>0</v>
      </c>
    </row>
    <row r="6852" spans="1:10" x14ac:dyDescent="0.35">
      <c r="A6852">
        <v>326484</v>
      </c>
      <c r="B6852" t="s">
        <v>20</v>
      </c>
      <c r="C6852">
        <v>2015</v>
      </c>
      <c r="D6852">
        <v>7</v>
      </c>
      <c r="E6852" t="s">
        <v>7</v>
      </c>
      <c r="F6852" t="s">
        <v>7</v>
      </c>
      <c r="G6852" t="s">
        <v>7</v>
      </c>
      <c r="H6852">
        <v>23553.18</v>
      </c>
      <c r="I6852">
        <v>5319.66</v>
      </c>
      <c r="J6852">
        <v>0</v>
      </c>
    </row>
    <row r="6853" spans="1:10" x14ac:dyDescent="0.35">
      <c r="A6853">
        <v>326485</v>
      </c>
      <c r="B6853" t="s">
        <v>20</v>
      </c>
      <c r="C6853">
        <v>2015</v>
      </c>
      <c r="D6853">
        <v>7</v>
      </c>
      <c r="E6853" t="s">
        <v>7</v>
      </c>
      <c r="F6853" t="s">
        <v>7</v>
      </c>
      <c r="G6853" t="s">
        <v>7</v>
      </c>
      <c r="H6853">
        <v>26523.82</v>
      </c>
      <c r="I6853">
        <v>6575.55</v>
      </c>
      <c r="J6853">
        <v>0</v>
      </c>
    </row>
    <row r="6854" spans="1:10" x14ac:dyDescent="0.35">
      <c r="A6854">
        <v>326486</v>
      </c>
      <c r="B6854" t="s">
        <v>20</v>
      </c>
      <c r="C6854">
        <v>2015</v>
      </c>
      <c r="D6854">
        <v>7</v>
      </c>
      <c r="E6854" t="s">
        <v>7</v>
      </c>
      <c r="F6854" t="s">
        <v>7</v>
      </c>
      <c r="G6854" t="s">
        <v>7</v>
      </c>
      <c r="H6854">
        <v>21625.4</v>
      </c>
      <c r="I6854">
        <v>4857.26</v>
      </c>
      <c r="J6854">
        <v>0</v>
      </c>
    </row>
    <row r="6855" spans="1:10" x14ac:dyDescent="0.35">
      <c r="A6855">
        <v>326487</v>
      </c>
      <c r="B6855" t="s">
        <v>20</v>
      </c>
      <c r="C6855">
        <v>2015</v>
      </c>
      <c r="D6855">
        <v>7</v>
      </c>
      <c r="E6855" t="s">
        <v>7</v>
      </c>
      <c r="F6855" t="s">
        <v>7</v>
      </c>
      <c r="G6855" t="s">
        <v>7</v>
      </c>
      <c r="H6855">
        <v>24134.22</v>
      </c>
      <c r="I6855">
        <v>7681.62</v>
      </c>
      <c r="J6855">
        <v>0</v>
      </c>
    </row>
    <row r="6856" spans="1:10" x14ac:dyDescent="0.35">
      <c r="A6856">
        <v>326488</v>
      </c>
      <c r="B6856" t="s">
        <v>20</v>
      </c>
      <c r="C6856">
        <v>2015</v>
      </c>
      <c r="D6856">
        <v>7</v>
      </c>
      <c r="E6856" t="s">
        <v>7</v>
      </c>
      <c r="F6856" t="s">
        <v>7</v>
      </c>
      <c r="G6856" t="s">
        <v>7</v>
      </c>
      <c r="H6856">
        <v>26149.279999999999</v>
      </c>
      <c r="I6856">
        <v>7987.33</v>
      </c>
      <c r="J6856">
        <v>0</v>
      </c>
    </row>
    <row r="6857" spans="1:10" x14ac:dyDescent="0.35">
      <c r="A6857">
        <v>326489</v>
      </c>
      <c r="B6857" t="s">
        <v>20</v>
      </c>
      <c r="C6857">
        <v>2015</v>
      </c>
      <c r="D6857">
        <v>7</v>
      </c>
      <c r="E6857" t="s">
        <v>7</v>
      </c>
      <c r="F6857" t="s">
        <v>7</v>
      </c>
      <c r="G6857" t="s">
        <v>7</v>
      </c>
      <c r="H6857">
        <v>49545.38</v>
      </c>
      <c r="I6857">
        <v>11764.99</v>
      </c>
      <c r="J6857">
        <v>0</v>
      </c>
    </row>
    <row r="6858" spans="1:10" x14ac:dyDescent="0.35">
      <c r="A6858">
        <v>326491</v>
      </c>
      <c r="B6858" t="s">
        <v>20</v>
      </c>
      <c r="C6858">
        <v>2015</v>
      </c>
      <c r="D6858">
        <v>7</v>
      </c>
      <c r="E6858" t="s">
        <v>7</v>
      </c>
      <c r="F6858" t="s">
        <v>7</v>
      </c>
      <c r="G6858" t="s">
        <v>7</v>
      </c>
      <c r="H6858">
        <v>94232.3</v>
      </c>
      <c r="I6858">
        <v>34714.46</v>
      </c>
      <c r="J6858">
        <v>0</v>
      </c>
    </row>
    <row r="6859" spans="1:10" x14ac:dyDescent="0.35">
      <c r="A6859">
        <v>326492</v>
      </c>
      <c r="B6859" t="s">
        <v>20</v>
      </c>
      <c r="C6859">
        <v>2015</v>
      </c>
      <c r="D6859">
        <v>7</v>
      </c>
      <c r="E6859" t="s">
        <v>7</v>
      </c>
      <c r="F6859" t="s">
        <v>7</v>
      </c>
      <c r="G6859" t="s">
        <v>7</v>
      </c>
      <c r="H6859">
        <v>11400.8</v>
      </c>
      <c r="I6859">
        <v>2824.72</v>
      </c>
      <c r="J6859">
        <v>0</v>
      </c>
    </row>
    <row r="6860" spans="1:10" x14ac:dyDescent="0.35">
      <c r="A6860">
        <v>326493</v>
      </c>
      <c r="B6860" t="s">
        <v>20</v>
      </c>
      <c r="C6860">
        <v>2015</v>
      </c>
      <c r="D6860">
        <v>7</v>
      </c>
      <c r="E6860" t="s">
        <v>7</v>
      </c>
      <c r="F6860" t="s">
        <v>7</v>
      </c>
      <c r="G6860" t="s">
        <v>7</v>
      </c>
      <c r="H6860">
        <v>39741.46</v>
      </c>
      <c r="I6860">
        <v>11570.9</v>
      </c>
      <c r="J6860">
        <v>0</v>
      </c>
    </row>
    <row r="6861" spans="1:10" x14ac:dyDescent="0.35">
      <c r="A6861">
        <v>326494</v>
      </c>
      <c r="B6861" t="s">
        <v>20</v>
      </c>
      <c r="C6861">
        <v>2015</v>
      </c>
      <c r="D6861">
        <v>7</v>
      </c>
      <c r="E6861" t="s">
        <v>7</v>
      </c>
      <c r="F6861" t="s">
        <v>7</v>
      </c>
      <c r="G6861" t="s">
        <v>7</v>
      </c>
      <c r="H6861">
        <v>15053.82</v>
      </c>
      <c r="I6861">
        <v>4359.17</v>
      </c>
      <c r="J6861">
        <v>0</v>
      </c>
    </row>
    <row r="6862" spans="1:10" x14ac:dyDescent="0.35">
      <c r="A6862">
        <v>326495</v>
      </c>
      <c r="B6862" t="s">
        <v>20</v>
      </c>
      <c r="C6862">
        <v>2015</v>
      </c>
      <c r="D6862">
        <v>7</v>
      </c>
      <c r="E6862" t="s">
        <v>7</v>
      </c>
      <c r="F6862" t="s">
        <v>7</v>
      </c>
      <c r="G6862" t="s">
        <v>7</v>
      </c>
      <c r="H6862">
        <v>34773.9</v>
      </c>
      <c r="I6862">
        <v>8783.52</v>
      </c>
      <c r="J6862">
        <v>0</v>
      </c>
    </row>
    <row r="6863" spans="1:10" x14ac:dyDescent="0.35">
      <c r="A6863">
        <v>326497</v>
      </c>
      <c r="B6863" t="s">
        <v>20</v>
      </c>
      <c r="C6863">
        <v>2015</v>
      </c>
      <c r="D6863">
        <v>7</v>
      </c>
      <c r="E6863" t="s">
        <v>7</v>
      </c>
      <c r="F6863" t="s">
        <v>7</v>
      </c>
      <c r="G6863" t="s">
        <v>7</v>
      </c>
      <c r="H6863">
        <v>19730.02</v>
      </c>
      <c r="I6863">
        <v>2927.16</v>
      </c>
      <c r="J6863">
        <v>0</v>
      </c>
    </row>
    <row r="6864" spans="1:10" x14ac:dyDescent="0.35">
      <c r="A6864">
        <v>326501</v>
      </c>
      <c r="B6864" t="s">
        <v>20</v>
      </c>
      <c r="C6864">
        <v>2015</v>
      </c>
      <c r="D6864">
        <v>7</v>
      </c>
      <c r="E6864" t="s">
        <v>7</v>
      </c>
      <c r="F6864" t="s">
        <v>7</v>
      </c>
      <c r="G6864" t="s">
        <v>7</v>
      </c>
      <c r="H6864">
        <v>53212.66</v>
      </c>
      <c r="I6864">
        <v>24961.119999999999</v>
      </c>
      <c r="J6864">
        <v>0</v>
      </c>
    </row>
    <row r="6865" spans="1:10" x14ac:dyDescent="0.35">
      <c r="A6865">
        <v>326503</v>
      </c>
      <c r="B6865" t="s">
        <v>20</v>
      </c>
      <c r="C6865">
        <v>2015</v>
      </c>
      <c r="D6865">
        <v>7</v>
      </c>
      <c r="E6865" t="s">
        <v>7</v>
      </c>
      <c r="F6865" t="s">
        <v>7</v>
      </c>
      <c r="G6865" t="s">
        <v>7</v>
      </c>
      <c r="H6865">
        <v>20135.02</v>
      </c>
      <c r="I6865">
        <v>6127</v>
      </c>
      <c r="J6865">
        <v>0</v>
      </c>
    </row>
    <row r="6866" spans="1:10" x14ac:dyDescent="0.35">
      <c r="A6866">
        <v>326504</v>
      </c>
      <c r="B6866" t="s">
        <v>20</v>
      </c>
      <c r="C6866">
        <v>2015</v>
      </c>
      <c r="D6866">
        <v>7</v>
      </c>
      <c r="E6866" t="s">
        <v>7</v>
      </c>
      <c r="F6866" t="s">
        <v>7</v>
      </c>
      <c r="G6866" t="s">
        <v>7</v>
      </c>
      <c r="H6866">
        <v>27576</v>
      </c>
      <c r="I6866">
        <v>9498.01</v>
      </c>
      <c r="J6866">
        <v>0</v>
      </c>
    </row>
    <row r="6867" spans="1:10" x14ac:dyDescent="0.35">
      <c r="A6867">
        <v>326507</v>
      </c>
      <c r="B6867" t="s">
        <v>20</v>
      </c>
      <c r="C6867">
        <v>2015</v>
      </c>
      <c r="D6867">
        <v>7</v>
      </c>
      <c r="E6867" t="s">
        <v>7</v>
      </c>
      <c r="F6867" t="s">
        <v>7</v>
      </c>
      <c r="G6867" t="s">
        <v>7</v>
      </c>
      <c r="H6867">
        <v>34306.94</v>
      </c>
      <c r="I6867">
        <v>8110.06</v>
      </c>
      <c r="J6867">
        <v>0</v>
      </c>
    </row>
    <row r="6868" spans="1:10" x14ac:dyDescent="0.35">
      <c r="A6868">
        <v>326508</v>
      </c>
      <c r="B6868" t="s">
        <v>20</v>
      </c>
      <c r="C6868">
        <v>2015</v>
      </c>
      <c r="D6868">
        <v>7</v>
      </c>
      <c r="E6868" t="s">
        <v>7</v>
      </c>
      <c r="F6868" t="s">
        <v>7</v>
      </c>
      <c r="G6868" t="s">
        <v>7</v>
      </c>
      <c r="H6868">
        <v>23129.439999999999</v>
      </c>
      <c r="I6868">
        <v>7135.56</v>
      </c>
      <c r="J6868">
        <v>0</v>
      </c>
    </row>
    <row r="6869" spans="1:10" x14ac:dyDescent="0.35">
      <c r="A6869">
        <v>326510</v>
      </c>
      <c r="B6869" t="s">
        <v>20</v>
      </c>
      <c r="C6869">
        <v>2015</v>
      </c>
      <c r="D6869">
        <v>7</v>
      </c>
      <c r="E6869" t="s">
        <v>7</v>
      </c>
      <c r="F6869" t="s">
        <v>7</v>
      </c>
      <c r="G6869" t="s">
        <v>7</v>
      </c>
      <c r="H6869">
        <v>22061.200000000001</v>
      </c>
      <c r="I6869">
        <v>6707.81</v>
      </c>
      <c r="J6869">
        <v>0</v>
      </c>
    </row>
    <row r="6870" spans="1:10" x14ac:dyDescent="0.35">
      <c r="A6870">
        <v>326512</v>
      </c>
      <c r="B6870" t="s">
        <v>20</v>
      </c>
      <c r="C6870">
        <v>2015</v>
      </c>
      <c r="D6870">
        <v>7</v>
      </c>
      <c r="E6870" t="s">
        <v>7</v>
      </c>
      <c r="F6870" t="s">
        <v>7</v>
      </c>
      <c r="G6870" t="s">
        <v>7</v>
      </c>
      <c r="H6870">
        <v>30096.94</v>
      </c>
      <c r="I6870">
        <v>8360.61</v>
      </c>
      <c r="J6870">
        <v>0</v>
      </c>
    </row>
    <row r="6871" spans="1:10" x14ac:dyDescent="0.35">
      <c r="A6871">
        <v>326513</v>
      </c>
      <c r="B6871" t="s">
        <v>20</v>
      </c>
      <c r="C6871">
        <v>2015</v>
      </c>
      <c r="D6871">
        <v>7</v>
      </c>
      <c r="E6871" t="s">
        <v>7</v>
      </c>
      <c r="F6871" t="s">
        <v>7</v>
      </c>
      <c r="G6871" t="s">
        <v>7</v>
      </c>
      <c r="H6871">
        <v>23919.38</v>
      </c>
      <c r="I6871">
        <v>7323.66</v>
      </c>
      <c r="J6871">
        <v>0</v>
      </c>
    </row>
    <row r="6872" spans="1:10" x14ac:dyDescent="0.35">
      <c r="A6872">
        <v>326515</v>
      </c>
      <c r="B6872" t="s">
        <v>20</v>
      </c>
      <c r="C6872">
        <v>2015</v>
      </c>
      <c r="D6872">
        <v>7</v>
      </c>
      <c r="E6872" t="s">
        <v>7</v>
      </c>
      <c r="F6872" t="s">
        <v>7</v>
      </c>
      <c r="G6872" t="s">
        <v>7</v>
      </c>
      <c r="H6872">
        <v>40730.92</v>
      </c>
      <c r="I6872">
        <v>10123.700000000001</v>
      </c>
      <c r="J6872">
        <v>0</v>
      </c>
    </row>
    <row r="6873" spans="1:10" x14ac:dyDescent="0.35">
      <c r="A6873">
        <v>326517</v>
      </c>
      <c r="B6873" t="s">
        <v>20</v>
      </c>
      <c r="C6873">
        <v>2015</v>
      </c>
      <c r="D6873">
        <v>7</v>
      </c>
      <c r="E6873" t="s">
        <v>7</v>
      </c>
      <c r="F6873" t="s">
        <v>7</v>
      </c>
      <c r="G6873" t="s">
        <v>7</v>
      </c>
      <c r="H6873">
        <v>13807.68</v>
      </c>
      <c r="I6873">
        <v>3125.56</v>
      </c>
      <c r="J6873">
        <v>0</v>
      </c>
    </row>
    <row r="6874" spans="1:10" x14ac:dyDescent="0.35">
      <c r="A6874">
        <v>326518</v>
      </c>
      <c r="B6874" t="s">
        <v>20</v>
      </c>
      <c r="C6874">
        <v>2015</v>
      </c>
      <c r="D6874">
        <v>7</v>
      </c>
      <c r="E6874" t="s">
        <v>7</v>
      </c>
      <c r="F6874" t="s">
        <v>7</v>
      </c>
      <c r="G6874" t="s">
        <v>7</v>
      </c>
      <c r="H6874">
        <v>61593.3</v>
      </c>
      <c r="I6874">
        <v>36931.300000000003</v>
      </c>
      <c r="J6874">
        <v>0</v>
      </c>
    </row>
    <row r="6875" spans="1:10" x14ac:dyDescent="0.35">
      <c r="A6875">
        <v>326519</v>
      </c>
      <c r="B6875" t="s">
        <v>20</v>
      </c>
      <c r="C6875">
        <v>2015</v>
      </c>
      <c r="D6875">
        <v>7</v>
      </c>
      <c r="E6875" t="s">
        <v>7</v>
      </c>
      <c r="F6875" t="s">
        <v>7</v>
      </c>
      <c r="G6875" t="s">
        <v>7</v>
      </c>
      <c r="H6875">
        <v>19018.22</v>
      </c>
      <c r="I6875">
        <v>5279.31</v>
      </c>
      <c r="J6875">
        <v>0</v>
      </c>
    </row>
    <row r="6876" spans="1:10" x14ac:dyDescent="0.35">
      <c r="A6876">
        <v>326520</v>
      </c>
      <c r="B6876" t="s">
        <v>20</v>
      </c>
      <c r="C6876">
        <v>2015</v>
      </c>
      <c r="D6876">
        <v>7</v>
      </c>
      <c r="E6876" t="s">
        <v>7</v>
      </c>
      <c r="F6876" t="s">
        <v>7</v>
      </c>
      <c r="G6876" t="s">
        <v>7</v>
      </c>
      <c r="H6876">
        <v>36898.720000000001</v>
      </c>
      <c r="I6876">
        <v>9075.4500000000007</v>
      </c>
      <c r="J6876">
        <v>0</v>
      </c>
    </row>
    <row r="6877" spans="1:10" x14ac:dyDescent="0.35">
      <c r="A6877">
        <v>326521</v>
      </c>
      <c r="B6877" t="s">
        <v>20</v>
      </c>
      <c r="C6877">
        <v>2015</v>
      </c>
      <c r="D6877">
        <v>7</v>
      </c>
      <c r="E6877" t="s">
        <v>7</v>
      </c>
      <c r="F6877" t="s">
        <v>7</v>
      </c>
      <c r="G6877" t="s">
        <v>7</v>
      </c>
      <c r="H6877">
        <v>15672.56</v>
      </c>
      <c r="I6877">
        <v>3283.2</v>
      </c>
      <c r="J6877">
        <v>0</v>
      </c>
    </row>
    <row r="6878" spans="1:10" x14ac:dyDescent="0.35">
      <c r="A6878">
        <v>326522</v>
      </c>
      <c r="B6878" t="s">
        <v>20</v>
      </c>
      <c r="C6878">
        <v>2015</v>
      </c>
      <c r="D6878">
        <v>7</v>
      </c>
      <c r="E6878" t="s">
        <v>7</v>
      </c>
      <c r="F6878" t="s">
        <v>7</v>
      </c>
      <c r="G6878" t="s">
        <v>7</v>
      </c>
      <c r="H6878">
        <v>18090.62</v>
      </c>
      <c r="I6878">
        <v>5177.04</v>
      </c>
      <c r="J6878">
        <v>0</v>
      </c>
    </row>
    <row r="6879" spans="1:10" x14ac:dyDescent="0.35">
      <c r="A6879">
        <v>326524</v>
      </c>
      <c r="B6879" t="s">
        <v>20</v>
      </c>
      <c r="C6879">
        <v>2015</v>
      </c>
      <c r="D6879">
        <v>7</v>
      </c>
      <c r="E6879" t="s">
        <v>7</v>
      </c>
      <c r="F6879" t="s">
        <v>7</v>
      </c>
      <c r="G6879" t="s">
        <v>7</v>
      </c>
      <c r="H6879">
        <v>13764.48</v>
      </c>
      <c r="I6879">
        <v>3477.41</v>
      </c>
      <c r="J6879">
        <v>0</v>
      </c>
    </row>
    <row r="6880" spans="1:10" x14ac:dyDescent="0.35">
      <c r="A6880">
        <v>326526</v>
      </c>
      <c r="B6880" t="s">
        <v>20</v>
      </c>
      <c r="C6880">
        <v>2015</v>
      </c>
      <c r="D6880">
        <v>7</v>
      </c>
      <c r="E6880" t="s">
        <v>7</v>
      </c>
      <c r="F6880" t="s">
        <v>7</v>
      </c>
      <c r="G6880" t="s">
        <v>7</v>
      </c>
      <c r="H6880">
        <v>51775.040000000001</v>
      </c>
      <c r="I6880">
        <v>15561.16</v>
      </c>
      <c r="J6880">
        <v>0</v>
      </c>
    </row>
    <row r="6881" spans="1:10" x14ac:dyDescent="0.35">
      <c r="A6881">
        <v>326527</v>
      </c>
      <c r="B6881" t="s">
        <v>20</v>
      </c>
      <c r="C6881">
        <v>2015</v>
      </c>
      <c r="D6881">
        <v>7</v>
      </c>
      <c r="E6881" t="s">
        <v>7</v>
      </c>
      <c r="F6881" t="s">
        <v>7</v>
      </c>
      <c r="G6881" t="s">
        <v>7</v>
      </c>
      <c r="H6881">
        <v>18345.02</v>
      </c>
      <c r="I6881">
        <v>5049.43</v>
      </c>
      <c r="J6881">
        <v>0</v>
      </c>
    </row>
    <row r="6882" spans="1:10" x14ac:dyDescent="0.35">
      <c r="A6882">
        <v>326528</v>
      </c>
      <c r="B6882" t="s">
        <v>20</v>
      </c>
      <c r="C6882">
        <v>2015</v>
      </c>
      <c r="D6882">
        <v>7</v>
      </c>
      <c r="E6882" t="s">
        <v>7</v>
      </c>
      <c r="F6882" t="s">
        <v>7</v>
      </c>
      <c r="G6882" t="s">
        <v>7</v>
      </c>
      <c r="H6882">
        <v>30421.22</v>
      </c>
      <c r="I6882">
        <v>9031.4500000000007</v>
      </c>
      <c r="J6882">
        <v>0</v>
      </c>
    </row>
    <row r="6883" spans="1:10" x14ac:dyDescent="0.35">
      <c r="A6883">
        <v>326529</v>
      </c>
      <c r="B6883" t="s">
        <v>20</v>
      </c>
      <c r="C6883">
        <v>2015</v>
      </c>
      <c r="D6883">
        <v>7</v>
      </c>
      <c r="E6883" t="s">
        <v>7</v>
      </c>
      <c r="F6883" t="s">
        <v>7</v>
      </c>
      <c r="G6883" t="s">
        <v>7</v>
      </c>
      <c r="H6883">
        <v>49788.08</v>
      </c>
      <c r="I6883">
        <v>29657.45</v>
      </c>
      <c r="J6883">
        <v>0</v>
      </c>
    </row>
    <row r="6884" spans="1:10" x14ac:dyDescent="0.35">
      <c r="A6884">
        <v>326531</v>
      </c>
      <c r="B6884" t="s">
        <v>20</v>
      </c>
      <c r="C6884">
        <v>2015</v>
      </c>
      <c r="D6884">
        <v>7</v>
      </c>
      <c r="E6884" t="s">
        <v>7</v>
      </c>
      <c r="F6884" t="s">
        <v>7</v>
      </c>
      <c r="G6884" t="s">
        <v>7</v>
      </c>
      <c r="H6884">
        <v>94030.25</v>
      </c>
      <c r="I6884">
        <v>47489.64</v>
      </c>
      <c r="J6884">
        <v>0</v>
      </c>
    </row>
    <row r="6885" spans="1:10" x14ac:dyDescent="0.35">
      <c r="A6885">
        <v>326533</v>
      </c>
      <c r="B6885" t="s">
        <v>20</v>
      </c>
      <c r="C6885">
        <v>2015</v>
      </c>
      <c r="D6885">
        <v>7</v>
      </c>
      <c r="E6885" t="s">
        <v>7</v>
      </c>
      <c r="F6885" t="s">
        <v>7</v>
      </c>
      <c r="G6885" t="s">
        <v>7</v>
      </c>
      <c r="H6885">
        <v>21045.759999999998</v>
      </c>
      <c r="I6885">
        <v>5302.26</v>
      </c>
      <c r="J6885">
        <v>0</v>
      </c>
    </row>
    <row r="6886" spans="1:10" x14ac:dyDescent="0.35">
      <c r="A6886">
        <v>326534</v>
      </c>
      <c r="B6886" t="s">
        <v>20</v>
      </c>
      <c r="C6886">
        <v>2015</v>
      </c>
      <c r="D6886">
        <v>7</v>
      </c>
      <c r="E6886" t="s">
        <v>7</v>
      </c>
      <c r="F6886" t="s">
        <v>7</v>
      </c>
      <c r="G6886" t="s">
        <v>7</v>
      </c>
      <c r="H6886">
        <v>19567.939999999999</v>
      </c>
      <c r="I6886">
        <v>6050.07</v>
      </c>
      <c r="J6886">
        <v>0</v>
      </c>
    </row>
    <row r="6887" spans="1:10" x14ac:dyDescent="0.35">
      <c r="A6887">
        <v>326537</v>
      </c>
      <c r="B6887" t="s">
        <v>20</v>
      </c>
      <c r="C6887">
        <v>2015</v>
      </c>
      <c r="D6887">
        <v>7</v>
      </c>
      <c r="E6887" t="s">
        <v>7</v>
      </c>
      <c r="F6887" t="s">
        <v>7</v>
      </c>
      <c r="G6887" t="s">
        <v>7</v>
      </c>
      <c r="H6887">
        <v>66052.990000000005</v>
      </c>
      <c r="I6887">
        <v>19052.11</v>
      </c>
      <c r="J6887">
        <v>0</v>
      </c>
    </row>
    <row r="6888" spans="1:10" x14ac:dyDescent="0.35">
      <c r="A6888">
        <v>326541</v>
      </c>
      <c r="B6888" t="s">
        <v>20</v>
      </c>
      <c r="C6888">
        <v>2015</v>
      </c>
      <c r="D6888">
        <v>7</v>
      </c>
      <c r="E6888" t="s">
        <v>7</v>
      </c>
      <c r="F6888" t="s">
        <v>7</v>
      </c>
      <c r="G6888" t="s">
        <v>7</v>
      </c>
      <c r="H6888">
        <v>67879.06</v>
      </c>
      <c r="I6888">
        <v>28882.14</v>
      </c>
      <c r="J6888">
        <v>0</v>
      </c>
    </row>
    <row r="6889" spans="1:10" x14ac:dyDescent="0.35">
      <c r="A6889">
        <v>326542</v>
      </c>
      <c r="B6889" t="s">
        <v>20</v>
      </c>
      <c r="C6889">
        <v>2015</v>
      </c>
      <c r="D6889">
        <v>7</v>
      </c>
      <c r="E6889" t="s">
        <v>7</v>
      </c>
      <c r="F6889" t="s">
        <v>7</v>
      </c>
      <c r="G6889" t="s">
        <v>7</v>
      </c>
      <c r="H6889">
        <v>59842.38</v>
      </c>
      <c r="I6889">
        <v>24891.59</v>
      </c>
      <c r="J6889">
        <v>0</v>
      </c>
    </row>
    <row r="6890" spans="1:10" x14ac:dyDescent="0.35">
      <c r="A6890">
        <v>326547</v>
      </c>
      <c r="B6890" t="s">
        <v>20</v>
      </c>
      <c r="C6890">
        <v>2015</v>
      </c>
      <c r="D6890">
        <v>7</v>
      </c>
      <c r="E6890" t="s">
        <v>7</v>
      </c>
      <c r="F6890" t="s">
        <v>7</v>
      </c>
      <c r="G6890" t="s">
        <v>7</v>
      </c>
      <c r="H6890">
        <v>10535.5</v>
      </c>
      <c r="I6890">
        <v>2421.81</v>
      </c>
      <c r="J6890">
        <v>0</v>
      </c>
    </row>
    <row r="6891" spans="1:10" x14ac:dyDescent="0.35">
      <c r="A6891">
        <v>326553</v>
      </c>
      <c r="B6891" t="s">
        <v>20</v>
      </c>
      <c r="C6891">
        <v>2015</v>
      </c>
      <c r="D6891">
        <v>7</v>
      </c>
      <c r="E6891" t="s">
        <v>7</v>
      </c>
      <c r="F6891" t="s">
        <v>7</v>
      </c>
      <c r="G6891" t="s">
        <v>7</v>
      </c>
      <c r="H6891">
        <v>17608.22</v>
      </c>
      <c r="I6891">
        <v>4579.9399999999996</v>
      </c>
      <c r="J6891">
        <v>0</v>
      </c>
    </row>
    <row r="6892" spans="1:10" x14ac:dyDescent="0.35">
      <c r="A6892">
        <v>326557</v>
      </c>
      <c r="B6892" t="s">
        <v>20</v>
      </c>
      <c r="C6892">
        <v>2015</v>
      </c>
      <c r="D6892">
        <v>7</v>
      </c>
      <c r="E6892" t="s">
        <v>7</v>
      </c>
      <c r="F6892" t="s">
        <v>7</v>
      </c>
      <c r="G6892" t="s">
        <v>7</v>
      </c>
      <c r="H6892">
        <v>125686.26</v>
      </c>
      <c r="I6892">
        <v>45159.35</v>
      </c>
      <c r="J6892">
        <v>0</v>
      </c>
    </row>
    <row r="6893" spans="1:10" x14ac:dyDescent="0.35">
      <c r="A6893">
        <v>326560</v>
      </c>
      <c r="B6893" t="s">
        <v>20</v>
      </c>
      <c r="C6893">
        <v>2015</v>
      </c>
      <c r="D6893">
        <v>7</v>
      </c>
      <c r="E6893" t="s">
        <v>7</v>
      </c>
      <c r="F6893" t="s">
        <v>7</v>
      </c>
      <c r="G6893" t="s">
        <v>7</v>
      </c>
      <c r="H6893">
        <v>48630.64</v>
      </c>
      <c r="I6893">
        <v>11846.36</v>
      </c>
      <c r="J6893">
        <v>0</v>
      </c>
    </row>
    <row r="6894" spans="1:10" x14ac:dyDescent="0.35">
      <c r="A6894">
        <v>326562</v>
      </c>
      <c r="B6894" t="s">
        <v>20</v>
      </c>
      <c r="C6894">
        <v>2015</v>
      </c>
      <c r="D6894">
        <v>7</v>
      </c>
      <c r="E6894" t="s">
        <v>7</v>
      </c>
      <c r="F6894" t="s">
        <v>7</v>
      </c>
      <c r="G6894" t="s">
        <v>7</v>
      </c>
      <c r="H6894">
        <v>28601.74</v>
      </c>
      <c r="I6894">
        <v>7890.74</v>
      </c>
      <c r="J6894">
        <v>0</v>
      </c>
    </row>
    <row r="6895" spans="1:10" x14ac:dyDescent="0.35">
      <c r="A6895">
        <v>326564</v>
      </c>
      <c r="B6895" t="s">
        <v>20</v>
      </c>
      <c r="C6895">
        <v>2015</v>
      </c>
      <c r="D6895">
        <v>7</v>
      </c>
      <c r="E6895" t="s">
        <v>7</v>
      </c>
      <c r="F6895" t="s">
        <v>7</v>
      </c>
      <c r="G6895" t="s">
        <v>7</v>
      </c>
      <c r="H6895">
        <v>40636.959999999999</v>
      </c>
      <c r="I6895">
        <v>19001.39</v>
      </c>
      <c r="J6895">
        <v>0</v>
      </c>
    </row>
    <row r="6896" spans="1:10" x14ac:dyDescent="0.35">
      <c r="A6896">
        <v>326566</v>
      </c>
      <c r="B6896" t="s">
        <v>20</v>
      </c>
      <c r="C6896">
        <v>2015</v>
      </c>
      <c r="D6896">
        <v>7</v>
      </c>
      <c r="E6896" t="s">
        <v>7</v>
      </c>
      <c r="F6896" t="s">
        <v>7</v>
      </c>
      <c r="G6896" t="s">
        <v>7</v>
      </c>
      <c r="H6896">
        <v>47651.32</v>
      </c>
      <c r="I6896">
        <v>19995.7</v>
      </c>
      <c r="J6896">
        <v>0</v>
      </c>
    </row>
    <row r="6897" spans="1:10" x14ac:dyDescent="0.35">
      <c r="A6897">
        <v>326571</v>
      </c>
      <c r="B6897" t="s">
        <v>20</v>
      </c>
      <c r="C6897">
        <v>2015</v>
      </c>
      <c r="D6897">
        <v>7</v>
      </c>
      <c r="E6897" t="s">
        <v>7</v>
      </c>
      <c r="F6897" t="s">
        <v>7</v>
      </c>
      <c r="G6897" t="s">
        <v>7</v>
      </c>
      <c r="H6897">
        <v>9117.7999999999993</v>
      </c>
      <c r="I6897">
        <v>2073.23</v>
      </c>
      <c r="J6897">
        <v>0</v>
      </c>
    </row>
    <row r="6898" spans="1:10" x14ac:dyDescent="0.35">
      <c r="A6898">
        <v>326573</v>
      </c>
      <c r="B6898" t="s">
        <v>20</v>
      </c>
      <c r="C6898">
        <v>2015</v>
      </c>
      <c r="D6898">
        <v>7</v>
      </c>
      <c r="E6898" t="s">
        <v>7</v>
      </c>
      <c r="F6898" t="s">
        <v>7</v>
      </c>
      <c r="G6898" t="s">
        <v>7</v>
      </c>
      <c r="H6898">
        <v>21175.759999999998</v>
      </c>
      <c r="I6898">
        <v>5571.18</v>
      </c>
      <c r="J6898">
        <v>0</v>
      </c>
    </row>
    <row r="6899" spans="1:10" x14ac:dyDescent="0.35">
      <c r="A6899">
        <v>326574</v>
      </c>
      <c r="B6899" t="s">
        <v>20</v>
      </c>
      <c r="C6899">
        <v>2015</v>
      </c>
      <c r="D6899">
        <v>7</v>
      </c>
      <c r="E6899" t="s">
        <v>7</v>
      </c>
      <c r="F6899" t="s">
        <v>7</v>
      </c>
      <c r="G6899" t="s">
        <v>7</v>
      </c>
      <c r="H6899">
        <v>71504.34</v>
      </c>
      <c r="I6899">
        <v>30891.21</v>
      </c>
      <c r="J6899">
        <v>0</v>
      </c>
    </row>
    <row r="6900" spans="1:10" x14ac:dyDescent="0.35">
      <c r="A6900">
        <v>326575</v>
      </c>
      <c r="B6900" t="s">
        <v>20</v>
      </c>
      <c r="C6900">
        <v>2015</v>
      </c>
      <c r="D6900">
        <v>7</v>
      </c>
      <c r="E6900" t="s">
        <v>7</v>
      </c>
      <c r="F6900" t="s">
        <v>7</v>
      </c>
      <c r="G6900" t="s">
        <v>7</v>
      </c>
      <c r="H6900">
        <v>13859.38</v>
      </c>
      <c r="I6900">
        <v>3616.83</v>
      </c>
      <c r="J6900">
        <v>0</v>
      </c>
    </row>
    <row r="6901" spans="1:10" x14ac:dyDescent="0.35">
      <c r="A6901">
        <v>326579</v>
      </c>
      <c r="B6901" t="s">
        <v>20</v>
      </c>
      <c r="C6901">
        <v>2015</v>
      </c>
      <c r="D6901">
        <v>7</v>
      </c>
      <c r="E6901" t="s">
        <v>7</v>
      </c>
      <c r="F6901" t="s">
        <v>7</v>
      </c>
      <c r="G6901" t="s">
        <v>7</v>
      </c>
      <c r="H6901">
        <v>15275.2</v>
      </c>
      <c r="I6901">
        <v>4383.3599999999997</v>
      </c>
      <c r="J6901">
        <v>0</v>
      </c>
    </row>
    <row r="6902" spans="1:10" x14ac:dyDescent="0.35">
      <c r="A6902">
        <v>326580</v>
      </c>
      <c r="B6902" t="s">
        <v>20</v>
      </c>
      <c r="C6902">
        <v>2015</v>
      </c>
      <c r="D6902">
        <v>7</v>
      </c>
      <c r="E6902" t="s">
        <v>7</v>
      </c>
      <c r="F6902" t="s">
        <v>7</v>
      </c>
      <c r="G6902" t="s">
        <v>7</v>
      </c>
      <c r="H6902">
        <v>43031.34</v>
      </c>
      <c r="I6902">
        <v>10775</v>
      </c>
      <c r="J6902">
        <v>0</v>
      </c>
    </row>
    <row r="6903" spans="1:10" x14ac:dyDescent="0.35">
      <c r="A6903">
        <v>326581</v>
      </c>
      <c r="B6903" t="s">
        <v>20</v>
      </c>
      <c r="C6903">
        <v>2015</v>
      </c>
      <c r="D6903">
        <v>7</v>
      </c>
      <c r="E6903" t="s">
        <v>7</v>
      </c>
      <c r="F6903" t="s">
        <v>7</v>
      </c>
      <c r="G6903" t="s">
        <v>7</v>
      </c>
      <c r="H6903">
        <v>81448.679999999993</v>
      </c>
      <c r="I6903">
        <v>32292.45</v>
      </c>
      <c r="J6903">
        <v>0</v>
      </c>
    </row>
    <row r="6904" spans="1:10" x14ac:dyDescent="0.35">
      <c r="A6904">
        <v>326585</v>
      </c>
      <c r="B6904" t="s">
        <v>20</v>
      </c>
      <c r="C6904">
        <v>2015</v>
      </c>
      <c r="D6904">
        <v>7</v>
      </c>
      <c r="E6904" t="s">
        <v>7</v>
      </c>
      <c r="F6904" t="s">
        <v>7</v>
      </c>
      <c r="G6904" t="s">
        <v>7</v>
      </c>
      <c r="H6904">
        <v>39745.06</v>
      </c>
      <c r="I6904">
        <v>12548.06</v>
      </c>
      <c r="J6904">
        <v>0</v>
      </c>
    </row>
    <row r="6905" spans="1:10" x14ac:dyDescent="0.35">
      <c r="A6905">
        <v>326587</v>
      </c>
      <c r="B6905" t="s">
        <v>20</v>
      </c>
      <c r="C6905">
        <v>2015</v>
      </c>
      <c r="D6905">
        <v>7</v>
      </c>
      <c r="E6905" t="s">
        <v>7</v>
      </c>
      <c r="F6905" t="s">
        <v>7</v>
      </c>
      <c r="G6905" t="s">
        <v>7</v>
      </c>
      <c r="H6905">
        <v>76512.88</v>
      </c>
      <c r="I6905">
        <v>25361.98</v>
      </c>
      <c r="J6905">
        <v>0</v>
      </c>
    </row>
    <row r="6906" spans="1:10" x14ac:dyDescent="0.35">
      <c r="A6906">
        <v>326588</v>
      </c>
      <c r="B6906" t="s">
        <v>20</v>
      </c>
      <c r="C6906">
        <v>2015</v>
      </c>
      <c r="D6906">
        <v>7</v>
      </c>
      <c r="E6906" t="s">
        <v>7</v>
      </c>
      <c r="F6906" t="s">
        <v>7</v>
      </c>
      <c r="G6906" t="s">
        <v>7</v>
      </c>
      <c r="H6906">
        <v>24641.200000000001</v>
      </c>
      <c r="I6906">
        <v>7424.89</v>
      </c>
      <c r="J6906">
        <v>0</v>
      </c>
    </row>
    <row r="6907" spans="1:10" x14ac:dyDescent="0.35">
      <c r="A6907">
        <v>326590</v>
      </c>
      <c r="B6907" t="s">
        <v>20</v>
      </c>
      <c r="C6907">
        <v>2015</v>
      </c>
      <c r="D6907">
        <v>7</v>
      </c>
      <c r="E6907" t="s">
        <v>7</v>
      </c>
      <c r="F6907" t="s">
        <v>7</v>
      </c>
      <c r="G6907" t="s">
        <v>7</v>
      </c>
      <c r="H6907">
        <v>53216.800000000003</v>
      </c>
      <c r="I6907">
        <v>13742.27</v>
      </c>
      <c r="J6907">
        <v>0</v>
      </c>
    </row>
    <row r="6908" spans="1:10" x14ac:dyDescent="0.35">
      <c r="A6908">
        <v>326592</v>
      </c>
      <c r="B6908" t="s">
        <v>20</v>
      </c>
      <c r="C6908">
        <v>2015</v>
      </c>
      <c r="D6908">
        <v>7</v>
      </c>
      <c r="E6908" t="s">
        <v>7</v>
      </c>
      <c r="F6908" t="s">
        <v>7</v>
      </c>
      <c r="G6908" t="s">
        <v>7</v>
      </c>
      <c r="H6908">
        <v>25304.959999999999</v>
      </c>
      <c r="I6908">
        <v>7807.57</v>
      </c>
      <c r="J6908">
        <v>0</v>
      </c>
    </row>
    <row r="6909" spans="1:10" x14ac:dyDescent="0.35">
      <c r="A6909">
        <v>326594</v>
      </c>
      <c r="B6909" t="s">
        <v>20</v>
      </c>
      <c r="C6909">
        <v>2015</v>
      </c>
      <c r="D6909">
        <v>7</v>
      </c>
      <c r="E6909" t="s">
        <v>7</v>
      </c>
      <c r="F6909" t="s">
        <v>7</v>
      </c>
      <c r="G6909" t="s">
        <v>7</v>
      </c>
      <c r="H6909">
        <v>75756.55</v>
      </c>
      <c r="I6909">
        <v>38918.18</v>
      </c>
      <c r="J6909">
        <v>0</v>
      </c>
    </row>
    <row r="6910" spans="1:10" x14ac:dyDescent="0.35">
      <c r="A6910">
        <v>326595</v>
      </c>
      <c r="B6910" t="s">
        <v>20</v>
      </c>
      <c r="C6910">
        <v>2015</v>
      </c>
      <c r="D6910">
        <v>7</v>
      </c>
      <c r="E6910" t="s">
        <v>7</v>
      </c>
      <c r="F6910" t="s">
        <v>7</v>
      </c>
      <c r="G6910" t="s">
        <v>7</v>
      </c>
      <c r="H6910">
        <v>22031.919999999998</v>
      </c>
      <c r="I6910">
        <v>4519.71</v>
      </c>
      <c r="J6910">
        <v>0</v>
      </c>
    </row>
    <row r="6911" spans="1:10" x14ac:dyDescent="0.35">
      <c r="A6911">
        <v>326597</v>
      </c>
      <c r="B6911" t="s">
        <v>20</v>
      </c>
      <c r="C6911">
        <v>2015</v>
      </c>
      <c r="D6911">
        <v>7</v>
      </c>
      <c r="E6911" t="s">
        <v>7</v>
      </c>
      <c r="F6911" t="s">
        <v>7</v>
      </c>
      <c r="G6911" t="s">
        <v>7</v>
      </c>
      <c r="H6911">
        <v>14818.1</v>
      </c>
      <c r="I6911">
        <v>3034.17</v>
      </c>
      <c r="J6911">
        <v>0</v>
      </c>
    </row>
    <row r="6912" spans="1:10" x14ac:dyDescent="0.35">
      <c r="A6912">
        <v>326598</v>
      </c>
      <c r="B6912" t="s">
        <v>20</v>
      </c>
      <c r="C6912">
        <v>2015</v>
      </c>
      <c r="D6912">
        <v>7</v>
      </c>
      <c r="E6912" t="s">
        <v>7</v>
      </c>
      <c r="F6912" t="s">
        <v>7</v>
      </c>
      <c r="G6912" t="s">
        <v>7</v>
      </c>
      <c r="H6912">
        <v>26671.599999999999</v>
      </c>
      <c r="I6912">
        <v>7373.54</v>
      </c>
      <c r="J6912">
        <v>0</v>
      </c>
    </row>
    <row r="6913" spans="1:10" x14ac:dyDescent="0.35">
      <c r="A6913">
        <v>326599</v>
      </c>
      <c r="B6913" t="s">
        <v>20</v>
      </c>
      <c r="C6913">
        <v>2015</v>
      </c>
      <c r="D6913">
        <v>7</v>
      </c>
      <c r="E6913" t="s">
        <v>7</v>
      </c>
      <c r="F6913" t="s">
        <v>7</v>
      </c>
      <c r="G6913" t="s">
        <v>7</v>
      </c>
      <c r="H6913">
        <v>148672.79999999999</v>
      </c>
      <c r="I6913">
        <v>85436.13</v>
      </c>
      <c r="J6913">
        <v>0</v>
      </c>
    </row>
    <row r="6914" spans="1:10" x14ac:dyDescent="0.35">
      <c r="A6914">
        <v>326601</v>
      </c>
      <c r="B6914" t="s">
        <v>20</v>
      </c>
      <c r="C6914">
        <v>2015</v>
      </c>
      <c r="D6914">
        <v>7</v>
      </c>
      <c r="E6914" t="s">
        <v>7</v>
      </c>
      <c r="F6914" t="s">
        <v>7</v>
      </c>
      <c r="G6914" t="s">
        <v>7</v>
      </c>
      <c r="H6914">
        <v>37601.94</v>
      </c>
      <c r="I6914">
        <v>11702.86</v>
      </c>
      <c r="J6914">
        <v>0</v>
      </c>
    </row>
    <row r="6915" spans="1:10" x14ac:dyDescent="0.35">
      <c r="A6915">
        <v>326602</v>
      </c>
      <c r="B6915" t="s">
        <v>20</v>
      </c>
      <c r="C6915">
        <v>2015</v>
      </c>
      <c r="D6915">
        <v>7</v>
      </c>
      <c r="E6915" t="s">
        <v>7</v>
      </c>
      <c r="F6915" t="s">
        <v>7</v>
      </c>
      <c r="G6915" t="s">
        <v>7</v>
      </c>
      <c r="H6915">
        <v>27733.08</v>
      </c>
      <c r="I6915">
        <v>8277.16</v>
      </c>
      <c r="J6915">
        <v>0</v>
      </c>
    </row>
    <row r="6916" spans="1:10" x14ac:dyDescent="0.35">
      <c r="A6916">
        <v>326603</v>
      </c>
      <c r="B6916" t="s">
        <v>20</v>
      </c>
      <c r="C6916">
        <v>2015</v>
      </c>
      <c r="D6916">
        <v>7</v>
      </c>
      <c r="E6916" t="s">
        <v>7</v>
      </c>
      <c r="F6916" t="s">
        <v>7</v>
      </c>
      <c r="G6916" t="s">
        <v>7</v>
      </c>
      <c r="H6916">
        <v>72167.66</v>
      </c>
      <c r="I6916">
        <v>22718.21</v>
      </c>
      <c r="J6916">
        <v>0</v>
      </c>
    </row>
    <row r="6917" spans="1:10" x14ac:dyDescent="0.35">
      <c r="A6917">
        <v>326605</v>
      </c>
      <c r="B6917" t="s">
        <v>20</v>
      </c>
      <c r="C6917">
        <v>2015</v>
      </c>
      <c r="D6917">
        <v>7</v>
      </c>
      <c r="E6917" t="s">
        <v>7</v>
      </c>
      <c r="F6917" t="s">
        <v>7</v>
      </c>
      <c r="G6917" t="s">
        <v>7</v>
      </c>
      <c r="H6917">
        <v>67809.56</v>
      </c>
      <c r="I6917">
        <v>18832.46</v>
      </c>
      <c r="J6917">
        <v>0</v>
      </c>
    </row>
    <row r="6918" spans="1:10" x14ac:dyDescent="0.35">
      <c r="A6918">
        <v>326606</v>
      </c>
      <c r="B6918" t="s">
        <v>20</v>
      </c>
      <c r="C6918">
        <v>2015</v>
      </c>
      <c r="D6918">
        <v>7</v>
      </c>
      <c r="E6918" t="s">
        <v>7</v>
      </c>
      <c r="F6918" t="s">
        <v>7</v>
      </c>
      <c r="G6918" t="s">
        <v>7</v>
      </c>
      <c r="H6918">
        <v>37230.959999999999</v>
      </c>
      <c r="I6918">
        <v>11747.18</v>
      </c>
      <c r="J6918">
        <v>0</v>
      </c>
    </row>
    <row r="6919" spans="1:10" x14ac:dyDescent="0.35">
      <c r="A6919">
        <v>326608</v>
      </c>
      <c r="B6919" t="s">
        <v>20</v>
      </c>
      <c r="C6919">
        <v>2015</v>
      </c>
      <c r="D6919">
        <v>7</v>
      </c>
      <c r="E6919" t="s">
        <v>7</v>
      </c>
      <c r="F6919" t="s">
        <v>7</v>
      </c>
      <c r="G6919" t="s">
        <v>7</v>
      </c>
      <c r="H6919">
        <v>38915.22</v>
      </c>
      <c r="I6919">
        <v>24156.35</v>
      </c>
      <c r="J6919">
        <v>0</v>
      </c>
    </row>
    <row r="6920" spans="1:10" x14ac:dyDescent="0.35">
      <c r="A6920">
        <v>326613</v>
      </c>
      <c r="B6920" t="s">
        <v>20</v>
      </c>
      <c r="C6920">
        <v>2015</v>
      </c>
      <c r="D6920">
        <v>7</v>
      </c>
      <c r="E6920" t="s">
        <v>7</v>
      </c>
      <c r="F6920" t="s">
        <v>7</v>
      </c>
      <c r="G6920" t="s">
        <v>7</v>
      </c>
      <c r="H6920">
        <v>57560.38</v>
      </c>
      <c r="I6920">
        <v>26046.83</v>
      </c>
      <c r="J6920">
        <v>0</v>
      </c>
    </row>
    <row r="6921" spans="1:10" x14ac:dyDescent="0.35">
      <c r="A6921">
        <v>326615</v>
      </c>
      <c r="B6921" t="s">
        <v>20</v>
      </c>
      <c r="C6921">
        <v>2015</v>
      </c>
      <c r="D6921">
        <v>7</v>
      </c>
      <c r="E6921" t="s">
        <v>7</v>
      </c>
      <c r="F6921" t="s">
        <v>7</v>
      </c>
      <c r="G6921" t="s">
        <v>7</v>
      </c>
      <c r="H6921">
        <v>39526.36</v>
      </c>
      <c r="I6921">
        <v>11631.91</v>
      </c>
      <c r="J6921">
        <v>0</v>
      </c>
    </row>
    <row r="6922" spans="1:10" x14ac:dyDescent="0.35">
      <c r="A6922">
        <v>326616</v>
      </c>
      <c r="B6922" t="s">
        <v>20</v>
      </c>
      <c r="C6922">
        <v>2015</v>
      </c>
      <c r="D6922">
        <v>7</v>
      </c>
      <c r="E6922" t="s">
        <v>7</v>
      </c>
      <c r="F6922" t="s">
        <v>7</v>
      </c>
      <c r="G6922" t="s">
        <v>7</v>
      </c>
      <c r="H6922">
        <v>21118.84</v>
      </c>
      <c r="I6922">
        <v>6235.1</v>
      </c>
      <c r="J6922">
        <v>0</v>
      </c>
    </row>
    <row r="6923" spans="1:10" x14ac:dyDescent="0.35">
      <c r="A6923">
        <v>326617</v>
      </c>
      <c r="B6923" t="s">
        <v>20</v>
      </c>
      <c r="C6923">
        <v>2015</v>
      </c>
      <c r="D6923">
        <v>7</v>
      </c>
      <c r="E6923" t="s">
        <v>7</v>
      </c>
      <c r="F6923" t="s">
        <v>7</v>
      </c>
      <c r="G6923" t="s">
        <v>7</v>
      </c>
      <c r="H6923">
        <v>21773.42</v>
      </c>
      <c r="I6923">
        <v>6341.02</v>
      </c>
      <c r="J6923">
        <v>0</v>
      </c>
    </row>
    <row r="6924" spans="1:10" x14ac:dyDescent="0.35">
      <c r="A6924">
        <v>326618</v>
      </c>
      <c r="B6924" t="s">
        <v>20</v>
      </c>
      <c r="C6924">
        <v>2015</v>
      </c>
      <c r="D6924">
        <v>7</v>
      </c>
      <c r="E6924" t="s">
        <v>7</v>
      </c>
      <c r="F6924" t="s">
        <v>7</v>
      </c>
      <c r="G6924" t="s">
        <v>7</v>
      </c>
      <c r="H6924">
        <v>16426.36</v>
      </c>
      <c r="I6924">
        <v>4843.38</v>
      </c>
      <c r="J6924">
        <v>0</v>
      </c>
    </row>
    <row r="6925" spans="1:10" x14ac:dyDescent="0.35">
      <c r="A6925">
        <v>326624</v>
      </c>
      <c r="B6925" t="s">
        <v>20</v>
      </c>
      <c r="C6925">
        <v>2015</v>
      </c>
      <c r="D6925">
        <v>7</v>
      </c>
      <c r="E6925" t="s">
        <v>7</v>
      </c>
      <c r="F6925" t="s">
        <v>7</v>
      </c>
      <c r="G6925" t="s">
        <v>7</v>
      </c>
      <c r="H6925">
        <v>31141.5</v>
      </c>
      <c r="I6925">
        <v>9008.27</v>
      </c>
      <c r="J6925">
        <v>0</v>
      </c>
    </row>
    <row r="6926" spans="1:10" x14ac:dyDescent="0.35">
      <c r="A6926">
        <v>326626</v>
      </c>
      <c r="B6926" t="s">
        <v>20</v>
      </c>
      <c r="C6926">
        <v>2015</v>
      </c>
      <c r="D6926">
        <v>7</v>
      </c>
      <c r="E6926" t="s">
        <v>7</v>
      </c>
      <c r="F6926" t="s">
        <v>7</v>
      </c>
      <c r="G6926" t="s">
        <v>7</v>
      </c>
      <c r="H6926">
        <v>13764.54</v>
      </c>
      <c r="I6926">
        <v>3242.1</v>
      </c>
      <c r="J6926">
        <v>0</v>
      </c>
    </row>
    <row r="6927" spans="1:10" x14ac:dyDescent="0.35">
      <c r="A6927">
        <v>326627</v>
      </c>
      <c r="B6927" t="s">
        <v>20</v>
      </c>
      <c r="C6927">
        <v>2015</v>
      </c>
      <c r="D6927">
        <v>7</v>
      </c>
      <c r="E6927" t="s">
        <v>7</v>
      </c>
      <c r="F6927" t="s">
        <v>7</v>
      </c>
      <c r="G6927" t="s">
        <v>7</v>
      </c>
      <c r="H6927">
        <v>48774.36</v>
      </c>
      <c r="I6927">
        <v>15644.94</v>
      </c>
      <c r="J6927">
        <v>0</v>
      </c>
    </row>
    <row r="6928" spans="1:10" x14ac:dyDescent="0.35">
      <c r="A6928">
        <v>326628</v>
      </c>
      <c r="B6928" t="s">
        <v>20</v>
      </c>
      <c r="C6928">
        <v>2015</v>
      </c>
      <c r="D6928">
        <v>7</v>
      </c>
      <c r="E6928" t="s">
        <v>7</v>
      </c>
      <c r="F6928" t="s">
        <v>7</v>
      </c>
      <c r="G6928" t="s">
        <v>7</v>
      </c>
      <c r="H6928">
        <v>63090.44</v>
      </c>
      <c r="I6928">
        <v>31074.48</v>
      </c>
      <c r="J6928">
        <v>0</v>
      </c>
    </row>
    <row r="6929" spans="1:10" x14ac:dyDescent="0.35">
      <c r="A6929">
        <v>326632</v>
      </c>
      <c r="B6929" t="s">
        <v>20</v>
      </c>
      <c r="C6929">
        <v>2015</v>
      </c>
      <c r="D6929">
        <v>7</v>
      </c>
      <c r="E6929" t="s">
        <v>7</v>
      </c>
      <c r="F6929" t="s">
        <v>7</v>
      </c>
      <c r="G6929" t="s">
        <v>7</v>
      </c>
      <c r="H6929">
        <v>67354.7</v>
      </c>
      <c r="I6929">
        <v>21462.42</v>
      </c>
      <c r="J6929">
        <v>0</v>
      </c>
    </row>
    <row r="6930" spans="1:10" x14ac:dyDescent="0.35">
      <c r="A6930">
        <v>326635</v>
      </c>
      <c r="B6930" t="s">
        <v>20</v>
      </c>
      <c r="C6930">
        <v>2015</v>
      </c>
      <c r="D6930">
        <v>7</v>
      </c>
      <c r="E6930" t="s">
        <v>7</v>
      </c>
      <c r="F6930" t="s">
        <v>7</v>
      </c>
      <c r="G6930" t="s">
        <v>7</v>
      </c>
      <c r="H6930">
        <v>26349.66</v>
      </c>
      <c r="I6930">
        <v>7297.35</v>
      </c>
      <c r="J6930">
        <v>0</v>
      </c>
    </row>
    <row r="6931" spans="1:10" x14ac:dyDescent="0.35">
      <c r="A6931">
        <v>326641</v>
      </c>
      <c r="B6931" t="s">
        <v>20</v>
      </c>
      <c r="C6931">
        <v>2015</v>
      </c>
      <c r="D6931">
        <v>7</v>
      </c>
      <c r="E6931" t="s">
        <v>7</v>
      </c>
      <c r="F6931" t="s">
        <v>7</v>
      </c>
      <c r="G6931" t="s">
        <v>7</v>
      </c>
      <c r="H6931">
        <v>20020.04</v>
      </c>
      <c r="I6931">
        <v>5658.52</v>
      </c>
      <c r="J6931">
        <v>0</v>
      </c>
    </row>
    <row r="6932" spans="1:10" x14ac:dyDescent="0.35">
      <c r="A6932">
        <v>326642</v>
      </c>
      <c r="B6932" t="s">
        <v>20</v>
      </c>
      <c r="C6932">
        <v>2015</v>
      </c>
      <c r="D6932">
        <v>7</v>
      </c>
      <c r="E6932" t="s">
        <v>7</v>
      </c>
      <c r="F6932" t="s">
        <v>7</v>
      </c>
      <c r="G6932" t="s">
        <v>7</v>
      </c>
      <c r="H6932">
        <v>17717.38</v>
      </c>
      <c r="I6932">
        <v>5530.56</v>
      </c>
      <c r="J6932">
        <v>0</v>
      </c>
    </row>
    <row r="6933" spans="1:10" x14ac:dyDescent="0.35">
      <c r="A6933">
        <v>326643</v>
      </c>
      <c r="B6933" t="s">
        <v>20</v>
      </c>
      <c r="C6933">
        <v>2015</v>
      </c>
      <c r="D6933">
        <v>7</v>
      </c>
      <c r="E6933" t="s">
        <v>7</v>
      </c>
      <c r="F6933" t="s">
        <v>7</v>
      </c>
      <c r="G6933" t="s">
        <v>7</v>
      </c>
      <c r="H6933">
        <v>45682.06</v>
      </c>
      <c r="I6933">
        <v>13930.19</v>
      </c>
      <c r="J6933">
        <v>0</v>
      </c>
    </row>
    <row r="6934" spans="1:10" x14ac:dyDescent="0.35">
      <c r="A6934">
        <v>326644</v>
      </c>
      <c r="B6934" t="s">
        <v>20</v>
      </c>
      <c r="C6934">
        <v>2015</v>
      </c>
      <c r="D6934">
        <v>7</v>
      </c>
      <c r="E6934" t="s">
        <v>7</v>
      </c>
      <c r="F6934" t="s">
        <v>7</v>
      </c>
      <c r="G6934" t="s">
        <v>7</v>
      </c>
      <c r="H6934">
        <v>131752</v>
      </c>
      <c r="I6934">
        <v>65507.360000000001</v>
      </c>
      <c r="J6934">
        <v>0</v>
      </c>
    </row>
    <row r="6935" spans="1:10" x14ac:dyDescent="0.35">
      <c r="A6935">
        <v>326648</v>
      </c>
      <c r="B6935" t="s">
        <v>20</v>
      </c>
      <c r="C6935">
        <v>2015</v>
      </c>
      <c r="D6935">
        <v>7</v>
      </c>
      <c r="E6935" t="s">
        <v>7</v>
      </c>
      <c r="F6935" t="s">
        <v>7</v>
      </c>
      <c r="G6935" t="s">
        <v>7</v>
      </c>
      <c r="H6935">
        <v>31309.78</v>
      </c>
      <c r="I6935">
        <v>7614.31</v>
      </c>
      <c r="J6935">
        <v>0</v>
      </c>
    </row>
    <row r="6936" spans="1:10" x14ac:dyDescent="0.35">
      <c r="A6936">
        <v>326649</v>
      </c>
      <c r="B6936" t="s">
        <v>20</v>
      </c>
      <c r="C6936">
        <v>2015</v>
      </c>
      <c r="D6936">
        <v>7</v>
      </c>
      <c r="E6936" t="s">
        <v>7</v>
      </c>
      <c r="F6936" t="s">
        <v>7</v>
      </c>
      <c r="G6936" t="s">
        <v>7</v>
      </c>
      <c r="H6936">
        <v>12424.58</v>
      </c>
      <c r="I6936">
        <v>2538.92</v>
      </c>
      <c r="J6936">
        <v>0</v>
      </c>
    </row>
    <row r="6937" spans="1:10" x14ac:dyDescent="0.35">
      <c r="A6937">
        <v>326651</v>
      </c>
      <c r="B6937" t="s">
        <v>20</v>
      </c>
      <c r="C6937">
        <v>2015</v>
      </c>
      <c r="D6937">
        <v>7</v>
      </c>
      <c r="E6937" t="s">
        <v>7</v>
      </c>
      <c r="F6937" t="s">
        <v>7</v>
      </c>
      <c r="G6937" t="s">
        <v>7</v>
      </c>
      <c r="H6937">
        <v>22343.7</v>
      </c>
      <c r="I6937">
        <v>3194.71</v>
      </c>
      <c r="J6937">
        <v>0</v>
      </c>
    </row>
    <row r="6938" spans="1:10" x14ac:dyDescent="0.35">
      <c r="A6938">
        <v>326653</v>
      </c>
      <c r="B6938" t="s">
        <v>20</v>
      </c>
      <c r="C6938">
        <v>2015</v>
      </c>
      <c r="D6938">
        <v>7</v>
      </c>
      <c r="E6938" t="s">
        <v>7</v>
      </c>
      <c r="F6938" t="s">
        <v>7</v>
      </c>
      <c r="G6938" t="s">
        <v>7</v>
      </c>
      <c r="H6938">
        <v>88596.5</v>
      </c>
      <c r="I6938">
        <v>26811.37</v>
      </c>
      <c r="J6938">
        <v>0</v>
      </c>
    </row>
    <row r="6939" spans="1:10" x14ac:dyDescent="0.35">
      <c r="A6939">
        <v>326654</v>
      </c>
      <c r="B6939" t="s">
        <v>20</v>
      </c>
      <c r="C6939">
        <v>2015</v>
      </c>
      <c r="D6939">
        <v>7</v>
      </c>
      <c r="E6939" t="s">
        <v>7</v>
      </c>
      <c r="F6939" t="s">
        <v>7</v>
      </c>
      <c r="G6939" t="s">
        <v>7</v>
      </c>
      <c r="H6939">
        <v>59050.080000000002</v>
      </c>
      <c r="I6939">
        <v>39932.339999999997</v>
      </c>
      <c r="J6939">
        <v>0</v>
      </c>
    </row>
    <row r="6940" spans="1:10" x14ac:dyDescent="0.35">
      <c r="A6940">
        <v>326656</v>
      </c>
      <c r="B6940" t="s">
        <v>20</v>
      </c>
      <c r="C6940">
        <v>2015</v>
      </c>
      <c r="D6940">
        <v>7</v>
      </c>
      <c r="E6940" t="s">
        <v>7</v>
      </c>
      <c r="F6940" t="s">
        <v>7</v>
      </c>
      <c r="G6940" t="s">
        <v>7</v>
      </c>
      <c r="H6940">
        <v>17584.36</v>
      </c>
      <c r="I6940">
        <v>3815.42</v>
      </c>
      <c r="J6940">
        <v>0</v>
      </c>
    </row>
    <row r="6941" spans="1:10" x14ac:dyDescent="0.35">
      <c r="A6941">
        <v>326658</v>
      </c>
      <c r="B6941" t="s">
        <v>20</v>
      </c>
      <c r="C6941">
        <v>2015</v>
      </c>
      <c r="D6941">
        <v>7</v>
      </c>
      <c r="E6941" t="s">
        <v>7</v>
      </c>
      <c r="F6941" t="s">
        <v>7</v>
      </c>
      <c r="G6941" t="s">
        <v>7</v>
      </c>
      <c r="H6941">
        <v>175372.79999999999</v>
      </c>
      <c r="I6941">
        <v>99910.62</v>
      </c>
      <c r="J6941">
        <v>0</v>
      </c>
    </row>
    <row r="6942" spans="1:10" x14ac:dyDescent="0.35">
      <c r="A6942">
        <v>326662</v>
      </c>
      <c r="B6942" t="s">
        <v>20</v>
      </c>
      <c r="C6942">
        <v>2015</v>
      </c>
      <c r="D6942">
        <v>7</v>
      </c>
      <c r="E6942" t="s">
        <v>7</v>
      </c>
      <c r="F6942" t="s">
        <v>7</v>
      </c>
      <c r="G6942" t="s">
        <v>7</v>
      </c>
      <c r="H6942">
        <v>70695.399999999994</v>
      </c>
      <c r="I6942">
        <v>36212.31</v>
      </c>
      <c r="J6942">
        <v>0</v>
      </c>
    </row>
    <row r="6943" spans="1:10" x14ac:dyDescent="0.35">
      <c r="A6943">
        <v>326663</v>
      </c>
      <c r="B6943" t="s">
        <v>20</v>
      </c>
      <c r="C6943">
        <v>2015</v>
      </c>
      <c r="D6943">
        <v>7</v>
      </c>
      <c r="E6943" t="s">
        <v>7</v>
      </c>
      <c r="F6943" t="s">
        <v>7</v>
      </c>
      <c r="G6943" t="s">
        <v>7</v>
      </c>
      <c r="H6943">
        <v>25670.22</v>
      </c>
      <c r="I6943">
        <v>6995.88</v>
      </c>
      <c r="J6943">
        <v>0</v>
      </c>
    </row>
    <row r="6944" spans="1:10" x14ac:dyDescent="0.35">
      <c r="A6944">
        <v>326664</v>
      </c>
      <c r="B6944" t="s">
        <v>20</v>
      </c>
      <c r="C6944">
        <v>2015</v>
      </c>
      <c r="D6944">
        <v>7</v>
      </c>
      <c r="E6944" t="s">
        <v>7</v>
      </c>
      <c r="F6944" t="s">
        <v>7</v>
      </c>
      <c r="G6944" t="s">
        <v>7</v>
      </c>
      <c r="H6944">
        <v>21911.439999999999</v>
      </c>
      <c r="I6944">
        <v>4889.62</v>
      </c>
      <c r="J6944">
        <v>0</v>
      </c>
    </row>
    <row r="6945" spans="1:10" x14ac:dyDescent="0.35">
      <c r="A6945">
        <v>326665</v>
      </c>
      <c r="B6945" t="s">
        <v>20</v>
      </c>
      <c r="C6945">
        <v>2015</v>
      </c>
      <c r="D6945">
        <v>7</v>
      </c>
      <c r="E6945" t="s">
        <v>7</v>
      </c>
      <c r="F6945" t="s">
        <v>7</v>
      </c>
      <c r="G6945" t="s">
        <v>7</v>
      </c>
      <c r="H6945">
        <v>82867.600000000006</v>
      </c>
      <c r="I6945">
        <v>40313.199999999997</v>
      </c>
      <c r="J6945">
        <v>0</v>
      </c>
    </row>
    <row r="6946" spans="1:10" x14ac:dyDescent="0.35">
      <c r="A6946">
        <v>326666</v>
      </c>
      <c r="B6946" t="s">
        <v>20</v>
      </c>
      <c r="C6946">
        <v>2015</v>
      </c>
      <c r="D6946">
        <v>7</v>
      </c>
      <c r="E6946" t="s">
        <v>7</v>
      </c>
      <c r="F6946" t="s">
        <v>7</v>
      </c>
      <c r="G6946" t="s">
        <v>7</v>
      </c>
      <c r="H6946">
        <v>18309.46</v>
      </c>
      <c r="I6946">
        <v>7345.97</v>
      </c>
      <c r="J6946">
        <v>0</v>
      </c>
    </row>
    <row r="6947" spans="1:10" x14ac:dyDescent="0.35">
      <c r="A6947">
        <v>326669</v>
      </c>
      <c r="B6947" t="s">
        <v>20</v>
      </c>
      <c r="C6947">
        <v>2015</v>
      </c>
      <c r="D6947">
        <v>7</v>
      </c>
      <c r="E6947" t="s">
        <v>7</v>
      </c>
      <c r="F6947" t="s">
        <v>7</v>
      </c>
      <c r="G6947" t="s">
        <v>7</v>
      </c>
      <c r="H6947">
        <v>53982</v>
      </c>
      <c r="I6947">
        <v>15771.02</v>
      </c>
      <c r="J6947">
        <v>0</v>
      </c>
    </row>
    <row r="6948" spans="1:10" x14ac:dyDescent="0.35">
      <c r="A6948">
        <v>326673</v>
      </c>
      <c r="B6948" t="s">
        <v>20</v>
      </c>
      <c r="C6948">
        <v>2015</v>
      </c>
      <c r="D6948">
        <v>7</v>
      </c>
      <c r="E6948" t="s">
        <v>7</v>
      </c>
      <c r="F6948" t="s">
        <v>7</v>
      </c>
      <c r="G6948" t="s">
        <v>7</v>
      </c>
      <c r="H6948">
        <v>30510.6</v>
      </c>
      <c r="I6948">
        <v>10828.71</v>
      </c>
      <c r="J6948">
        <v>0</v>
      </c>
    </row>
    <row r="6949" spans="1:10" x14ac:dyDescent="0.35">
      <c r="A6949">
        <v>326674</v>
      </c>
      <c r="B6949" t="s">
        <v>20</v>
      </c>
      <c r="C6949">
        <v>2015</v>
      </c>
      <c r="D6949">
        <v>7</v>
      </c>
      <c r="E6949" t="s">
        <v>7</v>
      </c>
      <c r="F6949" t="s">
        <v>7</v>
      </c>
      <c r="G6949" t="s">
        <v>7</v>
      </c>
      <c r="H6949">
        <v>9497.52</v>
      </c>
      <c r="I6949">
        <v>2486.15</v>
      </c>
      <c r="J6949">
        <v>0</v>
      </c>
    </row>
    <row r="6950" spans="1:10" x14ac:dyDescent="0.35">
      <c r="A6950">
        <v>326677</v>
      </c>
      <c r="B6950" t="s">
        <v>20</v>
      </c>
      <c r="C6950">
        <v>2015</v>
      </c>
      <c r="D6950">
        <v>7</v>
      </c>
      <c r="E6950" t="s">
        <v>7</v>
      </c>
      <c r="F6950" t="s">
        <v>7</v>
      </c>
      <c r="G6950" t="s">
        <v>7</v>
      </c>
      <c r="H6950">
        <v>54271.62</v>
      </c>
      <c r="I6950">
        <v>15662.74</v>
      </c>
      <c r="J6950">
        <v>0</v>
      </c>
    </row>
    <row r="6951" spans="1:10" x14ac:dyDescent="0.35">
      <c r="A6951">
        <v>326678</v>
      </c>
      <c r="B6951" t="s">
        <v>20</v>
      </c>
      <c r="C6951">
        <v>2015</v>
      </c>
      <c r="D6951">
        <v>7</v>
      </c>
      <c r="E6951" t="s">
        <v>7</v>
      </c>
      <c r="F6951" t="s">
        <v>7</v>
      </c>
      <c r="G6951" t="s">
        <v>7</v>
      </c>
      <c r="H6951">
        <v>32342.66</v>
      </c>
      <c r="I6951">
        <v>11551.32</v>
      </c>
      <c r="J6951">
        <v>0</v>
      </c>
    </row>
    <row r="6952" spans="1:10" x14ac:dyDescent="0.35">
      <c r="A6952">
        <v>326680</v>
      </c>
      <c r="B6952" t="s">
        <v>20</v>
      </c>
      <c r="C6952">
        <v>2015</v>
      </c>
      <c r="D6952">
        <v>7</v>
      </c>
      <c r="E6952" t="s">
        <v>7</v>
      </c>
      <c r="F6952" t="s">
        <v>7</v>
      </c>
      <c r="G6952" t="s">
        <v>7</v>
      </c>
      <c r="H6952">
        <v>68355.28</v>
      </c>
      <c r="I6952">
        <v>24920.94</v>
      </c>
      <c r="J6952">
        <v>0</v>
      </c>
    </row>
    <row r="6953" spans="1:10" x14ac:dyDescent="0.35">
      <c r="A6953">
        <v>326681</v>
      </c>
      <c r="B6953" t="s">
        <v>20</v>
      </c>
      <c r="C6953">
        <v>2015</v>
      </c>
      <c r="D6953">
        <v>7</v>
      </c>
      <c r="E6953" t="s">
        <v>7</v>
      </c>
      <c r="F6953" t="s">
        <v>7</v>
      </c>
      <c r="G6953" t="s">
        <v>7</v>
      </c>
      <c r="H6953">
        <v>22436.48</v>
      </c>
      <c r="I6953">
        <v>8006.52</v>
      </c>
      <c r="J6953">
        <v>0</v>
      </c>
    </row>
    <row r="6954" spans="1:10" x14ac:dyDescent="0.35">
      <c r="A6954">
        <v>326683</v>
      </c>
      <c r="B6954" t="s">
        <v>20</v>
      </c>
      <c r="C6954">
        <v>2015</v>
      </c>
      <c r="D6954">
        <v>7</v>
      </c>
      <c r="E6954" t="s">
        <v>7</v>
      </c>
      <c r="F6954" t="s">
        <v>7</v>
      </c>
      <c r="G6954" t="s">
        <v>7</v>
      </c>
      <c r="H6954">
        <v>357285.72</v>
      </c>
      <c r="I6954">
        <v>200682.99</v>
      </c>
      <c r="J6954">
        <v>0</v>
      </c>
    </row>
    <row r="6955" spans="1:10" x14ac:dyDescent="0.35">
      <c r="A6955">
        <v>326684</v>
      </c>
      <c r="B6955" t="s">
        <v>20</v>
      </c>
      <c r="C6955">
        <v>2015</v>
      </c>
      <c r="D6955">
        <v>7</v>
      </c>
      <c r="E6955" t="s">
        <v>7</v>
      </c>
      <c r="F6955" t="s">
        <v>7</v>
      </c>
      <c r="G6955" t="s">
        <v>7</v>
      </c>
      <c r="H6955">
        <v>29701.919999999998</v>
      </c>
      <c r="I6955">
        <v>8291.1200000000008</v>
      </c>
      <c r="J6955">
        <v>0</v>
      </c>
    </row>
    <row r="6956" spans="1:10" x14ac:dyDescent="0.35">
      <c r="A6956">
        <v>326686</v>
      </c>
      <c r="B6956" t="s">
        <v>20</v>
      </c>
      <c r="C6956">
        <v>2015</v>
      </c>
      <c r="D6956">
        <v>7</v>
      </c>
      <c r="E6956" t="s">
        <v>7</v>
      </c>
      <c r="F6956" t="s">
        <v>7</v>
      </c>
      <c r="G6956" t="s">
        <v>7</v>
      </c>
      <c r="H6956">
        <v>78032.259999999995</v>
      </c>
      <c r="I6956">
        <v>25658.53</v>
      </c>
      <c r="J6956">
        <v>0</v>
      </c>
    </row>
    <row r="6957" spans="1:10" x14ac:dyDescent="0.35">
      <c r="A6957">
        <v>326687</v>
      </c>
      <c r="B6957" t="s">
        <v>20</v>
      </c>
      <c r="C6957">
        <v>2015</v>
      </c>
      <c r="D6957">
        <v>7</v>
      </c>
      <c r="E6957" t="s">
        <v>7</v>
      </c>
      <c r="F6957" t="s">
        <v>7</v>
      </c>
      <c r="G6957" t="s">
        <v>7</v>
      </c>
      <c r="H6957">
        <v>9331.48</v>
      </c>
      <c r="I6957">
        <v>2567.7399999999998</v>
      </c>
      <c r="J6957">
        <v>0</v>
      </c>
    </row>
    <row r="6958" spans="1:10" x14ac:dyDescent="0.35">
      <c r="A6958">
        <v>326688</v>
      </c>
      <c r="B6958" t="s">
        <v>20</v>
      </c>
      <c r="C6958">
        <v>2015</v>
      </c>
      <c r="D6958">
        <v>7</v>
      </c>
      <c r="E6958" t="s">
        <v>7</v>
      </c>
      <c r="F6958" t="s">
        <v>7</v>
      </c>
      <c r="G6958" t="s">
        <v>7</v>
      </c>
      <c r="H6958">
        <v>10741.1</v>
      </c>
      <c r="I6958">
        <v>2771.13</v>
      </c>
      <c r="J6958">
        <v>0</v>
      </c>
    </row>
    <row r="6959" spans="1:10" x14ac:dyDescent="0.35">
      <c r="A6959">
        <v>326689</v>
      </c>
      <c r="B6959" t="s">
        <v>20</v>
      </c>
      <c r="C6959">
        <v>2015</v>
      </c>
      <c r="D6959">
        <v>7</v>
      </c>
      <c r="E6959" t="s">
        <v>7</v>
      </c>
      <c r="F6959" t="s">
        <v>7</v>
      </c>
      <c r="G6959" t="s">
        <v>7</v>
      </c>
      <c r="H6959">
        <v>13306.94</v>
      </c>
      <c r="I6959">
        <v>3487.91</v>
      </c>
      <c r="J6959">
        <v>0</v>
      </c>
    </row>
    <row r="6960" spans="1:10" x14ac:dyDescent="0.35">
      <c r="A6960">
        <v>326690</v>
      </c>
      <c r="B6960" t="s">
        <v>20</v>
      </c>
      <c r="C6960">
        <v>2015</v>
      </c>
      <c r="D6960">
        <v>7</v>
      </c>
      <c r="E6960" t="s">
        <v>7</v>
      </c>
      <c r="F6960" t="s">
        <v>7</v>
      </c>
      <c r="G6960" t="s">
        <v>7</v>
      </c>
      <c r="H6960">
        <v>8488.24</v>
      </c>
      <c r="I6960">
        <v>2361.9499999999998</v>
      </c>
      <c r="J6960">
        <v>0</v>
      </c>
    </row>
    <row r="6961" spans="1:10" x14ac:dyDescent="0.35">
      <c r="A6961">
        <v>326691</v>
      </c>
      <c r="B6961" t="s">
        <v>20</v>
      </c>
      <c r="C6961">
        <v>2015</v>
      </c>
      <c r="D6961">
        <v>7</v>
      </c>
      <c r="E6961" t="s">
        <v>7</v>
      </c>
      <c r="F6961" t="s">
        <v>7</v>
      </c>
      <c r="G6961" t="s">
        <v>7</v>
      </c>
      <c r="H6961">
        <v>15961.38</v>
      </c>
      <c r="I6961">
        <v>5147.8900000000003</v>
      </c>
      <c r="J6961">
        <v>0</v>
      </c>
    </row>
    <row r="6962" spans="1:10" x14ac:dyDescent="0.35">
      <c r="A6962">
        <v>326695</v>
      </c>
      <c r="B6962" t="s">
        <v>20</v>
      </c>
      <c r="C6962">
        <v>2015</v>
      </c>
      <c r="D6962">
        <v>7</v>
      </c>
      <c r="E6962" t="s">
        <v>7</v>
      </c>
      <c r="F6962" t="s">
        <v>7</v>
      </c>
      <c r="G6962" t="s">
        <v>7</v>
      </c>
      <c r="H6962">
        <v>46116.480000000003</v>
      </c>
      <c r="I6962">
        <v>14701.42</v>
      </c>
      <c r="J6962">
        <v>0</v>
      </c>
    </row>
    <row r="6963" spans="1:10" x14ac:dyDescent="0.35">
      <c r="A6963">
        <v>326696</v>
      </c>
      <c r="B6963" t="s">
        <v>20</v>
      </c>
      <c r="C6963">
        <v>2015</v>
      </c>
      <c r="D6963">
        <v>7</v>
      </c>
      <c r="E6963" t="s">
        <v>7</v>
      </c>
      <c r="F6963" t="s">
        <v>7</v>
      </c>
      <c r="G6963" t="s">
        <v>7</v>
      </c>
      <c r="H6963">
        <v>29060.12</v>
      </c>
      <c r="I6963">
        <v>8875.5499999999993</v>
      </c>
      <c r="J6963">
        <v>0</v>
      </c>
    </row>
    <row r="6964" spans="1:10" x14ac:dyDescent="0.35">
      <c r="A6964">
        <v>326697</v>
      </c>
      <c r="B6964" t="s">
        <v>20</v>
      </c>
      <c r="C6964">
        <v>2015</v>
      </c>
      <c r="D6964">
        <v>7</v>
      </c>
      <c r="E6964" t="s">
        <v>7</v>
      </c>
      <c r="F6964" t="s">
        <v>7</v>
      </c>
      <c r="G6964" t="s">
        <v>7</v>
      </c>
      <c r="H6964">
        <v>11246.6</v>
      </c>
      <c r="I6964">
        <v>2856.29</v>
      </c>
      <c r="J6964">
        <v>0</v>
      </c>
    </row>
    <row r="6965" spans="1:10" x14ac:dyDescent="0.35">
      <c r="A6965">
        <v>326702</v>
      </c>
      <c r="B6965" t="s">
        <v>20</v>
      </c>
      <c r="C6965">
        <v>2015</v>
      </c>
      <c r="D6965">
        <v>7</v>
      </c>
      <c r="E6965" t="s">
        <v>7</v>
      </c>
      <c r="F6965" t="s">
        <v>7</v>
      </c>
      <c r="G6965" t="s">
        <v>7</v>
      </c>
      <c r="H6965">
        <v>12906.7</v>
      </c>
      <c r="I6965">
        <v>3310.3</v>
      </c>
      <c r="J6965">
        <v>0</v>
      </c>
    </row>
    <row r="6966" spans="1:10" x14ac:dyDescent="0.35">
      <c r="A6966">
        <v>326703</v>
      </c>
      <c r="B6966" t="s">
        <v>20</v>
      </c>
      <c r="C6966">
        <v>2015</v>
      </c>
      <c r="D6966">
        <v>7</v>
      </c>
      <c r="E6966" t="s">
        <v>7</v>
      </c>
      <c r="F6966" t="s">
        <v>7</v>
      </c>
      <c r="G6966" t="s">
        <v>7</v>
      </c>
      <c r="H6966">
        <v>28925.98</v>
      </c>
      <c r="I6966">
        <v>8192.08</v>
      </c>
      <c r="J6966">
        <v>0</v>
      </c>
    </row>
    <row r="6967" spans="1:10" x14ac:dyDescent="0.35">
      <c r="A6967">
        <v>326704</v>
      </c>
      <c r="B6967" t="s">
        <v>20</v>
      </c>
      <c r="C6967">
        <v>2015</v>
      </c>
      <c r="D6967">
        <v>7</v>
      </c>
      <c r="E6967" t="s">
        <v>7</v>
      </c>
      <c r="F6967" t="s">
        <v>7</v>
      </c>
      <c r="G6967" t="s">
        <v>7</v>
      </c>
      <c r="H6967">
        <v>49350.36</v>
      </c>
      <c r="I6967">
        <v>26882.5</v>
      </c>
      <c r="J6967">
        <v>0</v>
      </c>
    </row>
    <row r="6968" spans="1:10" x14ac:dyDescent="0.35">
      <c r="A6968">
        <v>326707</v>
      </c>
      <c r="B6968" t="s">
        <v>20</v>
      </c>
      <c r="C6968">
        <v>2015</v>
      </c>
      <c r="D6968">
        <v>7</v>
      </c>
      <c r="E6968" t="s">
        <v>7</v>
      </c>
      <c r="F6968" t="s">
        <v>7</v>
      </c>
      <c r="G6968" t="s">
        <v>7</v>
      </c>
      <c r="H6968">
        <v>38479.72</v>
      </c>
      <c r="I6968">
        <v>11083.52</v>
      </c>
      <c r="J6968">
        <v>0</v>
      </c>
    </row>
    <row r="6969" spans="1:10" x14ac:dyDescent="0.35">
      <c r="A6969">
        <v>326710</v>
      </c>
      <c r="B6969" t="s">
        <v>20</v>
      </c>
      <c r="C6969">
        <v>2015</v>
      </c>
      <c r="D6969">
        <v>7</v>
      </c>
      <c r="E6969" t="s">
        <v>7</v>
      </c>
      <c r="F6969" t="s">
        <v>7</v>
      </c>
      <c r="G6969" t="s">
        <v>7</v>
      </c>
      <c r="H6969">
        <v>27063.94</v>
      </c>
      <c r="I6969">
        <v>8282.5400000000009</v>
      </c>
      <c r="J6969">
        <v>0</v>
      </c>
    </row>
    <row r="6970" spans="1:10" x14ac:dyDescent="0.35">
      <c r="A6970">
        <v>326711</v>
      </c>
      <c r="B6970" t="s">
        <v>20</v>
      </c>
      <c r="C6970">
        <v>2015</v>
      </c>
      <c r="D6970">
        <v>7</v>
      </c>
      <c r="E6970" t="s">
        <v>7</v>
      </c>
      <c r="F6970" t="s">
        <v>7</v>
      </c>
      <c r="G6970" t="s">
        <v>7</v>
      </c>
      <c r="H6970">
        <v>16648.919999999998</v>
      </c>
      <c r="I6970">
        <v>4831.54</v>
      </c>
      <c r="J6970">
        <v>0</v>
      </c>
    </row>
    <row r="6971" spans="1:10" x14ac:dyDescent="0.35">
      <c r="A6971">
        <v>326712</v>
      </c>
      <c r="B6971" t="s">
        <v>20</v>
      </c>
      <c r="C6971">
        <v>2015</v>
      </c>
      <c r="D6971">
        <v>7</v>
      </c>
      <c r="E6971" t="s">
        <v>7</v>
      </c>
      <c r="F6971" t="s">
        <v>7</v>
      </c>
      <c r="G6971" t="s">
        <v>7</v>
      </c>
      <c r="H6971">
        <v>13056.4</v>
      </c>
      <c r="I6971">
        <v>2848.93</v>
      </c>
      <c r="J6971">
        <v>0</v>
      </c>
    </row>
    <row r="6972" spans="1:10" x14ac:dyDescent="0.35">
      <c r="A6972">
        <v>326713</v>
      </c>
      <c r="B6972" t="s">
        <v>20</v>
      </c>
      <c r="C6972">
        <v>2015</v>
      </c>
      <c r="D6972">
        <v>7</v>
      </c>
      <c r="E6972" t="s">
        <v>7</v>
      </c>
      <c r="F6972" t="s">
        <v>7</v>
      </c>
      <c r="G6972" t="s">
        <v>7</v>
      </c>
      <c r="H6972">
        <v>15017.44</v>
      </c>
      <c r="I6972">
        <v>3302.3</v>
      </c>
      <c r="J6972">
        <v>0</v>
      </c>
    </row>
    <row r="6973" spans="1:10" x14ac:dyDescent="0.35">
      <c r="A6973">
        <v>326714</v>
      </c>
      <c r="B6973" t="s">
        <v>20</v>
      </c>
      <c r="C6973">
        <v>2015</v>
      </c>
      <c r="D6973">
        <v>7</v>
      </c>
      <c r="E6973" t="s">
        <v>7</v>
      </c>
      <c r="F6973" t="s">
        <v>7</v>
      </c>
      <c r="G6973" t="s">
        <v>7</v>
      </c>
      <c r="H6973">
        <v>25119.26</v>
      </c>
      <c r="I6973">
        <v>10761.34</v>
      </c>
      <c r="J6973">
        <v>0</v>
      </c>
    </row>
    <row r="6974" spans="1:10" x14ac:dyDescent="0.35">
      <c r="A6974">
        <v>326715</v>
      </c>
      <c r="B6974" t="s">
        <v>20</v>
      </c>
      <c r="C6974">
        <v>2015</v>
      </c>
      <c r="D6974">
        <v>7</v>
      </c>
      <c r="E6974" t="s">
        <v>7</v>
      </c>
      <c r="F6974" t="s">
        <v>7</v>
      </c>
      <c r="G6974" t="s">
        <v>7</v>
      </c>
      <c r="H6974">
        <v>17444.919999999998</v>
      </c>
      <c r="I6974">
        <v>4527.0200000000004</v>
      </c>
      <c r="J6974">
        <v>0</v>
      </c>
    </row>
    <row r="6975" spans="1:10" x14ac:dyDescent="0.35">
      <c r="A6975">
        <v>326716</v>
      </c>
      <c r="B6975" t="s">
        <v>20</v>
      </c>
      <c r="C6975">
        <v>2015</v>
      </c>
      <c r="D6975">
        <v>7</v>
      </c>
      <c r="E6975" t="s">
        <v>7</v>
      </c>
      <c r="F6975" t="s">
        <v>7</v>
      </c>
      <c r="G6975" t="s">
        <v>7</v>
      </c>
      <c r="H6975">
        <v>37753.56</v>
      </c>
      <c r="I6975">
        <v>10099.86</v>
      </c>
      <c r="J6975">
        <v>0</v>
      </c>
    </row>
    <row r="6976" spans="1:10" x14ac:dyDescent="0.35">
      <c r="A6976">
        <v>326720</v>
      </c>
      <c r="B6976" t="s">
        <v>20</v>
      </c>
      <c r="C6976">
        <v>2015</v>
      </c>
      <c r="D6976">
        <v>7</v>
      </c>
      <c r="E6976" t="s">
        <v>7</v>
      </c>
      <c r="F6976" t="s">
        <v>7</v>
      </c>
      <c r="G6976" t="s">
        <v>7</v>
      </c>
      <c r="H6976">
        <v>41750.300000000003</v>
      </c>
      <c r="I6976">
        <v>11991.09</v>
      </c>
      <c r="J6976">
        <v>0</v>
      </c>
    </row>
    <row r="6977" spans="1:10" x14ac:dyDescent="0.35">
      <c r="A6977">
        <v>326721</v>
      </c>
      <c r="B6977" t="s">
        <v>20</v>
      </c>
      <c r="C6977">
        <v>2015</v>
      </c>
      <c r="D6977">
        <v>7</v>
      </c>
      <c r="E6977" t="s">
        <v>7</v>
      </c>
      <c r="F6977" t="s">
        <v>7</v>
      </c>
      <c r="G6977" t="s">
        <v>7</v>
      </c>
      <c r="H6977">
        <v>32580.38</v>
      </c>
      <c r="I6977">
        <v>9095.68</v>
      </c>
      <c r="J6977">
        <v>0</v>
      </c>
    </row>
    <row r="6978" spans="1:10" x14ac:dyDescent="0.35">
      <c r="A6978">
        <v>326725</v>
      </c>
      <c r="B6978" t="s">
        <v>20</v>
      </c>
      <c r="C6978">
        <v>2015</v>
      </c>
      <c r="D6978">
        <v>7</v>
      </c>
      <c r="E6978" t="s">
        <v>7</v>
      </c>
      <c r="F6978" t="s">
        <v>7</v>
      </c>
      <c r="G6978" t="s">
        <v>7</v>
      </c>
      <c r="H6978">
        <v>9623.42</v>
      </c>
      <c r="I6978">
        <v>2554.38</v>
      </c>
      <c r="J6978">
        <v>0</v>
      </c>
    </row>
    <row r="6979" spans="1:10" x14ac:dyDescent="0.35">
      <c r="A6979">
        <v>326727</v>
      </c>
      <c r="B6979" t="s">
        <v>20</v>
      </c>
      <c r="C6979">
        <v>2015</v>
      </c>
      <c r="D6979">
        <v>7</v>
      </c>
      <c r="E6979" t="s">
        <v>7</v>
      </c>
      <c r="F6979" t="s">
        <v>7</v>
      </c>
      <c r="G6979" t="s">
        <v>7</v>
      </c>
      <c r="H6979">
        <v>25634.2</v>
      </c>
      <c r="I6979">
        <v>6653.65</v>
      </c>
      <c r="J6979">
        <v>0</v>
      </c>
    </row>
    <row r="6980" spans="1:10" x14ac:dyDescent="0.35">
      <c r="A6980">
        <v>326729</v>
      </c>
      <c r="B6980" t="s">
        <v>20</v>
      </c>
      <c r="C6980">
        <v>2015</v>
      </c>
      <c r="D6980">
        <v>7</v>
      </c>
      <c r="E6980" t="s">
        <v>7</v>
      </c>
      <c r="F6980" t="s">
        <v>7</v>
      </c>
      <c r="G6980" t="s">
        <v>7</v>
      </c>
      <c r="H6980">
        <v>41293.019999999997</v>
      </c>
      <c r="I6980">
        <v>13177.5</v>
      </c>
      <c r="J6980">
        <v>0</v>
      </c>
    </row>
    <row r="6981" spans="1:10" x14ac:dyDescent="0.35">
      <c r="A6981">
        <v>326731</v>
      </c>
      <c r="B6981" t="s">
        <v>20</v>
      </c>
      <c r="C6981">
        <v>2015</v>
      </c>
      <c r="D6981">
        <v>7</v>
      </c>
      <c r="E6981" t="s">
        <v>7</v>
      </c>
      <c r="F6981" t="s">
        <v>7</v>
      </c>
      <c r="G6981" t="s">
        <v>7</v>
      </c>
      <c r="H6981">
        <v>22494.36</v>
      </c>
      <c r="I6981">
        <v>7233.78</v>
      </c>
      <c r="J6981">
        <v>0</v>
      </c>
    </row>
    <row r="6982" spans="1:10" x14ac:dyDescent="0.35">
      <c r="A6982">
        <v>326732</v>
      </c>
      <c r="B6982" t="s">
        <v>20</v>
      </c>
      <c r="C6982">
        <v>2015</v>
      </c>
      <c r="D6982">
        <v>7</v>
      </c>
      <c r="E6982" t="s">
        <v>7</v>
      </c>
      <c r="F6982" t="s">
        <v>7</v>
      </c>
      <c r="G6982" t="s">
        <v>7</v>
      </c>
      <c r="H6982">
        <v>36304.32</v>
      </c>
      <c r="I6982">
        <v>10441.23</v>
      </c>
      <c r="J6982">
        <v>0</v>
      </c>
    </row>
    <row r="6983" spans="1:10" x14ac:dyDescent="0.35">
      <c r="A6983">
        <v>326735</v>
      </c>
      <c r="B6983" t="s">
        <v>20</v>
      </c>
      <c r="C6983">
        <v>2015</v>
      </c>
      <c r="D6983">
        <v>7</v>
      </c>
      <c r="E6983" t="s">
        <v>7</v>
      </c>
      <c r="F6983" t="s">
        <v>7</v>
      </c>
      <c r="G6983" t="s">
        <v>7</v>
      </c>
      <c r="H6983">
        <v>17288.240000000002</v>
      </c>
      <c r="I6983">
        <v>4894.74</v>
      </c>
      <c r="J6983">
        <v>0</v>
      </c>
    </row>
    <row r="6984" spans="1:10" x14ac:dyDescent="0.35">
      <c r="A6984">
        <v>326736</v>
      </c>
      <c r="B6984" t="s">
        <v>20</v>
      </c>
      <c r="C6984">
        <v>2015</v>
      </c>
      <c r="D6984">
        <v>7</v>
      </c>
      <c r="E6984" t="s">
        <v>7</v>
      </c>
      <c r="F6984" t="s">
        <v>7</v>
      </c>
      <c r="G6984" t="s">
        <v>7</v>
      </c>
      <c r="H6984">
        <v>73239.92</v>
      </c>
      <c r="I6984">
        <v>30920.48</v>
      </c>
      <c r="J6984">
        <v>0</v>
      </c>
    </row>
    <row r="6985" spans="1:10" x14ac:dyDescent="0.35">
      <c r="A6985">
        <v>326739</v>
      </c>
      <c r="B6985" t="s">
        <v>20</v>
      </c>
      <c r="C6985">
        <v>2015</v>
      </c>
      <c r="D6985">
        <v>7</v>
      </c>
      <c r="E6985" t="s">
        <v>7</v>
      </c>
      <c r="F6985" t="s">
        <v>7</v>
      </c>
      <c r="G6985" t="s">
        <v>7</v>
      </c>
      <c r="H6985">
        <v>68305.820000000007</v>
      </c>
      <c r="I6985">
        <v>28462.28</v>
      </c>
      <c r="J6985">
        <v>0</v>
      </c>
    </row>
    <row r="6986" spans="1:10" x14ac:dyDescent="0.35">
      <c r="A6986">
        <v>326740</v>
      </c>
      <c r="B6986" t="s">
        <v>20</v>
      </c>
      <c r="C6986">
        <v>2015</v>
      </c>
      <c r="D6986">
        <v>7</v>
      </c>
      <c r="E6986" t="s">
        <v>7</v>
      </c>
      <c r="F6986" t="s">
        <v>7</v>
      </c>
      <c r="G6986" t="s">
        <v>7</v>
      </c>
      <c r="H6986">
        <v>30795.78</v>
      </c>
      <c r="I6986">
        <v>7602.75</v>
      </c>
      <c r="J6986">
        <v>0</v>
      </c>
    </row>
    <row r="6987" spans="1:10" x14ac:dyDescent="0.35">
      <c r="A6987">
        <v>326742</v>
      </c>
      <c r="B6987" t="s">
        <v>20</v>
      </c>
      <c r="C6987">
        <v>2015</v>
      </c>
      <c r="D6987">
        <v>7</v>
      </c>
      <c r="E6987" t="s">
        <v>7</v>
      </c>
      <c r="F6987" t="s">
        <v>7</v>
      </c>
      <c r="G6987" t="s">
        <v>7</v>
      </c>
      <c r="H6987">
        <v>35246.74</v>
      </c>
      <c r="I6987">
        <v>8325.4699999999993</v>
      </c>
      <c r="J6987">
        <v>0</v>
      </c>
    </row>
    <row r="6988" spans="1:10" x14ac:dyDescent="0.35">
      <c r="A6988">
        <v>326743</v>
      </c>
      <c r="B6988" t="s">
        <v>20</v>
      </c>
      <c r="C6988">
        <v>2015</v>
      </c>
      <c r="D6988">
        <v>7</v>
      </c>
      <c r="E6988" t="s">
        <v>7</v>
      </c>
      <c r="F6988" t="s">
        <v>7</v>
      </c>
      <c r="G6988" t="s">
        <v>7</v>
      </c>
      <c r="H6988">
        <v>27389.599999999999</v>
      </c>
      <c r="I6988">
        <v>7501.17</v>
      </c>
      <c r="J6988">
        <v>0</v>
      </c>
    </row>
    <row r="6989" spans="1:10" x14ac:dyDescent="0.35">
      <c r="A6989">
        <v>326745</v>
      </c>
      <c r="B6989" t="s">
        <v>20</v>
      </c>
      <c r="C6989">
        <v>2015</v>
      </c>
      <c r="D6989">
        <v>7</v>
      </c>
      <c r="E6989" t="s">
        <v>7</v>
      </c>
      <c r="F6989" t="s">
        <v>7</v>
      </c>
      <c r="G6989" t="s">
        <v>7</v>
      </c>
      <c r="H6989">
        <v>136133.34</v>
      </c>
      <c r="I6989">
        <v>39957.4</v>
      </c>
      <c r="J6989">
        <v>0</v>
      </c>
    </row>
    <row r="6990" spans="1:10" x14ac:dyDescent="0.35">
      <c r="A6990">
        <v>326746</v>
      </c>
      <c r="B6990" t="s">
        <v>20</v>
      </c>
      <c r="C6990">
        <v>2015</v>
      </c>
      <c r="D6990">
        <v>7</v>
      </c>
      <c r="E6990" t="s">
        <v>7</v>
      </c>
      <c r="F6990" t="s">
        <v>7</v>
      </c>
      <c r="G6990" t="s">
        <v>7</v>
      </c>
      <c r="H6990">
        <v>12086.7</v>
      </c>
      <c r="I6990">
        <v>3289.28</v>
      </c>
      <c r="J6990">
        <v>0</v>
      </c>
    </row>
    <row r="6991" spans="1:10" x14ac:dyDescent="0.35">
      <c r="A6991">
        <v>326747</v>
      </c>
      <c r="B6991" t="s">
        <v>20</v>
      </c>
      <c r="C6991">
        <v>2015</v>
      </c>
      <c r="D6991">
        <v>7</v>
      </c>
      <c r="E6991" t="s">
        <v>7</v>
      </c>
      <c r="F6991" t="s">
        <v>7</v>
      </c>
      <c r="G6991" t="s">
        <v>7</v>
      </c>
      <c r="H6991">
        <v>40137.86</v>
      </c>
      <c r="I6991">
        <v>18840.830000000002</v>
      </c>
      <c r="J6991">
        <v>0</v>
      </c>
    </row>
    <row r="6992" spans="1:10" x14ac:dyDescent="0.35">
      <c r="A6992">
        <v>326748</v>
      </c>
      <c r="B6992" t="s">
        <v>20</v>
      </c>
      <c r="C6992">
        <v>2015</v>
      </c>
      <c r="D6992">
        <v>7</v>
      </c>
      <c r="E6992" t="s">
        <v>7</v>
      </c>
      <c r="F6992" t="s">
        <v>7</v>
      </c>
      <c r="G6992" t="s">
        <v>7</v>
      </c>
      <c r="H6992">
        <v>19921.759999999998</v>
      </c>
      <c r="I6992">
        <v>4745.78</v>
      </c>
      <c r="J6992">
        <v>0</v>
      </c>
    </row>
    <row r="6993" spans="1:10" x14ac:dyDescent="0.35">
      <c r="A6993">
        <v>326749</v>
      </c>
      <c r="B6993" t="s">
        <v>20</v>
      </c>
      <c r="C6993">
        <v>2015</v>
      </c>
      <c r="D6993">
        <v>7</v>
      </c>
      <c r="E6993" t="s">
        <v>7</v>
      </c>
      <c r="F6993" t="s">
        <v>7</v>
      </c>
      <c r="G6993" t="s">
        <v>7</v>
      </c>
      <c r="H6993">
        <v>26581.22</v>
      </c>
      <c r="I6993">
        <v>7649.87</v>
      </c>
      <c r="J6993">
        <v>0</v>
      </c>
    </row>
    <row r="6994" spans="1:10" x14ac:dyDescent="0.35">
      <c r="A6994">
        <v>326753</v>
      </c>
      <c r="B6994" t="s">
        <v>20</v>
      </c>
      <c r="C6994">
        <v>2015</v>
      </c>
      <c r="D6994">
        <v>7</v>
      </c>
      <c r="E6994" t="s">
        <v>7</v>
      </c>
      <c r="F6994" t="s">
        <v>7</v>
      </c>
      <c r="G6994" t="s">
        <v>7</v>
      </c>
      <c r="H6994">
        <v>40915.9</v>
      </c>
      <c r="I6994">
        <v>10272.620000000001</v>
      </c>
      <c r="J6994">
        <v>0</v>
      </c>
    </row>
    <row r="6995" spans="1:10" x14ac:dyDescent="0.35">
      <c r="A6995">
        <v>326754</v>
      </c>
      <c r="B6995" t="s">
        <v>20</v>
      </c>
      <c r="C6995">
        <v>2015</v>
      </c>
      <c r="D6995">
        <v>7</v>
      </c>
      <c r="E6995" t="s">
        <v>7</v>
      </c>
      <c r="F6995" t="s">
        <v>7</v>
      </c>
      <c r="G6995" t="s">
        <v>7</v>
      </c>
      <c r="H6995">
        <v>31556.54</v>
      </c>
      <c r="I6995">
        <v>12606.21</v>
      </c>
      <c r="J6995">
        <v>0</v>
      </c>
    </row>
    <row r="6996" spans="1:10" x14ac:dyDescent="0.35">
      <c r="A6996">
        <v>326755</v>
      </c>
      <c r="B6996" t="s">
        <v>20</v>
      </c>
      <c r="C6996">
        <v>2015</v>
      </c>
      <c r="D6996">
        <v>7</v>
      </c>
      <c r="E6996" t="s">
        <v>7</v>
      </c>
      <c r="F6996" t="s">
        <v>7</v>
      </c>
      <c r="G6996" t="s">
        <v>7</v>
      </c>
      <c r="H6996">
        <v>28788.22</v>
      </c>
      <c r="I6996">
        <v>7743.06</v>
      </c>
      <c r="J6996">
        <v>0</v>
      </c>
    </row>
    <row r="6997" spans="1:10" x14ac:dyDescent="0.35">
      <c r="A6997">
        <v>326757</v>
      </c>
      <c r="B6997" t="s">
        <v>20</v>
      </c>
      <c r="C6997">
        <v>2015</v>
      </c>
      <c r="D6997">
        <v>7</v>
      </c>
      <c r="E6997" t="s">
        <v>7</v>
      </c>
      <c r="F6997" t="s">
        <v>7</v>
      </c>
      <c r="G6997" t="s">
        <v>7</v>
      </c>
      <c r="H6997">
        <v>55739.32</v>
      </c>
      <c r="I6997">
        <v>16264.37</v>
      </c>
      <c r="J6997">
        <v>0</v>
      </c>
    </row>
    <row r="6998" spans="1:10" x14ac:dyDescent="0.35">
      <c r="A6998">
        <v>326758</v>
      </c>
      <c r="B6998" t="s">
        <v>20</v>
      </c>
      <c r="C6998">
        <v>2015</v>
      </c>
      <c r="D6998">
        <v>7</v>
      </c>
      <c r="E6998" t="s">
        <v>7</v>
      </c>
      <c r="F6998" t="s">
        <v>7</v>
      </c>
      <c r="G6998" t="s">
        <v>7</v>
      </c>
      <c r="H6998">
        <v>11715.2</v>
      </c>
      <c r="I6998">
        <v>2607.0500000000002</v>
      </c>
      <c r="J6998">
        <v>0</v>
      </c>
    </row>
    <row r="6999" spans="1:10" x14ac:dyDescent="0.35">
      <c r="A6999">
        <v>326759</v>
      </c>
      <c r="B6999" t="s">
        <v>20</v>
      </c>
      <c r="C6999">
        <v>2015</v>
      </c>
      <c r="D6999">
        <v>7</v>
      </c>
      <c r="E6999" t="s">
        <v>7</v>
      </c>
      <c r="F6999" t="s">
        <v>7</v>
      </c>
      <c r="G6999" t="s">
        <v>7</v>
      </c>
      <c r="H6999">
        <v>9863.84</v>
      </c>
      <c r="I6999">
        <v>2706.86</v>
      </c>
      <c r="J6999">
        <v>0</v>
      </c>
    </row>
    <row r="7000" spans="1:10" x14ac:dyDescent="0.35">
      <c r="A7000">
        <v>326760</v>
      </c>
      <c r="B7000" t="s">
        <v>20</v>
      </c>
      <c r="C7000">
        <v>2015</v>
      </c>
      <c r="D7000">
        <v>7</v>
      </c>
      <c r="E7000" t="s">
        <v>7</v>
      </c>
      <c r="F7000" t="s">
        <v>7</v>
      </c>
      <c r="G7000" t="s">
        <v>7</v>
      </c>
      <c r="H7000">
        <v>66051.88</v>
      </c>
      <c r="I7000">
        <v>26436.6</v>
      </c>
      <c r="J7000">
        <v>0</v>
      </c>
    </row>
    <row r="7001" spans="1:10" x14ac:dyDescent="0.35">
      <c r="A7001">
        <v>326762</v>
      </c>
      <c r="B7001" t="s">
        <v>20</v>
      </c>
      <c r="C7001">
        <v>2015</v>
      </c>
      <c r="D7001">
        <v>7</v>
      </c>
      <c r="E7001" t="s">
        <v>7</v>
      </c>
      <c r="F7001" t="s">
        <v>7</v>
      </c>
      <c r="G7001" t="s">
        <v>7</v>
      </c>
      <c r="H7001">
        <v>28359.98</v>
      </c>
      <c r="I7001">
        <v>6587.63</v>
      </c>
      <c r="J7001">
        <v>0</v>
      </c>
    </row>
    <row r="7002" spans="1:10" x14ac:dyDescent="0.35">
      <c r="A7002">
        <v>326763</v>
      </c>
      <c r="B7002" t="s">
        <v>20</v>
      </c>
      <c r="C7002">
        <v>2015</v>
      </c>
      <c r="D7002">
        <v>7</v>
      </c>
      <c r="E7002" t="s">
        <v>7</v>
      </c>
      <c r="F7002" t="s">
        <v>7</v>
      </c>
      <c r="G7002" t="s">
        <v>7</v>
      </c>
      <c r="H7002">
        <v>19470.66</v>
      </c>
      <c r="I7002">
        <v>3488.63</v>
      </c>
      <c r="J7002">
        <v>0</v>
      </c>
    </row>
    <row r="7003" spans="1:10" x14ac:dyDescent="0.35">
      <c r="A7003">
        <v>326764</v>
      </c>
      <c r="B7003" t="s">
        <v>20</v>
      </c>
      <c r="C7003">
        <v>2015</v>
      </c>
      <c r="D7003">
        <v>7</v>
      </c>
      <c r="E7003" t="s">
        <v>7</v>
      </c>
      <c r="F7003" t="s">
        <v>7</v>
      </c>
      <c r="G7003" t="s">
        <v>7</v>
      </c>
      <c r="H7003">
        <v>26006.6</v>
      </c>
      <c r="I7003">
        <v>7994.36</v>
      </c>
      <c r="J7003">
        <v>0</v>
      </c>
    </row>
    <row r="7004" spans="1:10" x14ac:dyDescent="0.35">
      <c r="A7004">
        <v>326767</v>
      </c>
      <c r="B7004" t="s">
        <v>20</v>
      </c>
      <c r="C7004">
        <v>2015</v>
      </c>
      <c r="D7004">
        <v>7</v>
      </c>
      <c r="E7004" t="s">
        <v>7</v>
      </c>
      <c r="F7004" t="s">
        <v>7</v>
      </c>
      <c r="G7004" t="s">
        <v>7</v>
      </c>
      <c r="H7004">
        <v>37704.82</v>
      </c>
      <c r="I7004">
        <v>7826.99</v>
      </c>
      <c r="J7004">
        <v>0</v>
      </c>
    </row>
    <row r="7005" spans="1:10" x14ac:dyDescent="0.35">
      <c r="A7005">
        <v>326768</v>
      </c>
      <c r="B7005" t="s">
        <v>20</v>
      </c>
      <c r="C7005">
        <v>2015</v>
      </c>
      <c r="D7005">
        <v>7</v>
      </c>
      <c r="E7005" t="s">
        <v>7</v>
      </c>
      <c r="F7005" t="s">
        <v>7</v>
      </c>
      <c r="G7005" t="s">
        <v>7</v>
      </c>
      <c r="H7005">
        <v>83260.12</v>
      </c>
      <c r="I7005">
        <v>60711.09</v>
      </c>
      <c r="J7005">
        <v>0</v>
      </c>
    </row>
    <row r="7006" spans="1:10" x14ac:dyDescent="0.35">
      <c r="A7006">
        <v>326769</v>
      </c>
      <c r="B7006" t="s">
        <v>20</v>
      </c>
      <c r="C7006">
        <v>2015</v>
      </c>
      <c r="D7006">
        <v>7</v>
      </c>
      <c r="E7006" t="s">
        <v>7</v>
      </c>
      <c r="F7006" t="s">
        <v>7</v>
      </c>
      <c r="G7006" t="s">
        <v>7</v>
      </c>
      <c r="H7006">
        <v>25153.38</v>
      </c>
      <c r="I7006">
        <v>6548.19</v>
      </c>
      <c r="J7006">
        <v>0</v>
      </c>
    </row>
    <row r="7007" spans="1:10" x14ac:dyDescent="0.35">
      <c r="A7007">
        <v>326770</v>
      </c>
      <c r="B7007" t="s">
        <v>20</v>
      </c>
      <c r="C7007">
        <v>2015</v>
      </c>
      <c r="D7007">
        <v>7</v>
      </c>
      <c r="E7007" t="s">
        <v>7</v>
      </c>
      <c r="F7007" t="s">
        <v>7</v>
      </c>
      <c r="G7007" t="s">
        <v>7</v>
      </c>
      <c r="H7007">
        <v>19105.080000000002</v>
      </c>
      <c r="I7007">
        <v>5540.09</v>
      </c>
      <c r="J7007">
        <v>0</v>
      </c>
    </row>
    <row r="7008" spans="1:10" x14ac:dyDescent="0.35">
      <c r="A7008">
        <v>326771</v>
      </c>
      <c r="B7008" t="s">
        <v>20</v>
      </c>
      <c r="C7008">
        <v>2015</v>
      </c>
      <c r="D7008">
        <v>7</v>
      </c>
      <c r="E7008" t="s">
        <v>7</v>
      </c>
      <c r="F7008" t="s">
        <v>7</v>
      </c>
      <c r="G7008" t="s">
        <v>7</v>
      </c>
      <c r="H7008">
        <v>35707.800000000003</v>
      </c>
      <c r="I7008">
        <v>9972.27</v>
      </c>
      <c r="J7008">
        <v>0</v>
      </c>
    </row>
    <row r="7009" spans="1:10" x14ac:dyDescent="0.35">
      <c r="A7009">
        <v>326772</v>
      </c>
      <c r="B7009" t="s">
        <v>20</v>
      </c>
      <c r="C7009">
        <v>2015</v>
      </c>
      <c r="D7009">
        <v>7</v>
      </c>
      <c r="E7009" t="s">
        <v>7</v>
      </c>
      <c r="F7009" t="s">
        <v>7</v>
      </c>
      <c r="G7009" t="s">
        <v>7</v>
      </c>
      <c r="H7009">
        <v>31436.080000000002</v>
      </c>
      <c r="I7009">
        <v>8449.64</v>
      </c>
      <c r="J7009">
        <v>0</v>
      </c>
    </row>
    <row r="7010" spans="1:10" x14ac:dyDescent="0.35">
      <c r="A7010">
        <v>326773</v>
      </c>
      <c r="B7010" t="s">
        <v>20</v>
      </c>
      <c r="C7010">
        <v>2015</v>
      </c>
      <c r="D7010">
        <v>7</v>
      </c>
      <c r="E7010" t="s">
        <v>7</v>
      </c>
      <c r="F7010" t="s">
        <v>7</v>
      </c>
      <c r="G7010" t="s">
        <v>7</v>
      </c>
      <c r="H7010">
        <v>15800.76</v>
      </c>
      <c r="I7010">
        <v>4508.83</v>
      </c>
      <c r="J7010">
        <v>0</v>
      </c>
    </row>
    <row r="7011" spans="1:10" x14ac:dyDescent="0.35">
      <c r="A7011">
        <v>326775</v>
      </c>
      <c r="B7011" t="s">
        <v>20</v>
      </c>
      <c r="C7011">
        <v>2015</v>
      </c>
      <c r="D7011">
        <v>7</v>
      </c>
      <c r="E7011" t="s">
        <v>7</v>
      </c>
      <c r="F7011" t="s">
        <v>7</v>
      </c>
      <c r="G7011" t="s">
        <v>7</v>
      </c>
      <c r="H7011">
        <v>11940.62</v>
      </c>
      <c r="I7011">
        <v>3182.49</v>
      </c>
      <c r="J7011">
        <v>0</v>
      </c>
    </row>
    <row r="7012" spans="1:10" x14ac:dyDescent="0.35">
      <c r="A7012">
        <v>326781</v>
      </c>
      <c r="B7012" t="s">
        <v>20</v>
      </c>
      <c r="C7012">
        <v>2015</v>
      </c>
      <c r="D7012">
        <v>7</v>
      </c>
      <c r="E7012" t="s">
        <v>7</v>
      </c>
      <c r="F7012" t="s">
        <v>7</v>
      </c>
      <c r="G7012" t="s">
        <v>7</v>
      </c>
      <c r="H7012">
        <v>16416.5</v>
      </c>
      <c r="I7012">
        <v>4799.58</v>
      </c>
      <c r="J7012">
        <v>0</v>
      </c>
    </row>
    <row r="7013" spans="1:10" x14ac:dyDescent="0.35">
      <c r="A7013">
        <v>326782</v>
      </c>
      <c r="B7013" t="s">
        <v>20</v>
      </c>
      <c r="C7013">
        <v>2015</v>
      </c>
      <c r="D7013">
        <v>7</v>
      </c>
      <c r="E7013" t="s">
        <v>7</v>
      </c>
      <c r="F7013" t="s">
        <v>7</v>
      </c>
      <c r="G7013" t="s">
        <v>7</v>
      </c>
      <c r="H7013">
        <v>20441.22</v>
      </c>
      <c r="I7013">
        <v>5293.02</v>
      </c>
      <c r="J7013">
        <v>0</v>
      </c>
    </row>
    <row r="7014" spans="1:10" x14ac:dyDescent="0.35">
      <c r="A7014">
        <v>326784</v>
      </c>
      <c r="B7014" t="s">
        <v>20</v>
      </c>
      <c r="C7014">
        <v>2015</v>
      </c>
      <c r="D7014">
        <v>7</v>
      </c>
      <c r="E7014" t="s">
        <v>7</v>
      </c>
      <c r="F7014" t="s">
        <v>7</v>
      </c>
      <c r="G7014" t="s">
        <v>7</v>
      </c>
      <c r="H7014">
        <v>110007.4</v>
      </c>
      <c r="I7014">
        <v>32427.97</v>
      </c>
      <c r="J7014">
        <v>0</v>
      </c>
    </row>
    <row r="7015" spans="1:10" x14ac:dyDescent="0.35">
      <c r="A7015">
        <v>326786</v>
      </c>
      <c r="B7015" t="s">
        <v>20</v>
      </c>
      <c r="C7015">
        <v>2015</v>
      </c>
      <c r="D7015">
        <v>7</v>
      </c>
      <c r="E7015" t="s">
        <v>7</v>
      </c>
      <c r="F7015" t="s">
        <v>7</v>
      </c>
      <c r="G7015" t="s">
        <v>7</v>
      </c>
      <c r="H7015">
        <v>38241.160000000003</v>
      </c>
      <c r="I7015">
        <v>13522.58</v>
      </c>
      <c r="J7015">
        <v>0</v>
      </c>
    </row>
    <row r="7016" spans="1:10" x14ac:dyDescent="0.35">
      <c r="A7016">
        <v>326787</v>
      </c>
      <c r="B7016" t="s">
        <v>20</v>
      </c>
      <c r="C7016">
        <v>2015</v>
      </c>
      <c r="D7016">
        <v>7</v>
      </c>
      <c r="E7016" t="s">
        <v>7</v>
      </c>
      <c r="F7016" t="s">
        <v>7</v>
      </c>
      <c r="G7016" t="s">
        <v>7</v>
      </c>
      <c r="H7016">
        <v>174178.05</v>
      </c>
      <c r="I7016">
        <v>138283.44</v>
      </c>
      <c r="J7016">
        <v>0</v>
      </c>
    </row>
    <row r="7017" spans="1:10" x14ac:dyDescent="0.35">
      <c r="A7017">
        <v>326790</v>
      </c>
      <c r="B7017" t="s">
        <v>20</v>
      </c>
      <c r="C7017">
        <v>2015</v>
      </c>
      <c r="D7017">
        <v>7</v>
      </c>
      <c r="E7017" t="s">
        <v>7</v>
      </c>
      <c r="F7017" t="s">
        <v>7</v>
      </c>
      <c r="G7017" t="s">
        <v>7</v>
      </c>
      <c r="H7017">
        <v>10699.88</v>
      </c>
      <c r="I7017">
        <v>2967.96</v>
      </c>
      <c r="J7017">
        <v>0</v>
      </c>
    </row>
    <row r="7018" spans="1:10" x14ac:dyDescent="0.35">
      <c r="A7018">
        <v>326791</v>
      </c>
      <c r="B7018" t="s">
        <v>20</v>
      </c>
      <c r="C7018">
        <v>2015</v>
      </c>
      <c r="D7018">
        <v>7</v>
      </c>
      <c r="E7018" t="s">
        <v>7</v>
      </c>
      <c r="F7018" t="s">
        <v>7</v>
      </c>
      <c r="G7018" t="s">
        <v>7</v>
      </c>
      <c r="H7018">
        <v>17458.72</v>
      </c>
      <c r="I7018">
        <v>4632.84</v>
      </c>
      <c r="J7018">
        <v>0</v>
      </c>
    </row>
    <row r="7019" spans="1:10" x14ac:dyDescent="0.35">
      <c r="A7019">
        <v>326793</v>
      </c>
      <c r="B7019" t="s">
        <v>20</v>
      </c>
      <c r="C7019">
        <v>2015</v>
      </c>
      <c r="D7019">
        <v>7</v>
      </c>
      <c r="E7019" t="s">
        <v>7</v>
      </c>
      <c r="F7019" t="s">
        <v>7</v>
      </c>
      <c r="G7019" t="s">
        <v>7</v>
      </c>
      <c r="H7019">
        <v>21822.639999999999</v>
      </c>
      <c r="I7019">
        <v>5526.75</v>
      </c>
      <c r="J7019">
        <v>0</v>
      </c>
    </row>
    <row r="7020" spans="1:10" x14ac:dyDescent="0.35">
      <c r="A7020">
        <v>326794</v>
      </c>
      <c r="B7020" t="s">
        <v>20</v>
      </c>
      <c r="C7020">
        <v>2015</v>
      </c>
      <c r="D7020">
        <v>7</v>
      </c>
      <c r="E7020" t="s">
        <v>7</v>
      </c>
      <c r="F7020" t="s">
        <v>7</v>
      </c>
      <c r="G7020" t="s">
        <v>7</v>
      </c>
      <c r="H7020">
        <v>32242.42</v>
      </c>
      <c r="I7020">
        <v>8455.0300000000007</v>
      </c>
      <c r="J7020">
        <v>0</v>
      </c>
    </row>
    <row r="7021" spans="1:10" x14ac:dyDescent="0.35">
      <c r="A7021">
        <v>326796</v>
      </c>
      <c r="B7021" t="s">
        <v>20</v>
      </c>
      <c r="C7021">
        <v>2015</v>
      </c>
      <c r="D7021">
        <v>7</v>
      </c>
      <c r="E7021" t="s">
        <v>7</v>
      </c>
      <c r="F7021" t="s">
        <v>7</v>
      </c>
      <c r="G7021" t="s">
        <v>7</v>
      </c>
      <c r="H7021">
        <v>65249.94</v>
      </c>
      <c r="I7021">
        <v>23851.3</v>
      </c>
      <c r="J7021">
        <v>0</v>
      </c>
    </row>
    <row r="7022" spans="1:10" x14ac:dyDescent="0.35">
      <c r="A7022">
        <v>326797</v>
      </c>
      <c r="B7022" t="s">
        <v>20</v>
      </c>
      <c r="C7022">
        <v>2015</v>
      </c>
      <c r="D7022">
        <v>7</v>
      </c>
      <c r="E7022" t="s">
        <v>7</v>
      </c>
      <c r="F7022" t="s">
        <v>7</v>
      </c>
      <c r="G7022" t="s">
        <v>7</v>
      </c>
      <c r="H7022">
        <v>30089.74</v>
      </c>
      <c r="I7022">
        <v>9962.2199999999993</v>
      </c>
      <c r="J7022">
        <v>0</v>
      </c>
    </row>
    <row r="7023" spans="1:10" x14ac:dyDescent="0.35">
      <c r="A7023">
        <v>326798</v>
      </c>
      <c r="B7023" t="s">
        <v>20</v>
      </c>
      <c r="C7023">
        <v>2015</v>
      </c>
      <c r="D7023">
        <v>7</v>
      </c>
      <c r="E7023" t="s">
        <v>7</v>
      </c>
      <c r="F7023" t="s">
        <v>7</v>
      </c>
      <c r="G7023" t="s">
        <v>7</v>
      </c>
      <c r="H7023">
        <v>28554.6</v>
      </c>
      <c r="I7023">
        <v>8682.0499999999993</v>
      </c>
      <c r="J7023">
        <v>0</v>
      </c>
    </row>
    <row r="7024" spans="1:10" x14ac:dyDescent="0.35">
      <c r="A7024">
        <v>326803</v>
      </c>
      <c r="B7024" t="s">
        <v>20</v>
      </c>
      <c r="C7024">
        <v>2015</v>
      </c>
      <c r="D7024">
        <v>7</v>
      </c>
      <c r="E7024" t="s">
        <v>7</v>
      </c>
      <c r="F7024" t="s">
        <v>7</v>
      </c>
      <c r="G7024" t="s">
        <v>7</v>
      </c>
      <c r="H7024">
        <v>13159.84</v>
      </c>
      <c r="I7024">
        <v>3210.83</v>
      </c>
      <c r="J7024">
        <v>0</v>
      </c>
    </row>
    <row r="7025" spans="1:10" x14ac:dyDescent="0.35">
      <c r="A7025">
        <v>326804</v>
      </c>
      <c r="B7025" t="s">
        <v>20</v>
      </c>
      <c r="C7025">
        <v>2015</v>
      </c>
      <c r="D7025">
        <v>7</v>
      </c>
      <c r="E7025" t="s">
        <v>7</v>
      </c>
      <c r="F7025" t="s">
        <v>7</v>
      </c>
      <c r="G7025" t="s">
        <v>7</v>
      </c>
      <c r="H7025">
        <v>41463</v>
      </c>
      <c r="I7025">
        <v>12730.51</v>
      </c>
      <c r="J7025">
        <v>0</v>
      </c>
    </row>
    <row r="7026" spans="1:10" x14ac:dyDescent="0.35">
      <c r="A7026">
        <v>326806</v>
      </c>
      <c r="B7026" t="s">
        <v>20</v>
      </c>
      <c r="C7026">
        <v>2015</v>
      </c>
      <c r="D7026">
        <v>7</v>
      </c>
      <c r="E7026" t="s">
        <v>7</v>
      </c>
      <c r="F7026" t="s">
        <v>7</v>
      </c>
      <c r="G7026" t="s">
        <v>7</v>
      </c>
      <c r="H7026">
        <v>15731.34</v>
      </c>
      <c r="I7026">
        <v>4002.91</v>
      </c>
      <c r="J7026">
        <v>0</v>
      </c>
    </row>
    <row r="7027" spans="1:10" x14ac:dyDescent="0.35">
      <c r="A7027">
        <v>326808</v>
      </c>
      <c r="B7027" t="s">
        <v>20</v>
      </c>
      <c r="C7027">
        <v>2015</v>
      </c>
      <c r="D7027">
        <v>7</v>
      </c>
      <c r="E7027" t="s">
        <v>7</v>
      </c>
      <c r="F7027" t="s">
        <v>7</v>
      </c>
      <c r="G7027" t="s">
        <v>7</v>
      </c>
      <c r="H7027">
        <v>15525.36</v>
      </c>
      <c r="I7027">
        <v>4475.01</v>
      </c>
      <c r="J7027">
        <v>0</v>
      </c>
    </row>
    <row r="7028" spans="1:10" x14ac:dyDescent="0.35">
      <c r="A7028">
        <v>326812</v>
      </c>
      <c r="B7028" t="s">
        <v>20</v>
      </c>
      <c r="C7028">
        <v>2015</v>
      </c>
      <c r="D7028">
        <v>7</v>
      </c>
      <c r="E7028" t="s">
        <v>7</v>
      </c>
      <c r="F7028" t="s">
        <v>7</v>
      </c>
      <c r="G7028" t="s">
        <v>7</v>
      </c>
      <c r="H7028">
        <v>13392.88</v>
      </c>
      <c r="I7028">
        <v>3576.05</v>
      </c>
      <c r="J7028">
        <v>0</v>
      </c>
    </row>
    <row r="7029" spans="1:10" x14ac:dyDescent="0.35">
      <c r="A7029">
        <v>326814</v>
      </c>
      <c r="B7029" t="s">
        <v>20</v>
      </c>
      <c r="C7029">
        <v>2015</v>
      </c>
      <c r="D7029">
        <v>7</v>
      </c>
      <c r="E7029" t="s">
        <v>7</v>
      </c>
      <c r="F7029" t="s">
        <v>7</v>
      </c>
      <c r="G7029" t="s">
        <v>7</v>
      </c>
      <c r="H7029">
        <v>43388.74</v>
      </c>
      <c r="I7029">
        <v>13561.39</v>
      </c>
      <c r="J7029">
        <v>0</v>
      </c>
    </row>
    <row r="7030" spans="1:10" x14ac:dyDescent="0.35">
      <c r="A7030">
        <v>326815</v>
      </c>
      <c r="B7030" t="s">
        <v>20</v>
      </c>
      <c r="C7030">
        <v>2015</v>
      </c>
      <c r="D7030">
        <v>7</v>
      </c>
      <c r="E7030" t="s">
        <v>7</v>
      </c>
      <c r="F7030" t="s">
        <v>7</v>
      </c>
      <c r="G7030" t="s">
        <v>7</v>
      </c>
      <c r="H7030">
        <v>48237.26</v>
      </c>
      <c r="I7030">
        <v>28202.58</v>
      </c>
      <c r="J7030">
        <v>0</v>
      </c>
    </row>
    <row r="7031" spans="1:10" x14ac:dyDescent="0.35">
      <c r="A7031">
        <v>326817</v>
      </c>
      <c r="B7031" t="s">
        <v>20</v>
      </c>
      <c r="C7031">
        <v>2015</v>
      </c>
      <c r="D7031">
        <v>7</v>
      </c>
      <c r="E7031" t="s">
        <v>7</v>
      </c>
      <c r="F7031" t="s">
        <v>7</v>
      </c>
      <c r="G7031" t="s">
        <v>7</v>
      </c>
      <c r="H7031">
        <v>39740.379999999997</v>
      </c>
      <c r="I7031">
        <v>9753.36</v>
      </c>
      <c r="J7031">
        <v>0</v>
      </c>
    </row>
    <row r="7032" spans="1:10" x14ac:dyDescent="0.35">
      <c r="A7032">
        <v>326818</v>
      </c>
      <c r="B7032" t="s">
        <v>20</v>
      </c>
      <c r="C7032">
        <v>2015</v>
      </c>
      <c r="D7032">
        <v>7</v>
      </c>
      <c r="E7032" t="s">
        <v>7</v>
      </c>
      <c r="F7032" t="s">
        <v>7</v>
      </c>
      <c r="G7032" t="s">
        <v>7</v>
      </c>
      <c r="H7032">
        <v>44840.82</v>
      </c>
      <c r="I7032">
        <v>13067.93</v>
      </c>
      <c r="J7032">
        <v>0</v>
      </c>
    </row>
    <row r="7033" spans="1:10" x14ac:dyDescent="0.35">
      <c r="A7033">
        <v>326819</v>
      </c>
      <c r="B7033" t="s">
        <v>20</v>
      </c>
      <c r="C7033">
        <v>2015</v>
      </c>
      <c r="D7033">
        <v>7</v>
      </c>
      <c r="E7033" t="s">
        <v>7</v>
      </c>
      <c r="F7033" t="s">
        <v>7</v>
      </c>
      <c r="G7033" t="s">
        <v>7</v>
      </c>
      <c r="H7033">
        <v>11535.64</v>
      </c>
      <c r="I7033">
        <v>2893.26</v>
      </c>
      <c r="J7033">
        <v>0</v>
      </c>
    </row>
    <row r="7034" spans="1:10" x14ac:dyDescent="0.35">
      <c r="A7034">
        <v>326822</v>
      </c>
      <c r="B7034" t="s">
        <v>20</v>
      </c>
      <c r="C7034">
        <v>2015</v>
      </c>
      <c r="D7034">
        <v>7</v>
      </c>
      <c r="E7034" t="s">
        <v>7</v>
      </c>
      <c r="F7034" t="s">
        <v>7</v>
      </c>
      <c r="G7034" t="s">
        <v>7</v>
      </c>
      <c r="H7034">
        <v>27075.42</v>
      </c>
      <c r="I7034">
        <v>8181.38</v>
      </c>
      <c r="J7034">
        <v>0</v>
      </c>
    </row>
    <row r="7035" spans="1:10" x14ac:dyDescent="0.35">
      <c r="A7035">
        <v>326824</v>
      </c>
      <c r="B7035" t="s">
        <v>20</v>
      </c>
      <c r="C7035">
        <v>2015</v>
      </c>
      <c r="D7035">
        <v>7</v>
      </c>
      <c r="E7035" t="s">
        <v>7</v>
      </c>
      <c r="F7035" t="s">
        <v>7</v>
      </c>
      <c r="G7035" t="s">
        <v>7</v>
      </c>
      <c r="H7035">
        <v>17898.599999999999</v>
      </c>
      <c r="I7035">
        <v>5368.37</v>
      </c>
      <c r="J7035">
        <v>0</v>
      </c>
    </row>
    <row r="7036" spans="1:10" x14ac:dyDescent="0.35">
      <c r="A7036">
        <v>326826</v>
      </c>
      <c r="B7036" t="s">
        <v>20</v>
      </c>
      <c r="C7036">
        <v>2015</v>
      </c>
      <c r="D7036">
        <v>7</v>
      </c>
      <c r="E7036" t="s">
        <v>7</v>
      </c>
      <c r="F7036" t="s">
        <v>7</v>
      </c>
      <c r="G7036" t="s">
        <v>7</v>
      </c>
      <c r="H7036">
        <v>17144.560000000001</v>
      </c>
      <c r="I7036">
        <v>4543.91</v>
      </c>
      <c r="J7036">
        <v>0</v>
      </c>
    </row>
    <row r="7037" spans="1:10" x14ac:dyDescent="0.35">
      <c r="A7037">
        <v>326830</v>
      </c>
      <c r="B7037" t="s">
        <v>20</v>
      </c>
      <c r="C7037">
        <v>2015</v>
      </c>
      <c r="D7037">
        <v>7</v>
      </c>
      <c r="E7037" t="s">
        <v>7</v>
      </c>
      <c r="F7037" t="s">
        <v>7</v>
      </c>
      <c r="G7037" t="s">
        <v>7</v>
      </c>
      <c r="H7037">
        <v>12918.02</v>
      </c>
      <c r="I7037">
        <v>2618.15</v>
      </c>
      <c r="J7037">
        <v>0</v>
      </c>
    </row>
    <row r="7038" spans="1:10" x14ac:dyDescent="0.35">
      <c r="A7038">
        <v>326832</v>
      </c>
      <c r="B7038" t="s">
        <v>20</v>
      </c>
      <c r="C7038">
        <v>2015</v>
      </c>
      <c r="D7038">
        <v>7</v>
      </c>
      <c r="E7038" t="s">
        <v>7</v>
      </c>
      <c r="F7038" t="s">
        <v>7</v>
      </c>
      <c r="G7038" t="s">
        <v>7</v>
      </c>
      <c r="H7038">
        <v>34600.639999999999</v>
      </c>
      <c r="I7038">
        <v>10369.68</v>
      </c>
      <c r="J7038">
        <v>0</v>
      </c>
    </row>
    <row r="7039" spans="1:10" x14ac:dyDescent="0.35">
      <c r="A7039">
        <v>326833</v>
      </c>
      <c r="B7039" t="s">
        <v>20</v>
      </c>
      <c r="C7039">
        <v>2015</v>
      </c>
      <c r="D7039">
        <v>7</v>
      </c>
      <c r="E7039" t="s">
        <v>7</v>
      </c>
      <c r="F7039" t="s">
        <v>7</v>
      </c>
      <c r="G7039" t="s">
        <v>7</v>
      </c>
      <c r="H7039">
        <v>81573.09</v>
      </c>
      <c r="I7039">
        <v>50167.97</v>
      </c>
      <c r="J7039">
        <v>0</v>
      </c>
    </row>
    <row r="7040" spans="1:10" x14ac:dyDescent="0.35">
      <c r="A7040">
        <v>326834</v>
      </c>
      <c r="B7040" t="s">
        <v>20</v>
      </c>
      <c r="C7040">
        <v>2015</v>
      </c>
      <c r="D7040">
        <v>7</v>
      </c>
      <c r="E7040" t="s">
        <v>7</v>
      </c>
      <c r="F7040" t="s">
        <v>7</v>
      </c>
      <c r="G7040" t="s">
        <v>7</v>
      </c>
      <c r="H7040">
        <v>63938.9</v>
      </c>
      <c r="I7040">
        <v>19176.330000000002</v>
      </c>
      <c r="J7040">
        <v>0</v>
      </c>
    </row>
    <row r="7041" spans="1:10" x14ac:dyDescent="0.35">
      <c r="A7041">
        <v>326835</v>
      </c>
      <c r="B7041" t="s">
        <v>20</v>
      </c>
      <c r="C7041">
        <v>2015</v>
      </c>
      <c r="D7041">
        <v>7</v>
      </c>
      <c r="E7041" t="s">
        <v>7</v>
      </c>
      <c r="F7041" t="s">
        <v>7</v>
      </c>
      <c r="G7041" t="s">
        <v>7</v>
      </c>
      <c r="H7041">
        <v>27017.94</v>
      </c>
      <c r="I7041">
        <v>8210.91</v>
      </c>
      <c r="J7041">
        <v>0</v>
      </c>
    </row>
    <row r="7042" spans="1:10" x14ac:dyDescent="0.35">
      <c r="A7042">
        <v>326836</v>
      </c>
      <c r="B7042" t="s">
        <v>20</v>
      </c>
      <c r="C7042">
        <v>2015</v>
      </c>
      <c r="D7042">
        <v>7</v>
      </c>
      <c r="E7042" t="s">
        <v>7</v>
      </c>
      <c r="F7042" t="s">
        <v>7</v>
      </c>
      <c r="G7042" t="s">
        <v>7</v>
      </c>
      <c r="H7042">
        <v>71818.8</v>
      </c>
      <c r="I7042">
        <v>27302.46</v>
      </c>
      <c r="J7042">
        <v>0</v>
      </c>
    </row>
    <row r="7043" spans="1:10" x14ac:dyDescent="0.35">
      <c r="A7043">
        <v>326837</v>
      </c>
      <c r="B7043" t="s">
        <v>20</v>
      </c>
      <c r="C7043">
        <v>2015</v>
      </c>
      <c r="D7043">
        <v>7</v>
      </c>
      <c r="E7043" t="s">
        <v>7</v>
      </c>
      <c r="F7043" t="s">
        <v>7</v>
      </c>
      <c r="G7043" t="s">
        <v>7</v>
      </c>
      <c r="H7043">
        <v>45458.83</v>
      </c>
      <c r="I7043">
        <v>19344.75</v>
      </c>
      <c r="J7043">
        <v>0</v>
      </c>
    </row>
    <row r="7044" spans="1:10" x14ac:dyDescent="0.35">
      <c r="A7044">
        <v>326838</v>
      </c>
      <c r="B7044" t="s">
        <v>20</v>
      </c>
      <c r="C7044">
        <v>2015</v>
      </c>
      <c r="D7044">
        <v>7</v>
      </c>
      <c r="E7044" t="s">
        <v>7</v>
      </c>
      <c r="F7044" t="s">
        <v>7</v>
      </c>
      <c r="G7044" t="s">
        <v>7</v>
      </c>
      <c r="H7044">
        <v>48688.06</v>
      </c>
      <c r="I7044">
        <v>12634.42</v>
      </c>
      <c r="J7044">
        <v>0</v>
      </c>
    </row>
    <row r="7045" spans="1:10" x14ac:dyDescent="0.35">
      <c r="A7045">
        <v>326839</v>
      </c>
      <c r="B7045" t="s">
        <v>20</v>
      </c>
      <c r="C7045">
        <v>2015</v>
      </c>
      <c r="D7045">
        <v>7</v>
      </c>
      <c r="E7045" t="s">
        <v>7</v>
      </c>
      <c r="F7045" t="s">
        <v>7</v>
      </c>
      <c r="G7045" t="s">
        <v>7</v>
      </c>
      <c r="H7045">
        <v>25049.56</v>
      </c>
      <c r="I7045">
        <v>6464.95</v>
      </c>
      <c r="J7045">
        <v>0</v>
      </c>
    </row>
    <row r="7046" spans="1:10" x14ac:dyDescent="0.35">
      <c r="A7046">
        <v>326842</v>
      </c>
      <c r="B7046" t="s">
        <v>20</v>
      </c>
      <c r="C7046">
        <v>2015</v>
      </c>
      <c r="D7046">
        <v>7</v>
      </c>
      <c r="E7046" t="s">
        <v>7</v>
      </c>
      <c r="F7046" t="s">
        <v>7</v>
      </c>
      <c r="G7046" t="s">
        <v>7</v>
      </c>
      <c r="H7046">
        <v>32086.2</v>
      </c>
      <c r="I7046">
        <v>10053.27</v>
      </c>
      <c r="J7046">
        <v>0</v>
      </c>
    </row>
    <row r="7047" spans="1:10" x14ac:dyDescent="0.35">
      <c r="A7047">
        <v>326844</v>
      </c>
      <c r="B7047" t="s">
        <v>20</v>
      </c>
      <c r="C7047">
        <v>2015</v>
      </c>
      <c r="D7047">
        <v>7</v>
      </c>
      <c r="E7047" t="s">
        <v>7</v>
      </c>
      <c r="F7047" t="s">
        <v>7</v>
      </c>
      <c r="G7047" t="s">
        <v>7</v>
      </c>
      <c r="H7047">
        <v>46401.919999999998</v>
      </c>
      <c r="I7047">
        <v>13436.8</v>
      </c>
      <c r="J7047">
        <v>0</v>
      </c>
    </row>
    <row r="7048" spans="1:10" x14ac:dyDescent="0.35">
      <c r="A7048">
        <v>326847</v>
      </c>
      <c r="B7048" t="s">
        <v>20</v>
      </c>
      <c r="C7048">
        <v>2015</v>
      </c>
      <c r="D7048">
        <v>7</v>
      </c>
      <c r="E7048" t="s">
        <v>7</v>
      </c>
      <c r="F7048" t="s">
        <v>7</v>
      </c>
      <c r="G7048" t="s">
        <v>7</v>
      </c>
      <c r="H7048">
        <v>48689</v>
      </c>
      <c r="I7048">
        <v>14648.54</v>
      </c>
      <c r="J7048">
        <v>0</v>
      </c>
    </row>
    <row r="7049" spans="1:10" x14ac:dyDescent="0.35">
      <c r="A7049">
        <v>326850</v>
      </c>
      <c r="B7049" t="s">
        <v>20</v>
      </c>
      <c r="C7049">
        <v>2015</v>
      </c>
      <c r="D7049">
        <v>7</v>
      </c>
      <c r="E7049" t="s">
        <v>7</v>
      </c>
      <c r="F7049" t="s">
        <v>7</v>
      </c>
      <c r="G7049" t="s">
        <v>7</v>
      </c>
      <c r="H7049">
        <v>46548.34</v>
      </c>
      <c r="I7049">
        <v>16405.82</v>
      </c>
      <c r="J7049">
        <v>0</v>
      </c>
    </row>
    <row r="7050" spans="1:10" x14ac:dyDescent="0.35">
      <c r="A7050">
        <v>326851</v>
      </c>
      <c r="B7050" t="s">
        <v>20</v>
      </c>
      <c r="C7050">
        <v>2015</v>
      </c>
      <c r="D7050">
        <v>7</v>
      </c>
      <c r="E7050" t="s">
        <v>7</v>
      </c>
      <c r="F7050" t="s">
        <v>7</v>
      </c>
      <c r="G7050" t="s">
        <v>7</v>
      </c>
      <c r="H7050">
        <v>46279.88</v>
      </c>
      <c r="I7050">
        <v>14230.59</v>
      </c>
      <c r="J7050">
        <v>0</v>
      </c>
    </row>
    <row r="7051" spans="1:10" x14ac:dyDescent="0.35">
      <c r="A7051">
        <v>326852</v>
      </c>
      <c r="B7051" t="s">
        <v>20</v>
      </c>
      <c r="C7051">
        <v>2015</v>
      </c>
      <c r="D7051">
        <v>7</v>
      </c>
      <c r="E7051" t="s">
        <v>7</v>
      </c>
      <c r="F7051" t="s">
        <v>7</v>
      </c>
      <c r="G7051" t="s">
        <v>7</v>
      </c>
      <c r="H7051">
        <v>24440.74</v>
      </c>
      <c r="I7051">
        <v>4140.67</v>
      </c>
      <c r="J7051">
        <v>0</v>
      </c>
    </row>
    <row r="7052" spans="1:10" x14ac:dyDescent="0.35">
      <c r="A7052">
        <v>326854</v>
      </c>
      <c r="B7052" t="s">
        <v>20</v>
      </c>
      <c r="C7052">
        <v>2015</v>
      </c>
      <c r="D7052">
        <v>7</v>
      </c>
      <c r="E7052" t="s">
        <v>7</v>
      </c>
      <c r="F7052" t="s">
        <v>7</v>
      </c>
      <c r="G7052" t="s">
        <v>7</v>
      </c>
      <c r="H7052">
        <v>38053.760000000002</v>
      </c>
      <c r="I7052">
        <v>10798.85</v>
      </c>
      <c r="J7052">
        <v>0</v>
      </c>
    </row>
    <row r="7053" spans="1:10" x14ac:dyDescent="0.35">
      <c r="A7053">
        <v>326858</v>
      </c>
      <c r="B7053" t="s">
        <v>20</v>
      </c>
      <c r="C7053">
        <v>2015</v>
      </c>
      <c r="D7053">
        <v>7</v>
      </c>
      <c r="E7053" t="s">
        <v>7</v>
      </c>
      <c r="F7053" t="s">
        <v>7</v>
      </c>
      <c r="G7053" t="s">
        <v>7</v>
      </c>
      <c r="H7053">
        <v>38234.74</v>
      </c>
      <c r="I7053">
        <v>11503.17</v>
      </c>
      <c r="J7053">
        <v>0</v>
      </c>
    </row>
    <row r="7054" spans="1:10" x14ac:dyDescent="0.35">
      <c r="A7054">
        <v>326860</v>
      </c>
      <c r="B7054" t="s">
        <v>20</v>
      </c>
      <c r="C7054">
        <v>2015</v>
      </c>
      <c r="D7054">
        <v>7</v>
      </c>
      <c r="E7054" t="s">
        <v>7</v>
      </c>
      <c r="F7054" t="s">
        <v>7</v>
      </c>
      <c r="G7054" t="s">
        <v>7</v>
      </c>
      <c r="H7054">
        <v>28796.06</v>
      </c>
      <c r="I7054">
        <v>7815.2</v>
      </c>
      <c r="J7054">
        <v>0</v>
      </c>
    </row>
    <row r="7055" spans="1:10" x14ac:dyDescent="0.35">
      <c r="A7055">
        <v>326861</v>
      </c>
      <c r="B7055" t="s">
        <v>20</v>
      </c>
      <c r="C7055">
        <v>2015</v>
      </c>
      <c r="D7055">
        <v>7</v>
      </c>
      <c r="E7055" t="s">
        <v>7</v>
      </c>
      <c r="F7055" t="s">
        <v>7</v>
      </c>
      <c r="G7055" t="s">
        <v>7</v>
      </c>
      <c r="H7055">
        <v>24815.64</v>
      </c>
      <c r="I7055">
        <v>8537.4699999999993</v>
      </c>
      <c r="J7055">
        <v>0</v>
      </c>
    </row>
    <row r="7056" spans="1:10" x14ac:dyDescent="0.35">
      <c r="A7056">
        <v>326862</v>
      </c>
      <c r="B7056" t="s">
        <v>20</v>
      </c>
      <c r="C7056">
        <v>2015</v>
      </c>
      <c r="D7056">
        <v>7</v>
      </c>
      <c r="E7056" t="s">
        <v>7</v>
      </c>
      <c r="F7056" t="s">
        <v>7</v>
      </c>
      <c r="G7056" t="s">
        <v>7</v>
      </c>
      <c r="H7056">
        <v>38133.279999999999</v>
      </c>
      <c r="I7056">
        <v>18527.310000000001</v>
      </c>
      <c r="J7056">
        <v>0</v>
      </c>
    </row>
    <row r="7057" spans="1:10" x14ac:dyDescent="0.35">
      <c r="A7057">
        <v>326863</v>
      </c>
      <c r="B7057" t="s">
        <v>20</v>
      </c>
      <c r="C7057">
        <v>2015</v>
      </c>
      <c r="D7057">
        <v>7</v>
      </c>
      <c r="E7057" t="s">
        <v>7</v>
      </c>
      <c r="F7057" t="s">
        <v>7</v>
      </c>
      <c r="G7057" t="s">
        <v>7</v>
      </c>
      <c r="H7057">
        <v>30034.54</v>
      </c>
      <c r="I7057">
        <v>11787.53</v>
      </c>
      <c r="J7057">
        <v>0</v>
      </c>
    </row>
    <row r="7058" spans="1:10" x14ac:dyDescent="0.35">
      <c r="A7058">
        <v>326865</v>
      </c>
      <c r="B7058" t="s">
        <v>20</v>
      </c>
      <c r="C7058">
        <v>2015</v>
      </c>
      <c r="D7058">
        <v>7</v>
      </c>
      <c r="E7058" t="s">
        <v>7</v>
      </c>
      <c r="F7058" t="s">
        <v>7</v>
      </c>
      <c r="G7058" t="s">
        <v>7</v>
      </c>
      <c r="H7058">
        <v>27213.14</v>
      </c>
      <c r="I7058">
        <v>17026.22</v>
      </c>
      <c r="J7058">
        <v>0</v>
      </c>
    </row>
    <row r="7059" spans="1:10" x14ac:dyDescent="0.35">
      <c r="A7059">
        <v>326866</v>
      </c>
      <c r="B7059" t="s">
        <v>20</v>
      </c>
      <c r="C7059">
        <v>2015</v>
      </c>
      <c r="D7059">
        <v>7</v>
      </c>
      <c r="E7059" t="s">
        <v>7</v>
      </c>
      <c r="F7059" t="s">
        <v>7</v>
      </c>
      <c r="G7059" t="s">
        <v>7</v>
      </c>
      <c r="H7059">
        <v>23530.14</v>
      </c>
      <c r="I7059">
        <v>5611.97</v>
      </c>
      <c r="J7059">
        <v>0</v>
      </c>
    </row>
    <row r="7060" spans="1:10" x14ac:dyDescent="0.35">
      <c r="A7060">
        <v>326867</v>
      </c>
      <c r="B7060" t="s">
        <v>20</v>
      </c>
      <c r="C7060">
        <v>2015</v>
      </c>
      <c r="D7060">
        <v>7</v>
      </c>
      <c r="E7060" t="s">
        <v>7</v>
      </c>
      <c r="F7060" t="s">
        <v>7</v>
      </c>
      <c r="G7060" t="s">
        <v>7</v>
      </c>
      <c r="H7060">
        <v>100724.2</v>
      </c>
      <c r="I7060">
        <v>36428.9</v>
      </c>
      <c r="J7060">
        <v>0</v>
      </c>
    </row>
    <row r="7061" spans="1:10" x14ac:dyDescent="0.35">
      <c r="A7061">
        <v>326873</v>
      </c>
      <c r="B7061" t="s">
        <v>20</v>
      </c>
      <c r="C7061">
        <v>2015</v>
      </c>
      <c r="D7061">
        <v>7</v>
      </c>
      <c r="E7061" t="s">
        <v>7</v>
      </c>
      <c r="F7061" t="s">
        <v>7</v>
      </c>
      <c r="G7061" t="s">
        <v>7</v>
      </c>
      <c r="H7061">
        <v>14346.82</v>
      </c>
      <c r="I7061">
        <v>2791.87</v>
      </c>
      <c r="J7061">
        <v>0</v>
      </c>
    </row>
    <row r="7062" spans="1:10" x14ac:dyDescent="0.35">
      <c r="A7062">
        <v>326874</v>
      </c>
      <c r="B7062" t="s">
        <v>20</v>
      </c>
      <c r="C7062">
        <v>2015</v>
      </c>
      <c r="D7062">
        <v>7</v>
      </c>
      <c r="E7062" t="s">
        <v>7</v>
      </c>
      <c r="F7062" t="s">
        <v>7</v>
      </c>
      <c r="G7062" t="s">
        <v>7</v>
      </c>
      <c r="H7062">
        <v>14857</v>
      </c>
      <c r="I7062">
        <v>3411.68</v>
      </c>
      <c r="J7062">
        <v>0</v>
      </c>
    </row>
    <row r="7063" spans="1:10" x14ac:dyDescent="0.35">
      <c r="A7063">
        <v>326875</v>
      </c>
      <c r="B7063" t="s">
        <v>20</v>
      </c>
      <c r="C7063">
        <v>2015</v>
      </c>
      <c r="D7063">
        <v>7</v>
      </c>
      <c r="E7063" t="s">
        <v>7</v>
      </c>
      <c r="F7063" t="s">
        <v>7</v>
      </c>
      <c r="G7063" t="s">
        <v>7</v>
      </c>
      <c r="H7063">
        <v>40786.68</v>
      </c>
      <c r="I7063">
        <v>12454.71</v>
      </c>
      <c r="J7063">
        <v>0</v>
      </c>
    </row>
    <row r="7064" spans="1:10" x14ac:dyDescent="0.35">
      <c r="A7064">
        <v>326880</v>
      </c>
      <c r="B7064" t="s">
        <v>20</v>
      </c>
      <c r="C7064">
        <v>2015</v>
      </c>
      <c r="D7064">
        <v>7</v>
      </c>
      <c r="E7064" t="s">
        <v>7</v>
      </c>
      <c r="F7064" t="s">
        <v>7</v>
      </c>
      <c r="G7064" t="s">
        <v>7</v>
      </c>
      <c r="H7064">
        <v>21923.38</v>
      </c>
      <c r="I7064">
        <v>6276.58</v>
      </c>
      <c r="J7064">
        <v>0</v>
      </c>
    </row>
    <row r="7065" spans="1:10" x14ac:dyDescent="0.35">
      <c r="A7065">
        <v>326881</v>
      </c>
      <c r="B7065" t="s">
        <v>20</v>
      </c>
      <c r="C7065">
        <v>2015</v>
      </c>
      <c r="D7065">
        <v>7</v>
      </c>
      <c r="E7065" t="s">
        <v>7</v>
      </c>
      <c r="F7065" t="s">
        <v>7</v>
      </c>
      <c r="G7065" t="s">
        <v>7</v>
      </c>
      <c r="H7065">
        <v>17830.3</v>
      </c>
      <c r="I7065">
        <v>4636.6400000000003</v>
      </c>
      <c r="J7065">
        <v>0</v>
      </c>
    </row>
    <row r="7066" spans="1:10" x14ac:dyDescent="0.35">
      <c r="A7066">
        <v>326886</v>
      </c>
      <c r="B7066" t="s">
        <v>20</v>
      </c>
      <c r="C7066">
        <v>2015</v>
      </c>
      <c r="D7066">
        <v>7</v>
      </c>
      <c r="E7066" t="s">
        <v>7</v>
      </c>
      <c r="F7066" t="s">
        <v>7</v>
      </c>
      <c r="G7066" t="s">
        <v>7</v>
      </c>
      <c r="H7066">
        <v>9634.9</v>
      </c>
      <c r="I7066">
        <v>2694.85</v>
      </c>
      <c r="J7066">
        <v>0</v>
      </c>
    </row>
    <row r="7067" spans="1:10" x14ac:dyDescent="0.35">
      <c r="A7067">
        <v>326889</v>
      </c>
      <c r="B7067" t="s">
        <v>20</v>
      </c>
      <c r="C7067">
        <v>2015</v>
      </c>
      <c r="D7067">
        <v>7</v>
      </c>
      <c r="E7067" t="s">
        <v>7</v>
      </c>
      <c r="F7067" t="s">
        <v>7</v>
      </c>
      <c r="G7067" t="s">
        <v>7</v>
      </c>
      <c r="H7067">
        <v>27954.18</v>
      </c>
      <c r="I7067">
        <v>6188.51</v>
      </c>
      <c r="J7067">
        <v>0</v>
      </c>
    </row>
    <row r="7068" spans="1:10" x14ac:dyDescent="0.35">
      <c r="A7068">
        <v>326891</v>
      </c>
      <c r="B7068" t="s">
        <v>20</v>
      </c>
      <c r="C7068">
        <v>2015</v>
      </c>
      <c r="D7068">
        <v>7</v>
      </c>
      <c r="E7068" t="s">
        <v>7</v>
      </c>
      <c r="F7068" t="s">
        <v>7</v>
      </c>
      <c r="G7068" t="s">
        <v>7</v>
      </c>
      <c r="H7068">
        <v>38712.78</v>
      </c>
      <c r="I7068">
        <v>7592.69</v>
      </c>
      <c r="J7068">
        <v>0</v>
      </c>
    </row>
    <row r="7069" spans="1:10" x14ac:dyDescent="0.35">
      <c r="A7069">
        <v>326892</v>
      </c>
      <c r="B7069" t="s">
        <v>20</v>
      </c>
      <c r="C7069">
        <v>2015</v>
      </c>
      <c r="D7069">
        <v>7</v>
      </c>
      <c r="E7069" t="s">
        <v>7</v>
      </c>
      <c r="F7069" t="s">
        <v>7</v>
      </c>
      <c r="G7069" t="s">
        <v>7</v>
      </c>
      <c r="H7069">
        <v>35114</v>
      </c>
      <c r="I7069">
        <v>9917.93</v>
      </c>
      <c r="J7069">
        <v>0</v>
      </c>
    </row>
    <row r="7070" spans="1:10" x14ac:dyDescent="0.35">
      <c r="A7070">
        <v>326894</v>
      </c>
      <c r="B7070" t="s">
        <v>20</v>
      </c>
      <c r="C7070">
        <v>2015</v>
      </c>
      <c r="D7070">
        <v>7</v>
      </c>
      <c r="E7070" t="s">
        <v>7</v>
      </c>
      <c r="F7070" t="s">
        <v>7</v>
      </c>
      <c r="G7070" t="s">
        <v>7</v>
      </c>
      <c r="H7070">
        <v>43588.12</v>
      </c>
      <c r="I7070">
        <v>12652.66</v>
      </c>
      <c r="J7070">
        <v>0</v>
      </c>
    </row>
    <row r="7071" spans="1:10" x14ac:dyDescent="0.35">
      <c r="A7071">
        <v>326900</v>
      </c>
      <c r="B7071" t="s">
        <v>20</v>
      </c>
      <c r="C7071">
        <v>2015</v>
      </c>
      <c r="D7071">
        <v>7</v>
      </c>
      <c r="E7071" t="s">
        <v>7</v>
      </c>
      <c r="F7071" t="s">
        <v>7</v>
      </c>
      <c r="G7071" t="s">
        <v>7</v>
      </c>
      <c r="H7071">
        <v>15150.04</v>
      </c>
      <c r="I7071">
        <v>3315.8</v>
      </c>
      <c r="J7071">
        <v>0</v>
      </c>
    </row>
    <row r="7072" spans="1:10" x14ac:dyDescent="0.35">
      <c r="A7072">
        <v>326901</v>
      </c>
      <c r="B7072" t="s">
        <v>20</v>
      </c>
      <c r="C7072">
        <v>2015</v>
      </c>
      <c r="D7072">
        <v>7</v>
      </c>
      <c r="E7072" t="s">
        <v>7</v>
      </c>
      <c r="F7072" t="s">
        <v>7</v>
      </c>
      <c r="G7072" t="s">
        <v>7</v>
      </c>
      <c r="H7072">
        <v>43820.24</v>
      </c>
      <c r="I7072">
        <v>20546.52</v>
      </c>
      <c r="J7072">
        <v>0</v>
      </c>
    </row>
    <row r="7073" spans="1:10" x14ac:dyDescent="0.35">
      <c r="A7073">
        <v>326902</v>
      </c>
      <c r="B7073" t="s">
        <v>20</v>
      </c>
      <c r="C7073">
        <v>2015</v>
      </c>
      <c r="D7073">
        <v>7</v>
      </c>
      <c r="E7073" t="s">
        <v>7</v>
      </c>
      <c r="F7073" t="s">
        <v>7</v>
      </c>
      <c r="G7073" t="s">
        <v>7</v>
      </c>
      <c r="H7073">
        <v>25013.42</v>
      </c>
      <c r="I7073">
        <v>6501.53</v>
      </c>
      <c r="J7073">
        <v>0</v>
      </c>
    </row>
    <row r="7074" spans="1:10" x14ac:dyDescent="0.35">
      <c r="A7074">
        <v>326904</v>
      </c>
      <c r="B7074" t="s">
        <v>20</v>
      </c>
      <c r="C7074">
        <v>2015</v>
      </c>
      <c r="D7074">
        <v>7</v>
      </c>
      <c r="E7074" t="s">
        <v>7</v>
      </c>
      <c r="F7074" t="s">
        <v>7</v>
      </c>
      <c r="G7074" t="s">
        <v>7</v>
      </c>
      <c r="H7074">
        <v>15751.86</v>
      </c>
      <c r="I7074">
        <v>2733</v>
      </c>
      <c r="J7074">
        <v>0</v>
      </c>
    </row>
    <row r="7075" spans="1:10" x14ac:dyDescent="0.35">
      <c r="A7075">
        <v>326905</v>
      </c>
      <c r="B7075" t="s">
        <v>20</v>
      </c>
      <c r="C7075">
        <v>2015</v>
      </c>
      <c r="D7075">
        <v>7</v>
      </c>
      <c r="E7075" t="s">
        <v>7</v>
      </c>
      <c r="F7075" t="s">
        <v>7</v>
      </c>
      <c r="G7075" t="s">
        <v>7</v>
      </c>
      <c r="H7075">
        <v>115587.78</v>
      </c>
      <c r="I7075">
        <v>43213.01</v>
      </c>
      <c r="J7075">
        <v>0</v>
      </c>
    </row>
    <row r="7076" spans="1:10" x14ac:dyDescent="0.35">
      <c r="A7076">
        <v>326914</v>
      </c>
      <c r="B7076" t="s">
        <v>20</v>
      </c>
      <c r="C7076">
        <v>2015</v>
      </c>
      <c r="D7076">
        <v>7</v>
      </c>
      <c r="E7076" t="s">
        <v>7</v>
      </c>
      <c r="F7076" t="s">
        <v>7</v>
      </c>
      <c r="G7076" t="s">
        <v>7</v>
      </c>
      <c r="H7076">
        <v>33493.800000000003</v>
      </c>
      <c r="I7076">
        <v>10440.08</v>
      </c>
      <c r="J7076">
        <v>0</v>
      </c>
    </row>
    <row r="7077" spans="1:10" x14ac:dyDescent="0.35">
      <c r="A7077">
        <v>326916</v>
      </c>
      <c r="B7077" t="s">
        <v>20</v>
      </c>
      <c r="C7077">
        <v>2015</v>
      </c>
      <c r="D7077">
        <v>7</v>
      </c>
      <c r="E7077" t="s">
        <v>7</v>
      </c>
      <c r="F7077" t="s">
        <v>7</v>
      </c>
      <c r="G7077" t="s">
        <v>7</v>
      </c>
      <c r="H7077">
        <v>21368.080000000002</v>
      </c>
      <c r="I7077">
        <v>7593.8</v>
      </c>
      <c r="J7077">
        <v>0</v>
      </c>
    </row>
    <row r="7078" spans="1:10" x14ac:dyDescent="0.35">
      <c r="A7078">
        <v>326917</v>
      </c>
      <c r="B7078" t="s">
        <v>20</v>
      </c>
      <c r="C7078">
        <v>2015</v>
      </c>
      <c r="D7078">
        <v>7</v>
      </c>
      <c r="E7078" t="s">
        <v>7</v>
      </c>
      <c r="F7078" t="s">
        <v>7</v>
      </c>
      <c r="G7078" t="s">
        <v>7</v>
      </c>
      <c r="H7078">
        <v>87268.28</v>
      </c>
      <c r="I7078">
        <v>40641.72</v>
      </c>
      <c r="J7078">
        <v>0</v>
      </c>
    </row>
    <row r="7079" spans="1:10" x14ac:dyDescent="0.35">
      <c r="A7079">
        <v>326921</v>
      </c>
      <c r="B7079" t="s">
        <v>20</v>
      </c>
      <c r="C7079">
        <v>2015</v>
      </c>
      <c r="D7079">
        <v>7</v>
      </c>
      <c r="E7079" t="s">
        <v>7</v>
      </c>
      <c r="F7079" t="s">
        <v>7</v>
      </c>
      <c r="G7079" t="s">
        <v>7</v>
      </c>
      <c r="H7079">
        <v>31408.34</v>
      </c>
      <c r="I7079">
        <v>10030.27</v>
      </c>
      <c r="J7079">
        <v>0</v>
      </c>
    </row>
    <row r="7080" spans="1:10" x14ac:dyDescent="0.35">
      <c r="A7080">
        <v>326923</v>
      </c>
      <c r="B7080" t="s">
        <v>20</v>
      </c>
      <c r="C7080">
        <v>2015</v>
      </c>
      <c r="D7080">
        <v>7</v>
      </c>
      <c r="E7080" t="s">
        <v>7</v>
      </c>
      <c r="F7080" t="s">
        <v>7</v>
      </c>
      <c r="G7080" t="s">
        <v>7</v>
      </c>
      <c r="H7080">
        <v>25017.08</v>
      </c>
      <c r="I7080">
        <v>5974.5</v>
      </c>
      <c r="J7080">
        <v>0</v>
      </c>
    </row>
    <row r="7081" spans="1:10" x14ac:dyDescent="0.35">
      <c r="A7081">
        <v>326929</v>
      </c>
      <c r="B7081" t="s">
        <v>20</v>
      </c>
      <c r="C7081">
        <v>2015</v>
      </c>
      <c r="D7081">
        <v>7</v>
      </c>
      <c r="E7081" t="s">
        <v>7</v>
      </c>
      <c r="F7081" t="s">
        <v>7</v>
      </c>
      <c r="G7081" t="s">
        <v>7</v>
      </c>
      <c r="H7081">
        <v>47869.98</v>
      </c>
      <c r="I7081">
        <v>21087.32</v>
      </c>
      <c r="J7081">
        <v>0</v>
      </c>
    </row>
    <row r="7082" spans="1:10" x14ac:dyDescent="0.35">
      <c r="A7082">
        <v>326932</v>
      </c>
      <c r="B7082" t="s">
        <v>20</v>
      </c>
      <c r="C7082">
        <v>2015</v>
      </c>
      <c r="D7082">
        <v>7</v>
      </c>
      <c r="E7082" t="s">
        <v>7</v>
      </c>
      <c r="F7082" t="s">
        <v>7</v>
      </c>
      <c r="G7082" t="s">
        <v>7</v>
      </c>
      <c r="H7082">
        <v>29352.02</v>
      </c>
      <c r="I7082">
        <v>8472.58</v>
      </c>
      <c r="J7082">
        <v>0</v>
      </c>
    </row>
    <row r="7083" spans="1:10" x14ac:dyDescent="0.35">
      <c r="A7083">
        <v>326936</v>
      </c>
      <c r="B7083" t="s">
        <v>20</v>
      </c>
      <c r="C7083">
        <v>2015</v>
      </c>
      <c r="D7083">
        <v>7</v>
      </c>
      <c r="E7083" t="s">
        <v>7</v>
      </c>
      <c r="F7083" t="s">
        <v>7</v>
      </c>
      <c r="G7083" t="s">
        <v>7</v>
      </c>
      <c r="H7083">
        <v>16749.68</v>
      </c>
      <c r="I7083">
        <v>4893.66</v>
      </c>
      <c r="J7083">
        <v>0</v>
      </c>
    </row>
    <row r="7084" spans="1:10" x14ac:dyDescent="0.35">
      <c r="A7084">
        <v>326940</v>
      </c>
      <c r="B7084" t="s">
        <v>20</v>
      </c>
      <c r="C7084">
        <v>2015</v>
      </c>
      <c r="D7084">
        <v>7</v>
      </c>
      <c r="E7084" t="s">
        <v>7</v>
      </c>
      <c r="F7084" t="s">
        <v>7</v>
      </c>
      <c r="G7084" t="s">
        <v>7</v>
      </c>
      <c r="H7084">
        <v>28504.36</v>
      </c>
      <c r="I7084">
        <v>5278.4</v>
      </c>
      <c r="J7084">
        <v>0</v>
      </c>
    </row>
    <row r="7085" spans="1:10" x14ac:dyDescent="0.35">
      <c r="A7085">
        <v>326943</v>
      </c>
      <c r="B7085" t="s">
        <v>20</v>
      </c>
      <c r="C7085">
        <v>2015</v>
      </c>
      <c r="D7085">
        <v>7</v>
      </c>
      <c r="E7085" t="s">
        <v>7</v>
      </c>
      <c r="F7085" t="s">
        <v>7</v>
      </c>
      <c r="G7085" t="s">
        <v>7</v>
      </c>
      <c r="H7085">
        <v>31160.16</v>
      </c>
      <c r="I7085">
        <v>8747.14</v>
      </c>
      <c r="J7085">
        <v>0</v>
      </c>
    </row>
    <row r="7086" spans="1:10" x14ac:dyDescent="0.35">
      <c r="A7086">
        <v>326946</v>
      </c>
      <c r="B7086" t="s">
        <v>20</v>
      </c>
      <c r="C7086">
        <v>2015</v>
      </c>
      <c r="D7086">
        <v>7</v>
      </c>
      <c r="E7086" t="s">
        <v>7</v>
      </c>
      <c r="F7086" t="s">
        <v>7</v>
      </c>
      <c r="G7086" t="s">
        <v>7</v>
      </c>
      <c r="H7086">
        <v>15796.24</v>
      </c>
      <c r="I7086">
        <v>4613.1000000000004</v>
      </c>
      <c r="J7086">
        <v>0</v>
      </c>
    </row>
    <row r="7087" spans="1:10" x14ac:dyDescent="0.35">
      <c r="A7087">
        <v>326948</v>
      </c>
      <c r="B7087" t="s">
        <v>20</v>
      </c>
      <c r="C7087">
        <v>2015</v>
      </c>
      <c r="D7087">
        <v>7</v>
      </c>
      <c r="E7087" t="s">
        <v>7</v>
      </c>
      <c r="F7087" t="s">
        <v>7</v>
      </c>
      <c r="G7087" t="s">
        <v>7</v>
      </c>
      <c r="H7087">
        <v>11156.08</v>
      </c>
      <c r="I7087">
        <v>2955.72</v>
      </c>
      <c r="J7087">
        <v>0</v>
      </c>
    </row>
    <row r="7088" spans="1:10" x14ac:dyDescent="0.35">
      <c r="A7088">
        <v>326949</v>
      </c>
      <c r="B7088" t="s">
        <v>20</v>
      </c>
      <c r="C7088">
        <v>2015</v>
      </c>
      <c r="D7088">
        <v>7</v>
      </c>
      <c r="E7088" t="s">
        <v>7</v>
      </c>
      <c r="F7088" t="s">
        <v>7</v>
      </c>
      <c r="G7088" t="s">
        <v>7</v>
      </c>
      <c r="H7088">
        <v>31705.439999999999</v>
      </c>
      <c r="I7088">
        <v>8630</v>
      </c>
      <c r="J7088">
        <v>0</v>
      </c>
    </row>
    <row r="7089" spans="1:10" x14ac:dyDescent="0.35">
      <c r="A7089">
        <v>326950</v>
      </c>
      <c r="B7089" t="s">
        <v>20</v>
      </c>
      <c r="C7089">
        <v>2015</v>
      </c>
      <c r="D7089">
        <v>7</v>
      </c>
      <c r="E7089" t="s">
        <v>7</v>
      </c>
      <c r="F7089" t="s">
        <v>7</v>
      </c>
      <c r="G7089" t="s">
        <v>7</v>
      </c>
      <c r="H7089">
        <v>16632.439999999999</v>
      </c>
      <c r="I7089">
        <v>3502.4</v>
      </c>
      <c r="J7089">
        <v>0</v>
      </c>
    </row>
    <row r="7090" spans="1:10" x14ac:dyDescent="0.35">
      <c r="A7090">
        <v>326952</v>
      </c>
      <c r="B7090" t="s">
        <v>20</v>
      </c>
      <c r="C7090">
        <v>2015</v>
      </c>
      <c r="D7090">
        <v>7</v>
      </c>
      <c r="E7090" t="s">
        <v>7</v>
      </c>
      <c r="F7090" t="s">
        <v>7</v>
      </c>
      <c r="G7090" t="s">
        <v>7</v>
      </c>
      <c r="H7090">
        <v>30361.4</v>
      </c>
      <c r="I7090">
        <v>8516.16</v>
      </c>
      <c r="J7090">
        <v>0</v>
      </c>
    </row>
    <row r="7091" spans="1:10" x14ac:dyDescent="0.35">
      <c r="A7091">
        <v>326954</v>
      </c>
      <c r="B7091" t="s">
        <v>20</v>
      </c>
      <c r="C7091">
        <v>2015</v>
      </c>
      <c r="D7091">
        <v>7</v>
      </c>
      <c r="E7091" t="s">
        <v>7</v>
      </c>
      <c r="F7091" t="s">
        <v>7</v>
      </c>
      <c r="G7091" t="s">
        <v>7</v>
      </c>
      <c r="H7091">
        <v>19409.580000000002</v>
      </c>
      <c r="I7091">
        <v>5831.7</v>
      </c>
      <c r="J7091">
        <v>0</v>
      </c>
    </row>
    <row r="7092" spans="1:10" x14ac:dyDescent="0.35">
      <c r="A7092">
        <v>326956</v>
      </c>
      <c r="B7092" t="s">
        <v>20</v>
      </c>
      <c r="C7092">
        <v>2015</v>
      </c>
      <c r="D7092">
        <v>7</v>
      </c>
      <c r="E7092" t="s">
        <v>7</v>
      </c>
      <c r="F7092" t="s">
        <v>7</v>
      </c>
      <c r="G7092" t="s">
        <v>7</v>
      </c>
      <c r="H7092">
        <v>25501.360000000001</v>
      </c>
      <c r="I7092">
        <v>7724.9</v>
      </c>
      <c r="J7092">
        <v>0</v>
      </c>
    </row>
    <row r="7093" spans="1:10" x14ac:dyDescent="0.35">
      <c r="A7093">
        <v>326959</v>
      </c>
      <c r="B7093" t="s">
        <v>20</v>
      </c>
      <c r="C7093">
        <v>2015</v>
      </c>
      <c r="D7093">
        <v>7</v>
      </c>
      <c r="E7093" t="s">
        <v>7</v>
      </c>
      <c r="F7093" t="s">
        <v>7</v>
      </c>
      <c r="G7093" t="s">
        <v>7</v>
      </c>
      <c r="H7093">
        <v>12110.64</v>
      </c>
      <c r="I7093">
        <v>3274.54</v>
      </c>
      <c r="J7093">
        <v>0</v>
      </c>
    </row>
    <row r="7094" spans="1:10" x14ac:dyDescent="0.35">
      <c r="A7094">
        <v>326962</v>
      </c>
      <c r="B7094" t="s">
        <v>20</v>
      </c>
      <c r="C7094">
        <v>2015</v>
      </c>
      <c r="D7094">
        <v>7</v>
      </c>
      <c r="E7094" t="s">
        <v>7</v>
      </c>
      <c r="F7094" t="s">
        <v>7</v>
      </c>
      <c r="G7094" t="s">
        <v>7</v>
      </c>
      <c r="H7094">
        <v>421938.06</v>
      </c>
      <c r="I7094">
        <v>103289.09</v>
      </c>
      <c r="J7094">
        <v>0</v>
      </c>
    </row>
    <row r="7095" spans="1:10" x14ac:dyDescent="0.35">
      <c r="A7095">
        <v>326964</v>
      </c>
      <c r="B7095" t="s">
        <v>20</v>
      </c>
      <c r="C7095">
        <v>2015</v>
      </c>
      <c r="D7095">
        <v>7</v>
      </c>
      <c r="E7095" t="s">
        <v>7</v>
      </c>
      <c r="F7095" t="s">
        <v>7</v>
      </c>
      <c r="G7095" t="s">
        <v>7</v>
      </c>
      <c r="H7095">
        <v>39785.72</v>
      </c>
      <c r="I7095">
        <v>10262.790000000001</v>
      </c>
      <c r="J7095">
        <v>0</v>
      </c>
    </row>
    <row r="7096" spans="1:10" x14ac:dyDescent="0.35">
      <c r="A7096">
        <v>326967</v>
      </c>
      <c r="B7096" t="s">
        <v>20</v>
      </c>
      <c r="C7096">
        <v>2015</v>
      </c>
      <c r="D7096">
        <v>7</v>
      </c>
      <c r="E7096" t="s">
        <v>7</v>
      </c>
      <c r="F7096" t="s">
        <v>7</v>
      </c>
      <c r="G7096" t="s">
        <v>7</v>
      </c>
      <c r="H7096">
        <v>146618.82</v>
      </c>
      <c r="I7096">
        <v>58311.27</v>
      </c>
      <c r="J7096">
        <v>0</v>
      </c>
    </row>
    <row r="7097" spans="1:10" x14ac:dyDescent="0.35">
      <c r="A7097">
        <v>326968</v>
      </c>
      <c r="B7097" t="s">
        <v>20</v>
      </c>
      <c r="C7097">
        <v>2015</v>
      </c>
      <c r="D7097">
        <v>7</v>
      </c>
      <c r="E7097" t="s">
        <v>7</v>
      </c>
      <c r="F7097" t="s">
        <v>7</v>
      </c>
      <c r="G7097" t="s">
        <v>7</v>
      </c>
      <c r="H7097">
        <v>23000.02</v>
      </c>
      <c r="I7097">
        <v>6944.72</v>
      </c>
      <c r="J7097">
        <v>0</v>
      </c>
    </row>
    <row r="7098" spans="1:10" x14ac:dyDescent="0.35">
      <c r="A7098">
        <v>326971</v>
      </c>
      <c r="B7098" t="s">
        <v>20</v>
      </c>
      <c r="C7098">
        <v>2015</v>
      </c>
      <c r="D7098">
        <v>7</v>
      </c>
      <c r="E7098" t="s">
        <v>7</v>
      </c>
      <c r="F7098" t="s">
        <v>7</v>
      </c>
      <c r="G7098" t="s">
        <v>7</v>
      </c>
      <c r="H7098">
        <v>14658.7</v>
      </c>
      <c r="I7098">
        <v>4106.63</v>
      </c>
      <c r="J7098">
        <v>0</v>
      </c>
    </row>
    <row r="7099" spans="1:10" x14ac:dyDescent="0.35">
      <c r="A7099">
        <v>326974</v>
      </c>
      <c r="B7099" t="s">
        <v>20</v>
      </c>
      <c r="C7099">
        <v>2015</v>
      </c>
      <c r="D7099">
        <v>7</v>
      </c>
      <c r="E7099" t="s">
        <v>7</v>
      </c>
      <c r="F7099" t="s">
        <v>7</v>
      </c>
      <c r="G7099" t="s">
        <v>7</v>
      </c>
      <c r="H7099">
        <v>16864.16</v>
      </c>
      <c r="I7099">
        <v>4846.33</v>
      </c>
      <c r="J7099">
        <v>0</v>
      </c>
    </row>
    <row r="7100" spans="1:10" x14ac:dyDescent="0.35">
      <c r="A7100">
        <v>326977</v>
      </c>
      <c r="B7100" t="s">
        <v>20</v>
      </c>
      <c r="C7100">
        <v>2015</v>
      </c>
      <c r="D7100">
        <v>7</v>
      </c>
      <c r="E7100" t="s">
        <v>7</v>
      </c>
      <c r="F7100" t="s">
        <v>7</v>
      </c>
      <c r="G7100" t="s">
        <v>7</v>
      </c>
      <c r="H7100">
        <v>55082.78</v>
      </c>
      <c r="I7100">
        <v>22687.23</v>
      </c>
      <c r="J7100">
        <v>0</v>
      </c>
    </row>
    <row r="7101" spans="1:10" x14ac:dyDescent="0.35">
      <c r="A7101">
        <v>326982</v>
      </c>
      <c r="B7101" t="s">
        <v>20</v>
      </c>
      <c r="C7101">
        <v>2015</v>
      </c>
      <c r="D7101">
        <v>7</v>
      </c>
      <c r="E7101" t="s">
        <v>7</v>
      </c>
      <c r="F7101" t="s">
        <v>7</v>
      </c>
      <c r="G7101" t="s">
        <v>7</v>
      </c>
      <c r="H7101">
        <v>14810.26</v>
      </c>
      <c r="I7101">
        <v>3926.18</v>
      </c>
      <c r="J7101">
        <v>0</v>
      </c>
    </row>
    <row r="7102" spans="1:10" x14ac:dyDescent="0.35">
      <c r="A7102">
        <v>326983</v>
      </c>
      <c r="B7102" t="s">
        <v>20</v>
      </c>
      <c r="C7102">
        <v>2015</v>
      </c>
      <c r="D7102">
        <v>7</v>
      </c>
      <c r="E7102" t="s">
        <v>7</v>
      </c>
      <c r="F7102" t="s">
        <v>7</v>
      </c>
      <c r="G7102" t="s">
        <v>7</v>
      </c>
      <c r="H7102">
        <v>27542.54</v>
      </c>
      <c r="I7102">
        <v>7625.31</v>
      </c>
      <c r="J7102">
        <v>0</v>
      </c>
    </row>
    <row r="7103" spans="1:10" x14ac:dyDescent="0.35">
      <c r="A7103">
        <v>326984</v>
      </c>
      <c r="B7103" t="s">
        <v>20</v>
      </c>
      <c r="C7103">
        <v>2015</v>
      </c>
      <c r="D7103">
        <v>7</v>
      </c>
      <c r="E7103" t="s">
        <v>7</v>
      </c>
      <c r="F7103" t="s">
        <v>7</v>
      </c>
      <c r="G7103" t="s">
        <v>7</v>
      </c>
      <c r="H7103">
        <v>40060.1</v>
      </c>
      <c r="I7103">
        <v>18599.02</v>
      </c>
      <c r="J7103">
        <v>0</v>
      </c>
    </row>
    <row r="7104" spans="1:10" x14ac:dyDescent="0.35">
      <c r="A7104">
        <v>326986</v>
      </c>
      <c r="B7104" t="s">
        <v>20</v>
      </c>
      <c r="C7104">
        <v>2015</v>
      </c>
      <c r="D7104">
        <v>7</v>
      </c>
      <c r="E7104" t="s">
        <v>7</v>
      </c>
      <c r="F7104" t="s">
        <v>7</v>
      </c>
      <c r="G7104" t="s">
        <v>7</v>
      </c>
      <c r="H7104">
        <v>38868.46</v>
      </c>
      <c r="I7104">
        <v>12208.56</v>
      </c>
      <c r="J7104">
        <v>0</v>
      </c>
    </row>
    <row r="7105" spans="1:10" x14ac:dyDescent="0.35">
      <c r="A7105">
        <v>326988</v>
      </c>
      <c r="B7105" t="s">
        <v>20</v>
      </c>
      <c r="C7105">
        <v>2015</v>
      </c>
      <c r="D7105">
        <v>7</v>
      </c>
      <c r="E7105" t="s">
        <v>7</v>
      </c>
      <c r="F7105" t="s">
        <v>7</v>
      </c>
      <c r="G7105" t="s">
        <v>7</v>
      </c>
      <c r="H7105">
        <v>32269.14</v>
      </c>
      <c r="I7105">
        <v>18994.45</v>
      </c>
      <c r="J7105">
        <v>0</v>
      </c>
    </row>
    <row r="7106" spans="1:10" x14ac:dyDescent="0.35">
      <c r="A7106">
        <v>326994</v>
      </c>
      <c r="B7106" t="s">
        <v>20</v>
      </c>
      <c r="C7106">
        <v>2015</v>
      </c>
      <c r="D7106">
        <v>7</v>
      </c>
      <c r="E7106" t="s">
        <v>7</v>
      </c>
      <c r="F7106" t="s">
        <v>7</v>
      </c>
      <c r="G7106" t="s">
        <v>7</v>
      </c>
      <c r="H7106">
        <v>47928.98</v>
      </c>
      <c r="I7106">
        <v>14982.28</v>
      </c>
      <c r="J7106">
        <v>0</v>
      </c>
    </row>
    <row r="7107" spans="1:10" x14ac:dyDescent="0.35">
      <c r="A7107">
        <v>326998</v>
      </c>
      <c r="B7107" t="s">
        <v>20</v>
      </c>
      <c r="C7107">
        <v>2015</v>
      </c>
      <c r="D7107">
        <v>7</v>
      </c>
      <c r="E7107" t="s">
        <v>7</v>
      </c>
      <c r="F7107" t="s">
        <v>7</v>
      </c>
      <c r="G7107" t="s">
        <v>7</v>
      </c>
      <c r="H7107">
        <v>22507.38</v>
      </c>
      <c r="I7107">
        <v>12674.7</v>
      </c>
      <c r="J7107">
        <v>0</v>
      </c>
    </row>
    <row r="7108" spans="1:10" x14ac:dyDescent="0.35">
      <c r="A7108">
        <v>327001</v>
      </c>
      <c r="B7108" t="s">
        <v>20</v>
      </c>
      <c r="C7108">
        <v>2015</v>
      </c>
      <c r="D7108">
        <v>7</v>
      </c>
      <c r="E7108" t="s">
        <v>7</v>
      </c>
      <c r="F7108" t="s">
        <v>7</v>
      </c>
      <c r="G7108" t="s">
        <v>7</v>
      </c>
      <c r="H7108">
        <v>19687.78</v>
      </c>
      <c r="I7108">
        <v>4673.63</v>
      </c>
      <c r="J7108">
        <v>0</v>
      </c>
    </row>
    <row r="7109" spans="1:10" x14ac:dyDescent="0.35">
      <c r="A7109">
        <v>327004</v>
      </c>
      <c r="B7109" t="s">
        <v>20</v>
      </c>
      <c r="C7109">
        <v>2015</v>
      </c>
      <c r="D7109">
        <v>7</v>
      </c>
      <c r="E7109" t="s">
        <v>7</v>
      </c>
      <c r="F7109" t="s">
        <v>7</v>
      </c>
      <c r="G7109" t="s">
        <v>7</v>
      </c>
      <c r="H7109">
        <v>16337.62</v>
      </c>
      <c r="I7109">
        <v>2530.35</v>
      </c>
      <c r="J7109">
        <v>0</v>
      </c>
    </row>
    <row r="7110" spans="1:10" x14ac:dyDescent="0.35">
      <c r="A7110">
        <v>327005</v>
      </c>
      <c r="B7110" t="s">
        <v>20</v>
      </c>
      <c r="C7110">
        <v>2015</v>
      </c>
      <c r="D7110">
        <v>7</v>
      </c>
      <c r="E7110" t="s">
        <v>7</v>
      </c>
      <c r="F7110" t="s">
        <v>7</v>
      </c>
      <c r="G7110" t="s">
        <v>7</v>
      </c>
      <c r="H7110">
        <v>49220.78</v>
      </c>
      <c r="I7110">
        <v>27034.720000000001</v>
      </c>
      <c r="J7110">
        <v>0</v>
      </c>
    </row>
    <row r="7111" spans="1:10" x14ac:dyDescent="0.35">
      <c r="A7111">
        <v>327007</v>
      </c>
      <c r="B7111" t="s">
        <v>20</v>
      </c>
      <c r="C7111">
        <v>2015</v>
      </c>
      <c r="D7111">
        <v>7</v>
      </c>
      <c r="E7111" t="s">
        <v>7</v>
      </c>
      <c r="F7111" t="s">
        <v>7</v>
      </c>
      <c r="G7111" t="s">
        <v>7</v>
      </c>
      <c r="H7111">
        <v>64433.64</v>
      </c>
      <c r="I7111">
        <v>17297.71</v>
      </c>
      <c r="J7111">
        <v>0</v>
      </c>
    </row>
    <row r="7112" spans="1:10" x14ac:dyDescent="0.35">
      <c r="A7112">
        <v>327009</v>
      </c>
      <c r="B7112" t="s">
        <v>20</v>
      </c>
      <c r="C7112">
        <v>2015</v>
      </c>
      <c r="D7112">
        <v>7</v>
      </c>
      <c r="E7112" t="s">
        <v>7</v>
      </c>
      <c r="F7112" t="s">
        <v>7</v>
      </c>
      <c r="G7112" t="s">
        <v>7</v>
      </c>
      <c r="H7112">
        <v>43511.54</v>
      </c>
      <c r="I7112">
        <v>18094.740000000002</v>
      </c>
      <c r="J7112">
        <v>0</v>
      </c>
    </row>
    <row r="7113" spans="1:10" x14ac:dyDescent="0.35">
      <c r="A7113">
        <v>327010</v>
      </c>
      <c r="B7113" t="s">
        <v>20</v>
      </c>
      <c r="C7113">
        <v>2015</v>
      </c>
      <c r="D7113">
        <v>7</v>
      </c>
      <c r="E7113" t="s">
        <v>7</v>
      </c>
      <c r="F7113" t="s">
        <v>7</v>
      </c>
      <c r="G7113" t="s">
        <v>7</v>
      </c>
      <c r="H7113">
        <v>34549.86</v>
      </c>
      <c r="I7113">
        <v>9601.59</v>
      </c>
      <c r="J7113">
        <v>0</v>
      </c>
    </row>
    <row r="7114" spans="1:10" x14ac:dyDescent="0.35">
      <c r="A7114">
        <v>327012</v>
      </c>
      <c r="B7114" t="s">
        <v>20</v>
      </c>
      <c r="C7114">
        <v>2015</v>
      </c>
      <c r="D7114">
        <v>7</v>
      </c>
      <c r="E7114" t="s">
        <v>7</v>
      </c>
      <c r="F7114" t="s">
        <v>7</v>
      </c>
      <c r="G7114" t="s">
        <v>7</v>
      </c>
      <c r="H7114">
        <v>83008.34</v>
      </c>
      <c r="I7114">
        <v>35410.44</v>
      </c>
      <c r="J7114">
        <v>0</v>
      </c>
    </row>
    <row r="7115" spans="1:10" x14ac:dyDescent="0.35">
      <c r="A7115">
        <v>327015</v>
      </c>
      <c r="B7115" t="s">
        <v>20</v>
      </c>
      <c r="C7115">
        <v>2015</v>
      </c>
      <c r="D7115">
        <v>7</v>
      </c>
      <c r="E7115" t="s">
        <v>7</v>
      </c>
      <c r="F7115" t="s">
        <v>7</v>
      </c>
      <c r="G7115" t="s">
        <v>7</v>
      </c>
      <c r="H7115">
        <v>31220.48</v>
      </c>
      <c r="I7115">
        <v>14969.56</v>
      </c>
      <c r="J7115">
        <v>0</v>
      </c>
    </row>
    <row r="7116" spans="1:10" x14ac:dyDescent="0.35">
      <c r="A7116">
        <v>327019</v>
      </c>
      <c r="B7116" t="s">
        <v>20</v>
      </c>
      <c r="C7116">
        <v>2015</v>
      </c>
      <c r="D7116">
        <v>7</v>
      </c>
      <c r="E7116" t="s">
        <v>7</v>
      </c>
      <c r="F7116" t="s">
        <v>7</v>
      </c>
      <c r="G7116" t="s">
        <v>7</v>
      </c>
      <c r="H7116">
        <v>25483.18</v>
      </c>
      <c r="I7116">
        <v>5831.53</v>
      </c>
      <c r="J7116">
        <v>0</v>
      </c>
    </row>
    <row r="7117" spans="1:10" x14ac:dyDescent="0.35">
      <c r="A7117">
        <v>327020</v>
      </c>
      <c r="B7117" t="s">
        <v>20</v>
      </c>
      <c r="C7117">
        <v>2015</v>
      </c>
      <c r="D7117">
        <v>7</v>
      </c>
      <c r="E7117" t="s">
        <v>7</v>
      </c>
      <c r="F7117" t="s">
        <v>7</v>
      </c>
      <c r="G7117" t="s">
        <v>7</v>
      </c>
      <c r="H7117">
        <v>40838.76</v>
      </c>
      <c r="I7117">
        <v>13012.41</v>
      </c>
      <c r="J7117">
        <v>0</v>
      </c>
    </row>
    <row r="7118" spans="1:10" x14ac:dyDescent="0.35">
      <c r="A7118">
        <v>327021</v>
      </c>
      <c r="B7118" t="s">
        <v>20</v>
      </c>
      <c r="C7118">
        <v>2015</v>
      </c>
      <c r="D7118">
        <v>7</v>
      </c>
      <c r="E7118" t="s">
        <v>7</v>
      </c>
      <c r="F7118" t="s">
        <v>7</v>
      </c>
      <c r="G7118" t="s">
        <v>7</v>
      </c>
      <c r="H7118">
        <v>24767.98</v>
      </c>
      <c r="I7118">
        <v>7156.79</v>
      </c>
      <c r="J7118">
        <v>0</v>
      </c>
    </row>
    <row r="7119" spans="1:10" x14ac:dyDescent="0.35">
      <c r="A7119">
        <v>327024</v>
      </c>
      <c r="B7119" t="s">
        <v>20</v>
      </c>
      <c r="C7119">
        <v>2015</v>
      </c>
      <c r="D7119">
        <v>7</v>
      </c>
      <c r="E7119" t="s">
        <v>7</v>
      </c>
      <c r="F7119" t="s">
        <v>7</v>
      </c>
      <c r="G7119" t="s">
        <v>7</v>
      </c>
      <c r="H7119">
        <v>83633.320000000007</v>
      </c>
      <c r="I7119">
        <v>49113.78</v>
      </c>
      <c r="J7119">
        <v>0</v>
      </c>
    </row>
    <row r="7120" spans="1:10" x14ac:dyDescent="0.35">
      <c r="A7120">
        <v>327026</v>
      </c>
      <c r="B7120" t="s">
        <v>20</v>
      </c>
      <c r="C7120">
        <v>2015</v>
      </c>
      <c r="D7120">
        <v>7</v>
      </c>
      <c r="E7120" t="s">
        <v>7</v>
      </c>
      <c r="F7120" t="s">
        <v>7</v>
      </c>
      <c r="G7120" t="s">
        <v>7</v>
      </c>
      <c r="H7120">
        <v>16706.04</v>
      </c>
      <c r="I7120">
        <v>2879.36</v>
      </c>
      <c r="J7120">
        <v>0</v>
      </c>
    </row>
    <row r="7121" spans="1:10" x14ac:dyDescent="0.35">
      <c r="A7121">
        <v>327027</v>
      </c>
      <c r="B7121" t="s">
        <v>20</v>
      </c>
      <c r="C7121">
        <v>2015</v>
      </c>
      <c r="D7121">
        <v>7</v>
      </c>
      <c r="E7121" t="s">
        <v>7</v>
      </c>
      <c r="F7121" t="s">
        <v>7</v>
      </c>
      <c r="G7121" t="s">
        <v>7</v>
      </c>
      <c r="H7121">
        <v>31986.02</v>
      </c>
      <c r="I7121">
        <v>9537.7000000000007</v>
      </c>
      <c r="J7121">
        <v>0</v>
      </c>
    </row>
    <row r="7122" spans="1:10" x14ac:dyDescent="0.35">
      <c r="A7122">
        <v>327028</v>
      </c>
      <c r="B7122" t="s">
        <v>20</v>
      </c>
      <c r="C7122">
        <v>2015</v>
      </c>
      <c r="D7122">
        <v>7</v>
      </c>
      <c r="E7122" t="s">
        <v>7</v>
      </c>
      <c r="F7122" t="s">
        <v>7</v>
      </c>
      <c r="G7122" t="s">
        <v>7</v>
      </c>
      <c r="H7122">
        <v>34336.239999999998</v>
      </c>
      <c r="I7122">
        <v>15319.16</v>
      </c>
      <c r="J7122">
        <v>0</v>
      </c>
    </row>
    <row r="7123" spans="1:10" x14ac:dyDescent="0.35">
      <c r="A7123">
        <v>327029</v>
      </c>
      <c r="B7123" t="s">
        <v>20</v>
      </c>
      <c r="C7123">
        <v>2015</v>
      </c>
      <c r="D7123">
        <v>7</v>
      </c>
      <c r="E7123" t="s">
        <v>7</v>
      </c>
      <c r="F7123" t="s">
        <v>7</v>
      </c>
      <c r="G7123" t="s">
        <v>7</v>
      </c>
      <c r="H7123">
        <v>68314.7</v>
      </c>
      <c r="I7123">
        <v>27086.26</v>
      </c>
      <c r="J7123">
        <v>0</v>
      </c>
    </row>
    <row r="7124" spans="1:10" x14ac:dyDescent="0.35">
      <c r="A7124">
        <v>327031</v>
      </c>
      <c r="B7124" t="s">
        <v>20</v>
      </c>
      <c r="C7124">
        <v>2015</v>
      </c>
      <c r="D7124">
        <v>7</v>
      </c>
      <c r="E7124" t="s">
        <v>7</v>
      </c>
      <c r="F7124" t="s">
        <v>7</v>
      </c>
      <c r="G7124" t="s">
        <v>7</v>
      </c>
      <c r="H7124">
        <v>202392.52</v>
      </c>
      <c r="I7124">
        <v>77855.320000000007</v>
      </c>
      <c r="J7124">
        <v>0</v>
      </c>
    </row>
    <row r="7125" spans="1:10" x14ac:dyDescent="0.35">
      <c r="A7125">
        <v>327035</v>
      </c>
      <c r="B7125" t="s">
        <v>20</v>
      </c>
      <c r="C7125">
        <v>2015</v>
      </c>
      <c r="D7125">
        <v>7</v>
      </c>
      <c r="E7125" t="s">
        <v>7</v>
      </c>
      <c r="F7125" t="s">
        <v>7</v>
      </c>
      <c r="G7125" t="s">
        <v>7</v>
      </c>
      <c r="H7125">
        <v>13757.48</v>
      </c>
      <c r="I7125">
        <v>3074.98</v>
      </c>
      <c r="J7125">
        <v>0</v>
      </c>
    </row>
    <row r="7126" spans="1:10" x14ac:dyDescent="0.35">
      <c r="A7126">
        <v>327036</v>
      </c>
      <c r="B7126" t="s">
        <v>20</v>
      </c>
      <c r="C7126">
        <v>2015</v>
      </c>
      <c r="D7126">
        <v>7</v>
      </c>
      <c r="E7126" t="s">
        <v>7</v>
      </c>
      <c r="F7126" t="s">
        <v>7</v>
      </c>
      <c r="G7126" t="s">
        <v>7</v>
      </c>
      <c r="H7126">
        <v>37940.239999999998</v>
      </c>
      <c r="I7126">
        <v>10733.5</v>
      </c>
      <c r="J7126">
        <v>0</v>
      </c>
    </row>
    <row r="7127" spans="1:10" x14ac:dyDescent="0.35">
      <c r="A7127">
        <v>327039</v>
      </c>
      <c r="B7127" t="s">
        <v>20</v>
      </c>
      <c r="C7127">
        <v>2015</v>
      </c>
      <c r="D7127">
        <v>7</v>
      </c>
      <c r="E7127" t="s">
        <v>7</v>
      </c>
      <c r="F7127" t="s">
        <v>7</v>
      </c>
      <c r="G7127" t="s">
        <v>7</v>
      </c>
      <c r="H7127">
        <v>72184.98</v>
      </c>
      <c r="I7127">
        <v>35914.730000000003</v>
      </c>
      <c r="J7127">
        <v>0</v>
      </c>
    </row>
    <row r="7128" spans="1:10" x14ac:dyDescent="0.35">
      <c r="A7128">
        <v>327040</v>
      </c>
      <c r="B7128" t="s">
        <v>20</v>
      </c>
      <c r="C7128">
        <v>2015</v>
      </c>
      <c r="D7128">
        <v>7</v>
      </c>
      <c r="E7128" t="s">
        <v>7</v>
      </c>
      <c r="F7128" t="s">
        <v>7</v>
      </c>
      <c r="G7128" t="s">
        <v>7</v>
      </c>
      <c r="H7128">
        <v>20762.080000000002</v>
      </c>
      <c r="I7128">
        <v>5145.4399999999996</v>
      </c>
      <c r="J7128">
        <v>0</v>
      </c>
    </row>
    <row r="7129" spans="1:10" x14ac:dyDescent="0.35">
      <c r="A7129">
        <v>327041</v>
      </c>
      <c r="B7129" t="s">
        <v>20</v>
      </c>
      <c r="C7129">
        <v>2015</v>
      </c>
      <c r="D7129">
        <v>7</v>
      </c>
      <c r="E7129" t="s">
        <v>7</v>
      </c>
      <c r="F7129" t="s">
        <v>7</v>
      </c>
      <c r="G7129" t="s">
        <v>7</v>
      </c>
      <c r="H7129">
        <v>63786.34</v>
      </c>
      <c r="I7129">
        <v>21953.45</v>
      </c>
      <c r="J7129">
        <v>0</v>
      </c>
    </row>
    <row r="7130" spans="1:10" x14ac:dyDescent="0.35">
      <c r="A7130">
        <v>327044</v>
      </c>
      <c r="B7130" t="s">
        <v>20</v>
      </c>
      <c r="C7130">
        <v>2015</v>
      </c>
      <c r="D7130">
        <v>7</v>
      </c>
      <c r="E7130" t="s">
        <v>7</v>
      </c>
      <c r="F7130" t="s">
        <v>7</v>
      </c>
      <c r="G7130" t="s">
        <v>7</v>
      </c>
      <c r="H7130">
        <v>75114.58</v>
      </c>
      <c r="I7130">
        <v>35524.870000000003</v>
      </c>
      <c r="J7130">
        <v>0</v>
      </c>
    </row>
    <row r="7131" spans="1:10" x14ac:dyDescent="0.35">
      <c r="A7131">
        <v>327045</v>
      </c>
      <c r="B7131" t="s">
        <v>20</v>
      </c>
      <c r="C7131">
        <v>2015</v>
      </c>
      <c r="D7131">
        <v>7</v>
      </c>
      <c r="E7131" t="s">
        <v>7</v>
      </c>
      <c r="F7131" t="s">
        <v>7</v>
      </c>
      <c r="G7131" t="s">
        <v>7</v>
      </c>
      <c r="H7131">
        <v>26107.82</v>
      </c>
      <c r="I7131">
        <v>7581.73</v>
      </c>
      <c r="J7131">
        <v>0</v>
      </c>
    </row>
    <row r="7132" spans="1:10" x14ac:dyDescent="0.35">
      <c r="A7132">
        <v>327048</v>
      </c>
      <c r="B7132" t="s">
        <v>20</v>
      </c>
      <c r="C7132">
        <v>2015</v>
      </c>
      <c r="D7132">
        <v>7</v>
      </c>
      <c r="E7132" t="s">
        <v>7</v>
      </c>
      <c r="F7132" t="s">
        <v>7</v>
      </c>
      <c r="G7132" t="s">
        <v>7</v>
      </c>
      <c r="H7132">
        <v>17594.7</v>
      </c>
      <c r="I7132">
        <v>3244.99</v>
      </c>
      <c r="J7132">
        <v>0</v>
      </c>
    </row>
    <row r="7133" spans="1:10" x14ac:dyDescent="0.35">
      <c r="A7133">
        <v>327050</v>
      </c>
      <c r="B7133" t="s">
        <v>20</v>
      </c>
      <c r="C7133">
        <v>2015</v>
      </c>
      <c r="D7133">
        <v>7</v>
      </c>
      <c r="E7133" t="s">
        <v>7</v>
      </c>
      <c r="F7133" t="s">
        <v>7</v>
      </c>
      <c r="G7133" t="s">
        <v>7</v>
      </c>
      <c r="H7133">
        <v>25015.42</v>
      </c>
      <c r="I7133">
        <v>6781.54</v>
      </c>
      <c r="J7133">
        <v>0</v>
      </c>
    </row>
    <row r="7134" spans="1:10" x14ac:dyDescent="0.35">
      <c r="A7134">
        <v>327051</v>
      </c>
      <c r="B7134" t="s">
        <v>20</v>
      </c>
      <c r="C7134">
        <v>2015</v>
      </c>
      <c r="D7134">
        <v>7</v>
      </c>
      <c r="E7134" t="s">
        <v>7</v>
      </c>
      <c r="F7134" t="s">
        <v>7</v>
      </c>
      <c r="G7134" t="s">
        <v>7</v>
      </c>
      <c r="H7134">
        <v>18757.36</v>
      </c>
      <c r="I7134">
        <v>4637.0600000000004</v>
      </c>
      <c r="J7134">
        <v>0</v>
      </c>
    </row>
    <row r="7135" spans="1:10" x14ac:dyDescent="0.35">
      <c r="A7135">
        <v>327052</v>
      </c>
      <c r="B7135" t="s">
        <v>20</v>
      </c>
      <c r="C7135">
        <v>2015</v>
      </c>
      <c r="D7135">
        <v>7</v>
      </c>
      <c r="E7135" t="s">
        <v>7</v>
      </c>
      <c r="F7135" t="s">
        <v>7</v>
      </c>
      <c r="G7135" t="s">
        <v>7</v>
      </c>
      <c r="H7135">
        <v>21934.400000000001</v>
      </c>
      <c r="I7135">
        <v>5726.54</v>
      </c>
      <c r="J7135">
        <v>0</v>
      </c>
    </row>
    <row r="7136" spans="1:10" x14ac:dyDescent="0.35">
      <c r="A7136">
        <v>327053</v>
      </c>
      <c r="B7136" t="s">
        <v>20</v>
      </c>
      <c r="C7136">
        <v>2015</v>
      </c>
      <c r="D7136">
        <v>7</v>
      </c>
      <c r="E7136" t="s">
        <v>7</v>
      </c>
      <c r="F7136" t="s">
        <v>7</v>
      </c>
      <c r="G7136" t="s">
        <v>7</v>
      </c>
      <c r="H7136">
        <v>10926.94</v>
      </c>
      <c r="I7136">
        <v>2821.68</v>
      </c>
      <c r="J7136">
        <v>0</v>
      </c>
    </row>
    <row r="7137" spans="1:10" x14ac:dyDescent="0.35">
      <c r="A7137">
        <v>327056</v>
      </c>
      <c r="B7137" t="s">
        <v>20</v>
      </c>
      <c r="C7137">
        <v>2015</v>
      </c>
      <c r="D7137">
        <v>7</v>
      </c>
      <c r="E7137" t="s">
        <v>7</v>
      </c>
      <c r="F7137" t="s">
        <v>7</v>
      </c>
      <c r="G7137" t="s">
        <v>7</v>
      </c>
      <c r="H7137">
        <v>22516.74</v>
      </c>
      <c r="I7137">
        <v>6542.72</v>
      </c>
      <c r="J7137">
        <v>0</v>
      </c>
    </row>
    <row r="7138" spans="1:10" x14ac:dyDescent="0.35">
      <c r="A7138">
        <v>327057</v>
      </c>
      <c r="B7138" t="s">
        <v>20</v>
      </c>
      <c r="C7138">
        <v>2015</v>
      </c>
      <c r="D7138">
        <v>7</v>
      </c>
      <c r="E7138" t="s">
        <v>7</v>
      </c>
      <c r="F7138" t="s">
        <v>7</v>
      </c>
      <c r="G7138" t="s">
        <v>7</v>
      </c>
      <c r="H7138">
        <v>42427.28</v>
      </c>
      <c r="I7138">
        <v>25273.71</v>
      </c>
      <c r="J7138">
        <v>0</v>
      </c>
    </row>
    <row r="7139" spans="1:10" x14ac:dyDescent="0.35">
      <c r="A7139">
        <v>327060</v>
      </c>
      <c r="B7139" t="s">
        <v>20</v>
      </c>
      <c r="C7139">
        <v>2015</v>
      </c>
      <c r="D7139">
        <v>7</v>
      </c>
      <c r="E7139" t="s">
        <v>7</v>
      </c>
      <c r="F7139" t="s">
        <v>7</v>
      </c>
      <c r="G7139" t="s">
        <v>7</v>
      </c>
      <c r="H7139">
        <v>53499.3</v>
      </c>
      <c r="I7139">
        <v>20074.310000000001</v>
      </c>
      <c r="J7139">
        <v>0</v>
      </c>
    </row>
    <row r="7140" spans="1:10" x14ac:dyDescent="0.35">
      <c r="A7140">
        <v>327061</v>
      </c>
      <c r="B7140" t="s">
        <v>20</v>
      </c>
      <c r="C7140">
        <v>2015</v>
      </c>
      <c r="D7140">
        <v>7</v>
      </c>
      <c r="E7140" t="s">
        <v>7</v>
      </c>
      <c r="F7140" t="s">
        <v>7</v>
      </c>
      <c r="G7140" t="s">
        <v>7</v>
      </c>
      <c r="H7140">
        <v>19746.82</v>
      </c>
      <c r="I7140">
        <v>6032.55</v>
      </c>
      <c r="J7140">
        <v>0</v>
      </c>
    </row>
    <row r="7141" spans="1:10" x14ac:dyDescent="0.35">
      <c r="A7141">
        <v>327064</v>
      </c>
      <c r="B7141" t="s">
        <v>20</v>
      </c>
      <c r="C7141">
        <v>2015</v>
      </c>
      <c r="D7141">
        <v>7</v>
      </c>
      <c r="E7141" t="s">
        <v>7</v>
      </c>
      <c r="F7141" t="s">
        <v>7</v>
      </c>
      <c r="G7141" t="s">
        <v>7</v>
      </c>
      <c r="H7141">
        <v>70450.94</v>
      </c>
      <c r="I7141">
        <v>26790.959999999999</v>
      </c>
      <c r="J7141">
        <v>0</v>
      </c>
    </row>
    <row r="7142" spans="1:10" x14ac:dyDescent="0.35">
      <c r="A7142">
        <v>327065</v>
      </c>
      <c r="B7142" t="s">
        <v>20</v>
      </c>
      <c r="C7142">
        <v>2015</v>
      </c>
      <c r="D7142">
        <v>7</v>
      </c>
      <c r="E7142" t="s">
        <v>7</v>
      </c>
      <c r="F7142" t="s">
        <v>7</v>
      </c>
      <c r="G7142" t="s">
        <v>7</v>
      </c>
      <c r="H7142">
        <v>38880.1</v>
      </c>
      <c r="I7142">
        <v>10083.290000000001</v>
      </c>
      <c r="J7142">
        <v>0</v>
      </c>
    </row>
    <row r="7143" spans="1:10" x14ac:dyDescent="0.35">
      <c r="A7143">
        <v>327067</v>
      </c>
      <c r="B7143" t="s">
        <v>20</v>
      </c>
      <c r="C7143">
        <v>2015</v>
      </c>
      <c r="D7143">
        <v>7</v>
      </c>
      <c r="E7143" t="s">
        <v>7</v>
      </c>
      <c r="F7143" t="s">
        <v>7</v>
      </c>
      <c r="G7143" t="s">
        <v>7</v>
      </c>
      <c r="H7143">
        <v>11354.04</v>
      </c>
      <c r="I7143">
        <v>2537.75</v>
      </c>
      <c r="J7143">
        <v>0</v>
      </c>
    </row>
    <row r="7144" spans="1:10" x14ac:dyDescent="0.35">
      <c r="A7144">
        <v>327068</v>
      </c>
      <c r="B7144" t="s">
        <v>20</v>
      </c>
      <c r="C7144">
        <v>2015</v>
      </c>
      <c r="D7144">
        <v>7</v>
      </c>
      <c r="E7144" t="s">
        <v>7</v>
      </c>
      <c r="F7144" t="s">
        <v>7</v>
      </c>
      <c r="G7144" t="s">
        <v>7</v>
      </c>
      <c r="H7144">
        <v>38311.699999999997</v>
      </c>
      <c r="I7144">
        <v>11326.41</v>
      </c>
      <c r="J7144">
        <v>0</v>
      </c>
    </row>
    <row r="7145" spans="1:10" x14ac:dyDescent="0.35">
      <c r="A7145">
        <v>327070</v>
      </c>
      <c r="B7145" t="s">
        <v>20</v>
      </c>
      <c r="C7145">
        <v>2015</v>
      </c>
      <c r="D7145">
        <v>7</v>
      </c>
      <c r="E7145" t="s">
        <v>7</v>
      </c>
      <c r="F7145" t="s">
        <v>7</v>
      </c>
      <c r="G7145" t="s">
        <v>7</v>
      </c>
      <c r="H7145">
        <v>43300.54</v>
      </c>
      <c r="I7145">
        <v>17734.21</v>
      </c>
      <c r="J7145">
        <v>0</v>
      </c>
    </row>
    <row r="7146" spans="1:10" x14ac:dyDescent="0.35">
      <c r="A7146">
        <v>327072</v>
      </c>
      <c r="B7146" t="s">
        <v>20</v>
      </c>
      <c r="C7146">
        <v>2015</v>
      </c>
      <c r="D7146">
        <v>7</v>
      </c>
      <c r="E7146" t="s">
        <v>7</v>
      </c>
      <c r="F7146" t="s">
        <v>7</v>
      </c>
      <c r="G7146" t="s">
        <v>7</v>
      </c>
      <c r="H7146">
        <v>63286.400000000001</v>
      </c>
      <c r="I7146">
        <v>26463.78</v>
      </c>
      <c r="J7146">
        <v>0</v>
      </c>
    </row>
    <row r="7147" spans="1:10" x14ac:dyDescent="0.35">
      <c r="A7147">
        <v>327073</v>
      </c>
      <c r="B7147" t="s">
        <v>20</v>
      </c>
      <c r="C7147">
        <v>2015</v>
      </c>
      <c r="D7147">
        <v>7</v>
      </c>
      <c r="E7147" t="s">
        <v>7</v>
      </c>
      <c r="F7147" t="s">
        <v>7</v>
      </c>
      <c r="G7147" t="s">
        <v>7</v>
      </c>
      <c r="H7147">
        <v>66387.66</v>
      </c>
      <c r="I7147">
        <v>36516.46</v>
      </c>
      <c r="J7147">
        <v>0</v>
      </c>
    </row>
    <row r="7148" spans="1:10" x14ac:dyDescent="0.35">
      <c r="A7148">
        <v>327077</v>
      </c>
      <c r="B7148" t="s">
        <v>20</v>
      </c>
      <c r="C7148">
        <v>2015</v>
      </c>
      <c r="D7148">
        <v>7</v>
      </c>
      <c r="E7148" t="s">
        <v>7</v>
      </c>
      <c r="F7148" t="s">
        <v>7</v>
      </c>
      <c r="G7148" t="s">
        <v>7</v>
      </c>
      <c r="H7148">
        <v>17174.86</v>
      </c>
      <c r="I7148">
        <v>4118.05</v>
      </c>
      <c r="J7148">
        <v>0</v>
      </c>
    </row>
    <row r="7149" spans="1:10" x14ac:dyDescent="0.35">
      <c r="A7149">
        <v>327078</v>
      </c>
      <c r="B7149" t="s">
        <v>20</v>
      </c>
      <c r="C7149">
        <v>2015</v>
      </c>
      <c r="D7149">
        <v>7</v>
      </c>
      <c r="E7149" t="s">
        <v>7</v>
      </c>
      <c r="F7149" t="s">
        <v>7</v>
      </c>
      <c r="G7149" t="s">
        <v>7</v>
      </c>
      <c r="H7149">
        <v>20544.62</v>
      </c>
      <c r="I7149">
        <v>5887.01</v>
      </c>
      <c r="J7149">
        <v>0</v>
      </c>
    </row>
    <row r="7150" spans="1:10" x14ac:dyDescent="0.35">
      <c r="A7150">
        <v>327084</v>
      </c>
      <c r="B7150" t="s">
        <v>20</v>
      </c>
      <c r="C7150">
        <v>2015</v>
      </c>
      <c r="D7150">
        <v>7</v>
      </c>
      <c r="E7150" t="s">
        <v>7</v>
      </c>
      <c r="F7150" t="s">
        <v>7</v>
      </c>
      <c r="G7150" t="s">
        <v>7</v>
      </c>
      <c r="H7150">
        <v>54009.279999999999</v>
      </c>
      <c r="I7150">
        <v>15964.52</v>
      </c>
      <c r="J7150">
        <v>0</v>
      </c>
    </row>
    <row r="7151" spans="1:10" x14ac:dyDescent="0.35">
      <c r="A7151">
        <v>327089</v>
      </c>
      <c r="B7151" t="s">
        <v>20</v>
      </c>
      <c r="C7151">
        <v>2015</v>
      </c>
      <c r="D7151">
        <v>7</v>
      </c>
      <c r="E7151" t="s">
        <v>7</v>
      </c>
      <c r="F7151" t="s">
        <v>7</v>
      </c>
      <c r="G7151" t="s">
        <v>7</v>
      </c>
      <c r="H7151">
        <v>34142.239999999998</v>
      </c>
      <c r="I7151">
        <v>8364.32</v>
      </c>
      <c r="J7151">
        <v>0</v>
      </c>
    </row>
    <row r="7152" spans="1:10" x14ac:dyDescent="0.35">
      <c r="A7152">
        <v>327090</v>
      </c>
      <c r="B7152" t="s">
        <v>20</v>
      </c>
      <c r="C7152">
        <v>2015</v>
      </c>
      <c r="D7152">
        <v>7</v>
      </c>
      <c r="E7152" t="s">
        <v>7</v>
      </c>
      <c r="F7152" t="s">
        <v>7</v>
      </c>
      <c r="G7152" t="s">
        <v>7</v>
      </c>
      <c r="H7152">
        <v>26266.54</v>
      </c>
      <c r="I7152">
        <v>6677.54</v>
      </c>
      <c r="J7152">
        <v>0</v>
      </c>
    </row>
    <row r="7153" spans="1:10" x14ac:dyDescent="0.35">
      <c r="A7153">
        <v>327093</v>
      </c>
      <c r="B7153" t="s">
        <v>20</v>
      </c>
      <c r="C7153">
        <v>2015</v>
      </c>
      <c r="D7153">
        <v>7</v>
      </c>
      <c r="E7153" t="s">
        <v>7</v>
      </c>
      <c r="F7153" t="s">
        <v>7</v>
      </c>
      <c r="G7153" t="s">
        <v>7</v>
      </c>
      <c r="H7153">
        <v>18263.64</v>
      </c>
      <c r="I7153">
        <v>4602.41</v>
      </c>
      <c r="J7153">
        <v>0</v>
      </c>
    </row>
    <row r="7154" spans="1:10" x14ac:dyDescent="0.35">
      <c r="A7154">
        <v>327096</v>
      </c>
      <c r="B7154" t="s">
        <v>20</v>
      </c>
      <c r="C7154">
        <v>2015</v>
      </c>
      <c r="D7154">
        <v>7</v>
      </c>
      <c r="E7154" t="s">
        <v>7</v>
      </c>
      <c r="F7154" t="s">
        <v>7</v>
      </c>
      <c r="G7154" t="s">
        <v>7</v>
      </c>
      <c r="H7154">
        <v>12606.98</v>
      </c>
      <c r="I7154">
        <v>2994.89</v>
      </c>
      <c r="J7154">
        <v>0</v>
      </c>
    </row>
    <row r="7155" spans="1:10" x14ac:dyDescent="0.35">
      <c r="A7155">
        <v>327097</v>
      </c>
      <c r="B7155" t="s">
        <v>20</v>
      </c>
      <c r="C7155">
        <v>2015</v>
      </c>
      <c r="D7155">
        <v>7</v>
      </c>
      <c r="E7155" t="s">
        <v>7</v>
      </c>
      <c r="F7155" t="s">
        <v>7</v>
      </c>
      <c r="G7155" t="s">
        <v>7</v>
      </c>
      <c r="H7155">
        <v>10839.92</v>
      </c>
      <c r="I7155">
        <v>6429.68</v>
      </c>
      <c r="J7155">
        <v>0</v>
      </c>
    </row>
    <row r="7156" spans="1:10" x14ac:dyDescent="0.35">
      <c r="A7156">
        <v>327098</v>
      </c>
      <c r="B7156" t="s">
        <v>20</v>
      </c>
      <c r="C7156">
        <v>2015</v>
      </c>
      <c r="D7156">
        <v>7</v>
      </c>
      <c r="E7156" t="s">
        <v>7</v>
      </c>
      <c r="F7156" t="s">
        <v>7</v>
      </c>
      <c r="G7156" t="s">
        <v>7</v>
      </c>
      <c r="H7156">
        <v>50165.86</v>
      </c>
      <c r="I7156">
        <v>22799.95</v>
      </c>
      <c r="J7156">
        <v>0</v>
      </c>
    </row>
    <row r="7157" spans="1:10" x14ac:dyDescent="0.35">
      <c r="A7157">
        <v>327102</v>
      </c>
      <c r="B7157" t="s">
        <v>20</v>
      </c>
      <c r="C7157">
        <v>2015</v>
      </c>
      <c r="D7157">
        <v>7</v>
      </c>
      <c r="E7157" t="s">
        <v>7</v>
      </c>
      <c r="F7157" t="s">
        <v>7</v>
      </c>
      <c r="G7157" t="s">
        <v>7</v>
      </c>
      <c r="H7157">
        <v>25945</v>
      </c>
      <c r="I7157">
        <v>7258.63</v>
      </c>
      <c r="J7157">
        <v>0</v>
      </c>
    </row>
    <row r="7158" spans="1:10" x14ac:dyDescent="0.35">
      <c r="A7158">
        <v>327106</v>
      </c>
      <c r="B7158" t="s">
        <v>20</v>
      </c>
      <c r="C7158">
        <v>2015</v>
      </c>
      <c r="D7158">
        <v>7</v>
      </c>
      <c r="E7158" t="s">
        <v>7</v>
      </c>
      <c r="F7158" t="s">
        <v>7</v>
      </c>
      <c r="G7158" t="s">
        <v>7</v>
      </c>
      <c r="H7158">
        <v>10898.98</v>
      </c>
      <c r="I7158">
        <v>2405.09</v>
      </c>
      <c r="J7158">
        <v>0</v>
      </c>
    </row>
    <row r="7159" spans="1:10" x14ac:dyDescent="0.35">
      <c r="A7159">
        <v>327109</v>
      </c>
      <c r="B7159" t="s">
        <v>20</v>
      </c>
      <c r="C7159">
        <v>2015</v>
      </c>
      <c r="D7159">
        <v>7</v>
      </c>
      <c r="E7159" t="s">
        <v>7</v>
      </c>
      <c r="F7159" t="s">
        <v>7</v>
      </c>
      <c r="G7159" t="s">
        <v>7</v>
      </c>
      <c r="H7159">
        <v>47521.14</v>
      </c>
      <c r="I7159">
        <v>14225.77</v>
      </c>
      <c r="J7159">
        <v>0</v>
      </c>
    </row>
    <row r="7160" spans="1:10" x14ac:dyDescent="0.35">
      <c r="A7160">
        <v>327111</v>
      </c>
      <c r="B7160" t="s">
        <v>20</v>
      </c>
      <c r="C7160">
        <v>2015</v>
      </c>
      <c r="D7160">
        <v>7</v>
      </c>
      <c r="E7160" t="s">
        <v>7</v>
      </c>
      <c r="F7160" t="s">
        <v>7</v>
      </c>
      <c r="G7160" t="s">
        <v>7</v>
      </c>
      <c r="H7160">
        <v>31020.880000000001</v>
      </c>
      <c r="I7160">
        <v>9014.4699999999993</v>
      </c>
      <c r="J7160">
        <v>0</v>
      </c>
    </row>
    <row r="7161" spans="1:10" x14ac:dyDescent="0.35">
      <c r="A7161">
        <v>327113</v>
      </c>
      <c r="B7161" t="s">
        <v>20</v>
      </c>
      <c r="C7161">
        <v>2015</v>
      </c>
      <c r="D7161">
        <v>7</v>
      </c>
      <c r="E7161" t="s">
        <v>7</v>
      </c>
      <c r="F7161" t="s">
        <v>7</v>
      </c>
      <c r="G7161" t="s">
        <v>7</v>
      </c>
      <c r="H7161">
        <v>15219.36</v>
      </c>
      <c r="I7161">
        <v>3004.14</v>
      </c>
      <c r="J7161">
        <v>0</v>
      </c>
    </row>
    <row r="7162" spans="1:10" x14ac:dyDescent="0.35">
      <c r="A7162">
        <v>327116</v>
      </c>
      <c r="B7162" t="s">
        <v>20</v>
      </c>
      <c r="C7162">
        <v>2015</v>
      </c>
      <c r="D7162">
        <v>7</v>
      </c>
      <c r="E7162" t="s">
        <v>7</v>
      </c>
      <c r="F7162" t="s">
        <v>7</v>
      </c>
      <c r="G7162" t="s">
        <v>7</v>
      </c>
      <c r="H7162">
        <v>43800.12</v>
      </c>
      <c r="I7162">
        <v>12611.43</v>
      </c>
      <c r="J7162">
        <v>0</v>
      </c>
    </row>
    <row r="7163" spans="1:10" x14ac:dyDescent="0.35">
      <c r="A7163">
        <v>327118</v>
      </c>
      <c r="B7163" t="s">
        <v>20</v>
      </c>
      <c r="C7163">
        <v>2015</v>
      </c>
      <c r="D7163">
        <v>7</v>
      </c>
      <c r="E7163" t="s">
        <v>7</v>
      </c>
      <c r="F7163" t="s">
        <v>7</v>
      </c>
      <c r="G7163" t="s">
        <v>7</v>
      </c>
      <c r="H7163">
        <v>16898.5</v>
      </c>
      <c r="I7163">
        <v>3888.29</v>
      </c>
      <c r="J7163">
        <v>0</v>
      </c>
    </row>
    <row r="7164" spans="1:10" x14ac:dyDescent="0.35">
      <c r="A7164">
        <v>327122</v>
      </c>
      <c r="B7164" t="s">
        <v>20</v>
      </c>
      <c r="C7164">
        <v>2015</v>
      </c>
      <c r="D7164">
        <v>7</v>
      </c>
      <c r="E7164" t="s">
        <v>7</v>
      </c>
      <c r="F7164" t="s">
        <v>7</v>
      </c>
      <c r="G7164" t="s">
        <v>7</v>
      </c>
      <c r="H7164">
        <v>8165.4</v>
      </c>
      <c r="I7164">
        <v>2243.46</v>
      </c>
      <c r="J7164">
        <v>0</v>
      </c>
    </row>
    <row r="7165" spans="1:10" x14ac:dyDescent="0.35">
      <c r="A7165">
        <v>327123</v>
      </c>
      <c r="B7165" t="s">
        <v>20</v>
      </c>
      <c r="C7165">
        <v>2015</v>
      </c>
      <c r="D7165">
        <v>7</v>
      </c>
      <c r="E7165" t="s">
        <v>7</v>
      </c>
      <c r="F7165" t="s">
        <v>7</v>
      </c>
      <c r="G7165" t="s">
        <v>7</v>
      </c>
      <c r="H7165">
        <v>28660.92</v>
      </c>
      <c r="I7165">
        <v>6536.26</v>
      </c>
      <c r="J7165">
        <v>0</v>
      </c>
    </row>
    <row r="7166" spans="1:10" x14ac:dyDescent="0.35">
      <c r="A7166">
        <v>327124</v>
      </c>
      <c r="B7166" t="s">
        <v>20</v>
      </c>
      <c r="C7166">
        <v>2015</v>
      </c>
      <c r="D7166">
        <v>7</v>
      </c>
      <c r="E7166" t="s">
        <v>7</v>
      </c>
      <c r="F7166" t="s">
        <v>7</v>
      </c>
      <c r="G7166" t="s">
        <v>7</v>
      </c>
      <c r="H7166">
        <v>69394.960000000006</v>
      </c>
      <c r="I7166">
        <v>32395.119999999999</v>
      </c>
      <c r="J7166">
        <v>0</v>
      </c>
    </row>
    <row r="7167" spans="1:10" x14ac:dyDescent="0.35">
      <c r="A7167">
        <v>327128</v>
      </c>
      <c r="B7167" t="s">
        <v>20</v>
      </c>
      <c r="C7167">
        <v>2015</v>
      </c>
      <c r="D7167">
        <v>7</v>
      </c>
      <c r="E7167" t="s">
        <v>7</v>
      </c>
      <c r="F7167" t="s">
        <v>7</v>
      </c>
      <c r="G7167" t="s">
        <v>7</v>
      </c>
      <c r="H7167">
        <v>14036.86</v>
      </c>
      <c r="I7167">
        <v>2988.4</v>
      </c>
      <c r="J7167">
        <v>0</v>
      </c>
    </row>
    <row r="7168" spans="1:10" x14ac:dyDescent="0.35">
      <c r="A7168">
        <v>327133</v>
      </c>
      <c r="B7168" t="s">
        <v>20</v>
      </c>
      <c r="C7168">
        <v>2015</v>
      </c>
      <c r="D7168">
        <v>7</v>
      </c>
      <c r="E7168" t="s">
        <v>7</v>
      </c>
      <c r="F7168" t="s">
        <v>7</v>
      </c>
      <c r="G7168" t="s">
        <v>7</v>
      </c>
      <c r="H7168">
        <v>30994.6</v>
      </c>
      <c r="I7168">
        <v>19022.05</v>
      </c>
      <c r="J7168">
        <v>0</v>
      </c>
    </row>
    <row r="7169" spans="1:10" x14ac:dyDescent="0.35">
      <c r="A7169">
        <v>327135</v>
      </c>
      <c r="B7169" t="s">
        <v>20</v>
      </c>
      <c r="C7169">
        <v>2015</v>
      </c>
      <c r="D7169">
        <v>7</v>
      </c>
      <c r="E7169" t="s">
        <v>7</v>
      </c>
      <c r="F7169" t="s">
        <v>7</v>
      </c>
      <c r="G7169" t="s">
        <v>7</v>
      </c>
      <c r="H7169">
        <v>11082</v>
      </c>
      <c r="I7169">
        <v>3176.3</v>
      </c>
      <c r="J7169">
        <v>0</v>
      </c>
    </row>
    <row r="7170" spans="1:10" x14ac:dyDescent="0.35">
      <c r="A7170">
        <v>327137</v>
      </c>
      <c r="B7170" t="s">
        <v>20</v>
      </c>
      <c r="C7170">
        <v>2015</v>
      </c>
      <c r="D7170">
        <v>7</v>
      </c>
      <c r="E7170" t="s">
        <v>7</v>
      </c>
      <c r="F7170" t="s">
        <v>7</v>
      </c>
      <c r="G7170" t="s">
        <v>7</v>
      </c>
      <c r="H7170">
        <v>98931.8</v>
      </c>
      <c r="I7170">
        <v>49972.76</v>
      </c>
      <c r="J7170">
        <v>0</v>
      </c>
    </row>
    <row r="7171" spans="1:10" x14ac:dyDescent="0.35">
      <c r="A7171">
        <v>327139</v>
      </c>
      <c r="B7171" t="s">
        <v>20</v>
      </c>
      <c r="C7171">
        <v>2015</v>
      </c>
      <c r="D7171">
        <v>7</v>
      </c>
      <c r="E7171" t="s">
        <v>7</v>
      </c>
      <c r="F7171" t="s">
        <v>7</v>
      </c>
      <c r="G7171" t="s">
        <v>7</v>
      </c>
      <c r="H7171">
        <v>18386.060000000001</v>
      </c>
      <c r="I7171">
        <v>4655.83</v>
      </c>
      <c r="J7171">
        <v>0</v>
      </c>
    </row>
    <row r="7172" spans="1:10" x14ac:dyDescent="0.35">
      <c r="A7172">
        <v>327141</v>
      </c>
      <c r="B7172" t="s">
        <v>20</v>
      </c>
      <c r="C7172">
        <v>2015</v>
      </c>
      <c r="D7172">
        <v>7</v>
      </c>
      <c r="E7172" t="s">
        <v>7</v>
      </c>
      <c r="F7172" t="s">
        <v>7</v>
      </c>
      <c r="G7172" t="s">
        <v>7</v>
      </c>
      <c r="H7172">
        <v>18497.38</v>
      </c>
      <c r="I7172">
        <v>5279.37</v>
      </c>
      <c r="J7172">
        <v>0</v>
      </c>
    </row>
    <row r="7173" spans="1:10" x14ac:dyDescent="0.35">
      <c r="A7173">
        <v>327144</v>
      </c>
      <c r="B7173" t="s">
        <v>20</v>
      </c>
      <c r="C7173">
        <v>2015</v>
      </c>
      <c r="D7173">
        <v>7</v>
      </c>
      <c r="E7173" t="s">
        <v>7</v>
      </c>
      <c r="F7173" t="s">
        <v>7</v>
      </c>
      <c r="G7173" t="s">
        <v>7</v>
      </c>
      <c r="H7173">
        <v>26494.880000000001</v>
      </c>
      <c r="I7173">
        <v>6626.9</v>
      </c>
      <c r="J7173">
        <v>0</v>
      </c>
    </row>
    <row r="7174" spans="1:10" x14ac:dyDescent="0.35">
      <c r="A7174">
        <v>327145</v>
      </c>
      <c r="B7174" t="s">
        <v>20</v>
      </c>
      <c r="C7174">
        <v>2015</v>
      </c>
      <c r="D7174">
        <v>7</v>
      </c>
      <c r="E7174" t="s">
        <v>7</v>
      </c>
      <c r="F7174" t="s">
        <v>7</v>
      </c>
      <c r="G7174" t="s">
        <v>7</v>
      </c>
      <c r="H7174">
        <v>75269.48</v>
      </c>
      <c r="I7174">
        <v>31106.12</v>
      </c>
      <c r="J7174">
        <v>0</v>
      </c>
    </row>
    <row r="7175" spans="1:10" x14ac:dyDescent="0.35">
      <c r="A7175">
        <v>327146</v>
      </c>
      <c r="B7175" t="s">
        <v>20</v>
      </c>
      <c r="C7175">
        <v>2015</v>
      </c>
      <c r="D7175">
        <v>7</v>
      </c>
      <c r="E7175" t="s">
        <v>7</v>
      </c>
      <c r="F7175" t="s">
        <v>7</v>
      </c>
      <c r="G7175" t="s">
        <v>7</v>
      </c>
      <c r="H7175">
        <v>31702.32</v>
      </c>
      <c r="I7175">
        <v>8676.7199999999993</v>
      </c>
      <c r="J7175">
        <v>0</v>
      </c>
    </row>
    <row r="7176" spans="1:10" x14ac:dyDescent="0.35">
      <c r="A7176">
        <v>327154</v>
      </c>
      <c r="B7176" t="s">
        <v>20</v>
      </c>
      <c r="C7176">
        <v>2015</v>
      </c>
      <c r="D7176">
        <v>7</v>
      </c>
      <c r="E7176" t="s">
        <v>7</v>
      </c>
      <c r="F7176" t="s">
        <v>7</v>
      </c>
      <c r="G7176" t="s">
        <v>7</v>
      </c>
      <c r="H7176">
        <v>43391.18</v>
      </c>
      <c r="I7176">
        <v>12093.49</v>
      </c>
      <c r="J7176">
        <v>0</v>
      </c>
    </row>
    <row r="7177" spans="1:10" x14ac:dyDescent="0.35">
      <c r="A7177">
        <v>327158</v>
      </c>
      <c r="B7177" t="s">
        <v>20</v>
      </c>
      <c r="C7177">
        <v>2015</v>
      </c>
      <c r="D7177">
        <v>7</v>
      </c>
      <c r="E7177" t="s">
        <v>7</v>
      </c>
      <c r="F7177" t="s">
        <v>7</v>
      </c>
      <c r="G7177" t="s">
        <v>7</v>
      </c>
      <c r="H7177">
        <v>33310.36</v>
      </c>
      <c r="I7177">
        <v>7582.29</v>
      </c>
      <c r="J7177">
        <v>0</v>
      </c>
    </row>
    <row r="7178" spans="1:10" x14ac:dyDescent="0.35">
      <c r="A7178">
        <v>327160</v>
      </c>
      <c r="B7178" t="s">
        <v>20</v>
      </c>
      <c r="C7178">
        <v>2015</v>
      </c>
      <c r="D7178">
        <v>7</v>
      </c>
      <c r="E7178" t="s">
        <v>7</v>
      </c>
      <c r="F7178" t="s">
        <v>7</v>
      </c>
      <c r="G7178" t="s">
        <v>7</v>
      </c>
      <c r="H7178">
        <v>32150.94</v>
      </c>
      <c r="I7178">
        <v>10264.99</v>
      </c>
      <c r="J7178">
        <v>0</v>
      </c>
    </row>
    <row r="7179" spans="1:10" x14ac:dyDescent="0.35">
      <c r="A7179">
        <v>327163</v>
      </c>
      <c r="B7179" t="s">
        <v>20</v>
      </c>
      <c r="C7179">
        <v>2015</v>
      </c>
      <c r="D7179">
        <v>7</v>
      </c>
      <c r="E7179" t="s">
        <v>7</v>
      </c>
      <c r="F7179" t="s">
        <v>7</v>
      </c>
      <c r="G7179" t="s">
        <v>7</v>
      </c>
      <c r="H7179">
        <v>144828.98000000001</v>
      </c>
      <c r="I7179">
        <v>57821.83</v>
      </c>
      <c r="J7179">
        <v>0</v>
      </c>
    </row>
    <row r="7180" spans="1:10" x14ac:dyDescent="0.35">
      <c r="A7180">
        <v>327165</v>
      </c>
      <c r="B7180" t="s">
        <v>20</v>
      </c>
      <c r="C7180">
        <v>2015</v>
      </c>
      <c r="D7180">
        <v>7</v>
      </c>
      <c r="E7180" t="s">
        <v>7</v>
      </c>
      <c r="F7180" t="s">
        <v>7</v>
      </c>
      <c r="G7180" t="s">
        <v>7</v>
      </c>
      <c r="H7180">
        <v>25491.22</v>
      </c>
      <c r="I7180">
        <v>5735.26</v>
      </c>
      <c r="J7180">
        <v>0</v>
      </c>
    </row>
    <row r="7181" spans="1:10" x14ac:dyDescent="0.35">
      <c r="A7181">
        <v>327171</v>
      </c>
      <c r="B7181" t="s">
        <v>20</v>
      </c>
      <c r="C7181">
        <v>2015</v>
      </c>
      <c r="D7181">
        <v>7</v>
      </c>
      <c r="E7181" t="s">
        <v>7</v>
      </c>
      <c r="F7181" t="s">
        <v>7</v>
      </c>
      <c r="G7181" t="s">
        <v>7</v>
      </c>
      <c r="H7181">
        <v>35240.36</v>
      </c>
      <c r="I7181">
        <v>8672.27</v>
      </c>
      <c r="J7181">
        <v>0</v>
      </c>
    </row>
    <row r="7182" spans="1:10" x14ac:dyDescent="0.35">
      <c r="A7182">
        <v>327172</v>
      </c>
      <c r="B7182" t="s">
        <v>20</v>
      </c>
      <c r="C7182">
        <v>2015</v>
      </c>
      <c r="D7182">
        <v>7</v>
      </c>
      <c r="E7182" t="s">
        <v>7</v>
      </c>
      <c r="F7182" t="s">
        <v>7</v>
      </c>
      <c r="G7182" t="s">
        <v>7</v>
      </c>
      <c r="H7182">
        <v>10986.82</v>
      </c>
      <c r="I7182">
        <v>2533.21</v>
      </c>
      <c r="J7182">
        <v>0</v>
      </c>
    </row>
    <row r="7183" spans="1:10" x14ac:dyDescent="0.35">
      <c r="A7183">
        <v>327174</v>
      </c>
      <c r="B7183" t="s">
        <v>20</v>
      </c>
      <c r="C7183">
        <v>2015</v>
      </c>
      <c r="D7183">
        <v>7</v>
      </c>
      <c r="E7183" t="s">
        <v>7</v>
      </c>
      <c r="F7183" t="s">
        <v>7</v>
      </c>
      <c r="G7183" t="s">
        <v>7</v>
      </c>
      <c r="H7183">
        <v>13713.96</v>
      </c>
      <c r="I7183">
        <v>4093.92</v>
      </c>
      <c r="J7183">
        <v>0</v>
      </c>
    </row>
    <row r="7184" spans="1:10" x14ac:dyDescent="0.35">
      <c r="A7184">
        <v>327175</v>
      </c>
      <c r="B7184" t="s">
        <v>20</v>
      </c>
      <c r="C7184">
        <v>2015</v>
      </c>
      <c r="D7184">
        <v>7</v>
      </c>
      <c r="E7184" t="s">
        <v>7</v>
      </c>
      <c r="F7184" t="s">
        <v>7</v>
      </c>
      <c r="G7184" t="s">
        <v>7</v>
      </c>
      <c r="H7184">
        <v>245617.06</v>
      </c>
      <c r="I7184">
        <v>155150.28</v>
      </c>
      <c r="J7184">
        <v>0</v>
      </c>
    </row>
    <row r="7185" spans="1:10" x14ac:dyDescent="0.35">
      <c r="A7185">
        <v>327178</v>
      </c>
      <c r="B7185" t="s">
        <v>20</v>
      </c>
      <c r="C7185">
        <v>2015</v>
      </c>
      <c r="D7185">
        <v>7</v>
      </c>
      <c r="E7185" t="s">
        <v>7</v>
      </c>
      <c r="F7185" t="s">
        <v>7</v>
      </c>
      <c r="G7185" t="s">
        <v>7</v>
      </c>
      <c r="H7185">
        <v>21698.34</v>
      </c>
      <c r="I7185">
        <v>5413.08</v>
      </c>
      <c r="J7185">
        <v>0</v>
      </c>
    </row>
    <row r="7186" spans="1:10" x14ac:dyDescent="0.35">
      <c r="A7186">
        <v>327184</v>
      </c>
      <c r="B7186" t="s">
        <v>20</v>
      </c>
      <c r="C7186">
        <v>2015</v>
      </c>
      <c r="D7186">
        <v>7</v>
      </c>
      <c r="E7186" t="s">
        <v>7</v>
      </c>
      <c r="F7186" t="s">
        <v>7</v>
      </c>
      <c r="G7186" t="s">
        <v>7</v>
      </c>
      <c r="H7186">
        <v>57127.42</v>
      </c>
      <c r="I7186">
        <v>27166.14</v>
      </c>
      <c r="J7186">
        <v>0</v>
      </c>
    </row>
    <row r="7187" spans="1:10" x14ac:dyDescent="0.35">
      <c r="A7187">
        <v>327185</v>
      </c>
      <c r="B7187" t="s">
        <v>20</v>
      </c>
      <c r="C7187">
        <v>2015</v>
      </c>
      <c r="D7187">
        <v>7</v>
      </c>
      <c r="E7187" t="s">
        <v>7</v>
      </c>
      <c r="F7187" t="s">
        <v>7</v>
      </c>
      <c r="G7187" t="s">
        <v>7</v>
      </c>
      <c r="H7187">
        <v>19382.38</v>
      </c>
      <c r="I7187">
        <v>5516.08</v>
      </c>
      <c r="J7187">
        <v>0</v>
      </c>
    </row>
    <row r="7188" spans="1:10" x14ac:dyDescent="0.35">
      <c r="A7188">
        <v>327188</v>
      </c>
      <c r="B7188" t="s">
        <v>20</v>
      </c>
      <c r="C7188">
        <v>2015</v>
      </c>
      <c r="D7188">
        <v>7</v>
      </c>
      <c r="E7188" t="s">
        <v>7</v>
      </c>
      <c r="F7188" t="s">
        <v>7</v>
      </c>
      <c r="G7188" t="s">
        <v>7</v>
      </c>
      <c r="H7188">
        <v>47345.66</v>
      </c>
      <c r="I7188">
        <v>13417.48</v>
      </c>
      <c r="J7188">
        <v>0</v>
      </c>
    </row>
    <row r="7189" spans="1:10" x14ac:dyDescent="0.35">
      <c r="A7189">
        <v>327190</v>
      </c>
      <c r="B7189" t="s">
        <v>20</v>
      </c>
      <c r="C7189">
        <v>2015</v>
      </c>
      <c r="D7189">
        <v>7</v>
      </c>
      <c r="E7189" t="s">
        <v>7</v>
      </c>
      <c r="F7189" t="s">
        <v>7</v>
      </c>
      <c r="G7189" t="s">
        <v>7</v>
      </c>
      <c r="H7189">
        <v>25126.36</v>
      </c>
      <c r="I7189">
        <v>7746.27</v>
      </c>
      <c r="J7189">
        <v>0</v>
      </c>
    </row>
    <row r="7190" spans="1:10" x14ac:dyDescent="0.35">
      <c r="A7190">
        <v>327191</v>
      </c>
      <c r="B7190" t="s">
        <v>20</v>
      </c>
      <c r="C7190">
        <v>2015</v>
      </c>
      <c r="D7190">
        <v>7</v>
      </c>
      <c r="E7190" t="s">
        <v>7</v>
      </c>
      <c r="F7190" t="s">
        <v>7</v>
      </c>
      <c r="G7190" t="s">
        <v>7</v>
      </c>
      <c r="H7190">
        <v>62563.26</v>
      </c>
      <c r="I7190">
        <v>18371.43</v>
      </c>
      <c r="J7190">
        <v>0</v>
      </c>
    </row>
    <row r="7191" spans="1:10" x14ac:dyDescent="0.35">
      <c r="A7191">
        <v>327199</v>
      </c>
      <c r="B7191" t="s">
        <v>20</v>
      </c>
      <c r="C7191">
        <v>2015</v>
      </c>
      <c r="D7191">
        <v>7</v>
      </c>
      <c r="E7191" t="s">
        <v>7</v>
      </c>
      <c r="F7191" t="s">
        <v>7</v>
      </c>
      <c r="G7191" t="s">
        <v>7</v>
      </c>
      <c r="H7191">
        <v>32605.94</v>
      </c>
      <c r="I7191">
        <v>9241.8799999999992</v>
      </c>
      <c r="J7191">
        <v>0</v>
      </c>
    </row>
    <row r="7192" spans="1:10" x14ac:dyDescent="0.35">
      <c r="A7192">
        <v>327202</v>
      </c>
      <c r="B7192" t="s">
        <v>20</v>
      </c>
      <c r="C7192">
        <v>2015</v>
      </c>
      <c r="D7192">
        <v>7</v>
      </c>
      <c r="E7192" t="s">
        <v>7</v>
      </c>
      <c r="F7192" t="s">
        <v>7</v>
      </c>
      <c r="G7192" t="s">
        <v>7</v>
      </c>
      <c r="H7192">
        <v>17293.22</v>
      </c>
      <c r="I7192">
        <v>4450.71</v>
      </c>
      <c r="J7192">
        <v>0</v>
      </c>
    </row>
    <row r="7193" spans="1:10" x14ac:dyDescent="0.35">
      <c r="A7193">
        <v>327205</v>
      </c>
      <c r="B7193" t="s">
        <v>20</v>
      </c>
      <c r="C7193">
        <v>2015</v>
      </c>
      <c r="D7193">
        <v>7</v>
      </c>
      <c r="E7193" t="s">
        <v>7</v>
      </c>
      <c r="F7193" t="s">
        <v>7</v>
      </c>
      <c r="G7193" t="s">
        <v>7</v>
      </c>
      <c r="H7193">
        <v>15950.2</v>
      </c>
      <c r="I7193">
        <v>4354.72</v>
      </c>
      <c r="J7193">
        <v>0</v>
      </c>
    </row>
    <row r="7194" spans="1:10" x14ac:dyDescent="0.35">
      <c r="A7194">
        <v>327208</v>
      </c>
      <c r="B7194" t="s">
        <v>20</v>
      </c>
      <c r="C7194">
        <v>2015</v>
      </c>
      <c r="D7194">
        <v>7</v>
      </c>
      <c r="E7194" t="s">
        <v>7</v>
      </c>
      <c r="F7194" t="s">
        <v>7</v>
      </c>
      <c r="G7194" t="s">
        <v>7</v>
      </c>
      <c r="H7194">
        <v>58838.28</v>
      </c>
      <c r="I7194">
        <v>31399.57</v>
      </c>
      <c r="J7194">
        <v>0</v>
      </c>
    </row>
    <row r="7195" spans="1:10" x14ac:dyDescent="0.35">
      <c r="A7195">
        <v>327210</v>
      </c>
      <c r="B7195" t="s">
        <v>20</v>
      </c>
      <c r="C7195">
        <v>2015</v>
      </c>
      <c r="D7195">
        <v>7</v>
      </c>
      <c r="E7195" t="s">
        <v>7</v>
      </c>
      <c r="F7195" t="s">
        <v>7</v>
      </c>
      <c r="G7195" t="s">
        <v>7</v>
      </c>
      <c r="H7195">
        <v>37687.9</v>
      </c>
      <c r="I7195">
        <v>11591.14</v>
      </c>
      <c r="J7195">
        <v>0</v>
      </c>
    </row>
    <row r="7196" spans="1:10" x14ac:dyDescent="0.35">
      <c r="A7196">
        <v>327212</v>
      </c>
      <c r="B7196" t="s">
        <v>20</v>
      </c>
      <c r="C7196">
        <v>2015</v>
      </c>
      <c r="D7196">
        <v>7</v>
      </c>
      <c r="E7196" t="s">
        <v>7</v>
      </c>
      <c r="F7196" t="s">
        <v>7</v>
      </c>
      <c r="G7196" t="s">
        <v>7</v>
      </c>
      <c r="H7196">
        <v>29801.360000000001</v>
      </c>
      <c r="I7196">
        <v>9028.23</v>
      </c>
      <c r="J7196">
        <v>0</v>
      </c>
    </row>
    <row r="7197" spans="1:10" x14ac:dyDescent="0.35">
      <c r="A7197">
        <v>327214</v>
      </c>
      <c r="B7197" t="s">
        <v>20</v>
      </c>
      <c r="C7197">
        <v>2015</v>
      </c>
      <c r="D7197">
        <v>7</v>
      </c>
      <c r="E7197" t="s">
        <v>7</v>
      </c>
      <c r="F7197" t="s">
        <v>7</v>
      </c>
      <c r="G7197" t="s">
        <v>7</v>
      </c>
      <c r="H7197">
        <v>8906.0400000000009</v>
      </c>
      <c r="I7197">
        <v>2459.9899999999998</v>
      </c>
      <c r="J7197">
        <v>0</v>
      </c>
    </row>
    <row r="7198" spans="1:10" x14ac:dyDescent="0.35">
      <c r="A7198">
        <v>327219</v>
      </c>
      <c r="B7198" t="s">
        <v>20</v>
      </c>
      <c r="C7198">
        <v>2015</v>
      </c>
      <c r="D7198">
        <v>7</v>
      </c>
      <c r="E7198" t="s">
        <v>7</v>
      </c>
      <c r="F7198" t="s">
        <v>7</v>
      </c>
      <c r="G7198" t="s">
        <v>7</v>
      </c>
      <c r="H7198">
        <v>10648.22</v>
      </c>
      <c r="I7198">
        <v>2722.47</v>
      </c>
      <c r="J7198">
        <v>0</v>
      </c>
    </row>
    <row r="7199" spans="1:10" x14ac:dyDescent="0.35">
      <c r="A7199">
        <v>327220</v>
      </c>
      <c r="B7199" t="s">
        <v>20</v>
      </c>
      <c r="C7199">
        <v>2015</v>
      </c>
      <c r="D7199">
        <v>7</v>
      </c>
      <c r="E7199" t="s">
        <v>7</v>
      </c>
      <c r="F7199" t="s">
        <v>7</v>
      </c>
      <c r="G7199" t="s">
        <v>7</v>
      </c>
      <c r="H7199">
        <v>24574.240000000002</v>
      </c>
      <c r="I7199">
        <v>7610.89</v>
      </c>
      <c r="J7199">
        <v>0</v>
      </c>
    </row>
    <row r="7200" spans="1:10" x14ac:dyDescent="0.35">
      <c r="A7200">
        <v>327221</v>
      </c>
      <c r="B7200" t="s">
        <v>20</v>
      </c>
      <c r="C7200">
        <v>2015</v>
      </c>
      <c r="D7200">
        <v>7</v>
      </c>
      <c r="E7200" t="s">
        <v>7</v>
      </c>
      <c r="F7200" t="s">
        <v>7</v>
      </c>
      <c r="G7200" t="s">
        <v>7</v>
      </c>
      <c r="H7200">
        <v>62307.8</v>
      </c>
      <c r="I7200">
        <v>26199.46</v>
      </c>
      <c r="J7200">
        <v>0</v>
      </c>
    </row>
    <row r="7201" spans="1:10" x14ac:dyDescent="0.35">
      <c r="A7201">
        <v>327223</v>
      </c>
      <c r="B7201" t="s">
        <v>20</v>
      </c>
      <c r="C7201">
        <v>2015</v>
      </c>
      <c r="D7201">
        <v>7</v>
      </c>
      <c r="E7201" t="s">
        <v>7</v>
      </c>
      <c r="F7201" t="s">
        <v>7</v>
      </c>
      <c r="G7201" t="s">
        <v>7</v>
      </c>
      <c r="H7201">
        <v>36307.919999999998</v>
      </c>
      <c r="I7201">
        <v>16547.89</v>
      </c>
      <c r="J7201">
        <v>0</v>
      </c>
    </row>
    <row r="7202" spans="1:10" x14ac:dyDescent="0.35">
      <c r="A7202">
        <v>327227</v>
      </c>
      <c r="B7202" t="s">
        <v>20</v>
      </c>
      <c r="C7202">
        <v>2015</v>
      </c>
      <c r="D7202">
        <v>7</v>
      </c>
      <c r="E7202" t="s">
        <v>7</v>
      </c>
      <c r="F7202" t="s">
        <v>7</v>
      </c>
      <c r="G7202" t="s">
        <v>7</v>
      </c>
      <c r="H7202">
        <v>19370.98</v>
      </c>
      <c r="I7202">
        <v>4954.24</v>
      </c>
      <c r="J7202">
        <v>0</v>
      </c>
    </row>
    <row r="7203" spans="1:10" x14ac:dyDescent="0.35">
      <c r="A7203">
        <v>327229</v>
      </c>
      <c r="B7203" t="s">
        <v>20</v>
      </c>
      <c r="C7203">
        <v>2015</v>
      </c>
      <c r="D7203">
        <v>7</v>
      </c>
      <c r="E7203" t="s">
        <v>7</v>
      </c>
      <c r="F7203" t="s">
        <v>7</v>
      </c>
      <c r="G7203" t="s">
        <v>7</v>
      </c>
      <c r="H7203">
        <v>24940.36</v>
      </c>
      <c r="I7203">
        <v>6870.46</v>
      </c>
      <c r="J7203">
        <v>0</v>
      </c>
    </row>
    <row r="7204" spans="1:10" x14ac:dyDescent="0.35">
      <c r="A7204">
        <v>327230</v>
      </c>
      <c r="B7204" t="s">
        <v>20</v>
      </c>
      <c r="C7204">
        <v>2015</v>
      </c>
      <c r="D7204">
        <v>7</v>
      </c>
      <c r="E7204" t="s">
        <v>7</v>
      </c>
      <c r="F7204" t="s">
        <v>7</v>
      </c>
      <c r="G7204" t="s">
        <v>7</v>
      </c>
      <c r="H7204">
        <v>14406.08</v>
      </c>
      <c r="I7204">
        <v>2864.9</v>
      </c>
      <c r="J7204">
        <v>0</v>
      </c>
    </row>
    <row r="7205" spans="1:10" x14ac:dyDescent="0.35">
      <c r="A7205">
        <v>327232</v>
      </c>
      <c r="B7205" t="s">
        <v>20</v>
      </c>
      <c r="C7205">
        <v>2015</v>
      </c>
      <c r="D7205">
        <v>7</v>
      </c>
      <c r="E7205" t="s">
        <v>7</v>
      </c>
      <c r="F7205" t="s">
        <v>7</v>
      </c>
      <c r="G7205" t="s">
        <v>7</v>
      </c>
      <c r="H7205">
        <v>32602</v>
      </c>
      <c r="I7205">
        <v>9050.6200000000008</v>
      </c>
      <c r="J7205">
        <v>0</v>
      </c>
    </row>
    <row r="7206" spans="1:10" x14ac:dyDescent="0.35">
      <c r="A7206">
        <v>327233</v>
      </c>
      <c r="B7206" t="s">
        <v>20</v>
      </c>
      <c r="C7206">
        <v>2015</v>
      </c>
      <c r="D7206">
        <v>7</v>
      </c>
      <c r="E7206" t="s">
        <v>7</v>
      </c>
      <c r="F7206" t="s">
        <v>7</v>
      </c>
      <c r="G7206" t="s">
        <v>7</v>
      </c>
      <c r="H7206">
        <v>9965.8799999999992</v>
      </c>
      <c r="I7206">
        <v>2555.91</v>
      </c>
      <c r="J7206">
        <v>0</v>
      </c>
    </row>
    <row r="7207" spans="1:10" x14ac:dyDescent="0.35">
      <c r="A7207">
        <v>327237</v>
      </c>
      <c r="B7207" t="s">
        <v>20</v>
      </c>
      <c r="C7207">
        <v>2015</v>
      </c>
      <c r="D7207">
        <v>7</v>
      </c>
      <c r="E7207" t="s">
        <v>7</v>
      </c>
      <c r="F7207" t="s">
        <v>7</v>
      </c>
      <c r="G7207" t="s">
        <v>7</v>
      </c>
      <c r="H7207">
        <v>8928.36</v>
      </c>
      <c r="I7207">
        <v>2284.1999999999998</v>
      </c>
      <c r="J7207">
        <v>0</v>
      </c>
    </row>
    <row r="7208" spans="1:10" x14ac:dyDescent="0.35">
      <c r="A7208">
        <v>327241</v>
      </c>
      <c r="B7208" t="s">
        <v>20</v>
      </c>
      <c r="C7208">
        <v>2015</v>
      </c>
      <c r="D7208">
        <v>7</v>
      </c>
      <c r="E7208" t="s">
        <v>7</v>
      </c>
      <c r="F7208" t="s">
        <v>7</v>
      </c>
      <c r="G7208" t="s">
        <v>7</v>
      </c>
      <c r="H7208">
        <v>38374.9</v>
      </c>
      <c r="I7208">
        <v>11675</v>
      </c>
      <c r="J7208">
        <v>0</v>
      </c>
    </row>
    <row r="7209" spans="1:10" x14ac:dyDescent="0.35">
      <c r="A7209">
        <v>327243</v>
      </c>
      <c r="B7209" t="s">
        <v>20</v>
      </c>
      <c r="C7209">
        <v>2015</v>
      </c>
      <c r="D7209">
        <v>7</v>
      </c>
      <c r="E7209" t="s">
        <v>7</v>
      </c>
      <c r="F7209" t="s">
        <v>7</v>
      </c>
      <c r="G7209" t="s">
        <v>7</v>
      </c>
      <c r="H7209">
        <v>34624.68</v>
      </c>
      <c r="I7209">
        <v>15476.22</v>
      </c>
      <c r="J7209">
        <v>0</v>
      </c>
    </row>
    <row r="7210" spans="1:10" x14ac:dyDescent="0.35">
      <c r="A7210">
        <v>327247</v>
      </c>
      <c r="B7210" t="s">
        <v>20</v>
      </c>
      <c r="C7210">
        <v>2015</v>
      </c>
      <c r="D7210">
        <v>7</v>
      </c>
      <c r="E7210" t="s">
        <v>7</v>
      </c>
      <c r="F7210" t="s">
        <v>7</v>
      </c>
      <c r="G7210" t="s">
        <v>7</v>
      </c>
      <c r="H7210">
        <v>24403.06</v>
      </c>
      <c r="I7210">
        <v>6217.56</v>
      </c>
      <c r="J7210">
        <v>0</v>
      </c>
    </row>
    <row r="7211" spans="1:10" x14ac:dyDescent="0.35">
      <c r="A7211">
        <v>327249</v>
      </c>
      <c r="B7211" t="s">
        <v>20</v>
      </c>
      <c r="C7211">
        <v>2015</v>
      </c>
      <c r="D7211">
        <v>7</v>
      </c>
      <c r="E7211" t="s">
        <v>7</v>
      </c>
      <c r="F7211" t="s">
        <v>7</v>
      </c>
      <c r="G7211" t="s">
        <v>7</v>
      </c>
      <c r="H7211">
        <v>20416.740000000002</v>
      </c>
      <c r="I7211">
        <v>5307.58</v>
      </c>
      <c r="J7211">
        <v>0</v>
      </c>
    </row>
    <row r="7212" spans="1:10" x14ac:dyDescent="0.35">
      <c r="A7212">
        <v>327254</v>
      </c>
      <c r="B7212" t="s">
        <v>20</v>
      </c>
      <c r="C7212">
        <v>2015</v>
      </c>
      <c r="D7212">
        <v>7</v>
      </c>
      <c r="E7212" t="s">
        <v>7</v>
      </c>
      <c r="F7212" t="s">
        <v>7</v>
      </c>
      <c r="G7212" t="s">
        <v>7</v>
      </c>
      <c r="H7212">
        <v>61480.92</v>
      </c>
      <c r="I7212">
        <v>26608.76</v>
      </c>
      <c r="J7212">
        <v>0</v>
      </c>
    </row>
    <row r="7213" spans="1:10" x14ac:dyDescent="0.35">
      <c r="A7213">
        <v>327257</v>
      </c>
      <c r="B7213" t="s">
        <v>20</v>
      </c>
      <c r="C7213">
        <v>2015</v>
      </c>
      <c r="D7213">
        <v>7</v>
      </c>
      <c r="E7213" t="s">
        <v>7</v>
      </c>
      <c r="F7213" t="s">
        <v>7</v>
      </c>
      <c r="G7213" t="s">
        <v>7</v>
      </c>
      <c r="H7213">
        <v>21606.84</v>
      </c>
      <c r="I7213">
        <v>6116.59</v>
      </c>
      <c r="J7213">
        <v>0</v>
      </c>
    </row>
    <row r="7214" spans="1:10" x14ac:dyDescent="0.35">
      <c r="A7214">
        <v>327258</v>
      </c>
      <c r="B7214" t="s">
        <v>20</v>
      </c>
      <c r="C7214">
        <v>2015</v>
      </c>
      <c r="D7214">
        <v>7</v>
      </c>
      <c r="E7214" t="s">
        <v>7</v>
      </c>
      <c r="F7214" t="s">
        <v>7</v>
      </c>
      <c r="G7214" t="s">
        <v>7</v>
      </c>
      <c r="H7214">
        <v>11863.16</v>
      </c>
      <c r="I7214">
        <v>3325.99</v>
      </c>
      <c r="J7214">
        <v>0</v>
      </c>
    </row>
    <row r="7215" spans="1:10" x14ac:dyDescent="0.35">
      <c r="A7215">
        <v>327259</v>
      </c>
      <c r="B7215" t="s">
        <v>20</v>
      </c>
      <c r="C7215">
        <v>2015</v>
      </c>
      <c r="D7215">
        <v>7</v>
      </c>
      <c r="E7215" t="s">
        <v>7</v>
      </c>
      <c r="F7215" t="s">
        <v>7</v>
      </c>
      <c r="G7215" t="s">
        <v>7</v>
      </c>
      <c r="H7215">
        <v>26360.880000000001</v>
      </c>
      <c r="I7215">
        <v>7407.45</v>
      </c>
      <c r="J7215">
        <v>0</v>
      </c>
    </row>
    <row r="7216" spans="1:10" x14ac:dyDescent="0.35">
      <c r="A7216">
        <v>327261</v>
      </c>
      <c r="B7216" t="s">
        <v>20</v>
      </c>
      <c r="C7216">
        <v>2015</v>
      </c>
      <c r="D7216">
        <v>7</v>
      </c>
      <c r="E7216" t="s">
        <v>7</v>
      </c>
      <c r="F7216" t="s">
        <v>7</v>
      </c>
      <c r="G7216" t="s">
        <v>7</v>
      </c>
      <c r="H7216">
        <v>65715.42</v>
      </c>
      <c r="I7216">
        <v>18598.61</v>
      </c>
      <c r="J7216">
        <v>0</v>
      </c>
    </row>
    <row r="7217" spans="1:10" x14ac:dyDescent="0.35">
      <c r="A7217">
        <v>327265</v>
      </c>
      <c r="B7217" t="s">
        <v>20</v>
      </c>
      <c r="C7217">
        <v>2015</v>
      </c>
      <c r="D7217">
        <v>7</v>
      </c>
      <c r="E7217" t="s">
        <v>7</v>
      </c>
      <c r="F7217" t="s">
        <v>7</v>
      </c>
      <c r="G7217" t="s">
        <v>7</v>
      </c>
      <c r="H7217">
        <v>10143.32</v>
      </c>
      <c r="I7217">
        <v>2713.92</v>
      </c>
      <c r="J7217">
        <v>0</v>
      </c>
    </row>
    <row r="7218" spans="1:10" x14ac:dyDescent="0.35">
      <c r="A7218">
        <v>327269</v>
      </c>
      <c r="B7218" t="s">
        <v>20</v>
      </c>
      <c r="C7218">
        <v>2015</v>
      </c>
      <c r="D7218">
        <v>7</v>
      </c>
      <c r="E7218" t="s">
        <v>7</v>
      </c>
      <c r="F7218" t="s">
        <v>7</v>
      </c>
      <c r="G7218" t="s">
        <v>7</v>
      </c>
      <c r="H7218">
        <v>14121.56</v>
      </c>
      <c r="I7218">
        <v>4222.3599999999997</v>
      </c>
      <c r="J7218">
        <v>0</v>
      </c>
    </row>
    <row r="7219" spans="1:10" x14ac:dyDescent="0.35">
      <c r="A7219">
        <v>327271</v>
      </c>
      <c r="B7219" t="s">
        <v>20</v>
      </c>
      <c r="C7219">
        <v>2015</v>
      </c>
      <c r="D7219">
        <v>7</v>
      </c>
      <c r="E7219" t="s">
        <v>7</v>
      </c>
      <c r="F7219" t="s">
        <v>7</v>
      </c>
      <c r="G7219" t="s">
        <v>7</v>
      </c>
      <c r="H7219">
        <v>81424.92</v>
      </c>
      <c r="I7219">
        <v>37262.06</v>
      </c>
      <c r="J7219">
        <v>0</v>
      </c>
    </row>
    <row r="7220" spans="1:10" x14ac:dyDescent="0.35">
      <c r="A7220">
        <v>327275</v>
      </c>
      <c r="B7220" t="s">
        <v>20</v>
      </c>
      <c r="C7220">
        <v>2015</v>
      </c>
      <c r="D7220">
        <v>7</v>
      </c>
      <c r="E7220" t="s">
        <v>7</v>
      </c>
      <c r="F7220" t="s">
        <v>7</v>
      </c>
      <c r="G7220" t="s">
        <v>7</v>
      </c>
      <c r="H7220">
        <v>51112.24</v>
      </c>
      <c r="I7220">
        <v>15952.06</v>
      </c>
      <c r="J7220">
        <v>0</v>
      </c>
    </row>
    <row r="7221" spans="1:10" x14ac:dyDescent="0.35">
      <c r="A7221">
        <v>327276</v>
      </c>
      <c r="B7221" t="s">
        <v>20</v>
      </c>
      <c r="C7221">
        <v>2015</v>
      </c>
      <c r="D7221">
        <v>7</v>
      </c>
      <c r="E7221" t="s">
        <v>7</v>
      </c>
      <c r="F7221" t="s">
        <v>7</v>
      </c>
      <c r="G7221" t="s">
        <v>7</v>
      </c>
      <c r="H7221">
        <v>96142.7</v>
      </c>
      <c r="I7221">
        <v>37264.410000000003</v>
      </c>
      <c r="J7221">
        <v>0</v>
      </c>
    </row>
    <row r="7222" spans="1:10" x14ac:dyDescent="0.35">
      <c r="A7222">
        <v>327277</v>
      </c>
      <c r="B7222" t="s">
        <v>20</v>
      </c>
      <c r="C7222">
        <v>2015</v>
      </c>
      <c r="D7222">
        <v>7</v>
      </c>
      <c r="E7222" t="s">
        <v>7</v>
      </c>
      <c r="F7222" t="s">
        <v>7</v>
      </c>
      <c r="G7222" t="s">
        <v>7</v>
      </c>
      <c r="H7222">
        <v>16294.78</v>
      </c>
      <c r="I7222">
        <v>4673.3900000000003</v>
      </c>
      <c r="J7222">
        <v>0</v>
      </c>
    </row>
    <row r="7223" spans="1:10" x14ac:dyDescent="0.35">
      <c r="A7223">
        <v>327280</v>
      </c>
      <c r="B7223" t="s">
        <v>20</v>
      </c>
      <c r="C7223">
        <v>2015</v>
      </c>
      <c r="D7223">
        <v>7</v>
      </c>
      <c r="E7223" t="s">
        <v>7</v>
      </c>
      <c r="F7223" t="s">
        <v>7</v>
      </c>
      <c r="G7223" t="s">
        <v>7</v>
      </c>
      <c r="H7223">
        <v>21917.72</v>
      </c>
      <c r="I7223">
        <v>6429.99</v>
      </c>
      <c r="J7223">
        <v>0</v>
      </c>
    </row>
    <row r="7224" spans="1:10" x14ac:dyDescent="0.35">
      <c r="A7224">
        <v>327282</v>
      </c>
      <c r="B7224" t="s">
        <v>20</v>
      </c>
      <c r="C7224">
        <v>2015</v>
      </c>
      <c r="D7224">
        <v>7</v>
      </c>
      <c r="E7224" t="s">
        <v>7</v>
      </c>
      <c r="F7224" t="s">
        <v>7</v>
      </c>
      <c r="G7224" t="s">
        <v>7</v>
      </c>
      <c r="H7224">
        <v>41395.440000000002</v>
      </c>
      <c r="I7224">
        <v>11760.05</v>
      </c>
      <c r="J7224">
        <v>0</v>
      </c>
    </row>
    <row r="7225" spans="1:10" x14ac:dyDescent="0.35">
      <c r="A7225">
        <v>327285</v>
      </c>
      <c r="B7225" t="s">
        <v>20</v>
      </c>
      <c r="C7225">
        <v>2015</v>
      </c>
      <c r="D7225">
        <v>7</v>
      </c>
      <c r="E7225" t="s">
        <v>7</v>
      </c>
      <c r="F7225" t="s">
        <v>7</v>
      </c>
      <c r="G7225" t="s">
        <v>7</v>
      </c>
      <c r="H7225">
        <v>91121.8</v>
      </c>
      <c r="I7225">
        <v>27712.14</v>
      </c>
      <c r="J7225">
        <v>0</v>
      </c>
    </row>
    <row r="7226" spans="1:10" x14ac:dyDescent="0.35">
      <c r="A7226">
        <v>327287</v>
      </c>
      <c r="B7226" t="s">
        <v>20</v>
      </c>
      <c r="C7226">
        <v>2015</v>
      </c>
      <c r="D7226">
        <v>7</v>
      </c>
      <c r="E7226" t="s">
        <v>7</v>
      </c>
      <c r="F7226" t="s">
        <v>7</v>
      </c>
      <c r="G7226" t="s">
        <v>7</v>
      </c>
      <c r="H7226">
        <v>24952.52</v>
      </c>
      <c r="I7226">
        <v>5623.56</v>
      </c>
      <c r="J7226">
        <v>0</v>
      </c>
    </row>
    <row r="7227" spans="1:10" x14ac:dyDescent="0.35">
      <c r="A7227">
        <v>327288</v>
      </c>
      <c r="B7227" t="s">
        <v>20</v>
      </c>
      <c r="C7227">
        <v>2015</v>
      </c>
      <c r="D7227">
        <v>7</v>
      </c>
      <c r="E7227" t="s">
        <v>7</v>
      </c>
      <c r="F7227" t="s">
        <v>7</v>
      </c>
      <c r="G7227" t="s">
        <v>7</v>
      </c>
      <c r="H7227">
        <v>92031.74</v>
      </c>
      <c r="I7227">
        <v>60750.18</v>
      </c>
      <c r="J7227">
        <v>0</v>
      </c>
    </row>
    <row r="7228" spans="1:10" x14ac:dyDescent="0.35">
      <c r="A7228">
        <v>327290</v>
      </c>
      <c r="B7228" t="s">
        <v>20</v>
      </c>
      <c r="C7228">
        <v>2015</v>
      </c>
      <c r="D7228">
        <v>7</v>
      </c>
      <c r="E7228" t="s">
        <v>7</v>
      </c>
      <c r="F7228" t="s">
        <v>7</v>
      </c>
      <c r="G7228" t="s">
        <v>7</v>
      </c>
      <c r="H7228">
        <v>171403.68</v>
      </c>
      <c r="I7228">
        <v>66536.850000000006</v>
      </c>
      <c r="J7228">
        <v>0</v>
      </c>
    </row>
    <row r="7229" spans="1:10" x14ac:dyDescent="0.35">
      <c r="A7229">
        <v>327292</v>
      </c>
      <c r="B7229" t="s">
        <v>20</v>
      </c>
      <c r="C7229">
        <v>2015</v>
      </c>
      <c r="D7229">
        <v>7</v>
      </c>
      <c r="E7229" t="s">
        <v>7</v>
      </c>
      <c r="F7229" t="s">
        <v>7</v>
      </c>
      <c r="G7229" t="s">
        <v>7</v>
      </c>
      <c r="H7229">
        <v>19865.98</v>
      </c>
      <c r="I7229">
        <v>5096.47</v>
      </c>
      <c r="J7229">
        <v>0</v>
      </c>
    </row>
    <row r="7230" spans="1:10" x14ac:dyDescent="0.35">
      <c r="A7230">
        <v>327294</v>
      </c>
      <c r="B7230" t="s">
        <v>20</v>
      </c>
      <c r="C7230">
        <v>2015</v>
      </c>
      <c r="D7230">
        <v>7</v>
      </c>
      <c r="E7230" t="s">
        <v>7</v>
      </c>
      <c r="F7230" t="s">
        <v>7</v>
      </c>
      <c r="G7230" t="s">
        <v>7</v>
      </c>
      <c r="H7230">
        <v>22081.08</v>
      </c>
      <c r="I7230">
        <v>6447.57</v>
      </c>
      <c r="J7230">
        <v>0</v>
      </c>
    </row>
    <row r="7231" spans="1:10" x14ac:dyDescent="0.35">
      <c r="A7231">
        <v>327296</v>
      </c>
      <c r="B7231" t="s">
        <v>20</v>
      </c>
      <c r="C7231">
        <v>2015</v>
      </c>
      <c r="D7231">
        <v>7</v>
      </c>
      <c r="E7231" t="s">
        <v>7</v>
      </c>
      <c r="F7231" t="s">
        <v>7</v>
      </c>
      <c r="G7231" t="s">
        <v>7</v>
      </c>
      <c r="H7231">
        <v>54221.14</v>
      </c>
      <c r="I7231">
        <v>23950.77</v>
      </c>
      <c r="J7231">
        <v>0</v>
      </c>
    </row>
    <row r="7232" spans="1:10" x14ac:dyDescent="0.35">
      <c r="A7232">
        <v>327298</v>
      </c>
      <c r="B7232" t="s">
        <v>20</v>
      </c>
      <c r="C7232">
        <v>2015</v>
      </c>
      <c r="D7232">
        <v>7</v>
      </c>
      <c r="E7232" t="s">
        <v>7</v>
      </c>
      <c r="F7232" t="s">
        <v>7</v>
      </c>
      <c r="G7232" t="s">
        <v>7</v>
      </c>
      <c r="H7232">
        <v>16531.64</v>
      </c>
      <c r="I7232">
        <v>4289.55</v>
      </c>
      <c r="J7232">
        <v>0</v>
      </c>
    </row>
    <row r="7233" spans="1:10" x14ac:dyDescent="0.35">
      <c r="A7233">
        <v>327300</v>
      </c>
      <c r="B7233" t="s">
        <v>20</v>
      </c>
      <c r="C7233">
        <v>2015</v>
      </c>
      <c r="D7233">
        <v>7</v>
      </c>
      <c r="E7233" t="s">
        <v>7</v>
      </c>
      <c r="F7233" t="s">
        <v>7</v>
      </c>
      <c r="G7233" t="s">
        <v>7</v>
      </c>
      <c r="H7233">
        <v>34726.94</v>
      </c>
      <c r="I7233">
        <v>11122.77</v>
      </c>
      <c r="J7233">
        <v>0</v>
      </c>
    </row>
    <row r="7234" spans="1:10" x14ac:dyDescent="0.35">
      <c r="A7234">
        <v>327303</v>
      </c>
      <c r="B7234" t="s">
        <v>20</v>
      </c>
      <c r="C7234">
        <v>2015</v>
      </c>
      <c r="D7234">
        <v>7</v>
      </c>
      <c r="E7234" t="s">
        <v>7</v>
      </c>
      <c r="F7234" t="s">
        <v>7</v>
      </c>
      <c r="G7234" t="s">
        <v>7</v>
      </c>
      <c r="H7234">
        <v>33973.919999999998</v>
      </c>
      <c r="I7234">
        <v>8156.92</v>
      </c>
      <c r="J7234">
        <v>0</v>
      </c>
    </row>
    <row r="7235" spans="1:10" x14ac:dyDescent="0.35">
      <c r="A7235">
        <v>327307</v>
      </c>
      <c r="B7235" t="s">
        <v>20</v>
      </c>
      <c r="C7235">
        <v>2015</v>
      </c>
      <c r="D7235">
        <v>7</v>
      </c>
      <c r="E7235" t="s">
        <v>7</v>
      </c>
      <c r="F7235" t="s">
        <v>7</v>
      </c>
      <c r="G7235" t="s">
        <v>7</v>
      </c>
      <c r="H7235">
        <v>19353.599999999999</v>
      </c>
      <c r="I7235">
        <v>4802.41</v>
      </c>
      <c r="J7235">
        <v>0</v>
      </c>
    </row>
    <row r="7236" spans="1:10" x14ac:dyDescent="0.35">
      <c r="A7236">
        <v>327310</v>
      </c>
      <c r="B7236" t="s">
        <v>20</v>
      </c>
      <c r="C7236">
        <v>2015</v>
      </c>
      <c r="D7236">
        <v>7</v>
      </c>
      <c r="E7236" t="s">
        <v>7</v>
      </c>
      <c r="F7236" t="s">
        <v>7</v>
      </c>
      <c r="G7236" t="s">
        <v>7</v>
      </c>
      <c r="H7236">
        <v>19702.28</v>
      </c>
      <c r="I7236">
        <v>5581.86</v>
      </c>
      <c r="J7236">
        <v>0</v>
      </c>
    </row>
    <row r="7237" spans="1:10" x14ac:dyDescent="0.35">
      <c r="A7237">
        <v>327311</v>
      </c>
      <c r="B7237" t="s">
        <v>20</v>
      </c>
      <c r="C7237">
        <v>2015</v>
      </c>
      <c r="D7237">
        <v>7</v>
      </c>
      <c r="E7237" t="s">
        <v>7</v>
      </c>
      <c r="F7237" t="s">
        <v>7</v>
      </c>
      <c r="G7237" t="s">
        <v>7</v>
      </c>
      <c r="H7237">
        <v>26600.959999999999</v>
      </c>
      <c r="I7237">
        <v>7718.98</v>
      </c>
      <c r="J7237">
        <v>0</v>
      </c>
    </row>
    <row r="7238" spans="1:10" x14ac:dyDescent="0.35">
      <c r="A7238">
        <v>327313</v>
      </c>
      <c r="B7238" t="s">
        <v>20</v>
      </c>
      <c r="C7238">
        <v>2015</v>
      </c>
      <c r="D7238">
        <v>7</v>
      </c>
      <c r="E7238" t="s">
        <v>7</v>
      </c>
      <c r="F7238" t="s">
        <v>7</v>
      </c>
      <c r="G7238" t="s">
        <v>7</v>
      </c>
      <c r="H7238">
        <v>26216.52</v>
      </c>
      <c r="I7238">
        <v>8238.8700000000008</v>
      </c>
      <c r="J7238">
        <v>0</v>
      </c>
    </row>
    <row r="7239" spans="1:10" x14ac:dyDescent="0.35">
      <c r="A7239">
        <v>327316</v>
      </c>
      <c r="B7239" t="s">
        <v>20</v>
      </c>
      <c r="C7239">
        <v>2015</v>
      </c>
      <c r="D7239">
        <v>7</v>
      </c>
      <c r="E7239" t="s">
        <v>7</v>
      </c>
      <c r="F7239" t="s">
        <v>7</v>
      </c>
      <c r="G7239" t="s">
        <v>7</v>
      </c>
      <c r="H7239">
        <v>26414.959999999999</v>
      </c>
      <c r="I7239">
        <v>14530.27</v>
      </c>
      <c r="J7239">
        <v>0</v>
      </c>
    </row>
    <row r="7240" spans="1:10" x14ac:dyDescent="0.35">
      <c r="A7240">
        <v>327321</v>
      </c>
      <c r="B7240" t="s">
        <v>20</v>
      </c>
      <c r="C7240">
        <v>2015</v>
      </c>
      <c r="D7240">
        <v>7</v>
      </c>
      <c r="E7240" t="s">
        <v>7</v>
      </c>
      <c r="F7240" t="s">
        <v>7</v>
      </c>
      <c r="G7240" t="s">
        <v>7</v>
      </c>
      <c r="H7240">
        <v>72943.72</v>
      </c>
      <c r="I7240">
        <v>46755.13</v>
      </c>
      <c r="J7240">
        <v>0</v>
      </c>
    </row>
    <row r="7241" spans="1:10" x14ac:dyDescent="0.35">
      <c r="A7241">
        <v>327325</v>
      </c>
      <c r="B7241" t="s">
        <v>20</v>
      </c>
      <c r="C7241">
        <v>2015</v>
      </c>
      <c r="D7241">
        <v>7</v>
      </c>
      <c r="E7241" t="s">
        <v>7</v>
      </c>
      <c r="F7241" t="s">
        <v>7</v>
      </c>
      <c r="G7241" t="s">
        <v>7</v>
      </c>
      <c r="H7241">
        <v>42064.98</v>
      </c>
      <c r="I7241">
        <v>12536.53</v>
      </c>
      <c r="J7241">
        <v>0</v>
      </c>
    </row>
    <row r="7242" spans="1:10" x14ac:dyDescent="0.35">
      <c r="A7242">
        <v>327326</v>
      </c>
      <c r="B7242" t="s">
        <v>20</v>
      </c>
      <c r="C7242">
        <v>2015</v>
      </c>
      <c r="D7242">
        <v>7</v>
      </c>
      <c r="E7242" t="s">
        <v>7</v>
      </c>
      <c r="F7242" t="s">
        <v>7</v>
      </c>
      <c r="G7242" t="s">
        <v>7</v>
      </c>
      <c r="H7242">
        <v>43510.26</v>
      </c>
      <c r="I7242">
        <v>9077.2099999999991</v>
      </c>
      <c r="J7242">
        <v>0</v>
      </c>
    </row>
    <row r="7243" spans="1:10" x14ac:dyDescent="0.35">
      <c r="A7243">
        <v>327327</v>
      </c>
      <c r="B7243" t="s">
        <v>20</v>
      </c>
      <c r="C7243">
        <v>2015</v>
      </c>
      <c r="D7243">
        <v>7</v>
      </c>
      <c r="E7243" t="s">
        <v>7</v>
      </c>
      <c r="F7243" t="s">
        <v>7</v>
      </c>
      <c r="G7243" t="s">
        <v>7</v>
      </c>
      <c r="H7243">
        <v>9779.08</v>
      </c>
      <c r="I7243">
        <v>2590.7600000000002</v>
      </c>
      <c r="J7243">
        <v>0</v>
      </c>
    </row>
    <row r="7244" spans="1:10" x14ac:dyDescent="0.35">
      <c r="A7244">
        <v>327333</v>
      </c>
      <c r="B7244" t="s">
        <v>20</v>
      </c>
      <c r="C7244">
        <v>2015</v>
      </c>
      <c r="D7244">
        <v>7</v>
      </c>
      <c r="E7244" t="s">
        <v>7</v>
      </c>
      <c r="F7244" t="s">
        <v>7</v>
      </c>
      <c r="G7244" t="s">
        <v>7</v>
      </c>
      <c r="H7244">
        <v>24534.44</v>
      </c>
      <c r="I7244">
        <v>6731.37</v>
      </c>
      <c r="J7244">
        <v>0</v>
      </c>
    </row>
    <row r="7245" spans="1:10" x14ac:dyDescent="0.35">
      <c r="A7245">
        <v>327334</v>
      </c>
      <c r="B7245" t="s">
        <v>20</v>
      </c>
      <c r="C7245">
        <v>2015</v>
      </c>
      <c r="D7245">
        <v>7</v>
      </c>
      <c r="E7245" t="s">
        <v>7</v>
      </c>
      <c r="F7245" t="s">
        <v>7</v>
      </c>
      <c r="G7245" t="s">
        <v>7</v>
      </c>
      <c r="H7245">
        <v>58225.24</v>
      </c>
      <c r="I7245">
        <v>16429.439999999999</v>
      </c>
      <c r="J7245">
        <v>0</v>
      </c>
    </row>
    <row r="7246" spans="1:10" x14ac:dyDescent="0.35">
      <c r="A7246">
        <v>327335</v>
      </c>
      <c r="B7246" t="s">
        <v>20</v>
      </c>
      <c r="C7246">
        <v>2015</v>
      </c>
      <c r="D7246">
        <v>7</v>
      </c>
      <c r="E7246" t="s">
        <v>7</v>
      </c>
      <c r="F7246" t="s">
        <v>7</v>
      </c>
      <c r="G7246" t="s">
        <v>7</v>
      </c>
      <c r="H7246">
        <v>51942.559999999998</v>
      </c>
      <c r="I7246">
        <v>10960.88</v>
      </c>
      <c r="J7246">
        <v>0</v>
      </c>
    </row>
    <row r="7247" spans="1:10" x14ac:dyDescent="0.35">
      <c r="A7247">
        <v>327336</v>
      </c>
      <c r="B7247" t="s">
        <v>20</v>
      </c>
      <c r="C7247">
        <v>2015</v>
      </c>
      <c r="D7247">
        <v>7</v>
      </c>
      <c r="E7247" t="s">
        <v>7</v>
      </c>
      <c r="F7247" t="s">
        <v>7</v>
      </c>
      <c r="G7247" t="s">
        <v>7</v>
      </c>
      <c r="H7247">
        <v>39583.980000000003</v>
      </c>
      <c r="I7247">
        <v>18621.43</v>
      </c>
      <c r="J7247">
        <v>0</v>
      </c>
    </row>
    <row r="7248" spans="1:10" x14ac:dyDescent="0.35">
      <c r="A7248">
        <v>327345</v>
      </c>
      <c r="B7248" t="s">
        <v>20</v>
      </c>
      <c r="C7248">
        <v>2015</v>
      </c>
      <c r="D7248">
        <v>7</v>
      </c>
      <c r="E7248" t="s">
        <v>7</v>
      </c>
      <c r="F7248" t="s">
        <v>7</v>
      </c>
      <c r="G7248" t="s">
        <v>7</v>
      </c>
      <c r="H7248">
        <v>10141</v>
      </c>
      <c r="I7248">
        <v>3090.69</v>
      </c>
      <c r="J7248">
        <v>0</v>
      </c>
    </row>
    <row r="7249" spans="1:10" x14ac:dyDescent="0.35">
      <c r="A7249">
        <v>327346</v>
      </c>
      <c r="B7249" t="s">
        <v>20</v>
      </c>
      <c r="C7249">
        <v>2015</v>
      </c>
      <c r="D7249">
        <v>7</v>
      </c>
      <c r="E7249" t="s">
        <v>7</v>
      </c>
      <c r="F7249" t="s">
        <v>7</v>
      </c>
      <c r="G7249" t="s">
        <v>7</v>
      </c>
      <c r="H7249">
        <v>38994.959999999999</v>
      </c>
      <c r="I7249">
        <v>18686.29</v>
      </c>
      <c r="J7249">
        <v>0</v>
      </c>
    </row>
    <row r="7250" spans="1:10" x14ac:dyDescent="0.35">
      <c r="A7250">
        <v>327351</v>
      </c>
      <c r="B7250" t="s">
        <v>20</v>
      </c>
      <c r="C7250">
        <v>2015</v>
      </c>
      <c r="D7250">
        <v>7</v>
      </c>
      <c r="E7250" t="s">
        <v>7</v>
      </c>
      <c r="F7250" t="s">
        <v>7</v>
      </c>
      <c r="G7250" t="s">
        <v>7</v>
      </c>
      <c r="H7250">
        <v>26046.5</v>
      </c>
      <c r="I7250">
        <v>5984.08</v>
      </c>
      <c r="J7250">
        <v>0</v>
      </c>
    </row>
    <row r="7251" spans="1:10" x14ac:dyDescent="0.35">
      <c r="A7251">
        <v>327353</v>
      </c>
      <c r="B7251" t="s">
        <v>20</v>
      </c>
      <c r="C7251">
        <v>2015</v>
      </c>
      <c r="D7251">
        <v>7</v>
      </c>
      <c r="E7251" t="s">
        <v>7</v>
      </c>
      <c r="F7251" t="s">
        <v>7</v>
      </c>
      <c r="G7251" t="s">
        <v>7</v>
      </c>
      <c r="H7251">
        <v>28965</v>
      </c>
      <c r="I7251">
        <v>8224.31</v>
      </c>
      <c r="J7251">
        <v>0</v>
      </c>
    </row>
    <row r="7252" spans="1:10" x14ac:dyDescent="0.35">
      <c r="A7252">
        <v>327356</v>
      </c>
      <c r="B7252" t="s">
        <v>20</v>
      </c>
      <c r="C7252">
        <v>2015</v>
      </c>
      <c r="D7252">
        <v>7</v>
      </c>
      <c r="E7252" t="s">
        <v>7</v>
      </c>
      <c r="F7252" t="s">
        <v>7</v>
      </c>
      <c r="G7252" t="s">
        <v>7</v>
      </c>
      <c r="H7252">
        <v>32867.160000000003</v>
      </c>
      <c r="I7252">
        <v>9453.42</v>
      </c>
      <c r="J7252">
        <v>0</v>
      </c>
    </row>
    <row r="7253" spans="1:10" x14ac:dyDescent="0.35">
      <c r="A7253">
        <v>327357</v>
      </c>
      <c r="B7253" t="s">
        <v>20</v>
      </c>
      <c r="C7253">
        <v>2015</v>
      </c>
      <c r="D7253">
        <v>7</v>
      </c>
      <c r="E7253" t="s">
        <v>7</v>
      </c>
      <c r="F7253" t="s">
        <v>7</v>
      </c>
      <c r="G7253" t="s">
        <v>7</v>
      </c>
      <c r="H7253">
        <v>138149.5</v>
      </c>
      <c r="I7253">
        <v>88630.98</v>
      </c>
      <c r="J7253">
        <v>0</v>
      </c>
    </row>
    <row r="7254" spans="1:10" x14ac:dyDescent="0.35">
      <c r="A7254">
        <v>327358</v>
      </c>
      <c r="B7254" t="s">
        <v>20</v>
      </c>
      <c r="C7254">
        <v>2015</v>
      </c>
      <c r="D7254">
        <v>7</v>
      </c>
      <c r="E7254" t="s">
        <v>7</v>
      </c>
      <c r="F7254" t="s">
        <v>7</v>
      </c>
      <c r="G7254" t="s">
        <v>7</v>
      </c>
      <c r="H7254">
        <v>23297.040000000001</v>
      </c>
      <c r="I7254">
        <v>14475.37</v>
      </c>
      <c r="J7254">
        <v>0</v>
      </c>
    </row>
    <row r="7255" spans="1:10" x14ac:dyDescent="0.35">
      <c r="A7255">
        <v>327364</v>
      </c>
      <c r="B7255" t="s">
        <v>20</v>
      </c>
      <c r="C7255">
        <v>2015</v>
      </c>
      <c r="D7255">
        <v>7</v>
      </c>
      <c r="E7255" t="s">
        <v>7</v>
      </c>
      <c r="F7255" t="s">
        <v>7</v>
      </c>
      <c r="G7255" t="s">
        <v>7</v>
      </c>
      <c r="H7255">
        <v>69802.06</v>
      </c>
      <c r="I7255">
        <v>20416.63</v>
      </c>
      <c r="J7255">
        <v>0</v>
      </c>
    </row>
    <row r="7256" spans="1:10" x14ac:dyDescent="0.35">
      <c r="A7256">
        <v>327366</v>
      </c>
      <c r="B7256" t="s">
        <v>20</v>
      </c>
      <c r="C7256">
        <v>2015</v>
      </c>
      <c r="D7256">
        <v>7</v>
      </c>
      <c r="E7256" t="s">
        <v>7</v>
      </c>
      <c r="F7256" t="s">
        <v>7</v>
      </c>
      <c r="G7256" t="s">
        <v>7</v>
      </c>
      <c r="H7256">
        <v>22367.3</v>
      </c>
      <c r="I7256">
        <v>6730.97</v>
      </c>
      <c r="J7256">
        <v>0</v>
      </c>
    </row>
    <row r="7257" spans="1:10" x14ac:dyDescent="0.35">
      <c r="A7257">
        <v>327368</v>
      </c>
      <c r="B7257" t="s">
        <v>20</v>
      </c>
      <c r="C7257">
        <v>2015</v>
      </c>
      <c r="D7257">
        <v>7</v>
      </c>
      <c r="E7257" t="s">
        <v>7</v>
      </c>
      <c r="F7257" t="s">
        <v>7</v>
      </c>
      <c r="G7257" t="s">
        <v>7</v>
      </c>
      <c r="H7257">
        <v>10292.620000000001</v>
      </c>
      <c r="I7257">
        <v>2578.9</v>
      </c>
      <c r="J7257">
        <v>0</v>
      </c>
    </row>
    <row r="7258" spans="1:10" x14ac:dyDescent="0.35">
      <c r="A7258">
        <v>327369</v>
      </c>
      <c r="B7258" t="s">
        <v>20</v>
      </c>
      <c r="C7258">
        <v>2015</v>
      </c>
      <c r="D7258">
        <v>7</v>
      </c>
      <c r="E7258" t="s">
        <v>7</v>
      </c>
      <c r="F7258" t="s">
        <v>7</v>
      </c>
      <c r="G7258" t="s">
        <v>7</v>
      </c>
      <c r="H7258">
        <v>29165.96</v>
      </c>
      <c r="I7258">
        <v>8865.86</v>
      </c>
      <c r="J7258">
        <v>0</v>
      </c>
    </row>
    <row r="7259" spans="1:10" x14ac:dyDescent="0.35">
      <c r="A7259">
        <v>327371</v>
      </c>
      <c r="B7259" t="s">
        <v>20</v>
      </c>
      <c r="C7259">
        <v>2015</v>
      </c>
      <c r="D7259">
        <v>7</v>
      </c>
      <c r="E7259" t="s">
        <v>7</v>
      </c>
      <c r="F7259" t="s">
        <v>7</v>
      </c>
      <c r="G7259" t="s">
        <v>7</v>
      </c>
      <c r="H7259">
        <v>61402.9</v>
      </c>
      <c r="I7259">
        <v>19300.77</v>
      </c>
      <c r="J7259">
        <v>0</v>
      </c>
    </row>
    <row r="7260" spans="1:10" x14ac:dyDescent="0.35">
      <c r="A7260">
        <v>327374</v>
      </c>
      <c r="B7260" t="s">
        <v>20</v>
      </c>
      <c r="C7260">
        <v>2015</v>
      </c>
      <c r="D7260">
        <v>7</v>
      </c>
      <c r="E7260" t="s">
        <v>7</v>
      </c>
      <c r="F7260" t="s">
        <v>7</v>
      </c>
      <c r="G7260" t="s">
        <v>7</v>
      </c>
      <c r="H7260">
        <v>47500.44</v>
      </c>
      <c r="I7260">
        <v>16900.45</v>
      </c>
      <c r="J7260">
        <v>0</v>
      </c>
    </row>
    <row r="7261" spans="1:10" x14ac:dyDescent="0.35">
      <c r="A7261">
        <v>327381</v>
      </c>
      <c r="B7261" t="s">
        <v>20</v>
      </c>
      <c r="C7261">
        <v>2015</v>
      </c>
      <c r="D7261">
        <v>7</v>
      </c>
      <c r="E7261" t="s">
        <v>7</v>
      </c>
      <c r="F7261" t="s">
        <v>7</v>
      </c>
      <c r="G7261" t="s">
        <v>7</v>
      </c>
      <c r="H7261">
        <v>25428.9</v>
      </c>
      <c r="I7261">
        <v>5052.76</v>
      </c>
      <c r="J7261">
        <v>0</v>
      </c>
    </row>
    <row r="7262" spans="1:10" x14ac:dyDescent="0.35">
      <c r="A7262">
        <v>327383</v>
      </c>
      <c r="B7262" t="s">
        <v>20</v>
      </c>
      <c r="C7262">
        <v>2015</v>
      </c>
      <c r="D7262">
        <v>7</v>
      </c>
      <c r="E7262" t="s">
        <v>7</v>
      </c>
      <c r="F7262" t="s">
        <v>7</v>
      </c>
      <c r="G7262" t="s">
        <v>7</v>
      </c>
      <c r="H7262">
        <v>14246.92</v>
      </c>
      <c r="I7262">
        <v>4223.9799999999996</v>
      </c>
      <c r="J7262">
        <v>0</v>
      </c>
    </row>
    <row r="7263" spans="1:10" x14ac:dyDescent="0.35">
      <c r="A7263">
        <v>327387</v>
      </c>
      <c r="B7263" t="s">
        <v>20</v>
      </c>
      <c r="C7263">
        <v>2015</v>
      </c>
      <c r="D7263">
        <v>7</v>
      </c>
      <c r="E7263" t="s">
        <v>7</v>
      </c>
      <c r="F7263" t="s">
        <v>7</v>
      </c>
      <c r="G7263" t="s">
        <v>7</v>
      </c>
      <c r="H7263">
        <v>13239.02</v>
      </c>
      <c r="I7263">
        <v>2950.52</v>
      </c>
      <c r="J7263">
        <v>0</v>
      </c>
    </row>
    <row r="7264" spans="1:10" x14ac:dyDescent="0.35">
      <c r="A7264">
        <v>327388</v>
      </c>
      <c r="B7264" t="s">
        <v>20</v>
      </c>
      <c r="C7264">
        <v>2015</v>
      </c>
      <c r="D7264">
        <v>7</v>
      </c>
      <c r="E7264" t="s">
        <v>7</v>
      </c>
      <c r="F7264" t="s">
        <v>7</v>
      </c>
      <c r="G7264" t="s">
        <v>7</v>
      </c>
      <c r="H7264">
        <v>75854.52</v>
      </c>
      <c r="I7264">
        <v>34852.620000000003</v>
      </c>
      <c r="J7264">
        <v>0</v>
      </c>
    </row>
    <row r="7265" spans="1:10" x14ac:dyDescent="0.35">
      <c r="A7265">
        <v>327391</v>
      </c>
      <c r="B7265" t="s">
        <v>20</v>
      </c>
      <c r="C7265">
        <v>2015</v>
      </c>
      <c r="D7265">
        <v>7</v>
      </c>
      <c r="E7265" t="s">
        <v>7</v>
      </c>
      <c r="F7265" t="s">
        <v>7</v>
      </c>
      <c r="G7265" t="s">
        <v>7</v>
      </c>
      <c r="H7265">
        <v>27847.42</v>
      </c>
      <c r="I7265">
        <v>6901.91</v>
      </c>
      <c r="J7265">
        <v>0</v>
      </c>
    </row>
    <row r="7266" spans="1:10" x14ac:dyDescent="0.35">
      <c r="A7266">
        <v>327397</v>
      </c>
      <c r="B7266" t="s">
        <v>20</v>
      </c>
      <c r="C7266">
        <v>2015</v>
      </c>
      <c r="D7266">
        <v>7</v>
      </c>
      <c r="E7266" t="s">
        <v>7</v>
      </c>
      <c r="F7266" t="s">
        <v>7</v>
      </c>
      <c r="G7266" t="s">
        <v>7</v>
      </c>
      <c r="H7266">
        <v>12570.48</v>
      </c>
      <c r="I7266">
        <v>3445.5</v>
      </c>
      <c r="J7266">
        <v>0</v>
      </c>
    </row>
    <row r="7267" spans="1:10" x14ac:dyDescent="0.35">
      <c r="A7267">
        <v>327398</v>
      </c>
      <c r="B7267" t="s">
        <v>20</v>
      </c>
      <c r="C7267">
        <v>2015</v>
      </c>
      <c r="D7267">
        <v>7</v>
      </c>
      <c r="E7267" t="s">
        <v>7</v>
      </c>
      <c r="F7267" t="s">
        <v>7</v>
      </c>
      <c r="G7267" t="s">
        <v>7</v>
      </c>
      <c r="H7267">
        <v>109653.04</v>
      </c>
      <c r="I7267">
        <v>35152.03</v>
      </c>
      <c r="J7267">
        <v>0</v>
      </c>
    </row>
    <row r="7268" spans="1:10" x14ac:dyDescent="0.35">
      <c r="A7268">
        <v>327399</v>
      </c>
      <c r="B7268" t="s">
        <v>20</v>
      </c>
      <c r="C7268">
        <v>2015</v>
      </c>
      <c r="D7268">
        <v>7</v>
      </c>
      <c r="E7268" t="s">
        <v>7</v>
      </c>
      <c r="F7268" t="s">
        <v>7</v>
      </c>
      <c r="G7268" t="s">
        <v>7</v>
      </c>
      <c r="H7268">
        <v>34804.019999999997</v>
      </c>
      <c r="I7268">
        <v>9135.9500000000007</v>
      </c>
      <c r="J7268">
        <v>0</v>
      </c>
    </row>
    <row r="7269" spans="1:10" x14ac:dyDescent="0.35">
      <c r="A7269">
        <v>327401</v>
      </c>
      <c r="B7269" t="s">
        <v>20</v>
      </c>
      <c r="C7269">
        <v>2015</v>
      </c>
      <c r="D7269">
        <v>7</v>
      </c>
      <c r="E7269" t="s">
        <v>7</v>
      </c>
      <c r="F7269" t="s">
        <v>7</v>
      </c>
      <c r="G7269" t="s">
        <v>7</v>
      </c>
      <c r="H7269">
        <v>31617.54</v>
      </c>
      <c r="I7269">
        <v>9538.85</v>
      </c>
      <c r="J7269">
        <v>0</v>
      </c>
    </row>
    <row r="7270" spans="1:10" x14ac:dyDescent="0.35">
      <c r="A7270">
        <v>327404</v>
      </c>
      <c r="B7270" t="s">
        <v>20</v>
      </c>
      <c r="C7270">
        <v>2015</v>
      </c>
      <c r="D7270">
        <v>7</v>
      </c>
      <c r="E7270" t="s">
        <v>7</v>
      </c>
      <c r="F7270" t="s">
        <v>7</v>
      </c>
      <c r="G7270" t="s">
        <v>7</v>
      </c>
      <c r="H7270">
        <v>117194.08</v>
      </c>
      <c r="I7270">
        <v>71496.350000000006</v>
      </c>
      <c r="J7270">
        <v>0</v>
      </c>
    </row>
    <row r="7271" spans="1:10" x14ac:dyDescent="0.35">
      <c r="A7271">
        <v>327406</v>
      </c>
      <c r="B7271" t="s">
        <v>20</v>
      </c>
      <c r="C7271">
        <v>2015</v>
      </c>
      <c r="D7271">
        <v>7</v>
      </c>
      <c r="E7271" t="s">
        <v>7</v>
      </c>
      <c r="F7271" t="s">
        <v>7</v>
      </c>
      <c r="G7271" t="s">
        <v>7</v>
      </c>
      <c r="H7271">
        <v>124264.86</v>
      </c>
      <c r="I7271">
        <v>38168.03</v>
      </c>
      <c r="J7271">
        <v>0</v>
      </c>
    </row>
    <row r="7272" spans="1:10" x14ac:dyDescent="0.35">
      <c r="A7272">
        <v>327410</v>
      </c>
      <c r="B7272" t="s">
        <v>20</v>
      </c>
      <c r="C7272">
        <v>2015</v>
      </c>
      <c r="D7272">
        <v>7</v>
      </c>
      <c r="E7272" t="s">
        <v>7</v>
      </c>
      <c r="F7272" t="s">
        <v>7</v>
      </c>
      <c r="G7272" t="s">
        <v>7</v>
      </c>
      <c r="H7272">
        <v>48446.84</v>
      </c>
      <c r="I7272">
        <v>15294.33</v>
      </c>
      <c r="J7272">
        <v>0</v>
      </c>
    </row>
    <row r="7273" spans="1:10" x14ac:dyDescent="0.35">
      <c r="A7273">
        <v>327411</v>
      </c>
      <c r="B7273" t="s">
        <v>20</v>
      </c>
      <c r="C7273">
        <v>2015</v>
      </c>
      <c r="D7273">
        <v>7</v>
      </c>
      <c r="E7273" t="s">
        <v>7</v>
      </c>
      <c r="F7273" t="s">
        <v>7</v>
      </c>
      <c r="G7273" t="s">
        <v>7</v>
      </c>
      <c r="H7273">
        <v>60888.9</v>
      </c>
      <c r="I7273">
        <v>36976.75</v>
      </c>
      <c r="J7273">
        <v>0</v>
      </c>
    </row>
    <row r="7274" spans="1:10" x14ac:dyDescent="0.35">
      <c r="A7274">
        <v>327413</v>
      </c>
      <c r="B7274" t="s">
        <v>20</v>
      </c>
      <c r="C7274">
        <v>2015</v>
      </c>
      <c r="D7274">
        <v>7</v>
      </c>
      <c r="E7274" t="s">
        <v>7</v>
      </c>
      <c r="F7274" t="s">
        <v>7</v>
      </c>
      <c r="G7274" t="s">
        <v>7</v>
      </c>
      <c r="H7274">
        <v>64495.839999999997</v>
      </c>
      <c r="I7274">
        <v>30606.1</v>
      </c>
      <c r="J7274">
        <v>0</v>
      </c>
    </row>
    <row r="7275" spans="1:10" x14ac:dyDescent="0.35">
      <c r="A7275">
        <v>327414</v>
      </c>
      <c r="B7275" t="s">
        <v>20</v>
      </c>
      <c r="C7275">
        <v>2015</v>
      </c>
      <c r="D7275">
        <v>7</v>
      </c>
      <c r="E7275" t="s">
        <v>7</v>
      </c>
      <c r="F7275" t="s">
        <v>7</v>
      </c>
      <c r="G7275" t="s">
        <v>7</v>
      </c>
      <c r="H7275">
        <v>25489.74</v>
      </c>
      <c r="I7275">
        <v>7362.5</v>
      </c>
      <c r="J7275">
        <v>0</v>
      </c>
    </row>
    <row r="7276" spans="1:10" x14ac:dyDescent="0.35">
      <c r="A7276">
        <v>327417</v>
      </c>
      <c r="B7276" t="s">
        <v>20</v>
      </c>
      <c r="C7276">
        <v>2015</v>
      </c>
      <c r="D7276">
        <v>7</v>
      </c>
      <c r="E7276" t="s">
        <v>7</v>
      </c>
      <c r="F7276" t="s">
        <v>7</v>
      </c>
      <c r="G7276" t="s">
        <v>7</v>
      </c>
      <c r="H7276">
        <v>20817.82</v>
      </c>
      <c r="I7276">
        <v>6025.13</v>
      </c>
      <c r="J7276">
        <v>0</v>
      </c>
    </row>
    <row r="7277" spans="1:10" x14ac:dyDescent="0.35">
      <c r="A7277">
        <v>327419</v>
      </c>
      <c r="B7277" t="s">
        <v>20</v>
      </c>
      <c r="C7277">
        <v>2015</v>
      </c>
      <c r="D7277">
        <v>7</v>
      </c>
      <c r="E7277" t="s">
        <v>7</v>
      </c>
      <c r="F7277" t="s">
        <v>7</v>
      </c>
      <c r="G7277" t="s">
        <v>7</v>
      </c>
      <c r="H7277">
        <v>34047.1</v>
      </c>
      <c r="I7277">
        <v>6670.58</v>
      </c>
      <c r="J7277">
        <v>0</v>
      </c>
    </row>
    <row r="7278" spans="1:10" x14ac:dyDescent="0.35">
      <c r="A7278">
        <v>327420</v>
      </c>
      <c r="B7278" t="s">
        <v>20</v>
      </c>
      <c r="C7278">
        <v>2015</v>
      </c>
      <c r="D7278">
        <v>7</v>
      </c>
      <c r="E7278" t="s">
        <v>7</v>
      </c>
      <c r="F7278" t="s">
        <v>7</v>
      </c>
      <c r="G7278" t="s">
        <v>7</v>
      </c>
      <c r="H7278">
        <v>22544.74</v>
      </c>
      <c r="I7278">
        <v>6632.55</v>
      </c>
      <c r="J7278">
        <v>0</v>
      </c>
    </row>
    <row r="7279" spans="1:10" x14ac:dyDescent="0.35">
      <c r="A7279">
        <v>327421</v>
      </c>
      <c r="B7279" t="s">
        <v>20</v>
      </c>
      <c r="C7279">
        <v>2015</v>
      </c>
      <c r="D7279">
        <v>7</v>
      </c>
      <c r="E7279" t="s">
        <v>7</v>
      </c>
      <c r="F7279" t="s">
        <v>7</v>
      </c>
      <c r="G7279" t="s">
        <v>7</v>
      </c>
      <c r="H7279">
        <v>36627.9</v>
      </c>
      <c r="I7279">
        <v>11608.06</v>
      </c>
      <c r="J7279">
        <v>0</v>
      </c>
    </row>
    <row r="7280" spans="1:10" x14ac:dyDescent="0.35">
      <c r="A7280">
        <v>327423</v>
      </c>
      <c r="B7280" t="s">
        <v>20</v>
      </c>
      <c r="C7280">
        <v>2015</v>
      </c>
      <c r="D7280">
        <v>7</v>
      </c>
      <c r="E7280" t="s">
        <v>7</v>
      </c>
      <c r="F7280" t="s">
        <v>7</v>
      </c>
      <c r="G7280" t="s">
        <v>7</v>
      </c>
      <c r="H7280">
        <v>86551.08</v>
      </c>
      <c r="I7280">
        <v>36744.519999999997</v>
      </c>
      <c r="J7280">
        <v>0</v>
      </c>
    </row>
    <row r="7281" spans="1:10" x14ac:dyDescent="0.35">
      <c r="A7281">
        <v>327424</v>
      </c>
      <c r="B7281" t="s">
        <v>20</v>
      </c>
      <c r="C7281">
        <v>2015</v>
      </c>
      <c r="D7281">
        <v>7</v>
      </c>
      <c r="E7281" t="s">
        <v>7</v>
      </c>
      <c r="F7281" t="s">
        <v>7</v>
      </c>
      <c r="G7281" t="s">
        <v>7</v>
      </c>
      <c r="H7281">
        <v>39980.639999999999</v>
      </c>
      <c r="I7281">
        <v>12633.8</v>
      </c>
      <c r="J7281">
        <v>0</v>
      </c>
    </row>
    <row r="7282" spans="1:10" x14ac:dyDescent="0.35">
      <c r="A7282">
        <v>327426</v>
      </c>
      <c r="B7282" t="s">
        <v>20</v>
      </c>
      <c r="C7282">
        <v>2015</v>
      </c>
      <c r="D7282">
        <v>7</v>
      </c>
      <c r="E7282" t="s">
        <v>7</v>
      </c>
      <c r="F7282" t="s">
        <v>7</v>
      </c>
      <c r="G7282" t="s">
        <v>7</v>
      </c>
      <c r="H7282">
        <v>91880.46</v>
      </c>
      <c r="I7282">
        <v>45698.98</v>
      </c>
      <c r="J7282">
        <v>0</v>
      </c>
    </row>
    <row r="7283" spans="1:10" x14ac:dyDescent="0.35">
      <c r="A7283">
        <v>327427</v>
      </c>
      <c r="B7283" t="s">
        <v>20</v>
      </c>
      <c r="C7283">
        <v>2015</v>
      </c>
      <c r="D7283">
        <v>7</v>
      </c>
      <c r="E7283" t="s">
        <v>7</v>
      </c>
      <c r="F7283" t="s">
        <v>7</v>
      </c>
      <c r="G7283" t="s">
        <v>7</v>
      </c>
      <c r="H7283">
        <v>18200.48</v>
      </c>
      <c r="I7283">
        <v>4804.63</v>
      </c>
      <c r="J7283">
        <v>0</v>
      </c>
    </row>
    <row r="7284" spans="1:10" x14ac:dyDescent="0.35">
      <c r="A7284">
        <v>327432</v>
      </c>
      <c r="B7284" t="s">
        <v>20</v>
      </c>
      <c r="C7284">
        <v>2015</v>
      </c>
      <c r="D7284">
        <v>7</v>
      </c>
      <c r="E7284" t="s">
        <v>7</v>
      </c>
      <c r="F7284" t="s">
        <v>7</v>
      </c>
      <c r="G7284" t="s">
        <v>7</v>
      </c>
      <c r="H7284">
        <v>35034.559999999998</v>
      </c>
      <c r="I7284">
        <v>9459.82</v>
      </c>
      <c r="J7284">
        <v>0</v>
      </c>
    </row>
    <row r="7285" spans="1:10" x14ac:dyDescent="0.35">
      <c r="A7285">
        <v>327434</v>
      </c>
      <c r="B7285" t="s">
        <v>20</v>
      </c>
      <c r="C7285">
        <v>2015</v>
      </c>
      <c r="D7285">
        <v>7</v>
      </c>
      <c r="E7285" t="s">
        <v>7</v>
      </c>
      <c r="F7285" t="s">
        <v>7</v>
      </c>
      <c r="G7285" t="s">
        <v>7</v>
      </c>
      <c r="H7285">
        <v>35675.519999999997</v>
      </c>
      <c r="I7285">
        <v>9298.91</v>
      </c>
      <c r="J7285">
        <v>0</v>
      </c>
    </row>
    <row r="7286" spans="1:10" x14ac:dyDescent="0.35">
      <c r="A7286">
        <v>327436</v>
      </c>
      <c r="B7286" t="s">
        <v>20</v>
      </c>
      <c r="C7286">
        <v>2015</v>
      </c>
      <c r="D7286">
        <v>7</v>
      </c>
      <c r="E7286" t="s">
        <v>7</v>
      </c>
      <c r="F7286" t="s">
        <v>7</v>
      </c>
      <c r="G7286" t="s">
        <v>7</v>
      </c>
      <c r="H7286">
        <v>62207.74</v>
      </c>
      <c r="I7286">
        <v>26097.62</v>
      </c>
      <c r="J7286">
        <v>0</v>
      </c>
    </row>
    <row r="7287" spans="1:10" x14ac:dyDescent="0.35">
      <c r="A7287">
        <v>327440</v>
      </c>
      <c r="B7287" t="s">
        <v>20</v>
      </c>
      <c r="C7287">
        <v>2015</v>
      </c>
      <c r="D7287">
        <v>7</v>
      </c>
      <c r="E7287" t="s">
        <v>7</v>
      </c>
      <c r="F7287" t="s">
        <v>7</v>
      </c>
      <c r="G7287" t="s">
        <v>7</v>
      </c>
      <c r="H7287">
        <v>19329.3</v>
      </c>
      <c r="I7287">
        <v>4576.17</v>
      </c>
      <c r="J7287">
        <v>0</v>
      </c>
    </row>
    <row r="7288" spans="1:10" x14ac:dyDescent="0.35">
      <c r="A7288">
        <v>327441</v>
      </c>
      <c r="B7288" t="s">
        <v>20</v>
      </c>
      <c r="C7288">
        <v>2015</v>
      </c>
      <c r="D7288">
        <v>7</v>
      </c>
      <c r="E7288" t="s">
        <v>7</v>
      </c>
      <c r="F7288" t="s">
        <v>7</v>
      </c>
      <c r="G7288" t="s">
        <v>7</v>
      </c>
      <c r="H7288">
        <v>11069.72</v>
      </c>
      <c r="I7288">
        <v>3174.5</v>
      </c>
      <c r="J7288">
        <v>0</v>
      </c>
    </row>
    <row r="7289" spans="1:10" x14ac:dyDescent="0.35">
      <c r="A7289">
        <v>327444</v>
      </c>
      <c r="B7289" t="s">
        <v>20</v>
      </c>
      <c r="C7289">
        <v>2015</v>
      </c>
      <c r="D7289">
        <v>7</v>
      </c>
      <c r="E7289" t="s">
        <v>7</v>
      </c>
      <c r="F7289" t="s">
        <v>7</v>
      </c>
      <c r="G7289" t="s">
        <v>7</v>
      </c>
      <c r="H7289">
        <v>29433.02</v>
      </c>
      <c r="I7289">
        <v>8808</v>
      </c>
      <c r="J7289">
        <v>0</v>
      </c>
    </row>
    <row r="7290" spans="1:10" x14ac:dyDescent="0.35">
      <c r="A7290">
        <v>327445</v>
      </c>
      <c r="B7290" t="s">
        <v>20</v>
      </c>
      <c r="C7290">
        <v>2015</v>
      </c>
      <c r="D7290">
        <v>7</v>
      </c>
      <c r="E7290" t="s">
        <v>7</v>
      </c>
      <c r="F7290" t="s">
        <v>7</v>
      </c>
      <c r="G7290" t="s">
        <v>7</v>
      </c>
      <c r="H7290">
        <v>42597</v>
      </c>
      <c r="I7290">
        <v>12584.64</v>
      </c>
      <c r="J7290">
        <v>0</v>
      </c>
    </row>
    <row r="7291" spans="1:10" x14ac:dyDescent="0.35">
      <c r="A7291">
        <v>327448</v>
      </c>
      <c r="B7291" t="s">
        <v>20</v>
      </c>
      <c r="C7291">
        <v>2015</v>
      </c>
      <c r="D7291">
        <v>7</v>
      </c>
      <c r="E7291" t="s">
        <v>7</v>
      </c>
      <c r="F7291" t="s">
        <v>7</v>
      </c>
      <c r="G7291" t="s">
        <v>7</v>
      </c>
      <c r="H7291">
        <v>21710.94</v>
      </c>
      <c r="I7291">
        <v>5710.06</v>
      </c>
      <c r="J7291">
        <v>0</v>
      </c>
    </row>
    <row r="7292" spans="1:10" x14ac:dyDescent="0.35">
      <c r="A7292">
        <v>327450</v>
      </c>
      <c r="B7292" t="s">
        <v>20</v>
      </c>
      <c r="C7292">
        <v>2015</v>
      </c>
      <c r="D7292">
        <v>7</v>
      </c>
      <c r="E7292" t="s">
        <v>7</v>
      </c>
      <c r="F7292" t="s">
        <v>7</v>
      </c>
      <c r="G7292" t="s">
        <v>7</v>
      </c>
      <c r="H7292">
        <v>73393.88</v>
      </c>
      <c r="I7292">
        <v>20488.939999999999</v>
      </c>
      <c r="J7292">
        <v>0</v>
      </c>
    </row>
    <row r="7293" spans="1:10" x14ac:dyDescent="0.35">
      <c r="A7293">
        <v>327451</v>
      </c>
      <c r="B7293" t="s">
        <v>20</v>
      </c>
      <c r="C7293">
        <v>2015</v>
      </c>
      <c r="D7293">
        <v>7</v>
      </c>
      <c r="E7293" t="s">
        <v>7</v>
      </c>
      <c r="F7293" t="s">
        <v>7</v>
      </c>
      <c r="G7293" t="s">
        <v>7</v>
      </c>
      <c r="H7293">
        <v>12468.6</v>
      </c>
      <c r="I7293">
        <v>2976.13</v>
      </c>
      <c r="J7293">
        <v>0</v>
      </c>
    </row>
    <row r="7294" spans="1:10" x14ac:dyDescent="0.35">
      <c r="A7294">
        <v>327454</v>
      </c>
      <c r="B7294" t="s">
        <v>20</v>
      </c>
      <c r="C7294">
        <v>2015</v>
      </c>
      <c r="D7294">
        <v>7</v>
      </c>
      <c r="E7294" t="s">
        <v>7</v>
      </c>
      <c r="F7294" t="s">
        <v>7</v>
      </c>
      <c r="G7294" t="s">
        <v>7</v>
      </c>
      <c r="H7294">
        <v>87772.78</v>
      </c>
      <c r="I7294">
        <v>60908.77</v>
      </c>
      <c r="J7294">
        <v>0</v>
      </c>
    </row>
    <row r="7295" spans="1:10" x14ac:dyDescent="0.35">
      <c r="A7295">
        <v>327456</v>
      </c>
      <c r="B7295" t="s">
        <v>20</v>
      </c>
      <c r="C7295">
        <v>2015</v>
      </c>
      <c r="D7295">
        <v>7</v>
      </c>
      <c r="E7295" t="s">
        <v>7</v>
      </c>
      <c r="F7295" t="s">
        <v>7</v>
      </c>
      <c r="G7295" t="s">
        <v>7</v>
      </c>
      <c r="H7295">
        <v>45087.44</v>
      </c>
      <c r="I7295">
        <v>14191.4</v>
      </c>
      <c r="J7295">
        <v>0</v>
      </c>
    </row>
    <row r="7296" spans="1:10" x14ac:dyDescent="0.35">
      <c r="A7296">
        <v>327458</v>
      </c>
      <c r="B7296" t="s">
        <v>20</v>
      </c>
      <c r="C7296">
        <v>2015</v>
      </c>
      <c r="D7296">
        <v>7</v>
      </c>
      <c r="E7296" t="s">
        <v>7</v>
      </c>
      <c r="F7296" t="s">
        <v>7</v>
      </c>
      <c r="G7296" t="s">
        <v>7</v>
      </c>
      <c r="H7296">
        <v>55915.42</v>
      </c>
      <c r="I7296">
        <v>18015.21</v>
      </c>
      <c r="J7296">
        <v>0</v>
      </c>
    </row>
    <row r="7297" spans="1:10" x14ac:dyDescent="0.35">
      <c r="A7297">
        <v>327459</v>
      </c>
      <c r="B7297" t="s">
        <v>20</v>
      </c>
      <c r="C7297">
        <v>2015</v>
      </c>
      <c r="D7297">
        <v>7</v>
      </c>
      <c r="E7297" t="s">
        <v>7</v>
      </c>
      <c r="F7297" t="s">
        <v>7</v>
      </c>
      <c r="G7297" t="s">
        <v>7</v>
      </c>
      <c r="H7297">
        <v>35587.760000000002</v>
      </c>
      <c r="I7297">
        <v>9991.7000000000007</v>
      </c>
      <c r="J7297">
        <v>0</v>
      </c>
    </row>
    <row r="7298" spans="1:10" x14ac:dyDescent="0.35">
      <c r="A7298">
        <v>327463</v>
      </c>
      <c r="B7298" t="s">
        <v>20</v>
      </c>
      <c r="C7298">
        <v>2015</v>
      </c>
      <c r="D7298">
        <v>7</v>
      </c>
      <c r="E7298" t="s">
        <v>7</v>
      </c>
      <c r="F7298" t="s">
        <v>7</v>
      </c>
      <c r="G7298" t="s">
        <v>7</v>
      </c>
      <c r="H7298">
        <v>53379.48</v>
      </c>
      <c r="I7298">
        <v>39285.19</v>
      </c>
      <c r="J7298">
        <v>0</v>
      </c>
    </row>
    <row r="7299" spans="1:10" x14ac:dyDescent="0.35">
      <c r="A7299">
        <v>327466</v>
      </c>
      <c r="B7299" t="s">
        <v>20</v>
      </c>
      <c r="C7299">
        <v>2015</v>
      </c>
      <c r="D7299">
        <v>7</v>
      </c>
      <c r="E7299" t="s">
        <v>7</v>
      </c>
      <c r="F7299" t="s">
        <v>7</v>
      </c>
      <c r="G7299" t="s">
        <v>7</v>
      </c>
      <c r="H7299">
        <v>29854.42</v>
      </c>
      <c r="I7299">
        <v>7604.59</v>
      </c>
      <c r="J7299">
        <v>0</v>
      </c>
    </row>
    <row r="7300" spans="1:10" x14ac:dyDescent="0.35">
      <c r="A7300">
        <v>327467</v>
      </c>
      <c r="B7300" t="s">
        <v>20</v>
      </c>
      <c r="C7300">
        <v>2015</v>
      </c>
      <c r="D7300">
        <v>7</v>
      </c>
      <c r="E7300" t="s">
        <v>7</v>
      </c>
      <c r="F7300" t="s">
        <v>7</v>
      </c>
      <c r="G7300" t="s">
        <v>7</v>
      </c>
      <c r="H7300">
        <v>41262.120000000003</v>
      </c>
      <c r="I7300">
        <v>12623.33</v>
      </c>
      <c r="J7300">
        <v>0</v>
      </c>
    </row>
    <row r="7301" spans="1:10" x14ac:dyDescent="0.35">
      <c r="A7301">
        <v>327469</v>
      </c>
      <c r="B7301" t="s">
        <v>20</v>
      </c>
      <c r="C7301">
        <v>2015</v>
      </c>
      <c r="D7301">
        <v>7</v>
      </c>
      <c r="E7301" t="s">
        <v>7</v>
      </c>
      <c r="F7301" t="s">
        <v>7</v>
      </c>
      <c r="G7301" t="s">
        <v>7</v>
      </c>
      <c r="H7301">
        <v>41600.78</v>
      </c>
      <c r="I7301">
        <v>10855.83</v>
      </c>
      <c r="J7301">
        <v>0</v>
      </c>
    </row>
    <row r="7302" spans="1:10" x14ac:dyDescent="0.35">
      <c r="A7302">
        <v>327471</v>
      </c>
      <c r="B7302" t="s">
        <v>20</v>
      </c>
      <c r="C7302">
        <v>2015</v>
      </c>
      <c r="D7302">
        <v>7</v>
      </c>
      <c r="E7302" t="s">
        <v>7</v>
      </c>
      <c r="F7302" t="s">
        <v>7</v>
      </c>
      <c r="G7302" t="s">
        <v>7</v>
      </c>
      <c r="H7302">
        <v>19760.400000000001</v>
      </c>
      <c r="I7302">
        <v>5078.88</v>
      </c>
      <c r="J7302">
        <v>0</v>
      </c>
    </row>
    <row r="7303" spans="1:10" x14ac:dyDescent="0.35">
      <c r="A7303">
        <v>327472</v>
      </c>
      <c r="B7303" t="s">
        <v>20</v>
      </c>
      <c r="C7303">
        <v>2015</v>
      </c>
      <c r="D7303">
        <v>7</v>
      </c>
      <c r="E7303" t="s">
        <v>7</v>
      </c>
      <c r="F7303" t="s">
        <v>7</v>
      </c>
      <c r="G7303" t="s">
        <v>7</v>
      </c>
      <c r="H7303">
        <v>38102.28</v>
      </c>
      <c r="I7303">
        <v>11288.01</v>
      </c>
      <c r="J7303">
        <v>0</v>
      </c>
    </row>
    <row r="7304" spans="1:10" x14ac:dyDescent="0.35">
      <c r="A7304">
        <v>327473</v>
      </c>
      <c r="B7304" t="s">
        <v>20</v>
      </c>
      <c r="C7304">
        <v>2015</v>
      </c>
      <c r="D7304">
        <v>7</v>
      </c>
      <c r="E7304" t="s">
        <v>7</v>
      </c>
      <c r="F7304" t="s">
        <v>7</v>
      </c>
      <c r="G7304" t="s">
        <v>7</v>
      </c>
      <c r="H7304">
        <v>31057.24</v>
      </c>
      <c r="I7304">
        <v>9757.7099999999991</v>
      </c>
      <c r="J7304">
        <v>0</v>
      </c>
    </row>
    <row r="7305" spans="1:10" x14ac:dyDescent="0.35">
      <c r="A7305">
        <v>327474</v>
      </c>
      <c r="B7305" t="s">
        <v>20</v>
      </c>
      <c r="C7305">
        <v>2015</v>
      </c>
      <c r="D7305">
        <v>7</v>
      </c>
      <c r="E7305" t="s">
        <v>7</v>
      </c>
      <c r="F7305" t="s">
        <v>7</v>
      </c>
      <c r="G7305" t="s">
        <v>7</v>
      </c>
      <c r="H7305">
        <v>23514.240000000002</v>
      </c>
      <c r="I7305">
        <v>7063.14</v>
      </c>
      <c r="J7305">
        <v>0</v>
      </c>
    </row>
    <row r="7306" spans="1:10" x14ac:dyDescent="0.35">
      <c r="A7306">
        <v>327478</v>
      </c>
      <c r="B7306" t="s">
        <v>20</v>
      </c>
      <c r="C7306">
        <v>2015</v>
      </c>
      <c r="D7306">
        <v>7</v>
      </c>
      <c r="E7306" t="s">
        <v>7</v>
      </c>
      <c r="F7306" t="s">
        <v>7</v>
      </c>
      <c r="G7306" t="s">
        <v>7</v>
      </c>
      <c r="H7306">
        <v>34459.919999999998</v>
      </c>
      <c r="I7306">
        <v>10557.69</v>
      </c>
      <c r="J7306">
        <v>0</v>
      </c>
    </row>
    <row r="7307" spans="1:10" x14ac:dyDescent="0.35">
      <c r="A7307">
        <v>327479</v>
      </c>
      <c r="B7307" t="s">
        <v>20</v>
      </c>
      <c r="C7307">
        <v>2015</v>
      </c>
      <c r="D7307">
        <v>7</v>
      </c>
      <c r="E7307" t="s">
        <v>7</v>
      </c>
      <c r="F7307" t="s">
        <v>7</v>
      </c>
      <c r="G7307" t="s">
        <v>7</v>
      </c>
      <c r="H7307">
        <v>19585.32</v>
      </c>
      <c r="I7307">
        <v>6026.04</v>
      </c>
      <c r="J7307">
        <v>0</v>
      </c>
    </row>
    <row r="7308" spans="1:10" x14ac:dyDescent="0.35">
      <c r="A7308">
        <v>327480</v>
      </c>
      <c r="B7308" t="s">
        <v>20</v>
      </c>
      <c r="C7308">
        <v>2015</v>
      </c>
      <c r="D7308">
        <v>7</v>
      </c>
      <c r="E7308" t="s">
        <v>7</v>
      </c>
      <c r="F7308" t="s">
        <v>7</v>
      </c>
      <c r="G7308" t="s">
        <v>7</v>
      </c>
      <c r="H7308">
        <v>34757.339999999997</v>
      </c>
      <c r="I7308">
        <v>10160.67</v>
      </c>
      <c r="J7308">
        <v>0</v>
      </c>
    </row>
    <row r="7309" spans="1:10" x14ac:dyDescent="0.35">
      <c r="A7309">
        <v>327482</v>
      </c>
      <c r="B7309" t="s">
        <v>20</v>
      </c>
      <c r="C7309">
        <v>2015</v>
      </c>
      <c r="D7309">
        <v>7</v>
      </c>
      <c r="E7309" t="s">
        <v>7</v>
      </c>
      <c r="F7309" t="s">
        <v>7</v>
      </c>
      <c r="G7309" t="s">
        <v>7</v>
      </c>
      <c r="H7309">
        <v>178112.47</v>
      </c>
      <c r="I7309">
        <v>140494.70000000001</v>
      </c>
      <c r="J7309">
        <v>0</v>
      </c>
    </row>
    <row r="7310" spans="1:10" x14ac:dyDescent="0.35">
      <c r="A7310">
        <v>327485</v>
      </c>
      <c r="B7310" t="s">
        <v>20</v>
      </c>
      <c r="C7310">
        <v>2015</v>
      </c>
      <c r="D7310">
        <v>7</v>
      </c>
      <c r="E7310" t="s">
        <v>7</v>
      </c>
      <c r="F7310" t="s">
        <v>7</v>
      </c>
      <c r="G7310" t="s">
        <v>7</v>
      </c>
      <c r="H7310">
        <v>25695.119999999999</v>
      </c>
      <c r="I7310">
        <v>8061.38</v>
      </c>
      <c r="J7310">
        <v>0</v>
      </c>
    </row>
    <row r="7311" spans="1:10" x14ac:dyDescent="0.35">
      <c r="A7311">
        <v>327486</v>
      </c>
      <c r="B7311" t="s">
        <v>20</v>
      </c>
      <c r="C7311">
        <v>2015</v>
      </c>
      <c r="D7311">
        <v>7</v>
      </c>
      <c r="E7311" t="s">
        <v>7</v>
      </c>
      <c r="F7311" t="s">
        <v>7</v>
      </c>
      <c r="G7311" t="s">
        <v>7</v>
      </c>
      <c r="H7311">
        <v>40576.26</v>
      </c>
      <c r="I7311">
        <v>11355.64</v>
      </c>
      <c r="J7311">
        <v>0</v>
      </c>
    </row>
    <row r="7312" spans="1:10" x14ac:dyDescent="0.35">
      <c r="A7312">
        <v>327490</v>
      </c>
      <c r="B7312" t="s">
        <v>20</v>
      </c>
      <c r="C7312">
        <v>2015</v>
      </c>
      <c r="D7312">
        <v>7</v>
      </c>
      <c r="E7312" t="s">
        <v>7</v>
      </c>
      <c r="F7312" t="s">
        <v>7</v>
      </c>
      <c r="G7312" t="s">
        <v>7</v>
      </c>
      <c r="H7312">
        <v>23183.360000000001</v>
      </c>
      <c r="I7312">
        <v>5742.74</v>
      </c>
      <c r="J7312">
        <v>0</v>
      </c>
    </row>
    <row r="7313" spans="1:10" x14ac:dyDescent="0.35">
      <c r="A7313">
        <v>327491</v>
      </c>
      <c r="B7313" t="s">
        <v>20</v>
      </c>
      <c r="C7313">
        <v>2015</v>
      </c>
      <c r="D7313">
        <v>7</v>
      </c>
      <c r="E7313" t="s">
        <v>7</v>
      </c>
      <c r="F7313" t="s">
        <v>7</v>
      </c>
      <c r="G7313" t="s">
        <v>7</v>
      </c>
      <c r="H7313">
        <v>28471.78</v>
      </c>
      <c r="I7313">
        <v>7197</v>
      </c>
      <c r="J7313">
        <v>0</v>
      </c>
    </row>
    <row r="7314" spans="1:10" x14ac:dyDescent="0.35">
      <c r="A7314">
        <v>327495</v>
      </c>
      <c r="B7314" t="s">
        <v>20</v>
      </c>
      <c r="C7314">
        <v>2015</v>
      </c>
      <c r="D7314">
        <v>7</v>
      </c>
      <c r="E7314" t="s">
        <v>7</v>
      </c>
      <c r="F7314" t="s">
        <v>7</v>
      </c>
      <c r="G7314" t="s">
        <v>7</v>
      </c>
      <c r="H7314">
        <v>78987.14</v>
      </c>
      <c r="I7314">
        <v>45419.39</v>
      </c>
      <c r="J7314">
        <v>0</v>
      </c>
    </row>
    <row r="7315" spans="1:10" x14ac:dyDescent="0.35">
      <c r="A7315">
        <v>327500</v>
      </c>
      <c r="B7315" t="s">
        <v>20</v>
      </c>
      <c r="C7315">
        <v>2015</v>
      </c>
      <c r="D7315">
        <v>7</v>
      </c>
      <c r="E7315" t="s">
        <v>7</v>
      </c>
      <c r="F7315" t="s">
        <v>7</v>
      </c>
      <c r="G7315" t="s">
        <v>7</v>
      </c>
      <c r="H7315">
        <v>15773.42</v>
      </c>
      <c r="I7315">
        <v>3336.97</v>
      </c>
      <c r="J7315">
        <v>0</v>
      </c>
    </row>
    <row r="7316" spans="1:10" x14ac:dyDescent="0.35">
      <c r="A7316">
        <v>327502</v>
      </c>
      <c r="B7316" t="s">
        <v>20</v>
      </c>
      <c r="C7316">
        <v>2015</v>
      </c>
      <c r="D7316">
        <v>7</v>
      </c>
      <c r="E7316" t="s">
        <v>7</v>
      </c>
      <c r="F7316" t="s">
        <v>7</v>
      </c>
      <c r="G7316" t="s">
        <v>7</v>
      </c>
      <c r="H7316">
        <v>15009.86</v>
      </c>
      <c r="I7316">
        <v>4338.92</v>
      </c>
      <c r="J7316">
        <v>0</v>
      </c>
    </row>
    <row r="7317" spans="1:10" x14ac:dyDescent="0.35">
      <c r="A7317">
        <v>327503</v>
      </c>
      <c r="B7317" t="s">
        <v>20</v>
      </c>
      <c r="C7317">
        <v>2015</v>
      </c>
      <c r="D7317">
        <v>7</v>
      </c>
      <c r="E7317" t="s">
        <v>7</v>
      </c>
      <c r="F7317" t="s">
        <v>7</v>
      </c>
      <c r="G7317" t="s">
        <v>7</v>
      </c>
      <c r="H7317">
        <v>35465.660000000003</v>
      </c>
      <c r="I7317">
        <v>10912.94</v>
      </c>
      <c r="J7317">
        <v>0</v>
      </c>
    </row>
    <row r="7318" spans="1:10" x14ac:dyDescent="0.35">
      <c r="A7318">
        <v>327506</v>
      </c>
      <c r="B7318" t="s">
        <v>20</v>
      </c>
      <c r="C7318">
        <v>2015</v>
      </c>
      <c r="D7318">
        <v>7</v>
      </c>
      <c r="E7318" t="s">
        <v>7</v>
      </c>
      <c r="F7318" t="s">
        <v>7</v>
      </c>
      <c r="G7318" t="s">
        <v>7</v>
      </c>
      <c r="H7318">
        <v>65893.36</v>
      </c>
      <c r="I7318">
        <v>37768.620000000003</v>
      </c>
      <c r="J7318">
        <v>0</v>
      </c>
    </row>
    <row r="7319" spans="1:10" x14ac:dyDescent="0.35">
      <c r="A7319">
        <v>327510</v>
      </c>
      <c r="B7319" t="s">
        <v>20</v>
      </c>
      <c r="C7319">
        <v>2015</v>
      </c>
      <c r="D7319">
        <v>7</v>
      </c>
      <c r="E7319" t="s">
        <v>7</v>
      </c>
      <c r="F7319" t="s">
        <v>7</v>
      </c>
      <c r="G7319" t="s">
        <v>7</v>
      </c>
      <c r="H7319">
        <v>13277.34</v>
      </c>
      <c r="I7319">
        <v>3159.19</v>
      </c>
      <c r="J7319">
        <v>0</v>
      </c>
    </row>
    <row r="7320" spans="1:10" x14ac:dyDescent="0.35">
      <c r="A7320">
        <v>327512</v>
      </c>
      <c r="B7320" t="s">
        <v>20</v>
      </c>
      <c r="C7320">
        <v>2015</v>
      </c>
      <c r="D7320">
        <v>7</v>
      </c>
      <c r="E7320" t="s">
        <v>7</v>
      </c>
      <c r="F7320" t="s">
        <v>7</v>
      </c>
      <c r="G7320" t="s">
        <v>7</v>
      </c>
      <c r="H7320">
        <v>16207.04</v>
      </c>
      <c r="I7320">
        <v>4718.47</v>
      </c>
      <c r="J7320">
        <v>0</v>
      </c>
    </row>
    <row r="7321" spans="1:10" x14ac:dyDescent="0.35">
      <c r="A7321">
        <v>327513</v>
      </c>
      <c r="B7321" t="s">
        <v>20</v>
      </c>
      <c r="C7321">
        <v>2015</v>
      </c>
      <c r="D7321">
        <v>7</v>
      </c>
      <c r="E7321" t="s">
        <v>7</v>
      </c>
      <c r="F7321" t="s">
        <v>7</v>
      </c>
      <c r="G7321" t="s">
        <v>7</v>
      </c>
      <c r="H7321">
        <v>37560.04</v>
      </c>
      <c r="I7321">
        <v>11435.79</v>
      </c>
      <c r="J7321">
        <v>0</v>
      </c>
    </row>
    <row r="7322" spans="1:10" x14ac:dyDescent="0.35">
      <c r="A7322">
        <v>327515</v>
      </c>
      <c r="B7322" t="s">
        <v>20</v>
      </c>
      <c r="C7322">
        <v>2015</v>
      </c>
      <c r="D7322">
        <v>7</v>
      </c>
      <c r="E7322" t="s">
        <v>7</v>
      </c>
      <c r="F7322" t="s">
        <v>7</v>
      </c>
      <c r="G7322" t="s">
        <v>7</v>
      </c>
      <c r="H7322">
        <v>34738.92</v>
      </c>
      <c r="I7322">
        <v>7403.72</v>
      </c>
      <c r="J7322">
        <v>0</v>
      </c>
    </row>
    <row r="7323" spans="1:10" x14ac:dyDescent="0.35">
      <c r="A7323">
        <v>327517</v>
      </c>
      <c r="B7323" t="s">
        <v>20</v>
      </c>
      <c r="C7323">
        <v>2015</v>
      </c>
      <c r="D7323">
        <v>7</v>
      </c>
      <c r="E7323" t="s">
        <v>7</v>
      </c>
      <c r="F7323" t="s">
        <v>7</v>
      </c>
      <c r="G7323" t="s">
        <v>7</v>
      </c>
      <c r="H7323">
        <v>49709.48</v>
      </c>
      <c r="I7323">
        <v>24894.65</v>
      </c>
      <c r="J7323">
        <v>0</v>
      </c>
    </row>
    <row r="7324" spans="1:10" x14ac:dyDescent="0.35">
      <c r="A7324">
        <v>327520</v>
      </c>
      <c r="B7324" t="s">
        <v>20</v>
      </c>
      <c r="C7324">
        <v>2015</v>
      </c>
      <c r="D7324">
        <v>7</v>
      </c>
      <c r="E7324" t="s">
        <v>7</v>
      </c>
      <c r="F7324" t="s">
        <v>7</v>
      </c>
      <c r="G7324" t="s">
        <v>7</v>
      </c>
      <c r="H7324">
        <v>87677.26</v>
      </c>
      <c r="I7324">
        <v>59073.71</v>
      </c>
      <c r="J7324">
        <v>0</v>
      </c>
    </row>
    <row r="7325" spans="1:10" x14ac:dyDescent="0.35">
      <c r="A7325">
        <v>327521</v>
      </c>
      <c r="B7325" t="s">
        <v>20</v>
      </c>
      <c r="C7325">
        <v>2015</v>
      </c>
      <c r="D7325">
        <v>7</v>
      </c>
      <c r="E7325" t="s">
        <v>7</v>
      </c>
      <c r="F7325" t="s">
        <v>7</v>
      </c>
      <c r="G7325" t="s">
        <v>7</v>
      </c>
      <c r="H7325">
        <v>52984.56</v>
      </c>
      <c r="I7325">
        <v>16348.11</v>
      </c>
      <c r="J7325">
        <v>0</v>
      </c>
    </row>
    <row r="7326" spans="1:10" x14ac:dyDescent="0.35">
      <c r="A7326">
        <v>327526</v>
      </c>
      <c r="B7326" t="s">
        <v>20</v>
      </c>
      <c r="C7326">
        <v>2015</v>
      </c>
      <c r="D7326">
        <v>7</v>
      </c>
      <c r="E7326" t="s">
        <v>7</v>
      </c>
      <c r="F7326" t="s">
        <v>7</v>
      </c>
      <c r="G7326" t="s">
        <v>7</v>
      </c>
      <c r="H7326">
        <v>18983.66</v>
      </c>
      <c r="I7326">
        <v>5143.04</v>
      </c>
      <c r="J7326">
        <v>0</v>
      </c>
    </row>
    <row r="7327" spans="1:10" x14ac:dyDescent="0.35">
      <c r="A7327">
        <v>327527</v>
      </c>
      <c r="B7327" t="s">
        <v>20</v>
      </c>
      <c r="C7327">
        <v>2015</v>
      </c>
      <c r="D7327">
        <v>7</v>
      </c>
      <c r="E7327" t="s">
        <v>7</v>
      </c>
      <c r="F7327" t="s">
        <v>7</v>
      </c>
      <c r="G7327" t="s">
        <v>7</v>
      </c>
      <c r="H7327">
        <v>16388.8</v>
      </c>
      <c r="I7327">
        <v>3669.3</v>
      </c>
      <c r="J7327">
        <v>0</v>
      </c>
    </row>
    <row r="7328" spans="1:10" x14ac:dyDescent="0.35">
      <c r="A7328">
        <v>327531</v>
      </c>
      <c r="B7328" t="s">
        <v>20</v>
      </c>
      <c r="C7328">
        <v>2015</v>
      </c>
      <c r="D7328">
        <v>7</v>
      </c>
      <c r="E7328" t="s">
        <v>7</v>
      </c>
      <c r="F7328" t="s">
        <v>7</v>
      </c>
      <c r="G7328" t="s">
        <v>7</v>
      </c>
      <c r="H7328">
        <v>17963.16</v>
      </c>
      <c r="I7328">
        <v>5666.28</v>
      </c>
      <c r="J7328">
        <v>0</v>
      </c>
    </row>
    <row r="7329" spans="1:10" x14ac:dyDescent="0.35">
      <c r="A7329">
        <v>327536</v>
      </c>
      <c r="B7329" t="s">
        <v>20</v>
      </c>
      <c r="C7329">
        <v>2015</v>
      </c>
      <c r="D7329">
        <v>7</v>
      </c>
      <c r="E7329" t="s">
        <v>7</v>
      </c>
      <c r="F7329" t="s">
        <v>7</v>
      </c>
      <c r="G7329" t="s">
        <v>7</v>
      </c>
      <c r="H7329">
        <v>25545.08</v>
      </c>
      <c r="I7329">
        <v>7399.3</v>
      </c>
      <c r="J7329">
        <v>0</v>
      </c>
    </row>
    <row r="7330" spans="1:10" x14ac:dyDescent="0.35">
      <c r="A7330">
        <v>327538</v>
      </c>
      <c r="B7330" t="s">
        <v>20</v>
      </c>
      <c r="C7330">
        <v>2015</v>
      </c>
      <c r="D7330">
        <v>7</v>
      </c>
      <c r="E7330" t="s">
        <v>7</v>
      </c>
      <c r="F7330" t="s">
        <v>7</v>
      </c>
      <c r="G7330" t="s">
        <v>7</v>
      </c>
      <c r="H7330">
        <v>71317.42</v>
      </c>
      <c r="I7330">
        <v>39924.589999999997</v>
      </c>
      <c r="J7330">
        <v>0</v>
      </c>
    </row>
    <row r="7331" spans="1:10" x14ac:dyDescent="0.35">
      <c r="A7331">
        <v>327549</v>
      </c>
      <c r="B7331" t="s">
        <v>20</v>
      </c>
      <c r="C7331">
        <v>2015</v>
      </c>
      <c r="D7331">
        <v>7</v>
      </c>
      <c r="E7331" t="s">
        <v>7</v>
      </c>
      <c r="F7331" t="s">
        <v>7</v>
      </c>
      <c r="G7331" t="s">
        <v>7</v>
      </c>
      <c r="H7331">
        <v>130125.72</v>
      </c>
      <c r="I7331">
        <v>46665.69</v>
      </c>
      <c r="J7331">
        <v>0</v>
      </c>
    </row>
    <row r="7332" spans="1:10" x14ac:dyDescent="0.35">
      <c r="A7332">
        <v>327553</v>
      </c>
      <c r="B7332" t="s">
        <v>20</v>
      </c>
      <c r="C7332">
        <v>2015</v>
      </c>
      <c r="D7332">
        <v>7</v>
      </c>
      <c r="E7332" t="s">
        <v>7</v>
      </c>
      <c r="F7332" t="s">
        <v>7</v>
      </c>
      <c r="G7332" t="s">
        <v>7</v>
      </c>
      <c r="H7332">
        <v>26187.360000000001</v>
      </c>
      <c r="I7332">
        <v>6341.51</v>
      </c>
      <c r="J7332">
        <v>0</v>
      </c>
    </row>
    <row r="7333" spans="1:10" x14ac:dyDescent="0.35">
      <c r="A7333">
        <v>327555</v>
      </c>
      <c r="B7333" t="s">
        <v>20</v>
      </c>
      <c r="C7333">
        <v>2015</v>
      </c>
      <c r="D7333">
        <v>7</v>
      </c>
      <c r="E7333" t="s">
        <v>7</v>
      </c>
      <c r="F7333" t="s">
        <v>7</v>
      </c>
      <c r="G7333" t="s">
        <v>7</v>
      </c>
      <c r="H7333">
        <v>30987.46</v>
      </c>
      <c r="I7333">
        <v>8059.28</v>
      </c>
      <c r="J7333">
        <v>0</v>
      </c>
    </row>
    <row r="7334" spans="1:10" x14ac:dyDescent="0.35">
      <c r="A7334">
        <v>327562</v>
      </c>
      <c r="B7334" t="s">
        <v>20</v>
      </c>
      <c r="C7334">
        <v>2015</v>
      </c>
      <c r="D7334">
        <v>7</v>
      </c>
      <c r="E7334" t="s">
        <v>7</v>
      </c>
      <c r="F7334" t="s">
        <v>7</v>
      </c>
      <c r="G7334" t="s">
        <v>7</v>
      </c>
      <c r="H7334">
        <v>116103.3</v>
      </c>
      <c r="I7334">
        <v>41432.07</v>
      </c>
      <c r="J7334">
        <v>0</v>
      </c>
    </row>
    <row r="7335" spans="1:10" x14ac:dyDescent="0.35">
      <c r="A7335">
        <v>327563</v>
      </c>
      <c r="B7335" t="s">
        <v>20</v>
      </c>
      <c r="C7335">
        <v>2015</v>
      </c>
      <c r="D7335">
        <v>7</v>
      </c>
      <c r="E7335" t="s">
        <v>7</v>
      </c>
      <c r="F7335" t="s">
        <v>7</v>
      </c>
      <c r="G7335" t="s">
        <v>7</v>
      </c>
      <c r="H7335">
        <v>26949.58</v>
      </c>
      <c r="I7335">
        <v>8342.8700000000008</v>
      </c>
      <c r="J7335">
        <v>0</v>
      </c>
    </row>
    <row r="7336" spans="1:10" x14ac:dyDescent="0.35">
      <c r="A7336">
        <v>327567</v>
      </c>
      <c r="B7336" t="s">
        <v>20</v>
      </c>
      <c r="C7336">
        <v>2015</v>
      </c>
      <c r="D7336">
        <v>7</v>
      </c>
      <c r="E7336" t="s">
        <v>7</v>
      </c>
      <c r="F7336" t="s">
        <v>7</v>
      </c>
      <c r="G7336" t="s">
        <v>7</v>
      </c>
      <c r="H7336">
        <v>80863.3</v>
      </c>
      <c r="I7336">
        <v>27215.75</v>
      </c>
      <c r="J7336">
        <v>0</v>
      </c>
    </row>
    <row r="7337" spans="1:10" x14ac:dyDescent="0.35">
      <c r="A7337">
        <v>327570</v>
      </c>
      <c r="B7337" t="s">
        <v>20</v>
      </c>
      <c r="C7337">
        <v>2015</v>
      </c>
      <c r="D7337">
        <v>7</v>
      </c>
      <c r="E7337" t="s">
        <v>7</v>
      </c>
      <c r="F7337" t="s">
        <v>7</v>
      </c>
      <c r="G7337" t="s">
        <v>7</v>
      </c>
      <c r="H7337">
        <v>54959.88</v>
      </c>
      <c r="I7337">
        <v>16172.39</v>
      </c>
      <c r="J7337">
        <v>0</v>
      </c>
    </row>
    <row r="7338" spans="1:10" x14ac:dyDescent="0.35">
      <c r="A7338">
        <v>327578</v>
      </c>
      <c r="B7338" t="s">
        <v>20</v>
      </c>
      <c r="C7338">
        <v>2015</v>
      </c>
      <c r="D7338">
        <v>7</v>
      </c>
      <c r="E7338" t="s">
        <v>7</v>
      </c>
      <c r="F7338" t="s">
        <v>7</v>
      </c>
      <c r="G7338" t="s">
        <v>7</v>
      </c>
      <c r="H7338">
        <v>22626.18</v>
      </c>
      <c r="I7338">
        <v>6139.79</v>
      </c>
      <c r="J7338">
        <v>0</v>
      </c>
    </row>
    <row r="7339" spans="1:10" x14ac:dyDescent="0.35">
      <c r="A7339">
        <v>327579</v>
      </c>
      <c r="B7339" t="s">
        <v>20</v>
      </c>
      <c r="C7339">
        <v>2015</v>
      </c>
      <c r="D7339">
        <v>7</v>
      </c>
      <c r="E7339" t="s">
        <v>7</v>
      </c>
      <c r="F7339" t="s">
        <v>7</v>
      </c>
      <c r="G7339" t="s">
        <v>7</v>
      </c>
      <c r="H7339">
        <v>129421.89</v>
      </c>
      <c r="I7339">
        <v>98205.48</v>
      </c>
      <c r="J7339">
        <v>0</v>
      </c>
    </row>
    <row r="7340" spans="1:10" x14ac:dyDescent="0.35">
      <c r="A7340">
        <v>327580</v>
      </c>
      <c r="B7340" t="s">
        <v>20</v>
      </c>
      <c r="C7340">
        <v>2015</v>
      </c>
      <c r="D7340">
        <v>7</v>
      </c>
      <c r="E7340" t="s">
        <v>7</v>
      </c>
      <c r="F7340" t="s">
        <v>7</v>
      </c>
      <c r="G7340" t="s">
        <v>7</v>
      </c>
      <c r="H7340">
        <v>34783.54</v>
      </c>
      <c r="I7340">
        <v>10155.030000000001</v>
      </c>
      <c r="J7340">
        <v>0</v>
      </c>
    </row>
    <row r="7341" spans="1:10" x14ac:dyDescent="0.35">
      <c r="A7341">
        <v>327585</v>
      </c>
      <c r="B7341" t="s">
        <v>20</v>
      </c>
      <c r="C7341">
        <v>2015</v>
      </c>
      <c r="D7341">
        <v>7</v>
      </c>
      <c r="E7341" t="s">
        <v>7</v>
      </c>
      <c r="F7341" t="s">
        <v>7</v>
      </c>
      <c r="G7341" t="s">
        <v>7</v>
      </c>
      <c r="H7341">
        <v>29402.16</v>
      </c>
      <c r="I7341">
        <v>8082.51</v>
      </c>
      <c r="J7341">
        <v>0</v>
      </c>
    </row>
    <row r="7342" spans="1:10" x14ac:dyDescent="0.35">
      <c r="A7342">
        <v>327587</v>
      </c>
      <c r="B7342" t="s">
        <v>20</v>
      </c>
      <c r="C7342">
        <v>2015</v>
      </c>
      <c r="D7342">
        <v>7</v>
      </c>
      <c r="E7342" t="s">
        <v>7</v>
      </c>
      <c r="F7342" t="s">
        <v>7</v>
      </c>
      <c r="G7342" t="s">
        <v>7</v>
      </c>
      <c r="H7342">
        <v>14158.9</v>
      </c>
      <c r="I7342">
        <v>4218.66</v>
      </c>
      <c r="J7342">
        <v>0</v>
      </c>
    </row>
    <row r="7343" spans="1:10" x14ac:dyDescent="0.35">
      <c r="A7343">
        <v>327596</v>
      </c>
      <c r="B7343" t="s">
        <v>20</v>
      </c>
      <c r="C7343">
        <v>2015</v>
      </c>
      <c r="D7343">
        <v>7</v>
      </c>
      <c r="E7343" t="s">
        <v>7</v>
      </c>
      <c r="F7343" t="s">
        <v>7</v>
      </c>
      <c r="G7343" t="s">
        <v>7</v>
      </c>
      <c r="H7343">
        <v>46134.239999999998</v>
      </c>
      <c r="I7343">
        <v>13492.03</v>
      </c>
      <c r="J7343">
        <v>0</v>
      </c>
    </row>
    <row r="7344" spans="1:10" x14ac:dyDescent="0.35">
      <c r="A7344">
        <v>327606</v>
      </c>
      <c r="B7344" t="s">
        <v>20</v>
      </c>
      <c r="C7344">
        <v>2015</v>
      </c>
      <c r="D7344">
        <v>7</v>
      </c>
      <c r="E7344" t="s">
        <v>7</v>
      </c>
      <c r="F7344" t="s">
        <v>7</v>
      </c>
      <c r="G7344" t="s">
        <v>7</v>
      </c>
      <c r="H7344">
        <v>64136.44</v>
      </c>
      <c r="I7344">
        <v>21293.11</v>
      </c>
      <c r="J7344">
        <v>0</v>
      </c>
    </row>
    <row r="7345" spans="1:10" x14ac:dyDescent="0.35">
      <c r="A7345">
        <v>327607</v>
      </c>
      <c r="B7345" t="s">
        <v>20</v>
      </c>
      <c r="C7345">
        <v>2015</v>
      </c>
      <c r="D7345">
        <v>7</v>
      </c>
      <c r="E7345" t="s">
        <v>7</v>
      </c>
      <c r="F7345" t="s">
        <v>7</v>
      </c>
      <c r="G7345" t="s">
        <v>7</v>
      </c>
      <c r="H7345">
        <v>29897.24</v>
      </c>
      <c r="I7345">
        <v>9233.16</v>
      </c>
      <c r="J7345">
        <v>0</v>
      </c>
    </row>
    <row r="7346" spans="1:10" x14ac:dyDescent="0.35">
      <c r="A7346">
        <v>327612</v>
      </c>
      <c r="B7346" t="s">
        <v>20</v>
      </c>
      <c r="C7346">
        <v>2015</v>
      </c>
      <c r="D7346">
        <v>7</v>
      </c>
      <c r="E7346" t="s">
        <v>7</v>
      </c>
      <c r="F7346" t="s">
        <v>7</v>
      </c>
      <c r="G7346" t="s">
        <v>7</v>
      </c>
      <c r="H7346">
        <v>28296.84</v>
      </c>
      <c r="I7346">
        <v>8476.17</v>
      </c>
      <c r="J7346">
        <v>0</v>
      </c>
    </row>
    <row r="7347" spans="1:10" x14ac:dyDescent="0.35">
      <c r="A7347">
        <v>327616</v>
      </c>
      <c r="B7347" t="s">
        <v>20</v>
      </c>
      <c r="C7347">
        <v>2015</v>
      </c>
      <c r="D7347">
        <v>7</v>
      </c>
      <c r="E7347" t="s">
        <v>7</v>
      </c>
      <c r="F7347" t="s">
        <v>7</v>
      </c>
      <c r="G7347" t="s">
        <v>7</v>
      </c>
      <c r="H7347">
        <v>24228.2</v>
      </c>
      <c r="I7347">
        <v>6194.52</v>
      </c>
      <c r="J7347">
        <v>0</v>
      </c>
    </row>
    <row r="7348" spans="1:10" x14ac:dyDescent="0.35">
      <c r="A7348">
        <v>327618</v>
      </c>
      <c r="B7348" t="s">
        <v>20</v>
      </c>
      <c r="C7348">
        <v>2015</v>
      </c>
      <c r="D7348">
        <v>7</v>
      </c>
      <c r="E7348" t="s">
        <v>7</v>
      </c>
      <c r="F7348" t="s">
        <v>7</v>
      </c>
      <c r="G7348" t="s">
        <v>7</v>
      </c>
      <c r="H7348">
        <v>52104.1</v>
      </c>
      <c r="I7348">
        <v>19931.32</v>
      </c>
      <c r="J7348">
        <v>0</v>
      </c>
    </row>
    <row r="7349" spans="1:10" x14ac:dyDescent="0.35">
      <c r="A7349">
        <v>327619</v>
      </c>
      <c r="B7349" t="s">
        <v>20</v>
      </c>
      <c r="C7349">
        <v>2015</v>
      </c>
      <c r="D7349">
        <v>7</v>
      </c>
      <c r="E7349" t="s">
        <v>7</v>
      </c>
      <c r="F7349" t="s">
        <v>7</v>
      </c>
      <c r="G7349" t="s">
        <v>7</v>
      </c>
      <c r="H7349">
        <v>36337.599999999999</v>
      </c>
      <c r="I7349">
        <v>8615.7999999999993</v>
      </c>
      <c r="J7349">
        <v>0</v>
      </c>
    </row>
    <row r="7350" spans="1:10" x14ac:dyDescent="0.35">
      <c r="A7350">
        <v>327624</v>
      </c>
      <c r="B7350" t="s">
        <v>20</v>
      </c>
      <c r="C7350">
        <v>2015</v>
      </c>
      <c r="D7350">
        <v>7</v>
      </c>
      <c r="E7350" t="s">
        <v>7</v>
      </c>
      <c r="F7350" t="s">
        <v>7</v>
      </c>
      <c r="G7350" t="s">
        <v>7</v>
      </c>
      <c r="H7350">
        <v>28445.24</v>
      </c>
      <c r="I7350">
        <v>7803.66</v>
      </c>
      <c r="J7350">
        <v>0</v>
      </c>
    </row>
    <row r="7351" spans="1:10" x14ac:dyDescent="0.35">
      <c r="A7351">
        <v>327626</v>
      </c>
      <c r="B7351" t="s">
        <v>20</v>
      </c>
      <c r="C7351">
        <v>2015</v>
      </c>
      <c r="D7351">
        <v>7</v>
      </c>
      <c r="E7351" t="s">
        <v>7</v>
      </c>
      <c r="F7351" t="s">
        <v>7</v>
      </c>
      <c r="G7351" t="s">
        <v>7</v>
      </c>
      <c r="H7351">
        <v>49700.82</v>
      </c>
      <c r="I7351">
        <v>13236.85</v>
      </c>
      <c r="J7351">
        <v>0</v>
      </c>
    </row>
    <row r="7352" spans="1:10" x14ac:dyDescent="0.35">
      <c r="A7352">
        <v>327627</v>
      </c>
      <c r="B7352" t="s">
        <v>20</v>
      </c>
      <c r="C7352">
        <v>2015</v>
      </c>
      <c r="D7352">
        <v>7</v>
      </c>
      <c r="E7352" t="s">
        <v>7</v>
      </c>
      <c r="F7352" t="s">
        <v>7</v>
      </c>
      <c r="G7352" t="s">
        <v>7</v>
      </c>
      <c r="H7352">
        <v>20244.400000000001</v>
      </c>
      <c r="I7352">
        <v>4076.02</v>
      </c>
      <c r="J7352">
        <v>0</v>
      </c>
    </row>
    <row r="7353" spans="1:10" x14ac:dyDescent="0.35">
      <c r="A7353">
        <v>327633</v>
      </c>
      <c r="B7353" t="s">
        <v>20</v>
      </c>
      <c r="C7353">
        <v>2015</v>
      </c>
      <c r="D7353">
        <v>7</v>
      </c>
      <c r="E7353" t="s">
        <v>7</v>
      </c>
      <c r="F7353" t="s">
        <v>7</v>
      </c>
      <c r="G7353" t="s">
        <v>7</v>
      </c>
      <c r="H7353">
        <v>32222.42</v>
      </c>
      <c r="I7353">
        <v>6800.03</v>
      </c>
      <c r="J7353">
        <v>0</v>
      </c>
    </row>
    <row r="7354" spans="1:10" x14ac:dyDescent="0.35">
      <c r="A7354">
        <v>327635</v>
      </c>
      <c r="B7354" t="s">
        <v>20</v>
      </c>
      <c r="C7354">
        <v>2015</v>
      </c>
      <c r="D7354">
        <v>7</v>
      </c>
      <c r="E7354" t="s">
        <v>7</v>
      </c>
      <c r="F7354" t="s">
        <v>7</v>
      </c>
      <c r="G7354" t="s">
        <v>7</v>
      </c>
      <c r="H7354">
        <v>26083.599999999999</v>
      </c>
      <c r="I7354">
        <v>7705.28</v>
      </c>
      <c r="J7354">
        <v>0</v>
      </c>
    </row>
    <row r="7355" spans="1:10" x14ac:dyDescent="0.35">
      <c r="A7355">
        <v>327637</v>
      </c>
      <c r="B7355" t="s">
        <v>20</v>
      </c>
      <c r="C7355">
        <v>2015</v>
      </c>
      <c r="D7355">
        <v>7</v>
      </c>
      <c r="E7355" t="s">
        <v>7</v>
      </c>
      <c r="F7355" t="s">
        <v>7</v>
      </c>
      <c r="G7355" t="s">
        <v>7</v>
      </c>
      <c r="H7355">
        <v>27051.88</v>
      </c>
      <c r="I7355">
        <v>10527.09</v>
      </c>
      <c r="J7355">
        <v>0</v>
      </c>
    </row>
    <row r="7356" spans="1:10" x14ac:dyDescent="0.35">
      <c r="A7356">
        <v>327641</v>
      </c>
      <c r="B7356" t="s">
        <v>20</v>
      </c>
      <c r="C7356">
        <v>2015</v>
      </c>
      <c r="D7356">
        <v>7</v>
      </c>
      <c r="E7356" t="s">
        <v>7</v>
      </c>
      <c r="F7356" t="s">
        <v>7</v>
      </c>
      <c r="G7356" t="s">
        <v>7</v>
      </c>
      <c r="H7356">
        <v>34227.379999999997</v>
      </c>
      <c r="I7356">
        <v>19731.66</v>
      </c>
      <c r="J7356">
        <v>0</v>
      </c>
    </row>
    <row r="7357" spans="1:10" x14ac:dyDescent="0.35">
      <c r="A7357">
        <v>327642</v>
      </c>
      <c r="B7357" t="s">
        <v>20</v>
      </c>
      <c r="C7357">
        <v>2015</v>
      </c>
      <c r="D7357">
        <v>7</v>
      </c>
      <c r="E7357" t="s">
        <v>7</v>
      </c>
      <c r="F7357" t="s">
        <v>7</v>
      </c>
      <c r="G7357" t="s">
        <v>7</v>
      </c>
      <c r="H7357">
        <v>22825.1</v>
      </c>
      <c r="I7357">
        <v>6476.36</v>
      </c>
      <c r="J7357">
        <v>0</v>
      </c>
    </row>
    <row r="7358" spans="1:10" x14ac:dyDescent="0.35">
      <c r="A7358">
        <v>327644</v>
      </c>
      <c r="B7358" t="s">
        <v>20</v>
      </c>
      <c r="C7358">
        <v>2015</v>
      </c>
      <c r="D7358">
        <v>7</v>
      </c>
      <c r="E7358" t="s">
        <v>7</v>
      </c>
      <c r="F7358" t="s">
        <v>7</v>
      </c>
      <c r="G7358" t="s">
        <v>7</v>
      </c>
      <c r="H7358">
        <v>49863.62</v>
      </c>
      <c r="I7358">
        <v>14692.11</v>
      </c>
      <c r="J7358">
        <v>0</v>
      </c>
    </row>
    <row r="7359" spans="1:10" x14ac:dyDescent="0.35">
      <c r="A7359">
        <v>327649</v>
      </c>
      <c r="B7359" t="s">
        <v>20</v>
      </c>
      <c r="C7359">
        <v>2015</v>
      </c>
      <c r="D7359">
        <v>7</v>
      </c>
      <c r="E7359" t="s">
        <v>7</v>
      </c>
      <c r="F7359" t="s">
        <v>7</v>
      </c>
      <c r="G7359" t="s">
        <v>7</v>
      </c>
      <c r="H7359">
        <v>21218.52</v>
      </c>
      <c r="I7359">
        <v>2879.38</v>
      </c>
      <c r="J7359">
        <v>0</v>
      </c>
    </row>
    <row r="7360" spans="1:10" x14ac:dyDescent="0.35">
      <c r="A7360">
        <v>327657</v>
      </c>
      <c r="B7360" t="s">
        <v>20</v>
      </c>
      <c r="C7360">
        <v>2015</v>
      </c>
      <c r="D7360">
        <v>7</v>
      </c>
      <c r="E7360" t="s">
        <v>7</v>
      </c>
      <c r="F7360" t="s">
        <v>7</v>
      </c>
      <c r="G7360" t="s">
        <v>7</v>
      </c>
      <c r="H7360">
        <v>9579.82</v>
      </c>
      <c r="I7360">
        <v>2622.51</v>
      </c>
      <c r="J7360">
        <v>0</v>
      </c>
    </row>
    <row r="7361" spans="1:10" x14ac:dyDescent="0.35">
      <c r="A7361">
        <v>327662</v>
      </c>
      <c r="B7361" t="s">
        <v>20</v>
      </c>
      <c r="C7361">
        <v>2015</v>
      </c>
      <c r="D7361">
        <v>7</v>
      </c>
      <c r="E7361" t="s">
        <v>7</v>
      </c>
      <c r="F7361" t="s">
        <v>7</v>
      </c>
      <c r="G7361" t="s">
        <v>7</v>
      </c>
      <c r="H7361">
        <v>15190.26</v>
      </c>
      <c r="I7361">
        <v>3596.98</v>
      </c>
      <c r="J7361">
        <v>0</v>
      </c>
    </row>
    <row r="7362" spans="1:10" x14ac:dyDescent="0.35">
      <c r="A7362">
        <v>327671</v>
      </c>
      <c r="B7362" t="s">
        <v>20</v>
      </c>
      <c r="C7362">
        <v>2015</v>
      </c>
      <c r="D7362">
        <v>7</v>
      </c>
      <c r="E7362" t="s">
        <v>7</v>
      </c>
      <c r="F7362" t="s">
        <v>7</v>
      </c>
      <c r="G7362" t="s">
        <v>7</v>
      </c>
      <c r="H7362">
        <v>36169.379999999997</v>
      </c>
      <c r="I7362">
        <v>11148.83</v>
      </c>
      <c r="J7362">
        <v>0</v>
      </c>
    </row>
    <row r="7363" spans="1:10" x14ac:dyDescent="0.35">
      <c r="A7363">
        <v>327672</v>
      </c>
      <c r="B7363" t="s">
        <v>20</v>
      </c>
      <c r="C7363">
        <v>2015</v>
      </c>
      <c r="D7363">
        <v>7</v>
      </c>
      <c r="E7363" t="s">
        <v>7</v>
      </c>
      <c r="F7363" t="s">
        <v>7</v>
      </c>
      <c r="G7363" t="s">
        <v>7</v>
      </c>
      <c r="H7363">
        <v>118454.48</v>
      </c>
      <c r="I7363">
        <v>41674.61</v>
      </c>
      <c r="J7363">
        <v>0</v>
      </c>
    </row>
    <row r="7364" spans="1:10" x14ac:dyDescent="0.35">
      <c r="A7364">
        <v>327674</v>
      </c>
      <c r="B7364" t="s">
        <v>20</v>
      </c>
      <c r="C7364">
        <v>2015</v>
      </c>
      <c r="D7364">
        <v>7</v>
      </c>
      <c r="E7364" t="s">
        <v>7</v>
      </c>
      <c r="F7364" t="s">
        <v>7</v>
      </c>
      <c r="G7364" t="s">
        <v>7</v>
      </c>
      <c r="H7364">
        <v>23384.720000000001</v>
      </c>
      <c r="I7364">
        <v>5496.89</v>
      </c>
      <c r="J7364">
        <v>0</v>
      </c>
    </row>
    <row r="7365" spans="1:10" x14ac:dyDescent="0.35">
      <c r="A7365">
        <v>327677</v>
      </c>
      <c r="B7365" t="s">
        <v>20</v>
      </c>
      <c r="C7365">
        <v>2015</v>
      </c>
      <c r="D7365">
        <v>7</v>
      </c>
      <c r="E7365" t="s">
        <v>7</v>
      </c>
      <c r="F7365" t="s">
        <v>7</v>
      </c>
      <c r="G7365" t="s">
        <v>7</v>
      </c>
      <c r="H7365">
        <v>15207.1</v>
      </c>
      <c r="I7365">
        <v>4611.2700000000004</v>
      </c>
      <c r="J7365">
        <v>0</v>
      </c>
    </row>
    <row r="7366" spans="1:10" x14ac:dyDescent="0.35">
      <c r="A7366">
        <v>327681</v>
      </c>
      <c r="B7366" t="s">
        <v>20</v>
      </c>
      <c r="C7366">
        <v>2015</v>
      </c>
      <c r="D7366">
        <v>7</v>
      </c>
      <c r="E7366" t="s">
        <v>7</v>
      </c>
      <c r="F7366" t="s">
        <v>7</v>
      </c>
      <c r="G7366" t="s">
        <v>7</v>
      </c>
      <c r="H7366">
        <v>24737.06</v>
      </c>
      <c r="I7366">
        <v>7421.22</v>
      </c>
      <c r="J7366">
        <v>0</v>
      </c>
    </row>
    <row r="7367" spans="1:10" x14ac:dyDescent="0.35">
      <c r="A7367">
        <v>327691</v>
      </c>
      <c r="B7367" t="s">
        <v>20</v>
      </c>
      <c r="C7367">
        <v>2015</v>
      </c>
      <c r="D7367">
        <v>7</v>
      </c>
      <c r="E7367" t="s">
        <v>7</v>
      </c>
      <c r="F7367" t="s">
        <v>7</v>
      </c>
      <c r="G7367" t="s">
        <v>7</v>
      </c>
      <c r="H7367">
        <v>30039.4</v>
      </c>
      <c r="I7367">
        <v>9473.3700000000008</v>
      </c>
      <c r="J7367">
        <v>0</v>
      </c>
    </row>
    <row r="7368" spans="1:10" x14ac:dyDescent="0.35">
      <c r="A7368">
        <v>327692</v>
      </c>
      <c r="B7368" t="s">
        <v>20</v>
      </c>
      <c r="C7368">
        <v>2015</v>
      </c>
      <c r="D7368">
        <v>7</v>
      </c>
      <c r="E7368" t="s">
        <v>7</v>
      </c>
      <c r="F7368" t="s">
        <v>7</v>
      </c>
      <c r="G7368" t="s">
        <v>7</v>
      </c>
      <c r="H7368">
        <v>19670.560000000001</v>
      </c>
      <c r="I7368">
        <v>5204.71</v>
      </c>
      <c r="J7368">
        <v>0</v>
      </c>
    </row>
    <row r="7369" spans="1:10" x14ac:dyDescent="0.35">
      <c r="A7369">
        <v>327694</v>
      </c>
      <c r="B7369" t="s">
        <v>20</v>
      </c>
      <c r="C7369">
        <v>2015</v>
      </c>
      <c r="D7369">
        <v>7</v>
      </c>
      <c r="E7369" t="s">
        <v>7</v>
      </c>
      <c r="F7369" t="s">
        <v>7</v>
      </c>
      <c r="G7369" t="s">
        <v>7</v>
      </c>
      <c r="H7369">
        <v>42992.21</v>
      </c>
      <c r="I7369">
        <v>16948.47</v>
      </c>
      <c r="J7369">
        <v>0</v>
      </c>
    </row>
    <row r="7370" spans="1:10" x14ac:dyDescent="0.35">
      <c r="A7370">
        <v>327703</v>
      </c>
      <c r="B7370" t="s">
        <v>20</v>
      </c>
      <c r="C7370">
        <v>2015</v>
      </c>
      <c r="D7370">
        <v>7</v>
      </c>
      <c r="E7370" t="s">
        <v>7</v>
      </c>
      <c r="F7370" t="s">
        <v>7</v>
      </c>
      <c r="G7370" t="s">
        <v>7</v>
      </c>
      <c r="H7370">
        <v>27003.16</v>
      </c>
      <c r="I7370">
        <v>7102.47</v>
      </c>
      <c r="J7370">
        <v>0</v>
      </c>
    </row>
    <row r="7371" spans="1:10" x14ac:dyDescent="0.35">
      <c r="A7371">
        <v>327705</v>
      </c>
      <c r="B7371" t="s">
        <v>20</v>
      </c>
      <c r="C7371">
        <v>2015</v>
      </c>
      <c r="D7371">
        <v>7</v>
      </c>
      <c r="E7371" t="s">
        <v>7</v>
      </c>
      <c r="F7371" t="s">
        <v>7</v>
      </c>
      <c r="G7371" t="s">
        <v>7</v>
      </c>
      <c r="H7371">
        <v>18953.560000000001</v>
      </c>
      <c r="I7371">
        <v>4450.71</v>
      </c>
      <c r="J7371">
        <v>0</v>
      </c>
    </row>
    <row r="7372" spans="1:10" x14ac:dyDescent="0.35">
      <c r="A7372">
        <v>327706</v>
      </c>
      <c r="B7372" t="s">
        <v>20</v>
      </c>
      <c r="C7372">
        <v>2015</v>
      </c>
      <c r="D7372">
        <v>7</v>
      </c>
      <c r="E7372" t="s">
        <v>7</v>
      </c>
      <c r="F7372" t="s">
        <v>7</v>
      </c>
      <c r="G7372" t="s">
        <v>7</v>
      </c>
      <c r="H7372">
        <v>15593.8</v>
      </c>
      <c r="I7372">
        <v>2939.96</v>
      </c>
      <c r="J7372">
        <v>0</v>
      </c>
    </row>
    <row r="7373" spans="1:10" x14ac:dyDescent="0.35">
      <c r="A7373">
        <v>327716</v>
      </c>
      <c r="B7373" t="s">
        <v>20</v>
      </c>
      <c r="C7373">
        <v>2015</v>
      </c>
      <c r="D7373">
        <v>7</v>
      </c>
      <c r="E7373" t="s">
        <v>7</v>
      </c>
      <c r="F7373" t="s">
        <v>7</v>
      </c>
      <c r="G7373" t="s">
        <v>7</v>
      </c>
      <c r="H7373">
        <v>26194.720000000001</v>
      </c>
      <c r="I7373">
        <v>5426.03</v>
      </c>
      <c r="J7373">
        <v>0</v>
      </c>
    </row>
    <row r="7374" spans="1:10" x14ac:dyDescent="0.35">
      <c r="A7374">
        <v>327723</v>
      </c>
      <c r="B7374" t="s">
        <v>20</v>
      </c>
      <c r="C7374">
        <v>2015</v>
      </c>
      <c r="D7374">
        <v>7</v>
      </c>
      <c r="E7374" t="s">
        <v>7</v>
      </c>
      <c r="F7374" t="s">
        <v>7</v>
      </c>
      <c r="G7374" t="s">
        <v>7</v>
      </c>
      <c r="H7374">
        <v>33046.82</v>
      </c>
      <c r="I7374">
        <v>9959.0499999999993</v>
      </c>
      <c r="J7374">
        <v>0</v>
      </c>
    </row>
    <row r="7375" spans="1:10" x14ac:dyDescent="0.35">
      <c r="A7375">
        <v>327731</v>
      </c>
      <c r="B7375" t="s">
        <v>20</v>
      </c>
      <c r="C7375">
        <v>2015</v>
      </c>
      <c r="D7375">
        <v>7</v>
      </c>
      <c r="E7375" t="s">
        <v>7</v>
      </c>
      <c r="F7375" t="s">
        <v>7</v>
      </c>
      <c r="G7375" t="s">
        <v>7</v>
      </c>
      <c r="H7375">
        <v>18375.259999999998</v>
      </c>
      <c r="I7375">
        <v>4064.48</v>
      </c>
      <c r="J7375">
        <v>0</v>
      </c>
    </row>
    <row r="7376" spans="1:10" x14ac:dyDescent="0.35">
      <c r="A7376">
        <v>327732</v>
      </c>
      <c r="B7376" t="s">
        <v>20</v>
      </c>
      <c r="C7376">
        <v>2015</v>
      </c>
      <c r="D7376">
        <v>7</v>
      </c>
      <c r="E7376" t="s">
        <v>7</v>
      </c>
      <c r="F7376" t="s">
        <v>7</v>
      </c>
      <c r="G7376" t="s">
        <v>7</v>
      </c>
      <c r="H7376">
        <v>57922.52</v>
      </c>
      <c r="I7376">
        <v>25075.11</v>
      </c>
      <c r="J7376">
        <v>0</v>
      </c>
    </row>
    <row r="7377" spans="1:10" x14ac:dyDescent="0.35">
      <c r="A7377">
        <v>327738</v>
      </c>
      <c r="B7377" t="s">
        <v>20</v>
      </c>
      <c r="C7377">
        <v>2015</v>
      </c>
      <c r="D7377">
        <v>7</v>
      </c>
      <c r="E7377" t="s">
        <v>7</v>
      </c>
      <c r="F7377" t="s">
        <v>7</v>
      </c>
      <c r="G7377" t="s">
        <v>7</v>
      </c>
      <c r="H7377">
        <v>17749.12</v>
      </c>
      <c r="I7377">
        <v>5047.67</v>
      </c>
      <c r="J7377">
        <v>0</v>
      </c>
    </row>
    <row r="7378" spans="1:10" x14ac:dyDescent="0.35">
      <c r="A7378">
        <v>327740</v>
      </c>
      <c r="B7378" t="s">
        <v>20</v>
      </c>
      <c r="C7378">
        <v>2015</v>
      </c>
      <c r="D7378">
        <v>7</v>
      </c>
      <c r="E7378" t="s">
        <v>7</v>
      </c>
      <c r="F7378" t="s">
        <v>7</v>
      </c>
      <c r="G7378" t="s">
        <v>7</v>
      </c>
      <c r="H7378">
        <v>44082.52</v>
      </c>
      <c r="I7378">
        <v>12936.63</v>
      </c>
      <c r="J7378">
        <v>0</v>
      </c>
    </row>
    <row r="7379" spans="1:10" x14ac:dyDescent="0.35">
      <c r="A7379">
        <v>327741</v>
      </c>
      <c r="B7379" t="s">
        <v>20</v>
      </c>
      <c r="C7379">
        <v>2015</v>
      </c>
      <c r="D7379">
        <v>7</v>
      </c>
      <c r="E7379" t="s">
        <v>7</v>
      </c>
      <c r="F7379" t="s">
        <v>7</v>
      </c>
      <c r="G7379" t="s">
        <v>7</v>
      </c>
      <c r="H7379">
        <v>86939.22</v>
      </c>
      <c r="I7379">
        <v>48516.06</v>
      </c>
      <c r="J7379">
        <v>0</v>
      </c>
    </row>
    <row r="7380" spans="1:10" x14ac:dyDescent="0.35">
      <c r="A7380">
        <v>327746</v>
      </c>
      <c r="B7380" t="s">
        <v>20</v>
      </c>
      <c r="C7380">
        <v>2015</v>
      </c>
      <c r="D7380">
        <v>7</v>
      </c>
      <c r="E7380" t="s">
        <v>7</v>
      </c>
      <c r="F7380" t="s">
        <v>7</v>
      </c>
      <c r="G7380" t="s">
        <v>7</v>
      </c>
      <c r="H7380">
        <v>16180.42</v>
      </c>
      <c r="I7380">
        <v>4277.45</v>
      </c>
      <c r="J7380">
        <v>0</v>
      </c>
    </row>
    <row r="7381" spans="1:10" x14ac:dyDescent="0.35">
      <c r="A7381">
        <v>327749</v>
      </c>
      <c r="B7381" t="s">
        <v>20</v>
      </c>
      <c r="C7381">
        <v>2015</v>
      </c>
      <c r="D7381">
        <v>7</v>
      </c>
      <c r="E7381" t="s">
        <v>7</v>
      </c>
      <c r="F7381" t="s">
        <v>7</v>
      </c>
      <c r="G7381" t="s">
        <v>7</v>
      </c>
      <c r="H7381">
        <v>10766.44</v>
      </c>
      <c r="I7381">
        <v>2964.67</v>
      </c>
      <c r="J7381">
        <v>0</v>
      </c>
    </row>
    <row r="7382" spans="1:10" x14ac:dyDescent="0.35">
      <c r="A7382">
        <v>327750</v>
      </c>
      <c r="B7382" t="s">
        <v>20</v>
      </c>
      <c r="C7382">
        <v>2015</v>
      </c>
      <c r="D7382">
        <v>7</v>
      </c>
      <c r="E7382" t="s">
        <v>7</v>
      </c>
      <c r="F7382" t="s">
        <v>7</v>
      </c>
      <c r="G7382" t="s">
        <v>7</v>
      </c>
      <c r="H7382">
        <v>30475.14</v>
      </c>
      <c r="I7382">
        <v>7277.95</v>
      </c>
      <c r="J7382">
        <v>0</v>
      </c>
    </row>
    <row r="7383" spans="1:10" x14ac:dyDescent="0.35">
      <c r="A7383">
        <v>327755</v>
      </c>
      <c r="B7383" t="s">
        <v>20</v>
      </c>
      <c r="C7383">
        <v>2015</v>
      </c>
      <c r="D7383">
        <v>7</v>
      </c>
      <c r="E7383" t="s">
        <v>7</v>
      </c>
      <c r="F7383" t="s">
        <v>7</v>
      </c>
      <c r="G7383" t="s">
        <v>7</v>
      </c>
      <c r="H7383">
        <v>24905.66</v>
      </c>
      <c r="I7383">
        <v>6341.81</v>
      </c>
      <c r="J7383">
        <v>0</v>
      </c>
    </row>
    <row r="7384" spans="1:10" x14ac:dyDescent="0.35">
      <c r="A7384">
        <v>327765</v>
      </c>
      <c r="B7384" t="s">
        <v>20</v>
      </c>
      <c r="C7384">
        <v>2015</v>
      </c>
      <c r="D7384">
        <v>7</v>
      </c>
      <c r="E7384" t="s">
        <v>7</v>
      </c>
      <c r="F7384" t="s">
        <v>7</v>
      </c>
      <c r="G7384" t="s">
        <v>7</v>
      </c>
      <c r="H7384">
        <v>30906.86</v>
      </c>
      <c r="I7384">
        <v>10514.61</v>
      </c>
      <c r="J7384">
        <v>0</v>
      </c>
    </row>
    <row r="7385" spans="1:10" x14ac:dyDescent="0.35">
      <c r="A7385">
        <v>327767</v>
      </c>
      <c r="B7385" t="s">
        <v>20</v>
      </c>
      <c r="C7385">
        <v>2015</v>
      </c>
      <c r="D7385">
        <v>7</v>
      </c>
      <c r="E7385" t="s">
        <v>7</v>
      </c>
      <c r="F7385" t="s">
        <v>7</v>
      </c>
      <c r="G7385" t="s">
        <v>7</v>
      </c>
      <c r="H7385">
        <v>27414.36</v>
      </c>
      <c r="I7385">
        <v>8380.4599999999991</v>
      </c>
      <c r="J7385">
        <v>0</v>
      </c>
    </row>
    <row r="7386" spans="1:10" x14ac:dyDescent="0.35">
      <c r="A7386">
        <v>327768</v>
      </c>
      <c r="B7386" t="s">
        <v>20</v>
      </c>
      <c r="C7386">
        <v>2015</v>
      </c>
      <c r="D7386">
        <v>7</v>
      </c>
      <c r="E7386" t="s">
        <v>7</v>
      </c>
      <c r="F7386" t="s">
        <v>7</v>
      </c>
      <c r="G7386" t="s">
        <v>7</v>
      </c>
      <c r="H7386">
        <v>11857.84</v>
      </c>
      <c r="I7386">
        <v>3005.92</v>
      </c>
      <c r="J7386">
        <v>0</v>
      </c>
    </row>
    <row r="7387" spans="1:10" x14ac:dyDescent="0.35">
      <c r="A7387">
        <v>327788</v>
      </c>
      <c r="B7387" t="s">
        <v>20</v>
      </c>
      <c r="C7387">
        <v>2015</v>
      </c>
      <c r="D7387">
        <v>7</v>
      </c>
      <c r="E7387" t="s">
        <v>7</v>
      </c>
      <c r="F7387" t="s">
        <v>7</v>
      </c>
      <c r="G7387" t="s">
        <v>7</v>
      </c>
      <c r="H7387">
        <v>45239.62</v>
      </c>
      <c r="I7387">
        <v>14354.39</v>
      </c>
      <c r="J7387">
        <v>0</v>
      </c>
    </row>
    <row r="7388" spans="1:10" x14ac:dyDescent="0.35">
      <c r="A7388">
        <v>327793</v>
      </c>
      <c r="B7388" t="s">
        <v>20</v>
      </c>
      <c r="C7388">
        <v>2015</v>
      </c>
      <c r="D7388">
        <v>7</v>
      </c>
      <c r="E7388" t="s">
        <v>7</v>
      </c>
      <c r="F7388" t="s">
        <v>7</v>
      </c>
      <c r="G7388" t="s">
        <v>7</v>
      </c>
      <c r="H7388">
        <v>71605.66</v>
      </c>
      <c r="I7388">
        <v>21566.38</v>
      </c>
      <c r="J7388">
        <v>0</v>
      </c>
    </row>
    <row r="7389" spans="1:10" x14ac:dyDescent="0.35">
      <c r="A7389">
        <v>327799</v>
      </c>
      <c r="B7389" t="s">
        <v>20</v>
      </c>
      <c r="C7389">
        <v>2015</v>
      </c>
      <c r="D7389">
        <v>7</v>
      </c>
      <c r="E7389" t="s">
        <v>7</v>
      </c>
      <c r="F7389" t="s">
        <v>7</v>
      </c>
      <c r="G7389" t="s">
        <v>7</v>
      </c>
      <c r="H7389">
        <v>10716.34</v>
      </c>
      <c r="I7389">
        <v>2899.06</v>
      </c>
      <c r="J7389">
        <v>0</v>
      </c>
    </row>
    <row r="7390" spans="1:10" x14ac:dyDescent="0.35">
      <c r="A7390">
        <v>327802</v>
      </c>
      <c r="B7390" t="s">
        <v>20</v>
      </c>
      <c r="C7390">
        <v>2015</v>
      </c>
      <c r="D7390">
        <v>7</v>
      </c>
      <c r="E7390" t="s">
        <v>7</v>
      </c>
      <c r="F7390" t="s">
        <v>7</v>
      </c>
      <c r="G7390" t="s">
        <v>7</v>
      </c>
      <c r="H7390">
        <v>27161.78</v>
      </c>
      <c r="I7390">
        <v>7731.34</v>
      </c>
      <c r="J7390">
        <v>0</v>
      </c>
    </row>
    <row r="7391" spans="1:10" x14ac:dyDescent="0.35">
      <c r="A7391">
        <v>327812</v>
      </c>
      <c r="B7391" t="s">
        <v>20</v>
      </c>
      <c r="C7391">
        <v>2015</v>
      </c>
      <c r="D7391">
        <v>7</v>
      </c>
      <c r="E7391" t="s">
        <v>7</v>
      </c>
      <c r="F7391" t="s">
        <v>7</v>
      </c>
      <c r="G7391" t="s">
        <v>7</v>
      </c>
      <c r="H7391">
        <v>34233.839999999997</v>
      </c>
      <c r="I7391">
        <v>10105.09</v>
      </c>
      <c r="J7391">
        <v>0</v>
      </c>
    </row>
    <row r="7392" spans="1:10" x14ac:dyDescent="0.35">
      <c r="A7392">
        <v>327823</v>
      </c>
      <c r="B7392" t="s">
        <v>20</v>
      </c>
      <c r="C7392">
        <v>2015</v>
      </c>
      <c r="D7392">
        <v>7</v>
      </c>
      <c r="E7392" t="s">
        <v>7</v>
      </c>
      <c r="F7392" t="s">
        <v>7</v>
      </c>
      <c r="G7392" t="s">
        <v>7</v>
      </c>
      <c r="H7392">
        <v>20468.5</v>
      </c>
      <c r="I7392">
        <v>2692.62</v>
      </c>
      <c r="J7392">
        <v>0</v>
      </c>
    </row>
    <row r="7393" spans="1:10" x14ac:dyDescent="0.35">
      <c r="A7393">
        <v>327830</v>
      </c>
      <c r="B7393" t="s">
        <v>20</v>
      </c>
      <c r="C7393">
        <v>2015</v>
      </c>
      <c r="D7393">
        <v>7</v>
      </c>
      <c r="E7393" t="s">
        <v>7</v>
      </c>
      <c r="F7393" t="s">
        <v>7</v>
      </c>
      <c r="G7393" t="s">
        <v>7</v>
      </c>
      <c r="H7393">
        <v>40950.699999999997</v>
      </c>
      <c r="I7393">
        <v>11694.38</v>
      </c>
      <c r="J7393">
        <v>0</v>
      </c>
    </row>
    <row r="7394" spans="1:10" x14ac:dyDescent="0.35">
      <c r="A7394">
        <v>327836</v>
      </c>
      <c r="B7394" t="s">
        <v>20</v>
      </c>
      <c r="C7394">
        <v>2015</v>
      </c>
      <c r="D7394">
        <v>7</v>
      </c>
      <c r="E7394" t="s">
        <v>7</v>
      </c>
      <c r="F7394" t="s">
        <v>7</v>
      </c>
      <c r="G7394" t="s">
        <v>7</v>
      </c>
      <c r="H7394">
        <v>41841.379999999997</v>
      </c>
      <c r="I7394">
        <v>12685.17</v>
      </c>
      <c r="J7394">
        <v>0</v>
      </c>
    </row>
    <row r="7395" spans="1:10" x14ac:dyDescent="0.35">
      <c r="A7395">
        <v>327840</v>
      </c>
      <c r="B7395" t="s">
        <v>20</v>
      </c>
      <c r="C7395">
        <v>2015</v>
      </c>
      <c r="D7395">
        <v>7</v>
      </c>
      <c r="E7395" t="s">
        <v>7</v>
      </c>
      <c r="F7395" t="s">
        <v>7</v>
      </c>
      <c r="G7395" t="s">
        <v>7</v>
      </c>
      <c r="H7395">
        <v>27914.46</v>
      </c>
      <c r="I7395">
        <v>6761.08</v>
      </c>
      <c r="J7395">
        <v>0</v>
      </c>
    </row>
    <row r="7396" spans="1:10" x14ac:dyDescent="0.35">
      <c r="A7396">
        <v>327841</v>
      </c>
      <c r="B7396" t="s">
        <v>20</v>
      </c>
      <c r="C7396">
        <v>2015</v>
      </c>
      <c r="D7396">
        <v>7</v>
      </c>
      <c r="E7396" t="s">
        <v>7</v>
      </c>
      <c r="F7396" t="s">
        <v>7</v>
      </c>
      <c r="G7396" t="s">
        <v>7</v>
      </c>
      <c r="H7396">
        <v>12868.3</v>
      </c>
      <c r="I7396">
        <v>4372.8500000000004</v>
      </c>
      <c r="J7396">
        <v>0</v>
      </c>
    </row>
    <row r="7397" spans="1:10" x14ac:dyDescent="0.35">
      <c r="A7397">
        <v>327852</v>
      </c>
      <c r="B7397" t="s">
        <v>20</v>
      </c>
      <c r="C7397">
        <v>2015</v>
      </c>
      <c r="D7397">
        <v>7</v>
      </c>
      <c r="E7397" t="s">
        <v>7</v>
      </c>
      <c r="F7397" t="s">
        <v>7</v>
      </c>
      <c r="G7397" t="s">
        <v>7</v>
      </c>
      <c r="H7397">
        <v>23406.28</v>
      </c>
      <c r="I7397">
        <v>4357.0600000000004</v>
      </c>
      <c r="J7397">
        <v>0</v>
      </c>
    </row>
    <row r="7398" spans="1:10" x14ac:dyDescent="0.35">
      <c r="A7398">
        <v>327853</v>
      </c>
      <c r="B7398" t="s">
        <v>20</v>
      </c>
      <c r="C7398">
        <v>2015</v>
      </c>
      <c r="D7398">
        <v>7</v>
      </c>
      <c r="E7398" t="s">
        <v>7</v>
      </c>
      <c r="F7398" t="s">
        <v>7</v>
      </c>
      <c r="G7398" t="s">
        <v>7</v>
      </c>
      <c r="H7398">
        <v>52114.28</v>
      </c>
      <c r="I7398">
        <v>16068.02</v>
      </c>
      <c r="J7398">
        <v>0</v>
      </c>
    </row>
    <row r="7399" spans="1:10" x14ac:dyDescent="0.35">
      <c r="A7399">
        <v>327857</v>
      </c>
      <c r="B7399" t="s">
        <v>20</v>
      </c>
      <c r="C7399">
        <v>2015</v>
      </c>
      <c r="D7399">
        <v>7</v>
      </c>
      <c r="E7399" t="s">
        <v>7</v>
      </c>
      <c r="F7399" t="s">
        <v>7</v>
      </c>
      <c r="G7399" t="s">
        <v>7</v>
      </c>
      <c r="H7399">
        <v>29563.16</v>
      </c>
      <c r="I7399">
        <v>8831.43</v>
      </c>
      <c r="J7399">
        <v>0</v>
      </c>
    </row>
    <row r="7400" spans="1:10" x14ac:dyDescent="0.35">
      <c r="A7400">
        <v>327864</v>
      </c>
      <c r="B7400" t="s">
        <v>20</v>
      </c>
      <c r="C7400">
        <v>2015</v>
      </c>
      <c r="D7400">
        <v>7</v>
      </c>
      <c r="E7400" t="s">
        <v>7</v>
      </c>
      <c r="F7400" t="s">
        <v>7</v>
      </c>
      <c r="G7400" t="s">
        <v>7</v>
      </c>
      <c r="H7400">
        <v>9185.9</v>
      </c>
      <c r="I7400">
        <v>2439.25</v>
      </c>
      <c r="J7400">
        <v>0</v>
      </c>
    </row>
    <row r="7401" spans="1:10" x14ac:dyDescent="0.35">
      <c r="A7401">
        <v>327867</v>
      </c>
      <c r="B7401" t="s">
        <v>20</v>
      </c>
      <c r="C7401">
        <v>2015</v>
      </c>
      <c r="D7401">
        <v>7</v>
      </c>
      <c r="E7401" t="s">
        <v>7</v>
      </c>
      <c r="F7401" t="s">
        <v>7</v>
      </c>
      <c r="G7401" t="s">
        <v>7</v>
      </c>
      <c r="H7401">
        <v>17834.98</v>
      </c>
      <c r="I7401">
        <v>4690.3599999999997</v>
      </c>
      <c r="J7401">
        <v>0</v>
      </c>
    </row>
    <row r="7402" spans="1:10" x14ac:dyDescent="0.35">
      <c r="A7402">
        <v>327870</v>
      </c>
      <c r="B7402" t="s">
        <v>20</v>
      </c>
      <c r="C7402">
        <v>2015</v>
      </c>
      <c r="D7402">
        <v>7</v>
      </c>
      <c r="E7402" t="s">
        <v>7</v>
      </c>
      <c r="F7402" t="s">
        <v>7</v>
      </c>
      <c r="G7402" t="s">
        <v>7</v>
      </c>
      <c r="H7402">
        <v>11802.64</v>
      </c>
      <c r="I7402">
        <v>2702.55</v>
      </c>
      <c r="J7402">
        <v>0</v>
      </c>
    </row>
    <row r="7403" spans="1:10" x14ac:dyDescent="0.35">
      <c r="A7403">
        <v>327873</v>
      </c>
      <c r="B7403" t="s">
        <v>20</v>
      </c>
      <c r="C7403">
        <v>2015</v>
      </c>
      <c r="D7403">
        <v>7</v>
      </c>
      <c r="E7403" t="s">
        <v>7</v>
      </c>
      <c r="F7403" t="s">
        <v>7</v>
      </c>
      <c r="G7403" t="s">
        <v>7</v>
      </c>
      <c r="H7403">
        <v>41551.42</v>
      </c>
      <c r="I7403">
        <v>12051.99</v>
      </c>
      <c r="J7403">
        <v>0</v>
      </c>
    </row>
    <row r="7404" spans="1:10" x14ac:dyDescent="0.35">
      <c r="A7404">
        <v>327885</v>
      </c>
      <c r="B7404" t="s">
        <v>20</v>
      </c>
      <c r="C7404">
        <v>2015</v>
      </c>
      <c r="D7404">
        <v>7</v>
      </c>
      <c r="E7404" t="s">
        <v>7</v>
      </c>
      <c r="F7404" t="s">
        <v>7</v>
      </c>
      <c r="G7404" t="s">
        <v>7</v>
      </c>
      <c r="H7404">
        <v>147287.92000000001</v>
      </c>
      <c r="I7404">
        <v>71962.94</v>
      </c>
      <c r="J7404">
        <v>0</v>
      </c>
    </row>
    <row r="7405" spans="1:10" x14ac:dyDescent="0.35">
      <c r="A7405">
        <v>327886</v>
      </c>
      <c r="B7405" t="s">
        <v>20</v>
      </c>
      <c r="C7405">
        <v>2015</v>
      </c>
      <c r="D7405">
        <v>7</v>
      </c>
      <c r="E7405" t="s">
        <v>7</v>
      </c>
      <c r="F7405" t="s">
        <v>7</v>
      </c>
      <c r="G7405" t="s">
        <v>7</v>
      </c>
      <c r="H7405">
        <v>10215.56</v>
      </c>
      <c r="I7405">
        <v>2625.92</v>
      </c>
      <c r="J7405">
        <v>0</v>
      </c>
    </row>
    <row r="7406" spans="1:10" x14ac:dyDescent="0.35">
      <c r="A7406">
        <v>327892</v>
      </c>
      <c r="B7406" t="s">
        <v>20</v>
      </c>
      <c r="C7406">
        <v>2015</v>
      </c>
      <c r="D7406">
        <v>7</v>
      </c>
      <c r="E7406" t="s">
        <v>7</v>
      </c>
      <c r="F7406" t="s">
        <v>7</v>
      </c>
      <c r="G7406" t="s">
        <v>7</v>
      </c>
      <c r="H7406">
        <v>45001.36</v>
      </c>
      <c r="I7406">
        <v>12069.84</v>
      </c>
      <c r="J7406">
        <v>0</v>
      </c>
    </row>
    <row r="7407" spans="1:10" x14ac:dyDescent="0.35">
      <c r="A7407">
        <v>327893</v>
      </c>
      <c r="B7407" t="s">
        <v>20</v>
      </c>
      <c r="C7407">
        <v>2015</v>
      </c>
      <c r="D7407">
        <v>7</v>
      </c>
      <c r="E7407" t="s">
        <v>7</v>
      </c>
      <c r="F7407" t="s">
        <v>7</v>
      </c>
      <c r="G7407" t="s">
        <v>7</v>
      </c>
      <c r="H7407">
        <v>78874.240000000005</v>
      </c>
      <c r="I7407">
        <v>25398.3</v>
      </c>
      <c r="J7407">
        <v>0</v>
      </c>
    </row>
    <row r="7408" spans="1:10" x14ac:dyDescent="0.35">
      <c r="A7408">
        <v>327906</v>
      </c>
      <c r="B7408" t="s">
        <v>20</v>
      </c>
      <c r="C7408">
        <v>2015</v>
      </c>
      <c r="D7408">
        <v>7</v>
      </c>
      <c r="E7408" t="s">
        <v>7</v>
      </c>
      <c r="F7408" t="s">
        <v>7</v>
      </c>
      <c r="G7408" t="s">
        <v>7</v>
      </c>
      <c r="H7408">
        <v>20408.080000000002</v>
      </c>
      <c r="I7408">
        <v>6156.17</v>
      </c>
      <c r="J7408">
        <v>0</v>
      </c>
    </row>
    <row r="7409" spans="1:10" x14ac:dyDescent="0.35">
      <c r="A7409">
        <v>327908</v>
      </c>
      <c r="B7409" t="s">
        <v>20</v>
      </c>
      <c r="C7409">
        <v>2015</v>
      </c>
      <c r="D7409">
        <v>7</v>
      </c>
      <c r="E7409" t="s">
        <v>7</v>
      </c>
      <c r="F7409" t="s">
        <v>7</v>
      </c>
      <c r="G7409" t="s">
        <v>7</v>
      </c>
      <c r="H7409">
        <v>49069.72</v>
      </c>
      <c r="I7409">
        <v>15172.3</v>
      </c>
      <c r="J7409">
        <v>0</v>
      </c>
    </row>
    <row r="7410" spans="1:10" x14ac:dyDescent="0.35">
      <c r="A7410">
        <v>327920</v>
      </c>
      <c r="B7410" t="s">
        <v>20</v>
      </c>
      <c r="C7410">
        <v>2015</v>
      </c>
      <c r="D7410">
        <v>7</v>
      </c>
      <c r="E7410" t="s">
        <v>7</v>
      </c>
      <c r="F7410" t="s">
        <v>7</v>
      </c>
      <c r="G7410" t="s">
        <v>7</v>
      </c>
      <c r="H7410">
        <v>39413.760000000002</v>
      </c>
      <c r="I7410">
        <v>12542.67</v>
      </c>
      <c r="J7410">
        <v>0</v>
      </c>
    </row>
    <row r="7411" spans="1:10" x14ac:dyDescent="0.35">
      <c r="A7411">
        <v>327936</v>
      </c>
      <c r="B7411" t="s">
        <v>20</v>
      </c>
      <c r="C7411">
        <v>2015</v>
      </c>
      <c r="D7411">
        <v>7</v>
      </c>
      <c r="E7411" t="s">
        <v>7</v>
      </c>
      <c r="F7411" t="s">
        <v>7</v>
      </c>
      <c r="G7411" t="s">
        <v>7</v>
      </c>
      <c r="H7411">
        <v>13737.06</v>
      </c>
      <c r="I7411">
        <v>2595.46</v>
      </c>
      <c r="J7411">
        <v>0</v>
      </c>
    </row>
    <row r="7412" spans="1:10" x14ac:dyDescent="0.35">
      <c r="A7412">
        <v>327937</v>
      </c>
      <c r="B7412" t="s">
        <v>20</v>
      </c>
      <c r="C7412">
        <v>2015</v>
      </c>
      <c r="D7412">
        <v>7</v>
      </c>
      <c r="E7412" t="s">
        <v>7</v>
      </c>
      <c r="F7412" t="s">
        <v>7</v>
      </c>
      <c r="G7412" t="s">
        <v>7</v>
      </c>
      <c r="H7412">
        <v>93564.04</v>
      </c>
      <c r="I7412">
        <v>40132.129999999997</v>
      </c>
      <c r="J7412">
        <v>0</v>
      </c>
    </row>
    <row r="7413" spans="1:10" x14ac:dyDescent="0.35">
      <c r="A7413">
        <v>327945</v>
      </c>
      <c r="B7413" t="s">
        <v>20</v>
      </c>
      <c r="C7413">
        <v>2015</v>
      </c>
      <c r="D7413">
        <v>7</v>
      </c>
      <c r="E7413" t="s">
        <v>7</v>
      </c>
      <c r="F7413" t="s">
        <v>7</v>
      </c>
      <c r="G7413" t="s">
        <v>7</v>
      </c>
      <c r="H7413">
        <v>26740.14</v>
      </c>
      <c r="I7413">
        <v>7137.18</v>
      </c>
      <c r="J7413">
        <v>0</v>
      </c>
    </row>
    <row r="7414" spans="1:10" x14ac:dyDescent="0.35">
      <c r="A7414">
        <v>327946</v>
      </c>
      <c r="B7414" t="s">
        <v>20</v>
      </c>
      <c r="C7414">
        <v>2015</v>
      </c>
      <c r="D7414">
        <v>7</v>
      </c>
      <c r="E7414" t="s">
        <v>7</v>
      </c>
      <c r="F7414" t="s">
        <v>7</v>
      </c>
      <c r="G7414" t="s">
        <v>7</v>
      </c>
      <c r="H7414">
        <v>23754.28</v>
      </c>
      <c r="I7414">
        <v>7185.93</v>
      </c>
      <c r="J7414">
        <v>0</v>
      </c>
    </row>
    <row r="7415" spans="1:10" x14ac:dyDescent="0.35">
      <c r="A7415">
        <v>327950</v>
      </c>
      <c r="B7415" t="s">
        <v>20</v>
      </c>
      <c r="C7415">
        <v>2015</v>
      </c>
      <c r="D7415">
        <v>7</v>
      </c>
      <c r="E7415" t="s">
        <v>7</v>
      </c>
      <c r="F7415" t="s">
        <v>7</v>
      </c>
      <c r="G7415" t="s">
        <v>7</v>
      </c>
      <c r="H7415">
        <v>13498.38</v>
      </c>
      <c r="I7415">
        <v>2506.38</v>
      </c>
      <c r="J7415">
        <v>0</v>
      </c>
    </row>
    <row r="7416" spans="1:10" x14ac:dyDescent="0.35">
      <c r="A7416">
        <v>327962</v>
      </c>
      <c r="B7416" t="s">
        <v>20</v>
      </c>
      <c r="C7416">
        <v>2015</v>
      </c>
      <c r="D7416">
        <v>7</v>
      </c>
      <c r="E7416" t="s">
        <v>7</v>
      </c>
      <c r="F7416" t="s">
        <v>7</v>
      </c>
      <c r="G7416" t="s">
        <v>7</v>
      </c>
      <c r="H7416">
        <v>109982.04</v>
      </c>
      <c r="I7416">
        <v>54536.25</v>
      </c>
      <c r="J7416">
        <v>0</v>
      </c>
    </row>
    <row r="7417" spans="1:10" x14ac:dyDescent="0.35">
      <c r="A7417">
        <v>327965</v>
      </c>
      <c r="B7417" t="s">
        <v>20</v>
      </c>
      <c r="C7417">
        <v>2015</v>
      </c>
      <c r="D7417">
        <v>7</v>
      </c>
      <c r="E7417" t="s">
        <v>7</v>
      </c>
      <c r="F7417" t="s">
        <v>7</v>
      </c>
      <c r="G7417" t="s">
        <v>7</v>
      </c>
      <c r="H7417">
        <v>32771.08</v>
      </c>
      <c r="I7417">
        <v>6247.03</v>
      </c>
      <c r="J7417">
        <v>0</v>
      </c>
    </row>
    <row r="7418" spans="1:10" x14ac:dyDescent="0.35">
      <c r="A7418">
        <v>327984</v>
      </c>
      <c r="B7418" t="s">
        <v>20</v>
      </c>
      <c r="C7418">
        <v>2015</v>
      </c>
      <c r="D7418">
        <v>7</v>
      </c>
      <c r="E7418" t="s">
        <v>7</v>
      </c>
      <c r="F7418" t="s">
        <v>7</v>
      </c>
      <c r="G7418" t="s">
        <v>7</v>
      </c>
      <c r="H7418">
        <v>13649.58</v>
      </c>
      <c r="I7418">
        <v>3279.68</v>
      </c>
      <c r="J7418">
        <v>0</v>
      </c>
    </row>
    <row r="7419" spans="1:10" x14ac:dyDescent="0.35">
      <c r="A7419">
        <v>327987</v>
      </c>
      <c r="B7419" t="s">
        <v>20</v>
      </c>
      <c r="C7419">
        <v>2015</v>
      </c>
      <c r="D7419">
        <v>7</v>
      </c>
      <c r="E7419" t="s">
        <v>7</v>
      </c>
      <c r="F7419" t="s">
        <v>7</v>
      </c>
      <c r="G7419" t="s">
        <v>7</v>
      </c>
      <c r="H7419">
        <v>32248.959999999999</v>
      </c>
      <c r="I7419">
        <v>9708.6299999999992</v>
      </c>
      <c r="J7419">
        <v>0</v>
      </c>
    </row>
    <row r="7420" spans="1:10" x14ac:dyDescent="0.35">
      <c r="A7420">
        <v>327997</v>
      </c>
      <c r="B7420" t="s">
        <v>20</v>
      </c>
      <c r="C7420">
        <v>2015</v>
      </c>
      <c r="D7420">
        <v>7</v>
      </c>
      <c r="E7420" t="s">
        <v>7</v>
      </c>
      <c r="F7420" t="s">
        <v>7</v>
      </c>
      <c r="G7420" t="s">
        <v>7</v>
      </c>
      <c r="H7420">
        <v>14996.86</v>
      </c>
      <c r="I7420">
        <v>4047.01</v>
      </c>
      <c r="J7420">
        <v>0</v>
      </c>
    </row>
    <row r="7421" spans="1:10" x14ac:dyDescent="0.35">
      <c r="A7421">
        <v>328005</v>
      </c>
      <c r="B7421" t="s">
        <v>20</v>
      </c>
      <c r="C7421">
        <v>2015</v>
      </c>
      <c r="D7421">
        <v>7</v>
      </c>
      <c r="E7421" t="s">
        <v>7</v>
      </c>
      <c r="F7421" t="s">
        <v>7</v>
      </c>
      <c r="G7421" t="s">
        <v>7</v>
      </c>
      <c r="H7421">
        <v>19282.52</v>
      </c>
      <c r="I7421">
        <v>5259.32</v>
      </c>
      <c r="J7421">
        <v>0</v>
      </c>
    </row>
    <row r="7422" spans="1:10" x14ac:dyDescent="0.35">
      <c r="A7422">
        <v>328012</v>
      </c>
      <c r="B7422" t="s">
        <v>20</v>
      </c>
      <c r="C7422">
        <v>2015</v>
      </c>
      <c r="D7422">
        <v>7</v>
      </c>
      <c r="E7422" t="s">
        <v>7</v>
      </c>
      <c r="F7422" t="s">
        <v>7</v>
      </c>
      <c r="G7422" t="s">
        <v>7</v>
      </c>
      <c r="H7422">
        <v>25167.66</v>
      </c>
      <c r="I7422">
        <v>6877.91</v>
      </c>
      <c r="J7422">
        <v>0</v>
      </c>
    </row>
    <row r="7423" spans="1:10" x14ac:dyDescent="0.35">
      <c r="A7423">
        <v>328018</v>
      </c>
      <c r="B7423" t="s">
        <v>20</v>
      </c>
      <c r="C7423">
        <v>2015</v>
      </c>
      <c r="D7423">
        <v>7</v>
      </c>
      <c r="E7423" t="s">
        <v>7</v>
      </c>
      <c r="F7423" t="s">
        <v>7</v>
      </c>
      <c r="G7423" t="s">
        <v>7</v>
      </c>
      <c r="H7423">
        <v>31720.78</v>
      </c>
      <c r="I7423">
        <v>7436.98</v>
      </c>
      <c r="J7423">
        <v>0</v>
      </c>
    </row>
    <row r="7424" spans="1:10" x14ac:dyDescent="0.35">
      <c r="A7424">
        <v>328034</v>
      </c>
      <c r="B7424" t="s">
        <v>20</v>
      </c>
      <c r="C7424">
        <v>2015</v>
      </c>
      <c r="D7424">
        <v>7</v>
      </c>
      <c r="E7424" t="s">
        <v>7</v>
      </c>
      <c r="F7424" t="s">
        <v>7</v>
      </c>
      <c r="G7424" t="s">
        <v>7</v>
      </c>
      <c r="H7424">
        <v>31845.7</v>
      </c>
      <c r="I7424">
        <v>5374.39</v>
      </c>
      <c r="J7424">
        <v>0</v>
      </c>
    </row>
    <row r="7425" spans="1:10" x14ac:dyDescent="0.35">
      <c r="A7425">
        <v>328043</v>
      </c>
      <c r="B7425" t="s">
        <v>20</v>
      </c>
      <c r="C7425">
        <v>2015</v>
      </c>
      <c r="D7425">
        <v>7</v>
      </c>
      <c r="E7425" t="s">
        <v>7</v>
      </c>
      <c r="F7425" t="s">
        <v>7</v>
      </c>
      <c r="G7425" t="s">
        <v>7</v>
      </c>
      <c r="H7425">
        <v>118186.34</v>
      </c>
      <c r="I7425">
        <v>55394.29</v>
      </c>
      <c r="J7425">
        <v>0</v>
      </c>
    </row>
    <row r="7426" spans="1:10" x14ac:dyDescent="0.35">
      <c r="A7426">
        <v>328049</v>
      </c>
      <c r="B7426" t="s">
        <v>20</v>
      </c>
      <c r="C7426">
        <v>2015</v>
      </c>
      <c r="D7426">
        <v>7</v>
      </c>
      <c r="E7426" t="s">
        <v>7</v>
      </c>
      <c r="F7426" t="s">
        <v>7</v>
      </c>
      <c r="G7426" t="s">
        <v>7</v>
      </c>
      <c r="H7426">
        <v>21862.38</v>
      </c>
      <c r="I7426">
        <v>12880.67</v>
      </c>
      <c r="J7426">
        <v>0</v>
      </c>
    </row>
    <row r="7427" spans="1:10" x14ac:dyDescent="0.35">
      <c r="A7427">
        <v>328064</v>
      </c>
      <c r="B7427" t="s">
        <v>20</v>
      </c>
      <c r="C7427">
        <v>2015</v>
      </c>
      <c r="D7427">
        <v>7</v>
      </c>
      <c r="E7427" t="s">
        <v>7</v>
      </c>
      <c r="F7427" t="s">
        <v>7</v>
      </c>
      <c r="G7427" t="s">
        <v>7</v>
      </c>
      <c r="H7427">
        <v>19906.16</v>
      </c>
      <c r="I7427">
        <v>4730</v>
      </c>
      <c r="J7427">
        <v>0</v>
      </c>
    </row>
    <row r="7428" spans="1:10" x14ac:dyDescent="0.35">
      <c r="A7428">
        <v>328071</v>
      </c>
      <c r="B7428" t="s">
        <v>20</v>
      </c>
      <c r="C7428">
        <v>2015</v>
      </c>
      <c r="D7428">
        <v>7</v>
      </c>
      <c r="E7428" t="s">
        <v>7</v>
      </c>
      <c r="F7428" t="s">
        <v>7</v>
      </c>
      <c r="G7428" t="s">
        <v>7</v>
      </c>
      <c r="H7428">
        <v>17313.54</v>
      </c>
      <c r="I7428">
        <v>4403.88</v>
      </c>
      <c r="J7428">
        <v>0</v>
      </c>
    </row>
    <row r="7429" spans="1:10" x14ac:dyDescent="0.35">
      <c r="A7429">
        <v>328072</v>
      </c>
      <c r="B7429" t="s">
        <v>20</v>
      </c>
      <c r="C7429">
        <v>2015</v>
      </c>
      <c r="D7429">
        <v>7</v>
      </c>
      <c r="E7429" t="s">
        <v>7</v>
      </c>
      <c r="F7429" t="s">
        <v>7</v>
      </c>
      <c r="G7429" t="s">
        <v>7</v>
      </c>
      <c r="H7429">
        <v>321784.65999999997</v>
      </c>
      <c r="I7429">
        <v>165468.56</v>
      </c>
      <c r="J7429">
        <v>0</v>
      </c>
    </row>
    <row r="7430" spans="1:10" x14ac:dyDescent="0.35">
      <c r="A7430">
        <v>328091</v>
      </c>
      <c r="B7430" t="s">
        <v>20</v>
      </c>
      <c r="C7430">
        <v>2015</v>
      </c>
      <c r="D7430">
        <v>7</v>
      </c>
      <c r="E7430" t="s">
        <v>7</v>
      </c>
      <c r="F7430" t="s">
        <v>7</v>
      </c>
      <c r="G7430" t="s">
        <v>7</v>
      </c>
      <c r="H7430">
        <v>19028.8</v>
      </c>
      <c r="I7430">
        <v>5691.25</v>
      </c>
      <c r="J7430">
        <v>0</v>
      </c>
    </row>
    <row r="7431" spans="1:10" x14ac:dyDescent="0.35">
      <c r="A7431">
        <v>328121</v>
      </c>
      <c r="B7431" t="s">
        <v>20</v>
      </c>
      <c r="C7431">
        <v>2015</v>
      </c>
      <c r="D7431">
        <v>7</v>
      </c>
      <c r="E7431" t="s">
        <v>7</v>
      </c>
      <c r="F7431" t="s">
        <v>7</v>
      </c>
      <c r="G7431" t="s">
        <v>7</v>
      </c>
      <c r="H7431">
        <v>35402.44</v>
      </c>
      <c r="I7431">
        <v>7672.44</v>
      </c>
      <c r="J7431">
        <v>0</v>
      </c>
    </row>
    <row r="7432" spans="1:10" x14ac:dyDescent="0.35">
      <c r="A7432">
        <v>328123</v>
      </c>
      <c r="B7432" t="s">
        <v>20</v>
      </c>
      <c r="C7432">
        <v>2015</v>
      </c>
      <c r="D7432">
        <v>7</v>
      </c>
      <c r="E7432" t="s">
        <v>7</v>
      </c>
      <c r="F7432" t="s">
        <v>7</v>
      </c>
      <c r="G7432" t="s">
        <v>7</v>
      </c>
      <c r="H7432">
        <v>48234</v>
      </c>
      <c r="I7432">
        <v>23148.799999999999</v>
      </c>
      <c r="J7432">
        <v>0</v>
      </c>
    </row>
    <row r="7433" spans="1:10" x14ac:dyDescent="0.35">
      <c r="A7433">
        <v>328132</v>
      </c>
      <c r="B7433" t="s">
        <v>20</v>
      </c>
      <c r="C7433">
        <v>2015</v>
      </c>
      <c r="D7433">
        <v>7</v>
      </c>
      <c r="E7433" t="s">
        <v>7</v>
      </c>
      <c r="F7433" t="s">
        <v>7</v>
      </c>
      <c r="G7433" t="s">
        <v>7</v>
      </c>
      <c r="H7433">
        <v>29664.400000000001</v>
      </c>
      <c r="I7433">
        <v>8398.5499999999993</v>
      </c>
      <c r="J7433">
        <v>0</v>
      </c>
    </row>
    <row r="7434" spans="1:10" x14ac:dyDescent="0.35">
      <c r="A7434">
        <v>328140</v>
      </c>
      <c r="B7434" t="s">
        <v>20</v>
      </c>
      <c r="C7434">
        <v>2015</v>
      </c>
      <c r="D7434">
        <v>7</v>
      </c>
      <c r="E7434" t="s">
        <v>7</v>
      </c>
      <c r="F7434" t="s">
        <v>7</v>
      </c>
      <c r="G7434" t="s">
        <v>7</v>
      </c>
      <c r="H7434">
        <v>44757.68</v>
      </c>
      <c r="I7434">
        <v>13498.26</v>
      </c>
      <c r="J7434">
        <v>0</v>
      </c>
    </row>
    <row r="7435" spans="1:10" x14ac:dyDescent="0.35">
      <c r="A7435">
        <v>328144</v>
      </c>
      <c r="B7435" t="s">
        <v>20</v>
      </c>
      <c r="C7435">
        <v>2015</v>
      </c>
      <c r="D7435">
        <v>7</v>
      </c>
      <c r="E7435" t="s">
        <v>7</v>
      </c>
      <c r="F7435" t="s">
        <v>7</v>
      </c>
      <c r="G7435" t="s">
        <v>7</v>
      </c>
      <c r="H7435">
        <v>27979.24</v>
      </c>
      <c r="I7435">
        <v>5529.74</v>
      </c>
      <c r="J7435">
        <v>0</v>
      </c>
    </row>
    <row r="7436" spans="1:10" x14ac:dyDescent="0.35">
      <c r="A7436">
        <v>328150</v>
      </c>
      <c r="B7436" t="s">
        <v>20</v>
      </c>
      <c r="C7436">
        <v>2015</v>
      </c>
      <c r="D7436">
        <v>7</v>
      </c>
      <c r="E7436" t="s">
        <v>7</v>
      </c>
      <c r="F7436" t="s">
        <v>7</v>
      </c>
      <c r="G7436" t="s">
        <v>7</v>
      </c>
      <c r="H7436">
        <v>20052.8</v>
      </c>
      <c r="I7436">
        <v>5684.87</v>
      </c>
      <c r="J7436">
        <v>0</v>
      </c>
    </row>
    <row r="7437" spans="1:10" x14ac:dyDescent="0.35">
      <c r="A7437">
        <v>328155</v>
      </c>
      <c r="B7437" t="s">
        <v>20</v>
      </c>
      <c r="C7437">
        <v>2015</v>
      </c>
      <c r="D7437">
        <v>7</v>
      </c>
      <c r="E7437" t="s">
        <v>7</v>
      </c>
      <c r="F7437" t="s">
        <v>7</v>
      </c>
      <c r="G7437" t="s">
        <v>7</v>
      </c>
      <c r="H7437">
        <v>26270.560000000001</v>
      </c>
      <c r="I7437">
        <v>7463.51</v>
      </c>
      <c r="J7437">
        <v>0</v>
      </c>
    </row>
    <row r="7438" spans="1:10" x14ac:dyDescent="0.35">
      <c r="A7438">
        <v>328163</v>
      </c>
      <c r="B7438" t="s">
        <v>20</v>
      </c>
      <c r="C7438">
        <v>2015</v>
      </c>
      <c r="D7438">
        <v>7</v>
      </c>
      <c r="E7438" t="s">
        <v>7</v>
      </c>
      <c r="F7438" t="s">
        <v>7</v>
      </c>
      <c r="G7438" t="s">
        <v>7</v>
      </c>
      <c r="H7438">
        <v>64442.44</v>
      </c>
      <c r="I7438">
        <v>25682.880000000001</v>
      </c>
      <c r="J7438">
        <v>0</v>
      </c>
    </row>
    <row r="7439" spans="1:10" x14ac:dyDescent="0.35">
      <c r="A7439">
        <v>328178</v>
      </c>
      <c r="B7439" t="s">
        <v>20</v>
      </c>
      <c r="C7439">
        <v>2015</v>
      </c>
      <c r="D7439">
        <v>7</v>
      </c>
      <c r="E7439" t="s">
        <v>7</v>
      </c>
      <c r="F7439" t="s">
        <v>7</v>
      </c>
      <c r="G7439" t="s">
        <v>7</v>
      </c>
      <c r="H7439">
        <v>29171.42</v>
      </c>
      <c r="I7439">
        <v>8302.83</v>
      </c>
      <c r="J7439">
        <v>0</v>
      </c>
    </row>
    <row r="7440" spans="1:10" x14ac:dyDescent="0.35">
      <c r="A7440">
        <v>328181</v>
      </c>
      <c r="B7440" t="s">
        <v>20</v>
      </c>
      <c r="C7440">
        <v>2015</v>
      </c>
      <c r="D7440">
        <v>7</v>
      </c>
      <c r="E7440" t="s">
        <v>7</v>
      </c>
      <c r="F7440" t="s">
        <v>7</v>
      </c>
      <c r="G7440" t="s">
        <v>7</v>
      </c>
      <c r="H7440">
        <v>277297.65999999997</v>
      </c>
      <c r="I7440">
        <v>143515.91</v>
      </c>
      <c r="J7440">
        <v>0</v>
      </c>
    </row>
    <row r="7441" spans="1:10" x14ac:dyDescent="0.35">
      <c r="A7441">
        <v>328186</v>
      </c>
      <c r="B7441" t="s">
        <v>20</v>
      </c>
      <c r="C7441">
        <v>2015</v>
      </c>
      <c r="D7441">
        <v>7</v>
      </c>
      <c r="E7441" t="s">
        <v>7</v>
      </c>
      <c r="F7441" t="s">
        <v>7</v>
      </c>
      <c r="G7441" t="s">
        <v>7</v>
      </c>
      <c r="H7441">
        <v>105386.66</v>
      </c>
      <c r="I7441">
        <v>27239.55</v>
      </c>
      <c r="J7441">
        <v>0</v>
      </c>
    </row>
    <row r="7442" spans="1:10" x14ac:dyDescent="0.35">
      <c r="A7442">
        <v>328188</v>
      </c>
      <c r="B7442" t="s">
        <v>20</v>
      </c>
      <c r="C7442">
        <v>2015</v>
      </c>
      <c r="D7442">
        <v>7</v>
      </c>
      <c r="E7442" t="s">
        <v>7</v>
      </c>
      <c r="F7442" t="s">
        <v>7</v>
      </c>
      <c r="G7442" t="s">
        <v>7</v>
      </c>
      <c r="H7442">
        <v>111783.9</v>
      </c>
      <c r="I7442">
        <v>53676.480000000003</v>
      </c>
      <c r="J7442">
        <v>0</v>
      </c>
    </row>
    <row r="7443" spans="1:10" x14ac:dyDescent="0.35">
      <c r="A7443">
        <v>328205</v>
      </c>
      <c r="B7443" t="s">
        <v>20</v>
      </c>
      <c r="C7443">
        <v>2015</v>
      </c>
      <c r="D7443">
        <v>7</v>
      </c>
      <c r="E7443" t="s">
        <v>7</v>
      </c>
      <c r="F7443" t="s">
        <v>7</v>
      </c>
      <c r="G7443" t="s">
        <v>7</v>
      </c>
      <c r="H7443">
        <v>32470.6</v>
      </c>
      <c r="I7443">
        <v>13201.27</v>
      </c>
      <c r="J7443">
        <v>0</v>
      </c>
    </row>
    <row r="7444" spans="1:10" x14ac:dyDescent="0.35">
      <c r="A7444">
        <v>328215</v>
      </c>
      <c r="B7444" t="s">
        <v>20</v>
      </c>
      <c r="C7444">
        <v>2015</v>
      </c>
      <c r="D7444">
        <v>7</v>
      </c>
      <c r="E7444" t="s">
        <v>7</v>
      </c>
      <c r="F7444" t="s">
        <v>7</v>
      </c>
      <c r="G7444" t="s">
        <v>7</v>
      </c>
      <c r="H7444">
        <v>47169.48</v>
      </c>
      <c r="I7444">
        <v>12962.82</v>
      </c>
      <c r="J7444">
        <v>0</v>
      </c>
    </row>
    <row r="7445" spans="1:10" x14ac:dyDescent="0.35">
      <c r="A7445">
        <v>328216</v>
      </c>
      <c r="B7445" t="s">
        <v>20</v>
      </c>
      <c r="C7445">
        <v>2015</v>
      </c>
      <c r="D7445">
        <v>7</v>
      </c>
      <c r="E7445" t="s">
        <v>7</v>
      </c>
      <c r="F7445" t="s">
        <v>7</v>
      </c>
      <c r="G7445" t="s">
        <v>7</v>
      </c>
      <c r="H7445">
        <v>31216.54</v>
      </c>
      <c r="I7445">
        <v>7813.42</v>
      </c>
      <c r="J7445">
        <v>0</v>
      </c>
    </row>
    <row r="7446" spans="1:10" x14ac:dyDescent="0.35">
      <c r="A7446">
        <v>328221</v>
      </c>
      <c r="B7446" t="s">
        <v>20</v>
      </c>
      <c r="C7446">
        <v>2015</v>
      </c>
      <c r="D7446">
        <v>7</v>
      </c>
      <c r="E7446" t="s">
        <v>7</v>
      </c>
      <c r="F7446" t="s">
        <v>7</v>
      </c>
      <c r="G7446" t="s">
        <v>7</v>
      </c>
      <c r="H7446">
        <v>15881.36</v>
      </c>
      <c r="I7446">
        <v>3812.72</v>
      </c>
      <c r="J7446">
        <v>0</v>
      </c>
    </row>
    <row r="7447" spans="1:10" x14ac:dyDescent="0.35">
      <c r="A7447">
        <v>328225</v>
      </c>
      <c r="B7447" t="s">
        <v>20</v>
      </c>
      <c r="C7447">
        <v>2015</v>
      </c>
      <c r="D7447">
        <v>7</v>
      </c>
      <c r="E7447" t="s">
        <v>7</v>
      </c>
      <c r="F7447" t="s">
        <v>7</v>
      </c>
      <c r="G7447" t="s">
        <v>7</v>
      </c>
      <c r="H7447">
        <v>31779.84</v>
      </c>
      <c r="I7447">
        <v>9254.1299999999992</v>
      </c>
      <c r="J7447">
        <v>0</v>
      </c>
    </row>
    <row r="7448" spans="1:10" x14ac:dyDescent="0.35">
      <c r="A7448">
        <v>328229</v>
      </c>
      <c r="B7448" t="s">
        <v>20</v>
      </c>
      <c r="C7448">
        <v>2015</v>
      </c>
      <c r="D7448">
        <v>7</v>
      </c>
      <c r="E7448" t="s">
        <v>7</v>
      </c>
      <c r="F7448" t="s">
        <v>7</v>
      </c>
      <c r="G7448" t="s">
        <v>7</v>
      </c>
      <c r="H7448">
        <v>38776.28</v>
      </c>
      <c r="I7448">
        <v>20232.669999999998</v>
      </c>
      <c r="J7448">
        <v>0</v>
      </c>
    </row>
    <row r="7449" spans="1:10" x14ac:dyDescent="0.35">
      <c r="A7449">
        <v>328236</v>
      </c>
      <c r="B7449" t="s">
        <v>20</v>
      </c>
      <c r="C7449">
        <v>2015</v>
      </c>
      <c r="D7449">
        <v>7</v>
      </c>
      <c r="E7449" t="s">
        <v>7</v>
      </c>
      <c r="F7449" t="s">
        <v>7</v>
      </c>
      <c r="G7449" t="s">
        <v>7</v>
      </c>
      <c r="H7449">
        <v>13436.54</v>
      </c>
      <c r="I7449">
        <v>2758.87</v>
      </c>
      <c r="J7449">
        <v>0</v>
      </c>
    </row>
    <row r="7450" spans="1:10" x14ac:dyDescent="0.35">
      <c r="A7450">
        <v>328240</v>
      </c>
      <c r="B7450" t="s">
        <v>20</v>
      </c>
      <c r="C7450">
        <v>2015</v>
      </c>
      <c r="D7450">
        <v>7</v>
      </c>
      <c r="E7450" t="s">
        <v>7</v>
      </c>
      <c r="F7450" t="s">
        <v>7</v>
      </c>
      <c r="G7450" t="s">
        <v>7</v>
      </c>
      <c r="H7450">
        <v>28820.639999999999</v>
      </c>
      <c r="I7450">
        <v>7771.27</v>
      </c>
      <c r="J7450">
        <v>0</v>
      </c>
    </row>
    <row r="7451" spans="1:10" x14ac:dyDescent="0.35">
      <c r="A7451">
        <v>328259</v>
      </c>
      <c r="B7451" t="s">
        <v>20</v>
      </c>
      <c r="C7451">
        <v>2015</v>
      </c>
      <c r="D7451">
        <v>7</v>
      </c>
      <c r="E7451" t="s">
        <v>7</v>
      </c>
      <c r="F7451" t="s">
        <v>7</v>
      </c>
      <c r="G7451" t="s">
        <v>7</v>
      </c>
      <c r="H7451">
        <v>48250.92</v>
      </c>
      <c r="I7451">
        <v>21997.35</v>
      </c>
      <c r="J7451">
        <v>0</v>
      </c>
    </row>
    <row r="7452" spans="1:10" x14ac:dyDescent="0.35">
      <c r="A7452">
        <v>328278</v>
      </c>
      <c r="B7452" t="s">
        <v>20</v>
      </c>
      <c r="C7452">
        <v>2015</v>
      </c>
      <c r="D7452">
        <v>7</v>
      </c>
      <c r="E7452" t="s">
        <v>7</v>
      </c>
      <c r="F7452" t="s">
        <v>7</v>
      </c>
      <c r="G7452" t="s">
        <v>7</v>
      </c>
      <c r="H7452">
        <v>52733.279999999999</v>
      </c>
      <c r="I7452">
        <v>15322.51</v>
      </c>
      <c r="J7452">
        <v>0</v>
      </c>
    </row>
    <row r="7453" spans="1:10" x14ac:dyDescent="0.35">
      <c r="A7453">
        <v>328286</v>
      </c>
      <c r="B7453" t="s">
        <v>20</v>
      </c>
      <c r="C7453">
        <v>2015</v>
      </c>
      <c r="D7453">
        <v>7</v>
      </c>
      <c r="E7453" t="s">
        <v>7</v>
      </c>
      <c r="F7453" t="s">
        <v>7</v>
      </c>
      <c r="G7453" t="s">
        <v>7</v>
      </c>
      <c r="H7453">
        <v>10421.68</v>
      </c>
      <c r="I7453">
        <v>2746.02</v>
      </c>
      <c r="J7453">
        <v>0</v>
      </c>
    </row>
    <row r="7454" spans="1:10" x14ac:dyDescent="0.35">
      <c r="A7454">
        <v>328292</v>
      </c>
      <c r="B7454" t="s">
        <v>20</v>
      </c>
      <c r="C7454">
        <v>2015</v>
      </c>
      <c r="D7454">
        <v>7</v>
      </c>
      <c r="E7454" t="s">
        <v>7</v>
      </c>
      <c r="F7454" t="s">
        <v>7</v>
      </c>
      <c r="G7454" t="s">
        <v>7</v>
      </c>
      <c r="H7454">
        <v>48028.28</v>
      </c>
      <c r="I7454">
        <v>17169.61</v>
      </c>
      <c r="J7454">
        <v>0</v>
      </c>
    </row>
    <row r="7455" spans="1:10" x14ac:dyDescent="0.35">
      <c r="A7455">
        <v>328297</v>
      </c>
      <c r="B7455" t="s">
        <v>20</v>
      </c>
      <c r="C7455">
        <v>2015</v>
      </c>
      <c r="D7455">
        <v>7</v>
      </c>
      <c r="E7455" t="s">
        <v>7</v>
      </c>
      <c r="F7455" t="s">
        <v>7</v>
      </c>
      <c r="G7455" t="s">
        <v>7</v>
      </c>
      <c r="H7455">
        <v>14277.88</v>
      </c>
      <c r="I7455">
        <v>3223.78</v>
      </c>
      <c r="J7455">
        <v>0</v>
      </c>
    </row>
    <row r="7456" spans="1:10" x14ac:dyDescent="0.35">
      <c r="A7456">
        <v>328309</v>
      </c>
      <c r="B7456" t="s">
        <v>20</v>
      </c>
      <c r="C7456">
        <v>2015</v>
      </c>
      <c r="D7456">
        <v>7</v>
      </c>
      <c r="E7456" t="s">
        <v>7</v>
      </c>
      <c r="F7456" t="s">
        <v>7</v>
      </c>
      <c r="G7456" t="s">
        <v>7</v>
      </c>
      <c r="H7456">
        <v>18573.36</v>
      </c>
      <c r="I7456">
        <v>4860.04</v>
      </c>
      <c r="J7456">
        <v>0</v>
      </c>
    </row>
    <row r="7457" spans="1:10" x14ac:dyDescent="0.35">
      <c r="A7457">
        <v>328315</v>
      </c>
      <c r="B7457" t="s">
        <v>20</v>
      </c>
      <c r="C7457">
        <v>2015</v>
      </c>
      <c r="D7457">
        <v>7</v>
      </c>
      <c r="E7457" t="s">
        <v>7</v>
      </c>
      <c r="F7457" t="s">
        <v>7</v>
      </c>
      <c r="G7457" t="s">
        <v>7</v>
      </c>
      <c r="H7457">
        <v>24777.38</v>
      </c>
      <c r="I7457">
        <v>6529.28</v>
      </c>
      <c r="J7457">
        <v>0</v>
      </c>
    </row>
    <row r="7458" spans="1:10" x14ac:dyDescent="0.35">
      <c r="A7458">
        <v>328322</v>
      </c>
      <c r="B7458" t="s">
        <v>20</v>
      </c>
      <c r="C7458">
        <v>2015</v>
      </c>
      <c r="D7458">
        <v>7</v>
      </c>
      <c r="E7458" t="s">
        <v>7</v>
      </c>
      <c r="F7458" t="s">
        <v>7</v>
      </c>
      <c r="G7458" t="s">
        <v>7</v>
      </c>
      <c r="H7458">
        <v>9059.7199999999993</v>
      </c>
      <c r="I7458">
        <v>2480.8200000000002</v>
      </c>
      <c r="J7458">
        <v>0</v>
      </c>
    </row>
    <row r="7459" spans="1:10" x14ac:dyDescent="0.35">
      <c r="A7459">
        <v>328340</v>
      </c>
      <c r="B7459" t="s">
        <v>20</v>
      </c>
      <c r="C7459">
        <v>2015</v>
      </c>
      <c r="D7459">
        <v>7</v>
      </c>
      <c r="E7459" t="s">
        <v>7</v>
      </c>
      <c r="F7459" t="s">
        <v>7</v>
      </c>
      <c r="G7459" t="s">
        <v>7</v>
      </c>
      <c r="H7459">
        <v>45021.34</v>
      </c>
      <c r="I7459">
        <v>13328.37</v>
      </c>
      <c r="J7459">
        <v>0</v>
      </c>
    </row>
    <row r="7460" spans="1:10" x14ac:dyDescent="0.35">
      <c r="A7460">
        <v>328346</v>
      </c>
      <c r="B7460" t="s">
        <v>20</v>
      </c>
      <c r="C7460">
        <v>2015</v>
      </c>
      <c r="D7460">
        <v>7</v>
      </c>
      <c r="E7460" t="s">
        <v>7</v>
      </c>
      <c r="F7460" t="s">
        <v>7</v>
      </c>
      <c r="G7460" t="s">
        <v>7</v>
      </c>
      <c r="H7460">
        <v>32929.96</v>
      </c>
      <c r="I7460">
        <v>9874.43</v>
      </c>
      <c r="J7460">
        <v>0</v>
      </c>
    </row>
    <row r="7461" spans="1:10" x14ac:dyDescent="0.35">
      <c r="A7461">
        <v>328349</v>
      </c>
      <c r="B7461" t="s">
        <v>20</v>
      </c>
      <c r="C7461">
        <v>2015</v>
      </c>
      <c r="D7461">
        <v>7</v>
      </c>
      <c r="E7461" t="s">
        <v>7</v>
      </c>
      <c r="F7461" t="s">
        <v>7</v>
      </c>
      <c r="G7461" t="s">
        <v>7</v>
      </c>
      <c r="H7461">
        <v>39542.1</v>
      </c>
      <c r="I7461">
        <v>12349.18</v>
      </c>
      <c r="J7461">
        <v>0</v>
      </c>
    </row>
    <row r="7462" spans="1:10" x14ac:dyDescent="0.35">
      <c r="A7462">
        <v>328359</v>
      </c>
      <c r="B7462" t="s">
        <v>20</v>
      </c>
      <c r="C7462">
        <v>2015</v>
      </c>
      <c r="D7462">
        <v>7</v>
      </c>
      <c r="E7462" t="s">
        <v>7</v>
      </c>
      <c r="F7462" t="s">
        <v>7</v>
      </c>
      <c r="G7462" t="s">
        <v>7</v>
      </c>
      <c r="H7462">
        <v>19113.12</v>
      </c>
      <c r="I7462">
        <v>5074</v>
      </c>
      <c r="J7462">
        <v>0</v>
      </c>
    </row>
    <row r="7463" spans="1:10" x14ac:dyDescent="0.35">
      <c r="A7463">
        <v>328370</v>
      </c>
      <c r="B7463" t="s">
        <v>20</v>
      </c>
      <c r="C7463">
        <v>2015</v>
      </c>
      <c r="D7463">
        <v>7</v>
      </c>
      <c r="E7463" t="s">
        <v>7</v>
      </c>
      <c r="F7463" t="s">
        <v>7</v>
      </c>
      <c r="G7463" t="s">
        <v>7</v>
      </c>
      <c r="H7463">
        <v>39736.660000000003</v>
      </c>
      <c r="I7463">
        <v>11269.7</v>
      </c>
      <c r="J7463">
        <v>0</v>
      </c>
    </row>
    <row r="7464" spans="1:10" x14ac:dyDescent="0.35">
      <c r="A7464">
        <v>328375</v>
      </c>
      <c r="B7464" t="s">
        <v>20</v>
      </c>
      <c r="C7464">
        <v>2015</v>
      </c>
      <c r="D7464">
        <v>7</v>
      </c>
      <c r="E7464" t="s">
        <v>7</v>
      </c>
      <c r="F7464" t="s">
        <v>7</v>
      </c>
      <c r="G7464" t="s">
        <v>7</v>
      </c>
      <c r="H7464">
        <v>24697.52</v>
      </c>
      <c r="I7464">
        <v>6628.92</v>
      </c>
      <c r="J7464">
        <v>0</v>
      </c>
    </row>
    <row r="7465" spans="1:10" x14ac:dyDescent="0.35">
      <c r="A7465">
        <v>328384</v>
      </c>
      <c r="B7465" t="s">
        <v>20</v>
      </c>
      <c r="C7465">
        <v>2015</v>
      </c>
      <c r="D7465">
        <v>7</v>
      </c>
      <c r="E7465" t="s">
        <v>7</v>
      </c>
      <c r="F7465" t="s">
        <v>7</v>
      </c>
      <c r="G7465" t="s">
        <v>7</v>
      </c>
      <c r="H7465">
        <v>22145.919999999998</v>
      </c>
      <c r="I7465">
        <v>5353.9</v>
      </c>
      <c r="J7465">
        <v>0</v>
      </c>
    </row>
    <row r="7466" spans="1:10" x14ac:dyDescent="0.35">
      <c r="A7466">
        <v>328388</v>
      </c>
      <c r="B7466" t="s">
        <v>20</v>
      </c>
      <c r="C7466">
        <v>2015</v>
      </c>
      <c r="D7466">
        <v>7</v>
      </c>
      <c r="E7466" t="s">
        <v>7</v>
      </c>
      <c r="F7466" t="s">
        <v>7</v>
      </c>
      <c r="G7466" t="s">
        <v>7</v>
      </c>
      <c r="H7466">
        <v>20829.84</v>
      </c>
      <c r="I7466">
        <v>4938.66</v>
      </c>
      <c r="J7466">
        <v>0</v>
      </c>
    </row>
    <row r="7467" spans="1:10" x14ac:dyDescent="0.35">
      <c r="A7467">
        <v>328399</v>
      </c>
      <c r="B7467" t="s">
        <v>20</v>
      </c>
      <c r="C7467">
        <v>2015</v>
      </c>
      <c r="D7467">
        <v>7</v>
      </c>
      <c r="E7467" t="s">
        <v>7</v>
      </c>
      <c r="F7467" t="s">
        <v>7</v>
      </c>
      <c r="G7467" t="s">
        <v>7</v>
      </c>
      <c r="H7467">
        <v>15771.48</v>
      </c>
      <c r="I7467">
        <v>4646.38</v>
      </c>
      <c r="J7467">
        <v>0</v>
      </c>
    </row>
    <row r="7468" spans="1:10" x14ac:dyDescent="0.35">
      <c r="A7468">
        <v>328414</v>
      </c>
      <c r="B7468" t="s">
        <v>20</v>
      </c>
      <c r="C7468">
        <v>2015</v>
      </c>
      <c r="D7468">
        <v>7</v>
      </c>
      <c r="E7468" t="s">
        <v>7</v>
      </c>
      <c r="F7468" t="s">
        <v>7</v>
      </c>
      <c r="G7468" t="s">
        <v>7</v>
      </c>
      <c r="H7468">
        <v>47518.400000000001</v>
      </c>
      <c r="I7468">
        <v>13592.04</v>
      </c>
      <c r="J7468">
        <v>0</v>
      </c>
    </row>
    <row r="7469" spans="1:10" x14ac:dyDescent="0.35">
      <c r="A7469">
        <v>328418</v>
      </c>
      <c r="B7469" t="s">
        <v>20</v>
      </c>
      <c r="C7469">
        <v>2015</v>
      </c>
      <c r="D7469">
        <v>7</v>
      </c>
      <c r="E7469" t="s">
        <v>7</v>
      </c>
      <c r="F7469" t="s">
        <v>7</v>
      </c>
      <c r="G7469" t="s">
        <v>7</v>
      </c>
      <c r="H7469">
        <v>16902.52</v>
      </c>
      <c r="I7469">
        <v>3270.91</v>
      </c>
      <c r="J7469">
        <v>0</v>
      </c>
    </row>
    <row r="7470" spans="1:10" x14ac:dyDescent="0.35">
      <c r="A7470">
        <v>328425</v>
      </c>
      <c r="B7470" t="s">
        <v>20</v>
      </c>
      <c r="C7470">
        <v>2015</v>
      </c>
      <c r="D7470">
        <v>7</v>
      </c>
      <c r="E7470" t="s">
        <v>7</v>
      </c>
      <c r="F7470" t="s">
        <v>7</v>
      </c>
      <c r="G7470" t="s">
        <v>7</v>
      </c>
      <c r="H7470">
        <v>27239.64</v>
      </c>
      <c r="I7470">
        <v>8009.72</v>
      </c>
      <c r="J7470">
        <v>0</v>
      </c>
    </row>
    <row r="7471" spans="1:10" x14ac:dyDescent="0.35">
      <c r="A7471">
        <v>328433</v>
      </c>
      <c r="B7471" t="s">
        <v>20</v>
      </c>
      <c r="C7471">
        <v>2015</v>
      </c>
      <c r="D7471">
        <v>7</v>
      </c>
      <c r="E7471" t="s">
        <v>7</v>
      </c>
      <c r="F7471" t="s">
        <v>7</v>
      </c>
      <c r="G7471" t="s">
        <v>7</v>
      </c>
      <c r="H7471">
        <v>46363.199999999997</v>
      </c>
      <c r="I7471">
        <v>13521.8</v>
      </c>
      <c r="J7471">
        <v>0</v>
      </c>
    </row>
    <row r="7472" spans="1:10" x14ac:dyDescent="0.35">
      <c r="A7472">
        <v>328436</v>
      </c>
      <c r="B7472" t="s">
        <v>20</v>
      </c>
      <c r="C7472">
        <v>2015</v>
      </c>
      <c r="D7472">
        <v>7</v>
      </c>
      <c r="E7472" t="s">
        <v>7</v>
      </c>
      <c r="F7472" t="s">
        <v>7</v>
      </c>
      <c r="G7472" t="s">
        <v>7</v>
      </c>
      <c r="H7472">
        <v>25731.54</v>
      </c>
      <c r="I7472">
        <v>6534.69</v>
      </c>
      <c r="J7472">
        <v>0</v>
      </c>
    </row>
    <row r="7473" spans="1:10" x14ac:dyDescent="0.35">
      <c r="A7473">
        <v>328445</v>
      </c>
      <c r="B7473" t="s">
        <v>20</v>
      </c>
      <c r="C7473">
        <v>2015</v>
      </c>
      <c r="D7473">
        <v>7</v>
      </c>
      <c r="E7473" t="s">
        <v>7</v>
      </c>
      <c r="F7473" t="s">
        <v>7</v>
      </c>
      <c r="G7473" t="s">
        <v>7</v>
      </c>
      <c r="H7473">
        <v>10517.18</v>
      </c>
      <c r="I7473">
        <v>2809.47</v>
      </c>
      <c r="J7473">
        <v>0</v>
      </c>
    </row>
    <row r="7474" spans="1:10" x14ac:dyDescent="0.35">
      <c r="A7474">
        <v>328448</v>
      </c>
      <c r="B7474" t="s">
        <v>20</v>
      </c>
      <c r="C7474">
        <v>2015</v>
      </c>
      <c r="D7474">
        <v>7</v>
      </c>
      <c r="E7474" t="s">
        <v>7</v>
      </c>
      <c r="F7474" t="s">
        <v>7</v>
      </c>
      <c r="G7474" t="s">
        <v>7</v>
      </c>
      <c r="H7474">
        <v>17536.02</v>
      </c>
      <c r="I7474">
        <v>5455.05</v>
      </c>
      <c r="J7474">
        <v>0</v>
      </c>
    </row>
    <row r="7475" spans="1:10" x14ac:dyDescent="0.35">
      <c r="A7475">
        <v>328454</v>
      </c>
      <c r="B7475" t="s">
        <v>20</v>
      </c>
      <c r="C7475">
        <v>2015</v>
      </c>
      <c r="D7475">
        <v>7</v>
      </c>
      <c r="E7475" t="s">
        <v>7</v>
      </c>
      <c r="F7475" t="s">
        <v>7</v>
      </c>
      <c r="G7475" t="s">
        <v>7</v>
      </c>
      <c r="H7475">
        <v>18516.3</v>
      </c>
      <c r="I7475">
        <v>5630.16</v>
      </c>
      <c r="J7475">
        <v>0</v>
      </c>
    </row>
    <row r="7476" spans="1:10" x14ac:dyDescent="0.35">
      <c r="A7476">
        <v>328474</v>
      </c>
      <c r="B7476" t="s">
        <v>20</v>
      </c>
      <c r="C7476">
        <v>2015</v>
      </c>
      <c r="D7476">
        <v>7</v>
      </c>
      <c r="E7476" t="s">
        <v>7</v>
      </c>
      <c r="F7476" t="s">
        <v>7</v>
      </c>
      <c r="G7476" t="s">
        <v>7</v>
      </c>
      <c r="H7476">
        <v>40059.199999999997</v>
      </c>
      <c r="I7476">
        <v>14947.66</v>
      </c>
      <c r="J7476">
        <v>0</v>
      </c>
    </row>
    <row r="7477" spans="1:10" x14ac:dyDescent="0.35">
      <c r="A7477">
        <v>328481</v>
      </c>
      <c r="B7477" t="s">
        <v>20</v>
      </c>
      <c r="C7477">
        <v>2015</v>
      </c>
      <c r="D7477">
        <v>7</v>
      </c>
      <c r="E7477" t="s">
        <v>7</v>
      </c>
      <c r="F7477" t="s">
        <v>7</v>
      </c>
      <c r="G7477" t="s">
        <v>7</v>
      </c>
      <c r="H7477">
        <v>33298.720000000001</v>
      </c>
      <c r="I7477">
        <v>9216.6299999999992</v>
      </c>
      <c r="J7477">
        <v>0</v>
      </c>
    </row>
    <row r="7478" spans="1:10" x14ac:dyDescent="0.35">
      <c r="A7478">
        <v>328491</v>
      </c>
      <c r="B7478" t="s">
        <v>20</v>
      </c>
      <c r="C7478">
        <v>2015</v>
      </c>
      <c r="D7478">
        <v>7</v>
      </c>
      <c r="E7478" t="s">
        <v>7</v>
      </c>
      <c r="F7478" t="s">
        <v>7</v>
      </c>
      <c r="G7478" t="s">
        <v>7</v>
      </c>
      <c r="H7478">
        <v>35326.019999999997</v>
      </c>
      <c r="I7478">
        <v>9724.75</v>
      </c>
      <c r="J7478">
        <v>0</v>
      </c>
    </row>
    <row r="7479" spans="1:10" x14ac:dyDescent="0.35">
      <c r="A7479">
        <v>328501</v>
      </c>
      <c r="B7479" t="s">
        <v>20</v>
      </c>
      <c r="C7479">
        <v>2015</v>
      </c>
      <c r="D7479">
        <v>7</v>
      </c>
      <c r="E7479" t="s">
        <v>7</v>
      </c>
      <c r="F7479" t="s">
        <v>7</v>
      </c>
      <c r="G7479" t="s">
        <v>7</v>
      </c>
      <c r="H7479">
        <v>12347.54</v>
      </c>
      <c r="I7479">
        <v>2908.19</v>
      </c>
      <c r="J7479">
        <v>0</v>
      </c>
    </row>
    <row r="7480" spans="1:10" x14ac:dyDescent="0.35">
      <c r="A7480">
        <v>328502</v>
      </c>
      <c r="B7480" t="s">
        <v>20</v>
      </c>
      <c r="C7480">
        <v>2015</v>
      </c>
      <c r="D7480">
        <v>7</v>
      </c>
      <c r="E7480" t="s">
        <v>7</v>
      </c>
      <c r="F7480" t="s">
        <v>7</v>
      </c>
      <c r="G7480" t="s">
        <v>7</v>
      </c>
      <c r="H7480">
        <v>11672.64</v>
      </c>
      <c r="I7480">
        <v>2996.95</v>
      </c>
      <c r="J7480">
        <v>0</v>
      </c>
    </row>
    <row r="7481" spans="1:10" x14ac:dyDescent="0.35">
      <c r="A7481">
        <v>328510</v>
      </c>
      <c r="B7481" t="s">
        <v>20</v>
      </c>
      <c r="C7481">
        <v>2015</v>
      </c>
      <c r="D7481">
        <v>7</v>
      </c>
      <c r="E7481" t="s">
        <v>7</v>
      </c>
      <c r="F7481" t="s">
        <v>7</v>
      </c>
      <c r="G7481" t="s">
        <v>7</v>
      </c>
      <c r="H7481">
        <v>29795.24</v>
      </c>
      <c r="I7481">
        <v>8771.7999999999993</v>
      </c>
      <c r="J7481">
        <v>0</v>
      </c>
    </row>
    <row r="7482" spans="1:10" x14ac:dyDescent="0.35">
      <c r="A7482">
        <v>328522</v>
      </c>
      <c r="B7482" t="s">
        <v>20</v>
      </c>
      <c r="C7482">
        <v>2015</v>
      </c>
      <c r="D7482">
        <v>7</v>
      </c>
      <c r="E7482" t="s">
        <v>7</v>
      </c>
      <c r="F7482" t="s">
        <v>7</v>
      </c>
      <c r="G7482" t="s">
        <v>7</v>
      </c>
      <c r="H7482">
        <v>12169.32</v>
      </c>
      <c r="I7482">
        <v>2793.98</v>
      </c>
      <c r="J7482">
        <v>0</v>
      </c>
    </row>
    <row r="7483" spans="1:10" x14ac:dyDescent="0.35">
      <c r="A7483">
        <v>328526</v>
      </c>
      <c r="B7483" t="s">
        <v>20</v>
      </c>
      <c r="C7483">
        <v>2015</v>
      </c>
      <c r="D7483">
        <v>7</v>
      </c>
      <c r="E7483" t="s">
        <v>7</v>
      </c>
      <c r="F7483" t="s">
        <v>7</v>
      </c>
      <c r="G7483" t="s">
        <v>7</v>
      </c>
      <c r="H7483">
        <v>29645.200000000001</v>
      </c>
      <c r="I7483">
        <v>8717.1</v>
      </c>
      <c r="J7483">
        <v>0</v>
      </c>
    </row>
    <row r="7484" spans="1:10" x14ac:dyDescent="0.35">
      <c r="A7484">
        <v>328533</v>
      </c>
      <c r="B7484" t="s">
        <v>20</v>
      </c>
      <c r="C7484">
        <v>2015</v>
      </c>
      <c r="D7484">
        <v>7</v>
      </c>
      <c r="E7484" t="s">
        <v>7</v>
      </c>
      <c r="F7484" t="s">
        <v>7</v>
      </c>
      <c r="G7484" t="s">
        <v>7</v>
      </c>
      <c r="H7484">
        <v>21821</v>
      </c>
      <c r="I7484">
        <v>5458.11</v>
      </c>
      <c r="J7484">
        <v>0</v>
      </c>
    </row>
    <row r="7485" spans="1:10" x14ac:dyDescent="0.35">
      <c r="A7485">
        <v>328559</v>
      </c>
      <c r="B7485" t="s">
        <v>20</v>
      </c>
      <c r="C7485">
        <v>2015</v>
      </c>
      <c r="D7485">
        <v>7</v>
      </c>
      <c r="E7485" t="s">
        <v>7</v>
      </c>
      <c r="F7485" t="s">
        <v>7</v>
      </c>
      <c r="G7485" t="s">
        <v>7</v>
      </c>
      <c r="H7485">
        <v>21883.119999999999</v>
      </c>
      <c r="I7485">
        <v>4104.1000000000004</v>
      </c>
      <c r="J7485">
        <v>0</v>
      </c>
    </row>
    <row r="7486" spans="1:10" x14ac:dyDescent="0.35">
      <c r="A7486">
        <v>328564</v>
      </c>
      <c r="B7486" t="s">
        <v>20</v>
      </c>
      <c r="C7486">
        <v>2015</v>
      </c>
      <c r="D7486">
        <v>7</v>
      </c>
      <c r="E7486" t="s">
        <v>7</v>
      </c>
      <c r="F7486" t="s">
        <v>7</v>
      </c>
      <c r="G7486" t="s">
        <v>7</v>
      </c>
      <c r="H7486">
        <v>23885.48</v>
      </c>
      <c r="I7486">
        <v>7534.61</v>
      </c>
      <c r="J7486">
        <v>0</v>
      </c>
    </row>
    <row r="7487" spans="1:10" x14ac:dyDescent="0.35">
      <c r="A7487">
        <v>328571</v>
      </c>
      <c r="B7487" t="s">
        <v>20</v>
      </c>
      <c r="C7487">
        <v>2015</v>
      </c>
      <c r="D7487">
        <v>7</v>
      </c>
      <c r="E7487" t="s">
        <v>7</v>
      </c>
      <c r="F7487" t="s">
        <v>7</v>
      </c>
      <c r="G7487" t="s">
        <v>7</v>
      </c>
      <c r="H7487">
        <v>31049.040000000001</v>
      </c>
      <c r="I7487">
        <v>9877.52</v>
      </c>
      <c r="J7487">
        <v>0</v>
      </c>
    </row>
    <row r="7488" spans="1:10" x14ac:dyDescent="0.35">
      <c r="A7488">
        <v>328572</v>
      </c>
      <c r="B7488" t="s">
        <v>20</v>
      </c>
      <c r="C7488">
        <v>2015</v>
      </c>
      <c r="D7488">
        <v>7</v>
      </c>
      <c r="E7488" t="s">
        <v>7</v>
      </c>
      <c r="F7488" t="s">
        <v>7</v>
      </c>
      <c r="G7488" t="s">
        <v>7</v>
      </c>
      <c r="H7488">
        <v>35657.22</v>
      </c>
      <c r="I7488">
        <v>10438.07</v>
      </c>
      <c r="J7488">
        <v>0</v>
      </c>
    </row>
    <row r="7489" spans="1:10" x14ac:dyDescent="0.35">
      <c r="A7489">
        <v>328580</v>
      </c>
      <c r="B7489" t="s">
        <v>20</v>
      </c>
      <c r="C7489">
        <v>2015</v>
      </c>
      <c r="D7489">
        <v>7</v>
      </c>
      <c r="E7489" t="s">
        <v>7</v>
      </c>
      <c r="F7489" t="s">
        <v>7</v>
      </c>
      <c r="G7489" t="s">
        <v>7</v>
      </c>
      <c r="H7489">
        <v>12318.02</v>
      </c>
      <c r="I7489">
        <v>3391.97</v>
      </c>
      <c r="J7489">
        <v>0</v>
      </c>
    </row>
    <row r="7490" spans="1:10" x14ac:dyDescent="0.35">
      <c r="A7490">
        <v>328584</v>
      </c>
      <c r="B7490" t="s">
        <v>20</v>
      </c>
      <c r="C7490">
        <v>2015</v>
      </c>
      <c r="D7490">
        <v>7</v>
      </c>
      <c r="E7490" t="s">
        <v>7</v>
      </c>
      <c r="F7490" t="s">
        <v>7</v>
      </c>
      <c r="G7490" t="s">
        <v>7</v>
      </c>
      <c r="H7490">
        <v>21636.76</v>
      </c>
      <c r="I7490">
        <v>2998.8</v>
      </c>
      <c r="J7490">
        <v>0</v>
      </c>
    </row>
    <row r="7491" spans="1:10" x14ac:dyDescent="0.35">
      <c r="A7491">
        <v>328591</v>
      </c>
      <c r="B7491" t="s">
        <v>20</v>
      </c>
      <c r="C7491">
        <v>2015</v>
      </c>
      <c r="D7491">
        <v>7</v>
      </c>
      <c r="E7491" t="s">
        <v>7</v>
      </c>
      <c r="F7491" t="s">
        <v>7</v>
      </c>
      <c r="G7491" t="s">
        <v>7</v>
      </c>
      <c r="H7491">
        <v>61486.78</v>
      </c>
      <c r="I7491">
        <v>18871.599999999999</v>
      </c>
      <c r="J7491">
        <v>0</v>
      </c>
    </row>
    <row r="7492" spans="1:10" x14ac:dyDescent="0.35">
      <c r="A7492">
        <v>328595</v>
      </c>
      <c r="B7492" t="s">
        <v>20</v>
      </c>
      <c r="C7492">
        <v>2015</v>
      </c>
      <c r="D7492">
        <v>7</v>
      </c>
      <c r="E7492" t="s">
        <v>7</v>
      </c>
      <c r="F7492" t="s">
        <v>7</v>
      </c>
      <c r="G7492" t="s">
        <v>7</v>
      </c>
      <c r="H7492">
        <v>32641.86</v>
      </c>
      <c r="I7492">
        <v>8328.67</v>
      </c>
      <c r="J7492">
        <v>0</v>
      </c>
    </row>
    <row r="7493" spans="1:10" x14ac:dyDescent="0.35">
      <c r="A7493">
        <v>328607</v>
      </c>
      <c r="B7493" t="s">
        <v>20</v>
      </c>
      <c r="C7493">
        <v>2015</v>
      </c>
      <c r="D7493">
        <v>7</v>
      </c>
      <c r="E7493" t="s">
        <v>7</v>
      </c>
      <c r="F7493" t="s">
        <v>7</v>
      </c>
      <c r="G7493" t="s">
        <v>7</v>
      </c>
      <c r="H7493">
        <v>26568.78</v>
      </c>
      <c r="I7493">
        <v>6904.29</v>
      </c>
      <c r="J7493">
        <v>0</v>
      </c>
    </row>
    <row r="7494" spans="1:10" x14ac:dyDescent="0.35">
      <c r="A7494">
        <v>328610</v>
      </c>
      <c r="B7494" t="s">
        <v>20</v>
      </c>
      <c r="C7494">
        <v>2015</v>
      </c>
      <c r="D7494">
        <v>7</v>
      </c>
      <c r="E7494" t="s">
        <v>7</v>
      </c>
      <c r="F7494" t="s">
        <v>7</v>
      </c>
      <c r="G7494" t="s">
        <v>7</v>
      </c>
      <c r="H7494">
        <v>101061.48</v>
      </c>
      <c r="I7494">
        <v>27803.17</v>
      </c>
      <c r="J7494">
        <v>0</v>
      </c>
    </row>
    <row r="7495" spans="1:10" x14ac:dyDescent="0.35">
      <c r="A7495">
        <v>328619</v>
      </c>
      <c r="B7495" t="s">
        <v>20</v>
      </c>
      <c r="C7495">
        <v>2015</v>
      </c>
      <c r="D7495">
        <v>7</v>
      </c>
      <c r="E7495" t="s">
        <v>7</v>
      </c>
      <c r="F7495" t="s">
        <v>7</v>
      </c>
      <c r="G7495" t="s">
        <v>7</v>
      </c>
      <c r="H7495">
        <v>20317.419999999998</v>
      </c>
      <c r="I7495">
        <v>5833.16</v>
      </c>
      <c r="J7495">
        <v>0</v>
      </c>
    </row>
    <row r="7496" spans="1:10" x14ac:dyDescent="0.35">
      <c r="A7496">
        <v>328625</v>
      </c>
      <c r="B7496" t="s">
        <v>20</v>
      </c>
      <c r="C7496">
        <v>2015</v>
      </c>
      <c r="D7496">
        <v>7</v>
      </c>
      <c r="E7496" t="s">
        <v>7</v>
      </c>
      <c r="F7496" t="s">
        <v>7</v>
      </c>
      <c r="G7496" t="s">
        <v>7</v>
      </c>
      <c r="H7496">
        <v>21094.16</v>
      </c>
      <c r="I7496">
        <v>6269.05</v>
      </c>
      <c r="J7496">
        <v>0</v>
      </c>
    </row>
    <row r="7497" spans="1:10" x14ac:dyDescent="0.35">
      <c r="A7497">
        <v>328630</v>
      </c>
      <c r="B7497" t="s">
        <v>20</v>
      </c>
      <c r="C7497">
        <v>2015</v>
      </c>
      <c r="D7497">
        <v>7</v>
      </c>
      <c r="E7497" t="s">
        <v>7</v>
      </c>
      <c r="F7497" t="s">
        <v>7</v>
      </c>
      <c r="G7497" t="s">
        <v>7</v>
      </c>
      <c r="H7497">
        <v>52035.62</v>
      </c>
      <c r="I7497">
        <v>16161.84</v>
      </c>
      <c r="J7497">
        <v>0</v>
      </c>
    </row>
    <row r="7498" spans="1:10" x14ac:dyDescent="0.35">
      <c r="A7498">
        <v>328634</v>
      </c>
      <c r="B7498" t="s">
        <v>20</v>
      </c>
      <c r="C7498">
        <v>2015</v>
      </c>
      <c r="D7498">
        <v>7</v>
      </c>
      <c r="E7498" t="s">
        <v>7</v>
      </c>
      <c r="F7498" t="s">
        <v>7</v>
      </c>
      <c r="G7498" t="s">
        <v>7</v>
      </c>
      <c r="H7498">
        <v>25160.62</v>
      </c>
      <c r="I7498">
        <v>13397.15</v>
      </c>
      <c r="J7498">
        <v>0</v>
      </c>
    </row>
    <row r="7499" spans="1:10" x14ac:dyDescent="0.35">
      <c r="A7499">
        <v>328642</v>
      </c>
      <c r="B7499" t="s">
        <v>20</v>
      </c>
      <c r="C7499">
        <v>2015</v>
      </c>
      <c r="D7499">
        <v>7</v>
      </c>
      <c r="E7499" t="s">
        <v>7</v>
      </c>
      <c r="F7499" t="s">
        <v>7</v>
      </c>
      <c r="G7499" t="s">
        <v>7</v>
      </c>
      <c r="H7499">
        <v>59137.34</v>
      </c>
      <c r="I7499">
        <v>18466.830000000002</v>
      </c>
      <c r="J7499">
        <v>0</v>
      </c>
    </row>
    <row r="7500" spans="1:10" x14ac:dyDescent="0.35">
      <c r="A7500">
        <v>328643</v>
      </c>
      <c r="B7500" t="s">
        <v>20</v>
      </c>
      <c r="C7500">
        <v>2015</v>
      </c>
      <c r="D7500">
        <v>7</v>
      </c>
      <c r="E7500" t="s">
        <v>7</v>
      </c>
      <c r="F7500" t="s">
        <v>7</v>
      </c>
      <c r="G7500" t="s">
        <v>7</v>
      </c>
      <c r="H7500">
        <v>80596.06</v>
      </c>
      <c r="I7500">
        <v>33881.589999999997</v>
      </c>
      <c r="J7500">
        <v>0</v>
      </c>
    </row>
    <row r="7501" spans="1:10" x14ac:dyDescent="0.35">
      <c r="A7501">
        <v>328649</v>
      </c>
      <c r="B7501" t="s">
        <v>20</v>
      </c>
      <c r="C7501">
        <v>2015</v>
      </c>
      <c r="D7501">
        <v>7</v>
      </c>
      <c r="E7501" t="s">
        <v>7</v>
      </c>
      <c r="F7501" t="s">
        <v>7</v>
      </c>
      <c r="G7501" t="s">
        <v>7</v>
      </c>
      <c r="H7501">
        <v>16260.52</v>
      </c>
      <c r="I7501">
        <v>3387.64</v>
      </c>
      <c r="J7501">
        <v>0</v>
      </c>
    </row>
    <row r="7502" spans="1:10" x14ac:dyDescent="0.35">
      <c r="A7502">
        <v>328658</v>
      </c>
      <c r="B7502" t="s">
        <v>20</v>
      </c>
      <c r="C7502">
        <v>2015</v>
      </c>
      <c r="D7502">
        <v>7</v>
      </c>
      <c r="E7502" t="s">
        <v>7</v>
      </c>
      <c r="F7502" t="s">
        <v>7</v>
      </c>
      <c r="G7502" t="s">
        <v>7</v>
      </c>
      <c r="H7502">
        <v>44587.74</v>
      </c>
      <c r="I7502">
        <v>13405.16</v>
      </c>
      <c r="J7502">
        <v>0</v>
      </c>
    </row>
    <row r="7503" spans="1:10" x14ac:dyDescent="0.35">
      <c r="A7503">
        <v>328663</v>
      </c>
      <c r="B7503" t="s">
        <v>20</v>
      </c>
      <c r="C7503">
        <v>2015</v>
      </c>
      <c r="D7503">
        <v>7</v>
      </c>
      <c r="E7503" t="s">
        <v>7</v>
      </c>
      <c r="F7503" t="s">
        <v>7</v>
      </c>
      <c r="G7503" t="s">
        <v>7</v>
      </c>
      <c r="H7503">
        <v>36202.06</v>
      </c>
      <c r="I7503">
        <v>10347.959999999999</v>
      </c>
      <c r="J7503">
        <v>0</v>
      </c>
    </row>
    <row r="7504" spans="1:10" x14ac:dyDescent="0.35">
      <c r="A7504">
        <v>328675</v>
      </c>
      <c r="B7504" t="s">
        <v>20</v>
      </c>
      <c r="C7504">
        <v>2015</v>
      </c>
      <c r="D7504">
        <v>7</v>
      </c>
      <c r="E7504" t="s">
        <v>7</v>
      </c>
      <c r="F7504" t="s">
        <v>7</v>
      </c>
      <c r="G7504" t="s">
        <v>7</v>
      </c>
      <c r="H7504">
        <v>14350.9</v>
      </c>
      <c r="I7504">
        <v>4341.12</v>
      </c>
      <c r="J7504">
        <v>0</v>
      </c>
    </row>
    <row r="7505" spans="1:10" x14ac:dyDescent="0.35">
      <c r="A7505">
        <v>328690</v>
      </c>
      <c r="B7505" t="s">
        <v>20</v>
      </c>
      <c r="C7505">
        <v>2015</v>
      </c>
      <c r="D7505">
        <v>7</v>
      </c>
      <c r="E7505" t="s">
        <v>7</v>
      </c>
      <c r="F7505" t="s">
        <v>7</v>
      </c>
      <c r="G7505" t="s">
        <v>7</v>
      </c>
      <c r="H7505">
        <v>67818.259999999995</v>
      </c>
      <c r="I7505">
        <v>25604.86</v>
      </c>
      <c r="J7505">
        <v>0</v>
      </c>
    </row>
    <row r="7506" spans="1:10" x14ac:dyDescent="0.35">
      <c r="A7506">
        <v>328707</v>
      </c>
      <c r="B7506" t="s">
        <v>20</v>
      </c>
      <c r="C7506">
        <v>2015</v>
      </c>
      <c r="D7506">
        <v>7</v>
      </c>
      <c r="E7506" t="s">
        <v>7</v>
      </c>
      <c r="F7506" t="s">
        <v>7</v>
      </c>
      <c r="G7506" t="s">
        <v>7</v>
      </c>
      <c r="H7506">
        <v>14661.96</v>
      </c>
      <c r="I7506">
        <v>3040.6</v>
      </c>
      <c r="J7506">
        <v>0</v>
      </c>
    </row>
    <row r="7507" spans="1:10" x14ac:dyDescent="0.35">
      <c r="A7507">
        <v>328714</v>
      </c>
      <c r="B7507" t="s">
        <v>20</v>
      </c>
      <c r="C7507">
        <v>2015</v>
      </c>
      <c r="D7507">
        <v>7</v>
      </c>
      <c r="E7507" t="s">
        <v>7</v>
      </c>
      <c r="F7507" t="s">
        <v>7</v>
      </c>
      <c r="G7507" t="s">
        <v>7</v>
      </c>
      <c r="H7507">
        <v>35528</v>
      </c>
      <c r="I7507">
        <v>8851.8700000000008</v>
      </c>
      <c r="J7507">
        <v>0</v>
      </c>
    </row>
    <row r="7508" spans="1:10" x14ac:dyDescent="0.35">
      <c r="A7508">
        <v>328718</v>
      </c>
      <c r="B7508" t="s">
        <v>20</v>
      </c>
      <c r="C7508">
        <v>2015</v>
      </c>
      <c r="D7508">
        <v>7</v>
      </c>
      <c r="E7508" t="s">
        <v>7</v>
      </c>
      <c r="F7508" t="s">
        <v>7</v>
      </c>
      <c r="G7508" t="s">
        <v>7</v>
      </c>
      <c r="H7508">
        <v>10982.86</v>
      </c>
      <c r="I7508">
        <v>2903.94</v>
      </c>
      <c r="J7508">
        <v>0</v>
      </c>
    </row>
    <row r="7509" spans="1:10" x14ac:dyDescent="0.35">
      <c r="A7509">
        <v>328723</v>
      </c>
      <c r="B7509" t="s">
        <v>20</v>
      </c>
      <c r="C7509">
        <v>2015</v>
      </c>
      <c r="D7509">
        <v>7</v>
      </c>
      <c r="E7509" t="s">
        <v>7</v>
      </c>
      <c r="F7509" t="s">
        <v>7</v>
      </c>
      <c r="G7509" t="s">
        <v>7</v>
      </c>
      <c r="H7509">
        <v>20952.580000000002</v>
      </c>
      <c r="I7509">
        <v>5532.26</v>
      </c>
      <c r="J7509">
        <v>0</v>
      </c>
    </row>
    <row r="7510" spans="1:10" x14ac:dyDescent="0.35">
      <c r="A7510">
        <v>328725</v>
      </c>
      <c r="B7510" t="s">
        <v>20</v>
      </c>
      <c r="C7510">
        <v>2015</v>
      </c>
      <c r="D7510">
        <v>7</v>
      </c>
      <c r="E7510" t="s">
        <v>7</v>
      </c>
      <c r="F7510" t="s">
        <v>7</v>
      </c>
      <c r="G7510" t="s">
        <v>7</v>
      </c>
      <c r="H7510">
        <v>16418.060000000001</v>
      </c>
      <c r="I7510">
        <v>4681.93</v>
      </c>
      <c r="J7510">
        <v>0</v>
      </c>
    </row>
    <row r="7511" spans="1:10" x14ac:dyDescent="0.35">
      <c r="A7511">
        <v>328735</v>
      </c>
      <c r="B7511" t="s">
        <v>20</v>
      </c>
      <c r="C7511">
        <v>2015</v>
      </c>
      <c r="D7511">
        <v>7</v>
      </c>
      <c r="E7511" t="s">
        <v>7</v>
      </c>
      <c r="F7511" t="s">
        <v>7</v>
      </c>
      <c r="G7511" t="s">
        <v>7</v>
      </c>
      <c r="H7511">
        <v>21662.9</v>
      </c>
      <c r="I7511">
        <v>6119.88</v>
      </c>
      <c r="J7511">
        <v>0</v>
      </c>
    </row>
    <row r="7512" spans="1:10" x14ac:dyDescent="0.35">
      <c r="A7512">
        <v>328748</v>
      </c>
      <c r="B7512" t="s">
        <v>20</v>
      </c>
      <c r="C7512">
        <v>2015</v>
      </c>
      <c r="D7512">
        <v>7</v>
      </c>
      <c r="E7512" t="s">
        <v>7</v>
      </c>
      <c r="F7512" t="s">
        <v>7</v>
      </c>
      <c r="G7512" t="s">
        <v>7</v>
      </c>
      <c r="H7512">
        <v>29034.18</v>
      </c>
      <c r="I7512">
        <v>7058.06</v>
      </c>
      <c r="J7512">
        <v>0</v>
      </c>
    </row>
    <row r="7513" spans="1:10" x14ac:dyDescent="0.35">
      <c r="A7513">
        <v>328756</v>
      </c>
      <c r="B7513" t="s">
        <v>20</v>
      </c>
      <c r="C7513">
        <v>2015</v>
      </c>
      <c r="D7513">
        <v>7</v>
      </c>
      <c r="E7513" t="s">
        <v>7</v>
      </c>
      <c r="F7513" t="s">
        <v>7</v>
      </c>
      <c r="G7513" t="s">
        <v>7</v>
      </c>
      <c r="H7513">
        <v>13114.04</v>
      </c>
      <c r="I7513">
        <v>2981.38</v>
      </c>
      <c r="J7513">
        <v>0</v>
      </c>
    </row>
    <row r="7514" spans="1:10" x14ac:dyDescent="0.35">
      <c r="A7514">
        <v>328759</v>
      </c>
      <c r="B7514" t="s">
        <v>20</v>
      </c>
      <c r="C7514">
        <v>2015</v>
      </c>
      <c r="D7514">
        <v>7</v>
      </c>
      <c r="E7514" t="s">
        <v>7</v>
      </c>
      <c r="F7514" t="s">
        <v>7</v>
      </c>
      <c r="G7514" t="s">
        <v>7</v>
      </c>
      <c r="H7514">
        <v>8524.68</v>
      </c>
      <c r="I7514">
        <v>2337.1999999999998</v>
      </c>
      <c r="J7514">
        <v>0</v>
      </c>
    </row>
    <row r="7515" spans="1:10" x14ac:dyDescent="0.35">
      <c r="A7515">
        <v>328764</v>
      </c>
      <c r="B7515" t="s">
        <v>20</v>
      </c>
      <c r="C7515">
        <v>2015</v>
      </c>
      <c r="D7515">
        <v>7</v>
      </c>
      <c r="E7515" t="s">
        <v>7</v>
      </c>
      <c r="F7515" t="s">
        <v>7</v>
      </c>
      <c r="G7515" t="s">
        <v>7</v>
      </c>
      <c r="H7515">
        <v>32871.9</v>
      </c>
      <c r="I7515">
        <v>16334.93</v>
      </c>
      <c r="J7515">
        <v>0</v>
      </c>
    </row>
    <row r="7516" spans="1:10" x14ac:dyDescent="0.35">
      <c r="A7516">
        <v>328773</v>
      </c>
      <c r="B7516" t="s">
        <v>20</v>
      </c>
      <c r="C7516">
        <v>2015</v>
      </c>
      <c r="D7516">
        <v>7</v>
      </c>
      <c r="E7516" t="s">
        <v>7</v>
      </c>
      <c r="F7516" t="s">
        <v>7</v>
      </c>
      <c r="G7516" t="s">
        <v>7</v>
      </c>
      <c r="H7516">
        <v>23109.74</v>
      </c>
      <c r="I7516">
        <v>10248.01</v>
      </c>
      <c r="J7516">
        <v>0</v>
      </c>
    </row>
    <row r="7517" spans="1:10" x14ac:dyDescent="0.35">
      <c r="A7517">
        <v>328775</v>
      </c>
      <c r="B7517" t="s">
        <v>20</v>
      </c>
      <c r="C7517">
        <v>2015</v>
      </c>
      <c r="D7517">
        <v>7</v>
      </c>
      <c r="E7517" t="s">
        <v>7</v>
      </c>
      <c r="F7517" t="s">
        <v>7</v>
      </c>
      <c r="G7517" t="s">
        <v>7</v>
      </c>
      <c r="H7517">
        <v>59260.12</v>
      </c>
      <c r="I7517">
        <v>17090.21</v>
      </c>
      <c r="J7517">
        <v>0</v>
      </c>
    </row>
    <row r="7518" spans="1:10" x14ac:dyDescent="0.35">
      <c r="A7518">
        <v>328782</v>
      </c>
      <c r="B7518" t="s">
        <v>20</v>
      </c>
      <c r="C7518">
        <v>2015</v>
      </c>
      <c r="D7518">
        <v>7</v>
      </c>
      <c r="E7518" t="s">
        <v>7</v>
      </c>
      <c r="F7518" t="s">
        <v>7</v>
      </c>
      <c r="G7518" t="s">
        <v>7</v>
      </c>
      <c r="H7518">
        <v>38114.76</v>
      </c>
      <c r="I7518">
        <v>12017.6</v>
      </c>
      <c r="J7518">
        <v>0</v>
      </c>
    </row>
    <row r="7519" spans="1:10" x14ac:dyDescent="0.35">
      <c r="A7519">
        <v>328793</v>
      </c>
      <c r="B7519" t="s">
        <v>20</v>
      </c>
      <c r="C7519">
        <v>2015</v>
      </c>
      <c r="D7519">
        <v>7</v>
      </c>
      <c r="E7519" t="s">
        <v>7</v>
      </c>
      <c r="F7519" t="s">
        <v>7</v>
      </c>
      <c r="G7519" t="s">
        <v>7</v>
      </c>
      <c r="H7519">
        <v>32119.84</v>
      </c>
      <c r="I7519">
        <v>8894.11</v>
      </c>
      <c r="J7519">
        <v>0</v>
      </c>
    </row>
    <row r="7520" spans="1:10" x14ac:dyDescent="0.35">
      <c r="A7520">
        <v>328801</v>
      </c>
      <c r="B7520" t="s">
        <v>20</v>
      </c>
      <c r="C7520">
        <v>2015</v>
      </c>
      <c r="D7520">
        <v>7</v>
      </c>
      <c r="E7520" t="s">
        <v>7</v>
      </c>
      <c r="F7520" t="s">
        <v>7</v>
      </c>
      <c r="G7520" t="s">
        <v>7</v>
      </c>
      <c r="H7520">
        <v>63469.279999999999</v>
      </c>
      <c r="I7520">
        <v>20376.86</v>
      </c>
      <c r="J7520">
        <v>0</v>
      </c>
    </row>
    <row r="7521" spans="1:10" x14ac:dyDescent="0.35">
      <c r="A7521">
        <v>328811</v>
      </c>
      <c r="B7521" t="s">
        <v>20</v>
      </c>
      <c r="C7521">
        <v>2015</v>
      </c>
      <c r="D7521">
        <v>7</v>
      </c>
      <c r="E7521" t="s">
        <v>7</v>
      </c>
      <c r="F7521" t="s">
        <v>7</v>
      </c>
      <c r="G7521" t="s">
        <v>7</v>
      </c>
      <c r="H7521">
        <v>47818.2</v>
      </c>
      <c r="I7521">
        <v>14869.35</v>
      </c>
      <c r="J7521">
        <v>0</v>
      </c>
    </row>
    <row r="7522" spans="1:10" x14ac:dyDescent="0.35">
      <c r="A7522">
        <v>328818</v>
      </c>
      <c r="B7522" t="s">
        <v>20</v>
      </c>
      <c r="C7522">
        <v>2015</v>
      </c>
      <c r="D7522">
        <v>7</v>
      </c>
      <c r="E7522" t="s">
        <v>7</v>
      </c>
      <c r="F7522" t="s">
        <v>7</v>
      </c>
      <c r="G7522" t="s">
        <v>7</v>
      </c>
      <c r="H7522">
        <v>26104.36</v>
      </c>
      <c r="I7522">
        <v>7901.53</v>
      </c>
      <c r="J7522">
        <v>0</v>
      </c>
    </row>
    <row r="7523" spans="1:10" x14ac:dyDescent="0.35">
      <c r="A7523">
        <v>328826</v>
      </c>
      <c r="B7523" t="s">
        <v>20</v>
      </c>
      <c r="C7523">
        <v>2015</v>
      </c>
      <c r="D7523">
        <v>7</v>
      </c>
      <c r="E7523" t="s">
        <v>7</v>
      </c>
      <c r="F7523" t="s">
        <v>7</v>
      </c>
      <c r="G7523" t="s">
        <v>7</v>
      </c>
      <c r="H7523">
        <v>30242.32</v>
      </c>
      <c r="I7523">
        <v>11756.45</v>
      </c>
      <c r="J7523">
        <v>0</v>
      </c>
    </row>
    <row r="7524" spans="1:10" x14ac:dyDescent="0.35">
      <c r="A7524">
        <v>328828</v>
      </c>
      <c r="B7524" t="s">
        <v>20</v>
      </c>
      <c r="C7524">
        <v>2015</v>
      </c>
      <c r="D7524">
        <v>7</v>
      </c>
      <c r="E7524" t="s">
        <v>7</v>
      </c>
      <c r="F7524" t="s">
        <v>7</v>
      </c>
      <c r="G7524" t="s">
        <v>7</v>
      </c>
      <c r="H7524">
        <v>15604.68</v>
      </c>
      <c r="I7524">
        <v>4524.5600000000004</v>
      </c>
      <c r="J7524">
        <v>0</v>
      </c>
    </row>
    <row r="7525" spans="1:10" x14ac:dyDescent="0.35">
      <c r="A7525">
        <v>328835</v>
      </c>
      <c r="B7525" t="s">
        <v>20</v>
      </c>
      <c r="C7525">
        <v>2015</v>
      </c>
      <c r="D7525">
        <v>7</v>
      </c>
      <c r="E7525" t="s">
        <v>7</v>
      </c>
      <c r="F7525" t="s">
        <v>7</v>
      </c>
      <c r="G7525" t="s">
        <v>7</v>
      </c>
      <c r="H7525">
        <v>24315.9</v>
      </c>
      <c r="I7525">
        <v>7557.83</v>
      </c>
      <c r="J7525">
        <v>0</v>
      </c>
    </row>
    <row r="7526" spans="1:10" x14ac:dyDescent="0.35">
      <c r="A7526">
        <v>328845</v>
      </c>
      <c r="B7526" t="s">
        <v>20</v>
      </c>
      <c r="C7526">
        <v>2015</v>
      </c>
      <c r="D7526">
        <v>7</v>
      </c>
      <c r="E7526" t="s">
        <v>7</v>
      </c>
      <c r="F7526" t="s">
        <v>7</v>
      </c>
      <c r="G7526" t="s">
        <v>7</v>
      </c>
      <c r="H7526">
        <v>14043.18</v>
      </c>
      <c r="I7526">
        <v>6565.62</v>
      </c>
      <c r="J7526">
        <v>0</v>
      </c>
    </row>
    <row r="7527" spans="1:10" x14ac:dyDescent="0.35">
      <c r="A7527">
        <v>328851</v>
      </c>
      <c r="B7527" t="s">
        <v>20</v>
      </c>
      <c r="C7527">
        <v>2015</v>
      </c>
      <c r="D7527">
        <v>7</v>
      </c>
      <c r="E7527" t="s">
        <v>7</v>
      </c>
      <c r="F7527" t="s">
        <v>7</v>
      </c>
      <c r="G7527" t="s">
        <v>7</v>
      </c>
      <c r="H7527">
        <v>30178.78</v>
      </c>
      <c r="I7527">
        <v>6317.87</v>
      </c>
      <c r="J7527">
        <v>0</v>
      </c>
    </row>
    <row r="7528" spans="1:10" x14ac:dyDescent="0.35">
      <c r="A7528">
        <v>328866</v>
      </c>
      <c r="B7528" t="s">
        <v>20</v>
      </c>
      <c r="C7528">
        <v>2015</v>
      </c>
      <c r="D7528">
        <v>7</v>
      </c>
      <c r="E7528" t="s">
        <v>7</v>
      </c>
      <c r="F7528" t="s">
        <v>7</v>
      </c>
      <c r="G7528" t="s">
        <v>7</v>
      </c>
      <c r="H7528">
        <v>18710.66</v>
      </c>
      <c r="I7528">
        <v>4677.37</v>
      </c>
      <c r="J7528">
        <v>0</v>
      </c>
    </row>
    <row r="7529" spans="1:10" x14ac:dyDescent="0.35">
      <c r="A7529">
        <v>328875</v>
      </c>
      <c r="B7529" t="s">
        <v>20</v>
      </c>
      <c r="C7529">
        <v>2015</v>
      </c>
      <c r="D7529">
        <v>7</v>
      </c>
      <c r="E7529" t="s">
        <v>7</v>
      </c>
      <c r="F7529" t="s">
        <v>7</v>
      </c>
      <c r="G7529" t="s">
        <v>7</v>
      </c>
      <c r="H7529">
        <v>9720.9599999999991</v>
      </c>
      <c r="I7529">
        <v>2499.8000000000002</v>
      </c>
      <c r="J7529">
        <v>0</v>
      </c>
    </row>
    <row r="7530" spans="1:10" x14ac:dyDescent="0.35">
      <c r="A7530">
        <v>328899</v>
      </c>
      <c r="B7530" t="s">
        <v>20</v>
      </c>
      <c r="C7530">
        <v>2015</v>
      </c>
      <c r="D7530">
        <v>7</v>
      </c>
      <c r="E7530" t="s">
        <v>7</v>
      </c>
      <c r="F7530" t="s">
        <v>7</v>
      </c>
      <c r="G7530" t="s">
        <v>7</v>
      </c>
      <c r="H7530">
        <v>65785.600000000006</v>
      </c>
      <c r="I7530">
        <v>28672</v>
      </c>
      <c r="J7530">
        <v>0</v>
      </c>
    </row>
    <row r="7531" spans="1:10" x14ac:dyDescent="0.35">
      <c r="A7531">
        <v>328902</v>
      </c>
      <c r="B7531" t="s">
        <v>20</v>
      </c>
      <c r="C7531">
        <v>2015</v>
      </c>
      <c r="D7531">
        <v>7</v>
      </c>
      <c r="E7531" t="s">
        <v>7</v>
      </c>
      <c r="F7531" t="s">
        <v>7</v>
      </c>
      <c r="G7531" t="s">
        <v>7</v>
      </c>
      <c r="H7531">
        <v>28203.119999999999</v>
      </c>
      <c r="I7531">
        <v>8212.33</v>
      </c>
      <c r="J7531">
        <v>0</v>
      </c>
    </row>
    <row r="7532" spans="1:10" x14ac:dyDescent="0.35">
      <c r="A7532">
        <v>328909</v>
      </c>
      <c r="B7532" t="s">
        <v>20</v>
      </c>
      <c r="C7532">
        <v>2015</v>
      </c>
      <c r="D7532">
        <v>7</v>
      </c>
      <c r="E7532" t="s">
        <v>7</v>
      </c>
      <c r="F7532" t="s">
        <v>7</v>
      </c>
      <c r="G7532" t="s">
        <v>7</v>
      </c>
      <c r="H7532">
        <v>17720.84</v>
      </c>
      <c r="I7532">
        <v>5495.01</v>
      </c>
      <c r="J7532">
        <v>0</v>
      </c>
    </row>
    <row r="7533" spans="1:10" x14ac:dyDescent="0.35">
      <c r="A7533">
        <v>328914</v>
      </c>
      <c r="B7533" t="s">
        <v>20</v>
      </c>
      <c r="C7533">
        <v>2015</v>
      </c>
      <c r="D7533">
        <v>7</v>
      </c>
      <c r="E7533" t="s">
        <v>7</v>
      </c>
      <c r="F7533" t="s">
        <v>7</v>
      </c>
      <c r="G7533" t="s">
        <v>7</v>
      </c>
      <c r="H7533">
        <v>30384.38</v>
      </c>
      <c r="I7533">
        <v>7831.58</v>
      </c>
      <c r="J7533">
        <v>0</v>
      </c>
    </row>
    <row r="7534" spans="1:10" x14ac:dyDescent="0.35">
      <c r="A7534">
        <v>328923</v>
      </c>
      <c r="B7534" t="s">
        <v>20</v>
      </c>
      <c r="C7534">
        <v>2015</v>
      </c>
      <c r="D7534">
        <v>7</v>
      </c>
      <c r="E7534" t="s">
        <v>7</v>
      </c>
      <c r="F7534" t="s">
        <v>7</v>
      </c>
      <c r="G7534" t="s">
        <v>7</v>
      </c>
      <c r="H7534">
        <v>36479.68</v>
      </c>
      <c r="I7534">
        <v>7429.81</v>
      </c>
      <c r="J7534">
        <v>0</v>
      </c>
    </row>
    <row r="7535" spans="1:10" x14ac:dyDescent="0.35">
      <c r="A7535">
        <v>328933</v>
      </c>
      <c r="B7535" t="s">
        <v>20</v>
      </c>
      <c r="C7535">
        <v>2015</v>
      </c>
      <c r="D7535">
        <v>7</v>
      </c>
      <c r="E7535" t="s">
        <v>7</v>
      </c>
      <c r="F7535" t="s">
        <v>7</v>
      </c>
      <c r="G7535" t="s">
        <v>7</v>
      </c>
      <c r="H7535">
        <v>55454.44</v>
      </c>
      <c r="I7535">
        <v>15839.29</v>
      </c>
      <c r="J7535">
        <v>0</v>
      </c>
    </row>
    <row r="7536" spans="1:10" x14ac:dyDescent="0.35">
      <c r="A7536">
        <v>328934</v>
      </c>
      <c r="B7536" t="s">
        <v>20</v>
      </c>
      <c r="C7536">
        <v>2015</v>
      </c>
      <c r="D7536">
        <v>7</v>
      </c>
      <c r="E7536" t="s">
        <v>7</v>
      </c>
      <c r="F7536" t="s">
        <v>7</v>
      </c>
      <c r="G7536" t="s">
        <v>7</v>
      </c>
      <c r="H7536">
        <v>23229.96</v>
      </c>
      <c r="I7536">
        <v>6831.2</v>
      </c>
      <c r="J7536">
        <v>0</v>
      </c>
    </row>
    <row r="7537" spans="1:10" x14ac:dyDescent="0.35">
      <c r="A7537">
        <v>328941</v>
      </c>
      <c r="B7537" t="s">
        <v>20</v>
      </c>
      <c r="C7537">
        <v>2015</v>
      </c>
      <c r="D7537">
        <v>7</v>
      </c>
      <c r="E7537" t="s">
        <v>7</v>
      </c>
      <c r="F7537" t="s">
        <v>7</v>
      </c>
      <c r="G7537" t="s">
        <v>7</v>
      </c>
      <c r="H7537">
        <v>15928.32</v>
      </c>
      <c r="I7537">
        <v>4672.3999999999996</v>
      </c>
      <c r="J7537">
        <v>0</v>
      </c>
    </row>
    <row r="7538" spans="1:10" x14ac:dyDescent="0.35">
      <c r="A7538">
        <v>328950</v>
      </c>
      <c r="B7538" t="s">
        <v>20</v>
      </c>
      <c r="C7538">
        <v>2015</v>
      </c>
      <c r="D7538">
        <v>7</v>
      </c>
      <c r="E7538" t="s">
        <v>7</v>
      </c>
      <c r="F7538" t="s">
        <v>7</v>
      </c>
      <c r="G7538" t="s">
        <v>7</v>
      </c>
      <c r="H7538">
        <v>65192.26</v>
      </c>
      <c r="I7538">
        <v>43350.16</v>
      </c>
      <c r="J7538">
        <v>0</v>
      </c>
    </row>
    <row r="7539" spans="1:10" x14ac:dyDescent="0.35">
      <c r="A7539">
        <v>328959</v>
      </c>
      <c r="B7539" t="s">
        <v>20</v>
      </c>
      <c r="C7539">
        <v>2015</v>
      </c>
      <c r="D7539">
        <v>7</v>
      </c>
      <c r="E7539" t="s">
        <v>7</v>
      </c>
      <c r="F7539" t="s">
        <v>7</v>
      </c>
      <c r="G7539" t="s">
        <v>7</v>
      </c>
      <c r="H7539">
        <v>21467.42</v>
      </c>
      <c r="I7539">
        <v>6059.2</v>
      </c>
      <c r="J7539">
        <v>0</v>
      </c>
    </row>
    <row r="7540" spans="1:10" x14ac:dyDescent="0.35">
      <c r="A7540">
        <v>328964</v>
      </c>
      <c r="B7540" t="s">
        <v>20</v>
      </c>
      <c r="C7540">
        <v>2015</v>
      </c>
      <c r="D7540">
        <v>7</v>
      </c>
      <c r="E7540" t="s">
        <v>7</v>
      </c>
      <c r="F7540" t="s">
        <v>7</v>
      </c>
      <c r="G7540" t="s">
        <v>7</v>
      </c>
      <c r="H7540">
        <v>20043.080000000002</v>
      </c>
      <c r="I7540">
        <v>5424.27</v>
      </c>
      <c r="J7540">
        <v>0</v>
      </c>
    </row>
    <row r="7541" spans="1:10" x14ac:dyDescent="0.35">
      <c r="A7541">
        <v>328966</v>
      </c>
      <c r="B7541" t="s">
        <v>20</v>
      </c>
      <c r="C7541">
        <v>2015</v>
      </c>
      <c r="D7541">
        <v>7</v>
      </c>
      <c r="E7541" t="s">
        <v>7</v>
      </c>
      <c r="F7541" t="s">
        <v>7</v>
      </c>
      <c r="G7541" t="s">
        <v>7</v>
      </c>
      <c r="H7541">
        <v>16561.52</v>
      </c>
      <c r="I7541">
        <v>7177.57</v>
      </c>
      <c r="J7541">
        <v>0</v>
      </c>
    </row>
    <row r="7542" spans="1:10" x14ac:dyDescent="0.35">
      <c r="A7542">
        <v>328978</v>
      </c>
      <c r="B7542" t="s">
        <v>20</v>
      </c>
      <c r="C7542">
        <v>2015</v>
      </c>
      <c r="D7542">
        <v>7</v>
      </c>
      <c r="E7542" t="s">
        <v>7</v>
      </c>
      <c r="F7542" t="s">
        <v>7</v>
      </c>
      <c r="G7542" t="s">
        <v>7</v>
      </c>
      <c r="H7542">
        <v>19884.560000000001</v>
      </c>
      <c r="I7542">
        <v>6643.3</v>
      </c>
      <c r="J7542">
        <v>0</v>
      </c>
    </row>
    <row r="7543" spans="1:10" x14ac:dyDescent="0.35">
      <c r="A7543">
        <v>328984</v>
      </c>
      <c r="B7543" t="s">
        <v>20</v>
      </c>
      <c r="C7543">
        <v>2015</v>
      </c>
      <c r="D7543">
        <v>7</v>
      </c>
      <c r="E7543" t="s">
        <v>7</v>
      </c>
      <c r="F7543" t="s">
        <v>7</v>
      </c>
      <c r="G7543" t="s">
        <v>7</v>
      </c>
      <c r="H7543">
        <v>19367.259999999998</v>
      </c>
      <c r="I7543">
        <v>5133.3500000000004</v>
      </c>
      <c r="J7543">
        <v>0</v>
      </c>
    </row>
    <row r="7544" spans="1:10" x14ac:dyDescent="0.35">
      <c r="A7544">
        <v>328986</v>
      </c>
      <c r="B7544" t="s">
        <v>20</v>
      </c>
      <c r="C7544">
        <v>2015</v>
      </c>
      <c r="D7544">
        <v>7</v>
      </c>
      <c r="E7544" t="s">
        <v>7</v>
      </c>
      <c r="F7544" t="s">
        <v>7</v>
      </c>
      <c r="G7544" t="s">
        <v>7</v>
      </c>
      <c r="H7544">
        <v>24680.76</v>
      </c>
      <c r="I7544">
        <v>7987.46</v>
      </c>
      <c r="J7544">
        <v>0</v>
      </c>
    </row>
    <row r="7545" spans="1:10" x14ac:dyDescent="0.35">
      <c r="A7545">
        <v>328995</v>
      </c>
      <c r="B7545" t="s">
        <v>20</v>
      </c>
      <c r="C7545">
        <v>2015</v>
      </c>
      <c r="D7545">
        <v>7</v>
      </c>
      <c r="E7545" t="s">
        <v>7</v>
      </c>
      <c r="F7545" t="s">
        <v>7</v>
      </c>
      <c r="G7545" t="s">
        <v>7</v>
      </c>
      <c r="H7545">
        <v>10327.26</v>
      </c>
      <c r="I7545">
        <v>2549.3000000000002</v>
      </c>
      <c r="J7545">
        <v>0</v>
      </c>
    </row>
    <row r="7546" spans="1:10" x14ac:dyDescent="0.35">
      <c r="A7546">
        <v>329006</v>
      </c>
      <c r="B7546" t="s">
        <v>20</v>
      </c>
      <c r="C7546">
        <v>2015</v>
      </c>
      <c r="D7546">
        <v>7</v>
      </c>
      <c r="E7546" t="s">
        <v>7</v>
      </c>
      <c r="F7546" t="s">
        <v>7</v>
      </c>
      <c r="G7546" t="s">
        <v>7</v>
      </c>
      <c r="H7546">
        <v>19061.939999999999</v>
      </c>
      <c r="I7546">
        <v>5287.24</v>
      </c>
      <c r="J7546">
        <v>0</v>
      </c>
    </row>
    <row r="7547" spans="1:10" x14ac:dyDescent="0.35">
      <c r="A7547">
        <v>329024</v>
      </c>
      <c r="B7547" t="s">
        <v>20</v>
      </c>
      <c r="C7547">
        <v>2015</v>
      </c>
      <c r="D7547">
        <v>7</v>
      </c>
      <c r="E7547" t="s">
        <v>7</v>
      </c>
      <c r="F7547" t="s">
        <v>7</v>
      </c>
      <c r="G7547" t="s">
        <v>7</v>
      </c>
      <c r="H7547">
        <v>20397.560000000001</v>
      </c>
      <c r="I7547">
        <v>6041.49</v>
      </c>
      <c r="J7547">
        <v>0</v>
      </c>
    </row>
    <row r="7548" spans="1:10" x14ac:dyDescent="0.35">
      <c r="A7548">
        <v>329030</v>
      </c>
      <c r="B7548" t="s">
        <v>20</v>
      </c>
      <c r="C7548">
        <v>2015</v>
      </c>
      <c r="D7548">
        <v>7</v>
      </c>
      <c r="E7548" t="s">
        <v>7</v>
      </c>
      <c r="F7548" t="s">
        <v>7</v>
      </c>
      <c r="G7548" t="s">
        <v>7</v>
      </c>
      <c r="H7548">
        <v>32957.18</v>
      </c>
      <c r="I7548">
        <v>8282.01</v>
      </c>
      <c r="J7548">
        <v>0</v>
      </c>
    </row>
    <row r="7549" spans="1:10" x14ac:dyDescent="0.35">
      <c r="A7549">
        <v>329036</v>
      </c>
      <c r="B7549" t="s">
        <v>20</v>
      </c>
      <c r="C7549">
        <v>2015</v>
      </c>
      <c r="D7549">
        <v>7</v>
      </c>
      <c r="E7549" t="s">
        <v>7</v>
      </c>
      <c r="F7549" t="s">
        <v>7</v>
      </c>
      <c r="G7549" t="s">
        <v>7</v>
      </c>
      <c r="H7549">
        <v>18118.48</v>
      </c>
      <c r="I7549">
        <v>4737.9399999999996</v>
      </c>
      <c r="J7549">
        <v>0</v>
      </c>
    </row>
    <row r="7550" spans="1:10" x14ac:dyDescent="0.35">
      <c r="A7550">
        <v>329046</v>
      </c>
      <c r="B7550" t="s">
        <v>20</v>
      </c>
      <c r="C7550">
        <v>2015</v>
      </c>
      <c r="D7550">
        <v>7</v>
      </c>
      <c r="E7550" t="s">
        <v>7</v>
      </c>
      <c r="F7550" t="s">
        <v>7</v>
      </c>
      <c r="G7550" t="s">
        <v>7</v>
      </c>
      <c r="H7550">
        <v>42765.96</v>
      </c>
      <c r="I7550">
        <v>13396.44</v>
      </c>
      <c r="J7550">
        <v>0</v>
      </c>
    </row>
    <row r="7551" spans="1:10" x14ac:dyDescent="0.35">
      <c r="A7551">
        <v>329054</v>
      </c>
      <c r="B7551" t="s">
        <v>20</v>
      </c>
      <c r="C7551">
        <v>2015</v>
      </c>
      <c r="D7551">
        <v>7</v>
      </c>
      <c r="E7551" t="s">
        <v>7</v>
      </c>
      <c r="F7551" t="s">
        <v>7</v>
      </c>
      <c r="G7551" t="s">
        <v>7</v>
      </c>
      <c r="H7551">
        <v>45737.5</v>
      </c>
      <c r="I7551">
        <v>15003.81</v>
      </c>
      <c r="J7551">
        <v>0</v>
      </c>
    </row>
    <row r="7552" spans="1:10" x14ac:dyDescent="0.35">
      <c r="A7552">
        <v>329060</v>
      </c>
      <c r="B7552" t="s">
        <v>20</v>
      </c>
      <c r="C7552">
        <v>2015</v>
      </c>
      <c r="D7552">
        <v>7</v>
      </c>
      <c r="E7552" t="s">
        <v>7</v>
      </c>
      <c r="F7552" t="s">
        <v>7</v>
      </c>
      <c r="G7552" t="s">
        <v>7</v>
      </c>
      <c r="H7552">
        <v>47677.47</v>
      </c>
      <c r="I7552">
        <v>15136.56</v>
      </c>
      <c r="J7552">
        <v>0</v>
      </c>
    </row>
    <row r="7553" spans="1:10" x14ac:dyDescent="0.35">
      <c r="A7553">
        <v>329074</v>
      </c>
      <c r="B7553" t="s">
        <v>20</v>
      </c>
      <c r="C7553">
        <v>2015</v>
      </c>
      <c r="D7553">
        <v>7</v>
      </c>
      <c r="E7553" t="s">
        <v>7</v>
      </c>
      <c r="F7553" t="s">
        <v>7</v>
      </c>
      <c r="G7553" t="s">
        <v>7</v>
      </c>
      <c r="H7553">
        <v>20463.7</v>
      </c>
      <c r="I7553">
        <v>5002.8</v>
      </c>
      <c r="J7553">
        <v>0</v>
      </c>
    </row>
    <row r="7554" spans="1:10" x14ac:dyDescent="0.35">
      <c r="A7554">
        <v>329100</v>
      </c>
      <c r="B7554" t="s">
        <v>20</v>
      </c>
      <c r="C7554">
        <v>2015</v>
      </c>
      <c r="D7554">
        <v>7</v>
      </c>
      <c r="E7554" t="s">
        <v>7</v>
      </c>
      <c r="F7554" t="s">
        <v>7</v>
      </c>
      <c r="G7554" t="s">
        <v>7</v>
      </c>
      <c r="H7554">
        <v>20163</v>
      </c>
      <c r="I7554">
        <v>6141.4</v>
      </c>
      <c r="J7554">
        <v>0</v>
      </c>
    </row>
    <row r="7555" spans="1:10" x14ac:dyDescent="0.35">
      <c r="A7555">
        <v>329112</v>
      </c>
      <c r="B7555" t="s">
        <v>20</v>
      </c>
      <c r="C7555">
        <v>2015</v>
      </c>
      <c r="D7555">
        <v>7</v>
      </c>
      <c r="E7555" t="s">
        <v>7</v>
      </c>
      <c r="F7555" t="s">
        <v>7</v>
      </c>
      <c r="G7555" t="s">
        <v>7</v>
      </c>
      <c r="H7555">
        <v>32694.86</v>
      </c>
      <c r="I7555">
        <v>8502.31</v>
      </c>
      <c r="J7555">
        <v>0</v>
      </c>
    </row>
    <row r="7556" spans="1:10" x14ac:dyDescent="0.35">
      <c r="A7556">
        <v>329131</v>
      </c>
      <c r="B7556" t="s">
        <v>20</v>
      </c>
      <c r="C7556">
        <v>2015</v>
      </c>
      <c r="D7556">
        <v>7</v>
      </c>
      <c r="E7556" t="s">
        <v>7</v>
      </c>
      <c r="F7556" t="s">
        <v>7</v>
      </c>
      <c r="G7556" t="s">
        <v>7</v>
      </c>
      <c r="H7556">
        <v>29266.02</v>
      </c>
      <c r="I7556">
        <v>8679.64</v>
      </c>
      <c r="J7556">
        <v>0</v>
      </c>
    </row>
    <row r="7557" spans="1:10" x14ac:dyDescent="0.35">
      <c r="A7557">
        <v>329136</v>
      </c>
      <c r="B7557" t="s">
        <v>20</v>
      </c>
      <c r="C7557">
        <v>2015</v>
      </c>
      <c r="D7557">
        <v>7</v>
      </c>
      <c r="E7557" t="s">
        <v>7</v>
      </c>
      <c r="F7557" t="s">
        <v>7</v>
      </c>
      <c r="G7557" t="s">
        <v>7</v>
      </c>
      <c r="H7557">
        <v>47086.400000000001</v>
      </c>
      <c r="I7557">
        <v>14419.27</v>
      </c>
      <c r="J7557">
        <v>0</v>
      </c>
    </row>
    <row r="7558" spans="1:10" x14ac:dyDescent="0.35">
      <c r="A7558">
        <v>329160</v>
      </c>
      <c r="B7558" t="s">
        <v>20</v>
      </c>
      <c r="C7558">
        <v>2015</v>
      </c>
      <c r="D7558">
        <v>7</v>
      </c>
      <c r="E7558" t="s">
        <v>7</v>
      </c>
      <c r="F7558" t="s">
        <v>7</v>
      </c>
      <c r="G7558" t="s">
        <v>7</v>
      </c>
      <c r="H7558">
        <v>12334</v>
      </c>
      <c r="I7558">
        <v>3194.91</v>
      </c>
      <c r="J7558">
        <v>0</v>
      </c>
    </row>
    <row r="7559" spans="1:10" x14ac:dyDescent="0.35">
      <c r="A7559">
        <v>329167</v>
      </c>
      <c r="B7559" t="s">
        <v>20</v>
      </c>
      <c r="C7559">
        <v>2015</v>
      </c>
      <c r="D7559">
        <v>7</v>
      </c>
      <c r="E7559" t="s">
        <v>7</v>
      </c>
      <c r="F7559" t="s">
        <v>7</v>
      </c>
      <c r="G7559" t="s">
        <v>7</v>
      </c>
      <c r="H7559">
        <v>25570.78</v>
      </c>
      <c r="I7559">
        <v>6617.89</v>
      </c>
      <c r="J7559">
        <v>0</v>
      </c>
    </row>
    <row r="7560" spans="1:10" x14ac:dyDescent="0.35">
      <c r="A7560">
        <v>329193</v>
      </c>
      <c r="B7560" t="s">
        <v>20</v>
      </c>
      <c r="C7560">
        <v>2015</v>
      </c>
      <c r="D7560">
        <v>7</v>
      </c>
      <c r="E7560" t="s">
        <v>7</v>
      </c>
      <c r="F7560" t="s">
        <v>7</v>
      </c>
      <c r="G7560" t="s">
        <v>7</v>
      </c>
      <c r="H7560">
        <v>19889.84</v>
      </c>
      <c r="I7560">
        <v>3778.71</v>
      </c>
      <c r="J7560">
        <v>0</v>
      </c>
    </row>
    <row r="7561" spans="1:10" x14ac:dyDescent="0.35">
      <c r="A7561">
        <v>329204</v>
      </c>
      <c r="B7561" t="s">
        <v>20</v>
      </c>
      <c r="C7561">
        <v>2015</v>
      </c>
      <c r="D7561">
        <v>7</v>
      </c>
      <c r="E7561" t="s">
        <v>7</v>
      </c>
      <c r="F7561" t="s">
        <v>7</v>
      </c>
      <c r="G7561" t="s">
        <v>7</v>
      </c>
      <c r="H7561">
        <v>12440.28</v>
      </c>
      <c r="I7561">
        <v>2878.62</v>
      </c>
      <c r="J7561">
        <v>0</v>
      </c>
    </row>
    <row r="7562" spans="1:10" x14ac:dyDescent="0.35">
      <c r="A7562">
        <v>329230</v>
      </c>
      <c r="B7562" t="s">
        <v>20</v>
      </c>
      <c r="C7562">
        <v>2015</v>
      </c>
      <c r="D7562">
        <v>7</v>
      </c>
      <c r="E7562" t="s">
        <v>7</v>
      </c>
      <c r="F7562" t="s">
        <v>7</v>
      </c>
      <c r="G7562" t="s">
        <v>7</v>
      </c>
      <c r="H7562">
        <v>24887.58</v>
      </c>
      <c r="I7562">
        <v>6822.7</v>
      </c>
      <c r="J7562">
        <v>0</v>
      </c>
    </row>
    <row r="7563" spans="1:10" x14ac:dyDescent="0.35">
      <c r="A7563">
        <v>329259</v>
      </c>
      <c r="B7563" t="s">
        <v>20</v>
      </c>
      <c r="C7563">
        <v>2015</v>
      </c>
      <c r="D7563">
        <v>7</v>
      </c>
      <c r="E7563" t="s">
        <v>7</v>
      </c>
      <c r="F7563" t="s">
        <v>7</v>
      </c>
      <c r="G7563" t="s">
        <v>7</v>
      </c>
      <c r="H7563">
        <v>39647.4</v>
      </c>
      <c r="I7563">
        <v>10420.200000000001</v>
      </c>
      <c r="J7563">
        <v>0</v>
      </c>
    </row>
    <row r="7564" spans="1:10" x14ac:dyDescent="0.35">
      <c r="A7564">
        <v>329267</v>
      </c>
      <c r="B7564" t="s">
        <v>20</v>
      </c>
      <c r="C7564">
        <v>2015</v>
      </c>
      <c r="D7564">
        <v>7</v>
      </c>
      <c r="E7564" t="s">
        <v>7</v>
      </c>
      <c r="F7564" t="s">
        <v>7</v>
      </c>
      <c r="G7564" t="s">
        <v>7</v>
      </c>
      <c r="H7564">
        <v>14421.36</v>
      </c>
      <c r="I7564">
        <v>3288.14</v>
      </c>
      <c r="J7564">
        <v>0</v>
      </c>
    </row>
    <row r="7565" spans="1:10" x14ac:dyDescent="0.35">
      <c r="A7565">
        <v>329275</v>
      </c>
      <c r="B7565" t="s">
        <v>20</v>
      </c>
      <c r="C7565">
        <v>2015</v>
      </c>
      <c r="D7565">
        <v>7</v>
      </c>
      <c r="E7565" t="s">
        <v>7</v>
      </c>
      <c r="F7565" t="s">
        <v>7</v>
      </c>
      <c r="G7565" t="s">
        <v>7</v>
      </c>
      <c r="H7565">
        <v>125038.61</v>
      </c>
      <c r="I7565">
        <v>114011.74</v>
      </c>
      <c r="J7565">
        <v>0</v>
      </c>
    </row>
    <row r="7566" spans="1:10" x14ac:dyDescent="0.35">
      <c r="A7566">
        <v>329281</v>
      </c>
      <c r="B7566" t="s">
        <v>20</v>
      </c>
      <c r="C7566">
        <v>2015</v>
      </c>
      <c r="D7566">
        <v>7</v>
      </c>
      <c r="E7566" t="s">
        <v>7</v>
      </c>
      <c r="F7566" t="s">
        <v>7</v>
      </c>
      <c r="G7566" t="s">
        <v>7</v>
      </c>
      <c r="H7566">
        <v>26934.04</v>
      </c>
      <c r="I7566">
        <v>6810.51</v>
      </c>
      <c r="J7566">
        <v>0</v>
      </c>
    </row>
    <row r="7567" spans="1:10" x14ac:dyDescent="0.35">
      <c r="A7567">
        <v>329291</v>
      </c>
      <c r="B7567" t="s">
        <v>20</v>
      </c>
      <c r="C7567">
        <v>2015</v>
      </c>
      <c r="D7567">
        <v>7</v>
      </c>
      <c r="E7567" t="s">
        <v>7</v>
      </c>
      <c r="F7567" t="s">
        <v>7</v>
      </c>
      <c r="G7567" t="s">
        <v>7</v>
      </c>
      <c r="H7567">
        <v>33913.78</v>
      </c>
      <c r="I7567">
        <v>17095.669999999998</v>
      </c>
      <c r="J7567">
        <v>0</v>
      </c>
    </row>
    <row r="7568" spans="1:10" x14ac:dyDescent="0.35">
      <c r="A7568">
        <v>329306</v>
      </c>
      <c r="B7568" t="s">
        <v>20</v>
      </c>
      <c r="C7568">
        <v>2015</v>
      </c>
      <c r="D7568">
        <v>7</v>
      </c>
      <c r="E7568" t="s">
        <v>7</v>
      </c>
      <c r="F7568" t="s">
        <v>7</v>
      </c>
      <c r="G7568" t="s">
        <v>7</v>
      </c>
      <c r="H7568">
        <v>19833.48</v>
      </c>
      <c r="I7568">
        <v>4936.1099999999997</v>
      </c>
      <c r="J7568">
        <v>0</v>
      </c>
    </row>
    <row r="7569" spans="1:10" x14ac:dyDescent="0.35">
      <c r="A7569">
        <v>329327</v>
      </c>
      <c r="B7569" t="s">
        <v>20</v>
      </c>
      <c r="C7569">
        <v>2015</v>
      </c>
      <c r="D7569">
        <v>7</v>
      </c>
      <c r="E7569" t="s">
        <v>7</v>
      </c>
      <c r="F7569" t="s">
        <v>7</v>
      </c>
      <c r="G7569" t="s">
        <v>7</v>
      </c>
      <c r="H7569">
        <v>28950.720000000001</v>
      </c>
      <c r="I7569">
        <v>7180.21</v>
      </c>
      <c r="J7569">
        <v>0</v>
      </c>
    </row>
    <row r="7570" spans="1:10" x14ac:dyDescent="0.35">
      <c r="A7570">
        <v>329339</v>
      </c>
      <c r="B7570" t="s">
        <v>20</v>
      </c>
      <c r="C7570">
        <v>2015</v>
      </c>
      <c r="D7570">
        <v>7</v>
      </c>
      <c r="E7570" t="s">
        <v>7</v>
      </c>
      <c r="F7570" t="s">
        <v>7</v>
      </c>
      <c r="G7570" t="s">
        <v>7</v>
      </c>
      <c r="H7570">
        <v>12680.26</v>
      </c>
      <c r="I7570">
        <v>2826.4</v>
      </c>
      <c r="J7570">
        <v>0</v>
      </c>
    </row>
    <row r="7571" spans="1:10" x14ac:dyDescent="0.35">
      <c r="A7571">
        <v>329362</v>
      </c>
      <c r="B7571" t="s">
        <v>20</v>
      </c>
      <c r="C7571">
        <v>2015</v>
      </c>
      <c r="D7571">
        <v>7</v>
      </c>
      <c r="E7571" t="s">
        <v>7</v>
      </c>
      <c r="F7571" t="s">
        <v>7</v>
      </c>
      <c r="G7571" t="s">
        <v>7</v>
      </c>
      <c r="H7571">
        <v>31753.18</v>
      </c>
      <c r="I7571">
        <v>7508.46</v>
      </c>
      <c r="J7571">
        <v>0</v>
      </c>
    </row>
    <row r="7572" spans="1:10" x14ac:dyDescent="0.35">
      <c r="A7572">
        <v>329377</v>
      </c>
      <c r="B7572" t="s">
        <v>20</v>
      </c>
      <c r="C7572">
        <v>2015</v>
      </c>
      <c r="D7572">
        <v>7</v>
      </c>
      <c r="E7572" t="s">
        <v>7</v>
      </c>
      <c r="F7572" t="s">
        <v>7</v>
      </c>
      <c r="G7572" t="s">
        <v>7</v>
      </c>
      <c r="H7572">
        <v>17378.580000000002</v>
      </c>
      <c r="I7572">
        <v>6667.99</v>
      </c>
      <c r="J7572">
        <v>0</v>
      </c>
    </row>
    <row r="7573" spans="1:10" x14ac:dyDescent="0.35">
      <c r="A7573">
        <v>329388</v>
      </c>
      <c r="B7573" t="s">
        <v>20</v>
      </c>
      <c r="C7573">
        <v>2015</v>
      </c>
      <c r="D7573">
        <v>7</v>
      </c>
      <c r="E7573" t="s">
        <v>7</v>
      </c>
      <c r="F7573" t="s">
        <v>7</v>
      </c>
      <c r="G7573" t="s">
        <v>7</v>
      </c>
      <c r="H7573">
        <v>14712.16</v>
      </c>
      <c r="I7573">
        <v>4113.24</v>
      </c>
      <c r="J7573">
        <v>0</v>
      </c>
    </row>
    <row r="7574" spans="1:10" x14ac:dyDescent="0.35">
      <c r="A7574">
        <v>329397</v>
      </c>
      <c r="B7574" t="s">
        <v>20</v>
      </c>
      <c r="C7574">
        <v>2015</v>
      </c>
      <c r="D7574">
        <v>7</v>
      </c>
      <c r="E7574" t="s">
        <v>7</v>
      </c>
      <c r="F7574" t="s">
        <v>7</v>
      </c>
      <c r="G7574" t="s">
        <v>7</v>
      </c>
      <c r="H7574">
        <v>10787.46</v>
      </c>
      <c r="I7574">
        <v>2832.55</v>
      </c>
      <c r="J7574">
        <v>0</v>
      </c>
    </row>
    <row r="7575" spans="1:10" x14ac:dyDescent="0.35">
      <c r="A7575">
        <v>329407</v>
      </c>
      <c r="B7575" t="s">
        <v>20</v>
      </c>
      <c r="C7575">
        <v>2015</v>
      </c>
      <c r="D7575">
        <v>7</v>
      </c>
      <c r="E7575" t="s">
        <v>7</v>
      </c>
      <c r="F7575" t="s">
        <v>7</v>
      </c>
      <c r="G7575" t="s">
        <v>7</v>
      </c>
      <c r="H7575">
        <v>30567.56</v>
      </c>
      <c r="I7575">
        <v>8435.41</v>
      </c>
      <c r="J7575">
        <v>0</v>
      </c>
    </row>
    <row r="7576" spans="1:10" x14ac:dyDescent="0.35">
      <c r="A7576">
        <v>329416</v>
      </c>
      <c r="B7576" t="s">
        <v>20</v>
      </c>
      <c r="C7576">
        <v>2015</v>
      </c>
      <c r="D7576">
        <v>7</v>
      </c>
      <c r="E7576" t="s">
        <v>7</v>
      </c>
      <c r="F7576" t="s">
        <v>7</v>
      </c>
      <c r="G7576" t="s">
        <v>7</v>
      </c>
      <c r="H7576">
        <v>33862</v>
      </c>
      <c r="I7576">
        <v>9348.15</v>
      </c>
      <c r="J7576">
        <v>0</v>
      </c>
    </row>
    <row r="7577" spans="1:10" x14ac:dyDescent="0.35">
      <c r="A7577">
        <v>329424</v>
      </c>
      <c r="B7577" t="s">
        <v>20</v>
      </c>
      <c r="C7577">
        <v>2015</v>
      </c>
      <c r="D7577">
        <v>7</v>
      </c>
      <c r="E7577" t="s">
        <v>7</v>
      </c>
      <c r="F7577" t="s">
        <v>7</v>
      </c>
      <c r="G7577" t="s">
        <v>7</v>
      </c>
      <c r="H7577">
        <v>31739.3</v>
      </c>
      <c r="I7577">
        <v>8516.39</v>
      </c>
      <c r="J7577">
        <v>0</v>
      </c>
    </row>
    <row r="7578" spans="1:10" x14ac:dyDescent="0.35">
      <c r="A7578">
        <v>329434</v>
      </c>
      <c r="B7578" t="s">
        <v>20</v>
      </c>
      <c r="C7578">
        <v>2015</v>
      </c>
      <c r="D7578">
        <v>7</v>
      </c>
      <c r="E7578" t="s">
        <v>7</v>
      </c>
      <c r="F7578" t="s">
        <v>7</v>
      </c>
      <c r="G7578" t="s">
        <v>7</v>
      </c>
      <c r="H7578">
        <v>30217.02</v>
      </c>
      <c r="I7578">
        <v>8763.5</v>
      </c>
      <c r="J7578">
        <v>0</v>
      </c>
    </row>
    <row r="7579" spans="1:10" x14ac:dyDescent="0.35">
      <c r="A7579">
        <v>329450</v>
      </c>
      <c r="B7579" t="s">
        <v>20</v>
      </c>
      <c r="C7579">
        <v>2015</v>
      </c>
      <c r="D7579">
        <v>7</v>
      </c>
      <c r="E7579" t="s">
        <v>7</v>
      </c>
      <c r="F7579" t="s">
        <v>7</v>
      </c>
      <c r="G7579" t="s">
        <v>7</v>
      </c>
      <c r="H7579">
        <v>34033.480000000003</v>
      </c>
      <c r="I7579">
        <v>8329.98</v>
      </c>
      <c r="J7579">
        <v>0</v>
      </c>
    </row>
    <row r="7580" spans="1:10" x14ac:dyDescent="0.35">
      <c r="A7580">
        <v>329460</v>
      </c>
      <c r="B7580" t="s">
        <v>20</v>
      </c>
      <c r="C7580">
        <v>2015</v>
      </c>
      <c r="D7580">
        <v>7</v>
      </c>
      <c r="E7580" t="s">
        <v>7</v>
      </c>
      <c r="F7580" t="s">
        <v>7</v>
      </c>
      <c r="G7580" t="s">
        <v>7</v>
      </c>
      <c r="H7580">
        <v>47020.2</v>
      </c>
      <c r="I7580">
        <v>13855.03</v>
      </c>
      <c r="J7580">
        <v>0</v>
      </c>
    </row>
    <row r="7581" spans="1:10" x14ac:dyDescent="0.35">
      <c r="A7581">
        <v>329473</v>
      </c>
      <c r="B7581" t="s">
        <v>20</v>
      </c>
      <c r="C7581">
        <v>2015</v>
      </c>
      <c r="D7581">
        <v>7</v>
      </c>
      <c r="E7581" t="s">
        <v>7</v>
      </c>
      <c r="F7581" t="s">
        <v>7</v>
      </c>
      <c r="G7581" t="s">
        <v>7</v>
      </c>
      <c r="H7581">
        <v>10130.540000000001</v>
      </c>
      <c r="I7581">
        <v>2761.6</v>
      </c>
      <c r="J7581">
        <v>0</v>
      </c>
    </row>
    <row r="7582" spans="1:10" x14ac:dyDescent="0.35">
      <c r="A7582">
        <v>329486</v>
      </c>
      <c r="B7582" t="s">
        <v>20</v>
      </c>
      <c r="C7582">
        <v>2015</v>
      </c>
      <c r="D7582">
        <v>7</v>
      </c>
      <c r="E7582" t="s">
        <v>7</v>
      </c>
      <c r="F7582" t="s">
        <v>7</v>
      </c>
      <c r="G7582" t="s">
        <v>7</v>
      </c>
      <c r="H7582">
        <v>33672.92</v>
      </c>
      <c r="I7582">
        <v>8243.17</v>
      </c>
      <c r="J7582">
        <v>0</v>
      </c>
    </row>
    <row r="7583" spans="1:10" x14ac:dyDescent="0.35">
      <c r="A7583">
        <v>329503</v>
      </c>
      <c r="B7583" t="s">
        <v>20</v>
      </c>
      <c r="C7583">
        <v>2015</v>
      </c>
      <c r="D7583">
        <v>7</v>
      </c>
      <c r="E7583" t="s">
        <v>7</v>
      </c>
      <c r="F7583" t="s">
        <v>7</v>
      </c>
      <c r="G7583" t="s">
        <v>7</v>
      </c>
      <c r="H7583">
        <v>25654.98</v>
      </c>
      <c r="I7583">
        <v>7450.19</v>
      </c>
      <c r="J7583">
        <v>0</v>
      </c>
    </row>
    <row r="7584" spans="1:10" x14ac:dyDescent="0.35">
      <c r="A7584">
        <v>329512</v>
      </c>
      <c r="B7584" t="s">
        <v>20</v>
      </c>
      <c r="C7584">
        <v>2015</v>
      </c>
      <c r="D7584">
        <v>7</v>
      </c>
      <c r="E7584" t="s">
        <v>7</v>
      </c>
      <c r="F7584" t="s">
        <v>7</v>
      </c>
      <c r="G7584" t="s">
        <v>7</v>
      </c>
      <c r="H7584">
        <v>81548.179999999993</v>
      </c>
      <c r="I7584">
        <v>43735.199999999997</v>
      </c>
      <c r="J7584">
        <v>0</v>
      </c>
    </row>
    <row r="7585" spans="1:10" x14ac:dyDescent="0.35">
      <c r="A7585">
        <v>329520</v>
      </c>
      <c r="B7585" t="s">
        <v>20</v>
      </c>
      <c r="C7585">
        <v>2015</v>
      </c>
      <c r="D7585">
        <v>7</v>
      </c>
      <c r="E7585" t="s">
        <v>7</v>
      </c>
      <c r="F7585" t="s">
        <v>7</v>
      </c>
      <c r="G7585" t="s">
        <v>7</v>
      </c>
      <c r="H7585">
        <v>14202.56</v>
      </c>
      <c r="I7585">
        <v>3628.8</v>
      </c>
      <c r="J7585">
        <v>0</v>
      </c>
    </row>
    <row r="7586" spans="1:10" x14ac:dyDescent="0.35">
      <c r="A7586">
        <v>329543</v>
      </c>
      <c r="B7586" t="s">
        <v>20</v>
      </c>
      <c r="C7586">
        <v>2015</v>
      </c>
      <c r="D7586">
        <v>7</v>
      </c>
      <c r="E7586" t="s">
        <v>7</v>
      </c>
      <c r="F7586" t="s">
        <v>7</v>
      </c>
      <c r="G7586" t="s">
        <v>7</v>
      </c>
      <c r="H7586">
        <v>27210.14</v>
      </c>
      <c r="I7586">
        <v>7886.18</v>
      </c>
      <c r="J7586">
        <v>0</v>
      </c>
    </row>
    <row r="7587" spans="1:10" x14ac:dyDescent="0.35">
      <c r="A7587">
        <v>329548</v>
      </c>
      <c r="B7587" t="s">
        <v>20</v>
      </c>
      <c r="C7587">
        <v>2015</v>
      </c>
      <c r="D7587">
        <v>7</v>
      </c>
      <c r="E7587" t="s">
        <v>7</v>
      </c>
      <c r="F7587" t="s">
        <v>7</v>
      </c>
      <c r="G7587" t="s">
        <v>7</v>
      </c>
      <c r="H7587">
        <v>22836.84</v>
      </c>
      <c r="I7587">
        <v>6898.41</v>
      </c>
      <c r="J7587">
        <v>0</v>
      </c>
    </row>
    <row r="7588" spans="1:10" x14ac:dyDescent="0.35">
      <c r="A7588">
        <v>329558</v>
      </c>
      <c r="B7588" t="s">
        <v>20</v>
      </c>
      <c r="C7588">
        <v>2015</v>
      </c>
      <c r="D7588">
        <v>7</v>
      </c>
      <c r="E7588" t="s">
        <v>7</v>
      </c>
      <c r="F7588" t="s">
        <v>7</v>
      </c>
      <c r="G7588" t="s">
        <v>7</v>
      </c>
      <c r="H7588">
        <v>63900.38</v>
      </c>
      <c r="I7588">
        <v>26605.82</v>
      </c>
      <c r="J7588">
        <v>0</v>
      </c>
    </row>
    <row r="7589" spans="1:10" x14ac:dyDescent="0.35">
      <c r="A7589">
        <v>317766</v>
      </c>
      <c r="B7589" t="s">
        <v>20</v>
      </c>
      <c r="C7589">
        <v>2015</v>
      </c>
      <c r="D7589">
        <v>8</v>
      </c>
      <c r="E7589" t="s">
        <v>44</v>
      </c>
      <c r="F7589" t="s">
        <v>10</v>
      </c>
      <c r="G7589" t="s">
        <v>10</v>
      </c>
      <c r="H7589">
        <v>74918.12</v>
      </c>
      <c r="I7589">
        <v>56043.67</v>
      </c>
      <c r="J7589">
        <v>0</v>
      </c>
    </row>
    <row r="7590" spans="1:10" x14ac:dyDescent="0.35">
      <c r="A7590">
        <v>318017</v>
      </c>
      <c r="B7590" t="s">
        <v>20</v>
      </c>
      <c r="C7590">
        <v>2015</v>
      </c>
      <c r="D7590">
        <v>8</v>
      </c>
      <c r="E7590" t="s">
        <v>44</v>
      </c>
      <c r="F7590" t="s">
        <v>10</v>
      </c>
      <c r="G7590" t="s">
        <v>10</v>
      </c>
      <c r="H7590">
        <v>47455.199999999997</v>
      </c>
      <c r="I7590">
        <v>26131.97</v>
      </c>
      <c r="J7590">
        <v>0</v>
      </c>
    </row>
    <row r="7591" spans="1:10" x14ac:dyDescent="0.35">
      <c r="A7591">
        <v>318106</v>
      </c>
      <c r="B7591" t="s">
        <v>20</v>
      </c>
      <c r="C7591">
        <v>2015</v>
      </c>
      <c r="D7591">
        <v>8</v>
      </c>
      <c r="E7591" t="s">
        <v>44</v>
      </c>
      <c r="F7591" t="s">
        <v>10</v>
      </c>
      <c r="G7591" t="s">
        <v>10</v>
      </c>
      <c r="H7591">
        <v>125558.87</v>
      </c>
      <c r="I7591">
        <v>109060.48</v>
      </c>
      <c r="J7591">
        <v>0</v>
      </c>
    </row>
    <row r="7592" spans="1:10" x14ac:dyDescent="0.35">
      <c r="A7592">
        <v>318133</v>
      </c>
      <c r="B7592" t="s">
        <v>20</v>
      </c>
      <c r="C7592">
        <v>2015</v>
      </c>
      <c r="D7592">
        <v>8</v>
      </c>
      <c r="E7592" t="s">
        <v>44</v>
      </c>
      <c r="F7592" t="s">
        <v>10</v>
      </c>
      <c r="G7592" t="s">
        <v>10</v>
      </c>
      <c r="H7592">
        <v>70063.86</v>
      </c>
      <c r="I7592">
        <v>50955.71</v>
      </c>
      <c r="J7592">
        <v>0</v>
      </c>
    </row>
    <row r="7593" spans="1:10" x14ac:dyDescent="0.35">
      <c r="A7593">
        <v>318259</v>
      </c>
      <c r="B7593" t="s">
        <v>20</v>
      </c>
      <c r="C7593">
        <v>2015</v>
      </c>
      <c r="D7593">
        <v>8</v>
      </c>
      <c r="E7593" t="s">
        <v>44</v>
      </c>
      <c r="F7593" t="s">
        <v>10</v>
      </c>
      <c r="G7593" t="s">
        <v>10</v>
      </c>
      <c r="H7593">
        <v>70311.259999999995</v>
      </c>
      <c r="I7593">
        <v>23882.85</v>
      </c>
      <c r="J7593">
        <v>0</v>
      </c>
    </row>
    <row r="7594" spans="1:10" x14ac:dyDescent="0.35">
      <c r="A7594">
        <v>318296</v>
      </c>
      <c r="B7594" t="s">
        <v>20</v>
      </c>
      <c r="C7594">
        <v>2015</v>
      </c>
      <c r="D7594">
        <v>8</v>
      </c>
      <c r="E7594" t="s">
        <v>44</v>
      </c>
      <c r="F7594" t="s">
        <v>10</v>
      </c>
      <c r="G7594" t="s">
        <v>10</v>
      </c>
      <c r="H7594">
        <v>38545.360000000001</v>
      </c>
      <c r="I7594">
        <v>20429.310000000001</v>
      </c>
      <c r="J7594">
        <v>0</v>
      </c>
    </row>
    <row r="7595" spans="1:10" x14ac:dyDescent="0.35">
      <c r="A7595">
        <v>318922</v>
      </c>
      <c r="B7595" t="s">
        <v>20</v>
      </c>
      <c r="C7595">
        <v>2015</v>
      </c>
      <c r="D7595">
        <v>8</v>
      </c>
      <c r="E7595" t="s">
        <v>44</v>
      </c>
      <c r="F7595" t="s">
        <v>10</v>
      </c>
      <c r="G7595" t="s">
        <v>10</v>
      </c>
      <c r="H7595">
        <v>67472.72</v>
      </c>
      <c r="I7595">
        <v>49127.360000000001</v>
      </c>
      <c r="J7595">
        <v>0</v>
      </c>
    </row>
    <row r="7596" spans="1:10" x14ac:dyDescent="0.35">
      <c r="A7596">
        <v>318965</v>
      </c>
      <c r="B7596" t="s">
        <v>20</v>
      </c>
      <c r="C7596">
        <v>2015</v>
      </c>
      <c r="D7596">
        <v>8</v>
      </c>
      <c r="E7596" t="s">
        <v>44</v>
      </c>
      <c r="F7596" t="s">
        <v>10</v>
      </c>
      <c r="G7596" t="s">
        <v>10</v>
      </c>
      <c r="H7596">
        <v>94144.74</v>
      </c>
      <c r="I7596">
        <v>57575.56</v>
      </c>
      <c r="J7596">
        <v>0</v>
      </c>
    </row>
    <row r="7597" spans="1:10" x14ac:dyDescent="0.35">
      <c r="A7597">
        <v>319013</v>
      </c>
      <c r="B7597" t="s">
        <v>20</v>
      </c>
      <c r="C7597">
        <v>2015</v>
      </c>
      <c r="D7597">
        <v>8</v>
      </c>
      <c r="E7597" t="s">
        <v>44</v>
      </c>
      <c r="F7597" t="s">
        <v>10</v>
      </c>
      <c r="G7597" t="s">
        <v>10</v>
      </c>
      <c r="H7597">
        <v>182324.86</v>
      </c>
      <c r="I7597">
        <v>175398.08</v>
      </c>
      <c r="J7597">
        <v>0</v>
      </c>
    </row>
    <row r="7598" spans="1:10" x14ac:dyDescent="0.35">
      <c r="A7598">
        <v>319030</v>
      </c>
      <c r="B7598" t="s">
        <v>20</v>
      </c>
      <c r="C7598">
        <v>2015</v>
      </c>
      <c r="D7598">
        <v>8</v>
      </c>
      <c r="E7598" t="s">
        <v>44</v>
      </c>
      <c r="F7598" t="s">
        <v>10</v>
      </c>
      <c r="G7598" t="s">
        <v>10</v>
      </c>
      <c r="H7598">
        <v>239361.72</v>
      </c>
      <c r="I7598">
        <v>79676.960000000006</v>
      </c>
      <c r="J7598">
        <v>0</v>
      </c>
    </row>
    <row r="7599" spans="1:10" x14ac:dyDescent="0.35">
      <c r="A7599">
        <v>319155</v>
      </c>
      <c r="B7599" t="s">
        <v>20</v>
      </c>
      <c r="C7599">
        <v>2015</v>
      </c>
      <c r="D7599">
        <v>8</v>
      </c>
      <c r="E7599" t="s">
        <v>44</v>
      </c>
      <c r="F7599" t="s">
        <v>10</v>
      </c>
      <c r="G7599" t="s">
        <v>10</v>
      </c>
      <c r="H7599">
        <v>65501.66</v>
      </c>
      <c r="I7599">
        <v>47144.11</v>
      </c>
      <c r="J7599">
        <v>0</v>
      </c>
    </row>
    <row r="7600" spans="1:10" x14ac:dyDescent="0.35">
      <c r="A7600">
        <v>319171</v>
      </c>
      <c r="B7600" t="s">
        <v>20</v>
      </c>
      <c r="C7600">
        <v>2015</v>
      </c>
      <c r="D7600">
        <v>8</v>
      </c>
      <c r="E7600" t="s">
        <v>44</v>
      </c>
      <c r="F7600" t="s">
        <v>10</v>
      </c>
      <c r="G7600" t="s">
        <v>10</v>
      </c>
      <c r="H7600">
        <v>374194.52</v>
      </c>
      <c r="I7600">
        <v>119947.01</v>
      </c>
      <c r="J7600">
        <v>0</v>
      </c>
    </row>
    <row r="7601" spans="1:10" x14ac:dyDescent="0.35">
      <c r="A7601">
        <v>319348</v>
      </c>
      <c r="B7601" t="s">
        <v>20</v>
      </c>
      <c r="C7601">
        <v>2015</v>
      </c>
      <c r="D7601">
        <v>8</v>
      </c>
      <c r="E7601" t="s">
        <v>44</v>
      </c>
      <c r="F7601" t="s">
        <v>10</v>
      </c>
      <c r="G7601" t="s">
        <v>10</v>
      </c>
      <c r="H7601">
        <v>72654.3</v>
      </c>
      <c r="I7601">
        <v>55763.88</v>
      </c>
      <c r="J7601">
        <v>0</v>
      </c>
    </row>
    <row r="7602" spans="1:10" x14ac:dyDescent="0.35">
      <c r="A7602">
        <v>319675</v>
      </c>
      <c r="B7602" t="s">
        <v>20</v>
      </c>
      <c r="C7602">
        <v>2015</v>
      </c>
      <c r="D7602">
        <v>8</v>
      </c>
      <c r="E7602" t="s">
        <v>44</v>
      </c>
      <c r="F7602" t="s">
        <v>10</v>
      </c>
      <c r="G7602" t="s">
        <v>10</v>
      </c>
      <c r="H7602">
        <v>1089805.72</v>
      </c>
      <c r="I7602">
        <v>376311.71</v>
      </c>
      <c r="J7602">
        <v>0</v>
      </c>
    </row>
    <row r="7603" spans="1:10" x14ac:dyDescent="0.35">
      <c r="A7603">
        <v>319753</v>
      </c>
      <c r="B7603" t="s">
        <v>20</v>
      </c>
      <c r="C7603">
        <v>2015</v>
      </c>
      <c r="D7603">
        <v>8</v>
      </c>
      <c r="E7603" t="s">
        <v>44</v>
      </c>
      <c r="F7603" t="s">
        <v>10</v>
      </c>
      <c r="G7603" t="s">
        <v>10</v>
      </c>
      <c r="H7603">
        <v>62814.09</v>
      </c>
      <c r="I7603">
        <v>43983.839999999997</v>
      </c>
      <c r="J7603">
        <v>0</v>
      </c>
    </row>
    <row r="7604" spans="1:10" x14ac:dyDescent="0.35">
      <c r="A7604">
        <v>319796</v>
      </c>
      <c r="B7604" t="s">
        <v>20</v>
      </c>
      <c r="C7604">
        <v>2015</v>
      </c>
      <c r="D7604">
        <v>8</v>
      </c>
      <c r="E7604" t="s">
        <v>44</v>
      </c>
      <c r="F7604" t="s">
        <v>10</v>
      </c>
      <c r="G7604" t="s">
        <v>10</v>
      </c>
      <c r="H7604">
        <v>70064.479999999996</v>
      </c>
      <c r="I7604">
        <v>52330.65</v>
      </c>
      <c r="J7604">
        <v>0</v>
      </c>
    </row>
    <row r="7605" spans="1:10" x14ac:dyDescent="0.35">
      <c r="A7605">
        <v>319853</v>
      </c>
      <c r="B7605" t="s">
        <v>20</v>
      </c>
      <c r="C7605">
        <v>2015</v>
      </c>
      <c r="D7605">
        <v>8</v>
      </c>
      <c r="E7605" t="s">
        <v>44</v>
      </c>
      <c r="F7605" t="s">
        <v>10</v>
      </c>
      <c r="G7605" t="s">
        <v>10</v>
      </c>
      <c r="H7605">
        <v>65793.88</v>
      </c>
      <c r="I7605">
        <v>47272.89</v>
      </c>
      <c r="J7605">
        <v>0</v>
      </c>
    </row>
    <row r="7606" spans="1:10" x14ac:dyDescent="0.35">
      <c r="A7606">
        <v>320310</v>
      </c>
      <c r="B7606" t="s">
        <v>20</v>
      </c>
      <c r="C7606">
        <v>2015</v>
      </c>
      <c r="D7606">
        <v>8</v>
      </c>
      <c r="E7606" t="s">
        <v>44</v>
      </c>
      <c r="F7606" t="s">
        <v>10</v>
      </c>
      <c r="G7606" t="s">
        <v>10</v>
      </c>
      <c r="H7606">
        <v>80818.58</v>
      </c>
      <c r="I7606">
        <v>63038.86</v>
      </c>
      <c r="J7606">
        <v>0</v>
      </c>
    </row>
    <row r="7607" spans="1:10" x14ac:dyDescent="0.35">
      <c r="A7607">
        <v>320319</v>
      </c>
      <c r="B7607" t="s">
        <v>20</v>
      </c>
      <c r="C7607">
        <v>2015</v>
      </c>
      <c r="D7607">
        <v>8</v>
      </c>
      <c r="E7607" t="s">
        <v>44</v>
      </c>
      <c r="F7607" t="s">
        <v>10</v>
      </c>
      <c r="G7607" t="s">
        <v>10</v>
      </c>
      <c r="H7607">
        <v>62426.720000000001</v>
      </c>
      <c r="I7607">
        <v>50733.68</v>
      </c>
      <c r="J7607">
        <v>0</v>
      </c>
    </row>
    <row r="7608" spans="1:10" x14ac:dyDescent="0.35">
      <c r="A7608">
        <v>320400</v>
      </c>
      <c r="B7608" t="s">
        <v>20</v>
      </c>
      <c r="C7608">
        <v>2015</v>
      </c>
      <c r="D7608">
        <v>8</v>
      </c>
      <c r="E7608" t="s">
        <v>44</v>
      </c>
      <c r="F7608" t="s">
        <v>10</v>
      </c>
      <c r="G7608" t="s">
        <v>10</v>
      </c>
      <c r="H7608">
        <v>2121068.34</v>
      </c>
      <c r="I7608">
        <v>728420.4</v>
      </c>
      <c r="J7608">
        <v>0</v>
      </c>
    </row>
    <row r="7609" spans="1:10" x14ac:dyDescent="0.35">
      <c r="A7609">
        <v>320487</v>
      </c>
      <c r="B7609" t="s">
        <v>20</v>
      </c>
      <c r="C7609">
        <v>2015</v>
      </c>
      <c r="D7609">
        <v>8</v>
      </c>
      <c r="E7609" t="s">
        <v>44</v>
      </c>
      <c r="F7609" t="s">
        <v>10</v>
      </c>
      <c r="G7609" t="s">
        <v>10</v>
      </c>
      <c r="H7609">
        <v>62375.26</v>
      </c>
      <c r="I7609">
        <v>45245.4</v>
      </c>
      <c r="J7609">
        <v>0</v>
      </c>
    </row>
    <row r="7610" spans="1:10" x14ac:dyDescent="0.35">
      <c r="A7610">
        <v>320528</v>
      </c>
      <c r="B7610" t="s">
        <v>20</v>
      </c>
      <c r="C7610">
        <v>2015</v>
      </c>
      <c r="D7610">
        <v>8</v>
      </c>
      <c r="E7610" t="s">
        <v>44</v>
      </c>
      <c r="F7610" t="s">
        <v>10</v>
      </c>
      <c r="G7610" t="s">
        <v>10</v>
      </c>
      <c r="H7610">
        <v>68072.34</v>
      </c>
      <c r="I7610">
        <v>49425.97</v>
      </c>
      <c r="J7610">
        <v>0</v>
      </c>
    </row>
    <row r="7611" spans="1:10" x14ac:dyDescent="0.35">
      <c r="A7611">
        <v>320556</v>
      </c>
      <c r="B7611" t="s">
        <v>20</v>
      </c>
      <c r="C7611">
        <v>2015</v>
      </c>
      <c r="D7611">
        <v>8</v>
      </c>
      <c r="E7611" t="s">
        <v>44</v>
      </c>
      <c r="F7611" t="s">
        <v>10</v>
      </c>
      <c r="G7611" t="s">
        <v>10</v>
      </c>
      <c r="H7611">
        <v>59878.12</v>
      </c>
      <c r="I7611">
        <v>45572.11</v>
      </c>
      <c r="J7611">
        <v>0</v>
      </c>
    </row>
    <row r="7612" spans="1:10" x14ac:dyDescent="0.35">
      <c r="A7612">
        <v>320604</v>
      </c>
      <c r="B7612" t="s">
        <v>20</v>
      </c>
      <c r="C7612">
        <v>2015</v>
      </c>
      <c r="D7612">
        <v>8</v>
      </c>
      <c r="E7612" t="s">
        <v>44</v>
      </c>
      <c r="F7612" t="s">
        <v>10</v>
      </c>
      <c r="G7612" t="s">
        <v>10</v>
      </c>
      <c r="H7612">
        <v>76978.02</v>
      </c>
      <c r="I7612">
        <v>58924.1</v>
      </c>
      <c r="J7612">
        <v>0</v>
      </c>
    </row>
    <row r="7613" spans="1:10" x14ac:dyDescent="0.35">
      <c r="A7613">
        <v>320629</v>
      </c>
      <c r="B7613" t="s">
        <v>20</v>
      </c>
      <c r="C7613">
        <v>2015</v>
      </c>
      <c r="D7613">
        <v>8</v>
      </c>
      <c r="E7613" t="s">
        <v>44</v>
      </c>
      <c r="F7613" t="s">
        <v>10</v>
      </c>
      <c r="G7613" t="s">
        <v>10</v>
      </c>
      <c r="H7613">
        <v>206261.18</v>
      </c>
      <c r="I7613">
        <v>187811.25</v>
      </c>
      <c r="J7613">
        <v>0</v>
      </c>
    </row>
    <row r="7614" spans="1:10" x14ac:dyDescent="0.35">
      <c r="A7614">
        <v>320633</v>
      </c>
      <c r="B7614" t="s">
        <v>20</v>
      </c>
      <c r="C7614">
        <v>2015</v>
      </c>
      <c r="D7614">
        <v>8</v>
      </c>
      <c r="E7614" t="s">
        <v>44</v>
      </c>
      <c r="F7614" t="s">
        <v>10</v>
      </c>
      <c r="G7614" t="s">
        <v>10</v>
      </c>
      <c r="H7614">
        <v>145089.92000000001</v>
      </c>
      <c r="I7614">
        <v>51187.47</v>
      </c>
      <c r="J7614">
        <v>0</v>
      </c>
    </row>
    <row r="7615" spans="1:10" x14ac:dyDescent="0.35">
      <c r="A7615">
        <v>320822</v>
      </c>
      <c r="B7615" t="s">
        <v>20</v>
      </c>
      <c r="C7615">
        <v>2015</v>
      </c>
      <c r="D7615">
        <v>8</v>
      </c>
      <c r="E7615" t="s">
        <v>44</v>
      </c>
      <c r="F7615" t="s">
        <v>10</v>
      </c>
      <c r="G7615" t="s">
        <v>10</v>
      </c>
      <c r="H7615">
        <v>2951.92</v>
      </c>
      <c r="I7615">
        <v>2009.81</v>
      </c>
      <c r="J7615">
        <v>0</v>
      </c>
    </row>
    <row r="7616" spans="1:10" x14ac:dyDescent="0.35">
      <c r="A7616">
        <v>321048</v>
      </c>
      <c r="B7616" t="s">
        <v>20</v>
      </c>
      <c r="C7616">
        <v>2015</v>
      </c>
      <c r="D7616">
        <v>8</v>
      </c>
      <c r="E7616" t="s">
        <v>44</v>
      </c>
      <c r="F7616" t="s">
        <v>10</v>
      </c>
      <c r="G7616" t="s">
        <v>10</v>
      </c>
      <c r="H7616">
        <v>37886.44</v>
      </c>
      <c r="I7616">
        <v>9668.14</v>
      </c>
      <c r="J7616">
        <v>0</v>
      </c>
    </row>
    <row r="7617" spans="1:10" x14ac:dyDescent="0.35">
      <c r="A7617">
        <v>321070</v>
      </c>
      <c r="B7617" t="s">
        <v>20</v>
      </c>
      <c r="C7617">
        <v>2015</v>
      </c>
      <c r="D7617">
        <v>8</v>
      </c>
      <c r="E7617" t="s">
        <v>44</v>
      </c>
      <c r="F7617" t="s">
        <v>10</v>
      </c>
      <c r="G7617" t="s">
        <v>10</v>
      </c>
      <c r="H7617">
        <v>77641.14</v>
      </c>
      <c r="I7617">
        <v>59102.68</v>
      </c>
      <c r="J7617">
        <v>0</v>
      </c>
    </row>
    <row r="7618" spans="1:10" x14ac:dyDescent="0.35">
      <c r="A7618">
        <v>321094</v>
      </c>
      <c r="B7618" t="s">
        <v>20</v>
      </c>
      <c r="C7618">
        <v>2015</v>
      </c>
      <c r="D7618">
        <v>8</v>
      </c>
      <c r="E7618" t="s">
        <v>44</v>
      </c>
      <c r="F7618" t="s">
        <v>10</v>
      </c>
      <c r="G7618" t="s">
        <v>10</v>
      </c>
      <c r="H7618">
        <v>66842.179999999993</v>
      </c>
      <c r="I7618">
        <v>32443.93</v>
      </c>
      <c r="J7618">
        <v>0</v>
      </c>
    </row>
    <row r="7619" spans="1:10" x14ac:dyDescent="0.35">
      <c r="A7619">
        <v>321106</v>
      </c>
      <c r="B7619" t="s">
        <v>20</v>
      </c>
      <c r="C7619">
        <v>2015</v>
      </c>
      <c r="D7619">
        <v>8</v>
      </c>
      <c r="E7619" t="s">
        <v>44</v>
      </c>
      <c r="F7619" t="s">
        <v>10</v>
      </c>
      <c r="G7619" t="s">
        <v>10</v>
      </c>
      <c r="H7619">
        <v>17796.18</v>
      </c>
      <c r="I7619">
        <v>7618.52</v>
      </c>
      <c r="J7619">
        <v>0</v>
      </c>
    </row>
    <row r="7620" spans="1:10" x14ac:dyDescent="0.35">
      <c r="A7620">
        <v>321171</v>
      </c>
      <c r="B7620" t="s">
        <v>20</v>
      </c>
      <c r="C7620">
        <v>2015</v>
      </c>
      <c r="D7620">
        <v>8</v>
      </c>
      <c r="E7620" t="s">
        <v>44</v>
      </c>
      <c r="F7620" t="s">
        <v>10</v>
      </c>
      <c r="G7620" t="s">
        <v>10</v>
      </c>
      <c r="H7620">
        <v>59929.440000000002</v>
      </c>
      <c r="I7620">
        <v>42006.53</v>
      </c>
      <c r="J7620">
        <v>0</v>
      </c>
    </row>
    <row r="7621" spans="1:10" x14ac:dyDescent="0.35">
      <c r="A7621">
        <v>321210</v>
      </c>
      <c r="B7621" t="s">
        <v>20</v>
      </c>
      <c r="C7621">
        <v>2015</v>
      </c>
      <c r="D7621">
        <v>8</v>
      </c>
      <c r="E7621" t="s">
        <v>44</v>
      </c>
      <c r="F7621" t="s">
        <v>10</v>
      </c>
      <c r="G7621" t="s">
        <v>10</v>
      </c>
      <c r="H7621">
        <v>79184.34</v>
      </c>
      <c r="I7621">
        <v>61830.55</v>
      </c>
      <c r="J7621">
        <v>0</v>
      </c>
    </row>
    <row r="7622" spans="1:10" x14ac:dyDescent="0.35">
      <c r="A7622">
        <v>321318</v>
      </c>
      <c r="B7622" t="s">
        <v>20</v>
      </c>
      <c r="C7622">
        <v>2015</v>
      </c>
      <c r="D7622">
        <v>8</v>
      </c>
      <c r="E7622" t="s">
        <v>44</v>
      </c>
      <c r="F7622" t="s">
        <v>10</v>
      </c>
      <c r="G7622" t="s">
        <v>10</v>
      </c>
      <c r="H7622">
        <v>4590.12</v>
      </c>
      <c r="I7622">
        <v>1595.83</v>
      </c>
      <c r="J7622">
        <v>0</v>
      </c>
    </row>
    <row r="7623" spans="1:10" x14ac:dyDescent="0.35">
      <c r="A7623">
        <v>321375</v>
      </c>
      <c r="B7623" t="s">
        <v>20</v>
      </c>
      <c r="C7623">
        <v>2015</v>
      </c>
      <c r="D7623">
        <v>8</v>
      </c>
      <c r="E7623" t="s">
        <v>44</v>
      </c>
      <c r="F7623" t="s">
        <v>10</v>
      </c>
      <c r="G7623" t="s">
        <v>10</v>
      </c>
      <c r="H7623">
        <v>85483.94</v>
      </c>
      <c r="I7623">
        <v>52713.919999999998</v>
      </c>
      <c r="J7623">
        <v>0</v>
      </c>
    </row>
    <row r="7624" spans="1:10" x14ac:dyDescent="0.35">
      <c r="A7624">
        <v>321401</v>
      </c>
      <c r="B7624" t="s">
        <v>20</v>
      </c>
      <c r="C7624">
        <v>2015</v>
      </c>
      <c r="D7624">
        <v>8</v>
      </c>
      <c r="E7624" t="s">
        <v>44</v>
      </c>
      <c r="F7624" t="s">
        <v>10</v>
      </c>
      <c r="G7624" t="s">
        <v>10</v>
      </c>
      <c r="H7624">
        <v>66147.48</v>
      </c>
      <c r="I7624">
        <v>46574.84</v>
      </c>
      <c r="J7624">
        <v>0</v>
      </c>
    </row>
    <row r="7625" spans="1:10" x14ac:dyDescent="0.35">
      <c r="A7625">
        <v>321414</v>
      </c>
      <c r="B7625" t="s">
        <v>20</v>
      </c>
      <c r="C7625">
        <v>2015</v>
      </c>
      <c r="D7625">
        <v>8</v>
      </c>
      <c r="E7625" t="s">
        <v>44</v>
      </c>
      <c r="F7625" t="s">
        <v>10</v>
      </c>
      <c r="G7625" t="s">
        <v>10</v>
      </c>
      <c r="H7625">
        <v>66473.320000000007</v>
      </c>
      <c r="I7625">
        <v>48896.73</v>
      </c>
      <c r="J7625">
        <v>0</v>
      </c>
    </row>
    <row r="7626" spans="1:10" x14ac:dyDescent="0.35">
      <c r="A7626">
        <v>321445</v>
      </c>
      <c r="B7626" t="s">
        <v>20</v>
      </c>
      <c r="C7626">
        <v>2015</v>
      </c>
      <c r="D7626">
        <v>8</v>
      </c>
      <c r="E7626" t="s">
        <v>44</v>
      </c>
      <c r="F7626" t="s">
        <v>10</v>
      </c>
      <c r="G7626" t="s">
        <v>10</v>
      </c>
      <c r="H7626">
        <v>80182.559999999998</v>
      </c>
      <c r="I7626">
        <v>48322.080000000002</v>
      </c>
      <c r="J7626">
        <v>0</v>
      </c>
    </row>
    <row r="7627" spans="1:10" x14ac:dyDescent="0.35">
      <c r="A7627">
        <v>321507</v>
      </c>
      <c r="B7627" t="s">
        <v>20</v>
      </c>
      <c r="C7627">
        <v>2015</v>
      </c>
      <c r="D7627">
        <v>8</v>
      </c>
      <c r="E7627" t="s">
        <v>44</v>
      </c>
      <c r="F7627" t="s">
        <v>10</v>
      </c>
      <c r="G7627" t="s">
        <v>10</v>
      </c>
      <c r="H7627">
        <v>65494.8</v>
      </c>
      <c r="I7627">
        <v>46463.75</v>
      </c>
      <c r="J7627">
        <v>0</v>
      </c>
    </row>
    <row r="7628" spans="1:10" x14ac:dyDescent="0.35">
      <c r="A7628">
        <v>321572</v>
      </c>
      <c r="B7628" t="s">
        <v>20</v>
      </c>
      <c r="C7628">
        <v>2015</v>
      </c>
      <c r="D7628">
        <v>8</v>
      </c>
      <c r="E7628" t="s">
        <v>44</v>
      </c>
      <c r="F7628" t="s">
        <v>10</v>
      </c>
      <c r="G7628" t="s">
        <v>10</v>
      </c>
      <c r="H7628">
        <v>6261.34</v>
      </c>
      <c r="I7628">
        <v>1830.37</v>
      </c>
      <c r="J7628">
        <v>0</v>
      </c>
    </row>
    <row r="7629" spans="1:10" x14ac:dyDescent="0.35">
      <c r="A7629">
        <v>321581</v>
      </c>
      <c r="B7629" t="s">
        <v>20</v>
      </c>
      <c r="C7629">
        <v>2015</v>
      </c>
      <c r="D7629">
        <v>8</v>
      </c>
      <c r="E7629" t="s">
        <v>44</v>
      </c>
      <c r="F7629" t="s">
        <v>10</v>
      </c>
      <c r="G7629" t="s">
        <v>10</v>
      </c>
      <c r="H7629">
        <v>31403.18</v>
      </c>
      <c r="I7629">
        <v>9688.51</v>
      </c>
      <c r="J7629">
        <v>0</v>
      </c>
    </row>
    <row r="7630" spans="1:10" x14ac:dyDescent="0.35">
      <c r="A7630">
        <v>321584</v>
      </c>
      <c r="B7630" t="s">
        <v>20</v>
      </c>
      <c r="C7630">
        <v>2015</v>
      </c>
      <c r="D7630">
        <v>8</v>
      </c>
      <c r="E7630" t="s">
        <v>44</v>
      </c>
      <c r="F7630" t="s">
        <v>10</v>
      </c>
      <c r="G7630" t="s">
        <v>10</v>
      </c>
      <c r="H7630">
        <v>6411.08</v>
      </c>
      <c r="I7630">
        <v>6619.42</v>
      </c>
      <c r="J7630">
        <v>1</v>
      </c>
    </row>
    <row r="7631" spans="1:10" x14ac:dyDescent="0.35">
      <c r="A7631">
        <v>321588</v>
      </c>
      <c r="B7631" t="s">
        <v>20</v>
      </c>
      <c r="C7631">
        <v>2015</v>
      </c>
      <c r="D7631">
        <v>8</v>
      </c>
      <c r="E7631" t="s">
        <v>44</v>
      </c>
      <c r="F7631" t="s">
        <v>10</v>
      </c>
      <c r="G7631" t="s">
        <v>10</v>
      </c>
      <c r="H7631">
        <v>69422.86</v>
      </c>
      <c r="I7631">
        <v>23875.27</v>
      </c>
      <c r="J7631">
        <v>0</v>
      </c>
    </row>
    <row r="7632" spans="1:10" x14ac:dyDescent="0.35">
      <c r="A7632">
        <v>321591</v>
      </c>
      <c r="B7632" t="s">
        <v>20</v>
      </c>
      <c r="C7632">
        <v>2015</v>
      </c>
      <c r="D7632">
        <v>8</v>
      </c>
      <c r="E7632" t="s">
        <v>44</v>
      </c>
      <c r="F7632" t="s">
        <v>10</v>
      </c>
      <c r="G7632" t="s">
        <v>10</v>
      </c>
      <c r="H7632">
        <v>90001.42</v>
      </c>
      <c r="I7632">
        <v>64359.65</v>
      </c>
      <c r="J7632">
        <v>0</v>
      </c>
    </row>
    <row r="7633" spans="1:10" x14ac:dyDescent="0.35">
      <c r="A7633">
        <v>321865</v>
      </c>
      <c r="B7633" t="s">
        <v>20</v>
      </c>
      <c r="C7633">
        <v>2015</v>
      </c>
      <c r="D7633">
        <v>8</v>
      </c>
      <c r="E7633" t="s">
        <v>44</v>
      </c>
      <c r="F7633" t="s">
        <v>10</v>
      </c>
      <c r="G7633" t="s">
        <v>10</v>
      </c>
      <c r="H7633">
        <v>127109.19</v>
      </c>
      <c r="I7633">
        <v>120935.76</v>
      </c>
      <c r="J7633">
        <v>0</v>
      </c>
    </row>
    <row r="7634" spans="1:10" x14ac:dyDescent="0.35">
      <c r="A7634">
        <v>321873</v>
      </c>
      <c r="B7634" t="s">
        <v>20</v>
      </c>
      <c r="C7634">
        <v>2015</v>
      </c>
      <c r="D7634">
        <v>8</v>
      </c>
      <c r="E7634" t="s">
        <v>44</v>
      </c>
      <c r="F7634" t="s">
        <v>10</v>
      </c>
      <c r="G7634" t="s">
        <v>10</v>
      </c>
      <c r="H7634">
        <v>81676.960000000006</v>
      </c>
      <c r="I7634">
        <v>60774.84</v>
      </c>
      <c r="J7634">
        <v>0</v>
      </c>
    </row>
    <row r="7635" spans="1:10" x14ac:dyDescent="0.35">
      <c r="A7635">
        <v>321892</v>
      </c>
      <c r="B7635" t="s">
        <v>20</v>
      </c>
      <c r="C7635">
        <v>2015</v>
      </c>
      <c r="D7635">
        <v>8</v>
      </c>
      <c r="E7635" t="s">
        <v>44</v>
      </c>
      <c r="F7635" t="s">
        <v>10</v>
      </c>
      <c r="G7635" t="s">
        <v>10</v>
      </c>
      <c r="H7635">
        <v>18835.66</v>
      </c>
      <c r="I7635">
        <v>4262.24</v>
      </c>
      <c r="J7635">
        <v>0</v>
      </c>
    </row>
    <row r="7636" spans="1:10" x14ac:dyDescent="0.35">
      <c r="A7636">
        <v>322011</v>
      </c>
      <c r="B7636" t="s">
        <v>20</v>
      </c>
      <c r="C7636">
        <v>2015</v>
      </c>
      <c r="D7636">
        <v>8</v>
      </c>
      <c r="E7636" t="s">
        <v>44</v>
      </c>
      <c r="F7636" t="s">
        <v>10</v>
      </c>
      <c r="G7636" t="s">
        <v>10</v>
      </c>
      <c r="H7636">
        <v>109994.26</v>
      </c>
      <c r="I7636">
        <v>98528.39</v>
      </c>
      <c r="J7636">
        <v>0</v>
      </c>
    </row>
    <row r="7637" spans="1:10" x14ac:dyDescent="0.35">
      <c r="A7637">
        <v>322035</v>
      </c>
      <c r="B7637" t="s">
        <v>20</v>
      </c>
      <c r="C7637">
        <v>2015</v>
      </c>
      <c r="D7637">
        <v>8</v>
      </c>
      <c r="E7637" t="s">
        <v>44</v>
      </c>
      <c r="F7637" t="s">
        <v>10</v>
      </c>
      <c r="G7637" t="s">
        <v>10</v>
      </c>
      <c r="H7637">
        <v>32324.080000000002</v>
      </c>
      <c r="I7637">
        <v>17252.419999999998</v>
      </c>
      <c r="J7637">
        <v>0</v>
      </c>
    </row>
    <row r="7638" spans="1:10" x14ac:dyDescent="0.35">
      <c r="A7638">
        <v>322043</v>
      </c>
      <c r="B7638" t="s">
        <v>20</v>
      </c>
      <c r="C7638">
        <v>2015</v>
      </c>
      <c r="D7638">
        <v>8</v>
      </c>
      <c r="E7638" t="s">
        <v>44</v>
      </c>
      <c r="F7638" t="s">
        <v>10</v>
      </c>
      <c r="G7638" t="s">
        <v>10</v>
      </c>
      <c r="H7638">
        <v>71848.539999999994</v>
      </c>
      <c r="I7638">
        <v>54938.81</v>
      </c>
      <c r="J7638">
        <v>0</v>
      </c>
    </row>
    <row r="7639" spans="1:10" x14ac:dyDescent="0.35">
      <c r="A7639">
        <v>322089</v>
      </c>
      <c r="B7639" t="s">
        <v>20</v>
      </c>
      <c r="C7639">
        <v>2015</v>
      </c>
      <c r="D7639">
        <v>5</v>
      </c>
      <c r="E7639" t="s">
        <v>45</v>
      </c>
      <c r="F7639" t="s">
        <v>10</v>
      </c>
      <c r="G7639" t="s">
        <v>10</v>
      </c>
      <c r="H7639">
        <v>37994.720000000001</v>
      </c>
      <c r="I7639">
        <v>25639.71</v>
      </c>
      <c r="J7639">
        <v>0</v>
      </c>
    </row>
    <row r="7640" spans="1:10" x14ac:dyDescent="0.35">
      <c r="A7640">
        <v>322118</v>
      </c>
      <c r="B7640" t="s">
        <v>20</v>
      </c>
      <c r="C7640">
        <v>2015</v>
      </c>
      <c r="D7640">
        <v>8</v>
      </c>
      <c r="E7640" t="s">
        <v>44</v>
      </c>
      <c r="F7640" t="s">
        <v>10</v>
      </c>
      <c r="G7640" t="s">
        <v>10</v>
      </c>
      <c r="H7640">
        <v>55988.26</v>
      </c>
      <c r="I7640">
        <v>22034.37</v>
      </c>
      <c r="J7640">
        <v>0</v>
      </c>
    </row>
    <row r="7641" spans="1:10" x14ac:dyDescent="0.35">
      <c r="A7641">
        <v>322131</v>
      </c>
      <c r="B7641" t="s">
        <v>20</v>
      </c>
      <c r="C7641">
        <v>2015</v>
      </c>
      <c r="D7641">
        <v>8</v>
      </c>
      <c r="E7641" t="s">
        <v>44</v>
      </c>
      <c r="F7641" t="s">
        <v>10</v>
      </c>
      <c r="G7641" t="s">
        <v>10</v>
      </c>
      <c r="H7641">
        <v>63069.34</v>
      </c>
      <c r="I7641">
        <v>42811.56</v>
      </c>
      <c r="J7641">
        <v>0</v>
      </c>
    </row>
    <row r="7642" spans="1:10" x14ac:dyDescent="0.35">
      <c r="A7642">
        <v>322145</v>
      </c>
      <c r="B7642" t="s">
        <v>20</v>
      </c>
      <c r="C7642">
        <v>2015</v>
      </c>
      <c r="D7642">
        <v>8</v>
      </c>
      <c r="E7642" t="s">
        <v>44</v>
      </c>
      <c r="F7642" t="s">
        <v>10</v>
      </c>
      <c r="G7642" t="s">
        <v>10</v>
      </c>
      <c r="H7642">
        <v>37912.400000000001</v>
      </c>
      <c r="I7642">
        <v>11529.89</v>
      </c>
      <c r="J7642">
        <v>0</v>
      </c>
    </row>
    <row r="7643" spans="1:10" x14ac:dyDescent="0.35">
      <c r="A7643">
        <v>322234</v>
      </c>
      <c r="B7643" t="s">
        <v>20</v>
      </c>
      <c r="C7643">
        <v>2015</v>
      </c>
      <c r="D7643">
        <v>8</v>
      </c>
      <c r="E7643" t="s">
        <v>44</v>
      </c>
      <c r="F7643" t="s">
        <v>10</v>
      </c>
      <c r="G7643" t="s">
        <v>10</v>
      </c>
      <c r="H7643">
        <v>24217.46</v>
      </c>
      <c r="I7643">
        <v>12721.8</v>
      </c>
      <c r="J7643">
        <v>0</v>
      </c>
    </row>
    <row r="7644" spans="1:10" x14ac:dyDescent="0.35">
      <c r="A7644">
        <v>322237</v>
      </c>
      <c r="B7644" t="s">
        <v>20</v>
      </c>
      <c r="C7644">
        <v>2015</v>
      </c>
      <c r="D7644">
        <v>8</v>
      </c>
      <c r="E7644" t="s">
        <v>44</v>
      </c>
      <c r="F7644" t="s">
        <v>10</v>
      </c>
      <c r="G7644" t="s">
        <v>10</v>
      </c>
      <c r="H7644">
        <v>43949.84</v>
      </c>
      <c r="I7644">
        <v>9988.07</v>
      </c>
      <c r="J7644">
        <v>0</v>
      </c>
    </row>
    <row r="7645" spans="1:10" x14ac:dyDescent="0.35">
      <c r="A7645">
        <v>322252</v>
      </c>
      <c r="B7645" t="s">
        <v>20</v>
      </c>
      <c r="C7645">
        <v>2015</v>
      </c>
      <c r="D7645">
        <v>8</v>
      </c>
      <c r="E7645" t="s">
        <v>44</v>
      </c>
      <c r="F7645" t="s">
        <v>10</v>
      </c>
      <c r="G7645" t="s">
        <v>10</v>
      </c>
      <c r="H7645">
        <v>10097.459999999999</v>
      </c>
      <c r="I7645">
        <v>2679.97</v>
      </c>
      <c r="J7645">
        <v>0</v>
      </c>
    </row>
    <row r="7646" spans="1:10" x14ac:dyDescent="0.35">
      <c r="A7646">
        <v>322278</v>
      </c>
      <c r="B7646" t="s">
        <v>20</v>
      </c>
      <c r="C7646">
        <v>2015</v>
      </c>
      <c r="D7646">
        <v>8</v>
      </c>
      <c r="E7646" t="s">
        <v>44</v>
      </c>
      <c r="F7646" t="s">
        <v>10</v>
      </c>
      <c r="G7646" t="s">
        <v>10</v>
      </c>
      <c r="H7646">
        <v>62548</v>
      </c>
      <c r="I7646">
        <v>19127.400000000001</v>
      </c>
      <c r="J7646">
        <v>0</v>
      </c>
    </row>
    <row r="7647" spans="1:10" x14ac:dyDescent="0.35">
      <c r="A7647">
        <v>322500</v>
      </c>
      <c r="B7647" t="s">
        <v>20</v>
      </c>
      <c r="C7647">
        <v>2015</v>
      </c>
      <c r="D7647">
        <v>8</v>
      </c>
      <c r="E7647" t="s">
        <v>44</v>
      </c>
      <c r="F7647" t="s">
        <v>10</v>
      </c>
      <c r="G7647" t="s">
        <v>10</v>
      </c>
      <c r="H7647">
        <v>34818.26</v>
      </c>
      <c r="I7647">
        <v>10010.209999999999</v>
      </c>
      <c r="J7647">
        <v>0</v>
      </c>
    </row>
    <row r="7648" spans="1:10" x14ac:dyDescent="0.35">
      <c r="A7648">
        <v>322536</v>
      </c>
      <c r="B7648" t="s">
        <v>20</v>
      </c>
      <c r="C7648">
        <v>2015</v>
      </c>
      <c r="D7648">
        <v>8</v>
      </c>
      <c r="E7648" t="s">
        <v>44</v>
      </c>
      <c r="F7648" t="s">
        <v>10</v>
      </c>
      <c r="G7648" t="s">
        <v>10</v>
      </c>
      <c r="H7648">
        <v>15700.7</v>
      </c>
      <c r="I7648">
        <v>4497.25</v>
      </c>
      <c r="J7648">
        <v>0</v>
      </c>
    </row>
    <row r="7649" spans="1:10" x14ac:dyDescent="0.35">
      <c r="A7649">
        <v>322570</v>
      </c>
      <c r="B7649" t="s">
        <v>20</v>
      </c>
      <c r="C7649">
        <v>2015</v>
      </c>
      <c r="D7649">
        <v>8</v>
      </c>
      <c r="E7649" t="s">
        <v>44</v>
      </c>
      <c r="F7649" t="s">
        <v>10</v>
      </c>
      <c r="G7649" t="s">
        <v>10</v>
      </c>
      <c r="H7649">
        <v>47146.52</v>
      </c>
      <c r="I7649">
        <v>14327</v>
      </c>
      <c r="J7649">
        <v>0</v>
      </c>
    </row>
    <row r="7650" spans="1:10" x14ac:dyDescent="0.35">
      <c r="A7650">
        <v>322579</v>
      </c>
      <c r="B7650" t="s">
        <v>20</v>
      </c>
      <c r="C7650">
        <v>2015</v>
      </c>
      <c r="D7650">
        <v>8</v>
      </c>
      <c r="E7650" t="s">
        <v>44</v>
      </c>
      <c r="F7650" t="s">
        <v>10</v>
      </c>
      <c r="G7650" t="s">
        <v>10</v>
      </c>
      <c r="H7650">
        <v>66097.279999999999</v>
      </c>
      <c r="I7650">
        <v>43985.760000000002</v>
      </c>
      <c r="J7650">
        <v>0</v>
      </c>
    </row>
    <row r="7651" spans="1:10" x14ac:dyDescent="0.35">
      <c r="A7651">
        <v>322687</v>
      </c>
      <c r="B7651" t="s">
        <v>20</v>
      </c>
      <c r="C7651">
        <v>2015</v>
      </c>
      <c r="D7651">
        <v>8</v>
      </c>
      <c r="E7651" t="s">
        <v>44</v>
      </c>
      <c r="F7651" t="s">
        <v>10</v>
      </c>
      <c r="G7651" t="s">
        <v>10</v>
      </c>
      <c r="H7651">
        <v>249332.84</v>
      </c>
      <c r="I7651">
        <v>228525.33</v>
      </c>
      <c r="J7651">
        <v>0</v>
      </c>
    </row>
    <row r="7652" spans="1:10" x14ac:dyDescent="0.35">
      <c r="A7652">
        <v>322699</v>
      </c>
      <c r="B7652" t="s">
        <v>20</v>
      </c>
      <c r="C7652">
        <v>2015</v>
      </c>
      <c r="D7652">
        <v>8</v>
      </c>
      <c r="E7652" t="s">
        <v>44</v>
      </c>
      <c r="F7652" t="s">
        <v>10</v>
      </c>
      <c r="G7652" t="s">
        <v>10</v>
      </c>
      <c r="H7652">
        <v>30742.26</v>
      </c>
      <c r="I7652">
        <v>17601.87</v>
      </c>
      <c r="J7652">
        <v>0</v>
      </c>
    </row>
    <row r="7653" spans="1:10" x14ac:dyDescent="0.35">
      <c r="A7653">
        <v>322767</v>
      </c>
      <c r="B7653" t="s">
        <v>20</v>
      </c>
      <c r="C7653">
        <v>2015</v>
      </c>
      <c r="D7653">
        <v>8</v>
      </c>
      <c r="E7653" t="s">
        <v>44</v>
      </c>
      <c r="F7653" t="s">
        <v>10</v>
      </c>
      <c r="G7653" t="s">
        <v>10</v>
      </c>
      <c r="H7653">
        <v>78484.66</v>
      </c>
      <c r="I7653">
        <v>59313.69</v>
      </c>
      <c r="J7653">
        <v>0</v>
      </c>
    </row>
    <row r="7654" spans="1:10" x14ac:dyDescent="0.35">
      <c r="A7654">
        <v>322785</v>
      </c>
      <c r="B7654" t="s">
        <v>20</v>
      </c>
      <c r="C7654">
        <v>2015</v>
      </c>
      <c r="D7654">
        <v>8</v>
      </c>
      <c r="E7654" t="s">
        <v>44</v>
      </c>
      <c r="F7654" t="s">
        <v>10</v>
      </c>
      <c r="G7654" t="s">
        <v>10</v>
      </c>
      <c r="H7654">
        <v>36680.82</v>
      </c>
      <c r="I7654">
        <v>9266.85</v>
      </c>
      <c r="J7654">
        <v>0</v>
      </c>
    </row>
    <row r="7655" spans="1:10" x14ac:dyDescent="0.35">
      <c r="A7655">
        <v>322910</v>
      </c>
      <c r="B7655" t="s">
        <v>20</v>
      </c>
      <c r="C7655">
        <v>2015</v>
      </c>
      <c r="D7655">
        <v>8</v>
      </c>
      <c r="E7655" t="s">
        <v>44</v>
      </c>
      <c r="F7655" t="s">
        <v>10</v>
      </c>
      <c r="G7655" t="s">
        <v>10</v>
      </c>
      <c r="H7655">
        <v>33672.379999999997</v>
      </c>
      <c r="I7655">
        <v>7416.95</v>
      </c>
      <c r="J7655">
        <v>0</v>
      </c>
    </row>
    <row r="7656" spans="1:10" x14ac:dyDescent="0.35">
      <c r="A7656">
        <v>322994</v>
      </c>
      <c r="B7656" t="s">
        <v>20</v>
      </c>
      <c r="C7656">
        <v>2015</v>
      </c>
      <c r="D7656">
        <v>8</v>
      </c>
      <c r="E7656" t="s">
        <v>44</v>
      </c>
      <c r="F7656" t="s">
        <v>10</v>
      </c>
      <c r="G7656" t="s">
        <v>10</v>
      </c>
      <c r="H7656">
        <v>33439.78</v>
      </c>
      <c r="I7656">
        <v>5404.41</v>
      </c>
      <c r="J7656">
        <v>0</v>
      </c>
    </row>
    <row r="7657" spans="1:10" x14ac:dyDescent="0.35">
      <c r="A7657">
        <v>323045</v>
      </c>
      <c r="B7657" t="s">
        <v>20</v>
      </c>
      <c r="C7657">
        <v>2015</v>
      </c>
      <c r="D7657">
        <v>8</v>
      </c>
      <c r="E7657" t="s">
        <v>44</v>
      </c>
      <c r="F7657" t="s">
        <v>10</v>
      </c>
      <c r="G7657" t="s">
        <v>10</v>
      </c>
      <c r="H7657">
        <v>29779.34</v>
      </c>
      <c r="I7657">
        <v>8555.92</v>
      </c>
      <c r="J7657">
        <v>0</v>
      </c>
    </row>
    <row r="7658" spans="1:10" x14ac:dyDescent="0.35">
      <c r="A7658">
        <v>323047</v>
      </c>
      <c r="B7658" t="s">
        <v>20</v>
      </c>
      <c r="C7658">
        <v>2015</v>
      </c>
      <c r="D7658">
        <v>8</v>
      </c>
      <c r="E7658" t="s">
        <v>44</v>
      </c>
      <c r="F7658" t="s">
        <v>10</v>
      </c>
      <c r="G7658" t="s">
        <v>10</v>
      </c>
      <c r="H7658">
        <v>14411.14</v>
      </c>
      <c r="I7658">
        <v>4187.13</v>
      </c>
      <c r="J7658">
        <v>0</v>
      </c>
    </row>
    <row r="7659" spans="1:10" x14ac:dyDescent="0.35">
      <c r="A7659">
        <v>323051</v>
      </c>
      <c r="B7659" t="s">
        <v>20</v>
      </c>
      <c r="C7659">
        <v>2015</v>
      </c>
      <c r="D7659">
        <v>8</v>
      </c>
      <c r="E7659" t="s">
        <v>44</v>
      </c>
      <c r="F7659" t="s">
        <v>10</v>
      </c>
      <c r="G7659" t="s">
        <v>10</v>
      </c>
      <c r="H7659">
        <v>20882.740000000002</v>
      </c>
      <c r="I7659">
        <v>3528.34</v>
      </c>
      <c r="J7659">
        <v>0</v>
      </c>
    </row>
    <row r="7660" spans="1:10" x14ac:dyDescent="0.35">
      <c r="A7660">
        <v>323056</v>
      </c>
      <c r="B7660" t="s">
        <v>20</v>
      </c>
      <c r="C7660">
        <v>2015</v>
      </c>
      <c r="D7660">
        <v>8</v>
      </c>
      <c r="E7660" t="s">
        <v>44</v>
      </c>
      <c r="F7660" t="s">
        <v>10</v>
      </c>
      <c r="G7660" t="s">
        <v>10</v>
      </c>
      <c r="H7660">
        <v>51524.18</v>
      </c>
      <c r="I7660">
        <v>18152.21</v>
      </c>
      <c r="J7660">
        <v>0</v>
      </c>
    </row>
    <row r="7661" spans="1:10" x14ac:dyDescent="0.35">
      <c r="A7661">
        <v>323086</v>
      </c>
      <c r="B7661" t="s">
        <v>20</v>
      </c>
      <c r="C7661">
        <v>2015</v>
      </c>
      <c r="D7661">
        <v>8</v>
      </c>
      <c r="E7661" t="s">
        <v>44</v>
      </c>
      <c r="F7661" t="s">
        <v>10</v>
      </c>
      <c r="G7661" t="s">
        <v>10</v>
      </c>
      <c r="H7661">
        <v>144189.70000000001</v>
      </c>
      <c r="I7661">
        <v>80435.02</v>
      </c>
      <c r="J7661">
        <v>0</v>
      </c>
    </row>
    <row r="7662" spans="1:10" x14ac:dyDescent="0.35">
      <c r="A7662">
        <v>323137</v>
      </c>
      <c r="B7662" t="s">
        <v>20</v>
      </c>
      <c r="C7662">
        <v>2015</v>
      </c>
      <c r="D7662">
        <v>8</v>
      </c>
      <c r="E7662" t="s">
        <v>44</v>
      </c>
      <c r="F7662" t="s">
        <v>10</v>
      </c>
      <c r="G7662" t="s">
        <v>10</v>
      </c>
      <c r="H7662">
        <v>17585.66</v>
      </c>
      <c r="I7662">
        <v>3157.72</v>
      </c>
      <c r="J7662">
        <v>0</v>
      </c>
    </row>
    <row r="7663" spans="1:10" x14ac:dyDescent="0.35">
      <c r="A7663">
        <v>323144</v>
      </c>
      <c r="B7663" t="s">
        <v>20</v>
      </c>
      <c r="C7663">
        <v>2015</v>
      </c>
      <c r="D7663">
        <v>8</v>
      </c>
      <c r="E7663" t="s">
        <v>44</v>
      </c>
      <c r="F7663" t="s">
        <v>10</v>
      </c>
      <c r="G7663" t="s">
        <v>10</v>
      </c>
      <c r="H7663">
        <v>65034.52</v>
      </c>
      <c r="I7663">
        <v>44068.97</v>
      </c>
      <c r="J7663">
        <v>0</v>
      </c>
    </row>
    <row r="7664" spans="1:10" x14ac:dyDescent="0.35">
      <c r="A7664">
        <v>323204</v>
      </c>
      <c r="B7664" t="s">
        <v>20</v>
      </c>
      <c r="C7664">
        <v>2015</v>
      </c>
      <c r="D7664">
        <v>8</v>
      </c>
      <c r="E7664" t="s">
        <v>44</v>
      </c>
      <c r="F7664" t="s">
        <v>10</v>
      </c>
      <c r="G7664" t="s">
        <v>10</v>
      </c>
      <c r="H7664">
        <v>139467.5</v>
      </c>
      <c r="I7664">
        <v>80908.45</v>
      </c>
      <c r="J7664">
        <v>0</v>
      </c>
    </row>
    <row r="7665" spans="1:10" x14ac:dyDescent="0.35">
      <c r="A7665">
        <v>323237</v>
      </c>
      <c r="B7665" t="s">
        <v>20</v>
      </c>
      <c r="C7665">
        <v>2015</v>
      </c>
      <c r="D7665">
        <v>8</v>
      </c>
      <c r="E7665" t="s">
        <v>44</v>
      </c>
      <c r="F7665" t="s">
        <v>10</v>
      </c>
      <c r="G7665" t="s">
        <v>10</v>
      </c>
      <c r="H7665">
        <v>129785.72</v>
      </c>
      <c r="I7665">
        <v>116874.96</v>
      </c>
      <c r="J7665">
        <v>0</v>
      </c>
    </row>
    <row r="7666" spans="1:10" x14ac:dyDescent="0.35">
      <c r="A7666">
        <v>323284</v>
      </c>
      <c r="B7666" t="s">
        <v>20</v>
      </c>
      <c r="C7666">
        <v>2015</v>
      </c>
      <c r="D7666">
        <v>8</v>
      </c>
      <c r="E7666" t="s">
        <v>44</v>
      </c>
      <c r="F7666" t="s">
        <v>10</v>
      </c>
      <c r="G7666" t="s">
        <v>10</v>
      </c>
      <c r="H7666">
        <v>75904.58</v>
      </c>
      <c r="I7666">
        <v>56852.17</v>
      </c>
      <c r="J7666">
        <v>0</v>
      </c>
    </row>
    <row r="7667" spans="1:10" x14ac:dyDescent="0.35">
      <c r="A7667">
        <v>323320</v>
      </c>
      <c r="B7667" t="s">
        <v>20</v>
      </c>
      <c r="C7667">
        <v>2015</v>
      </c>
      <c r="D7667">
        <v>8</v>
      </c>
      <c r="E7667" t="s">
        <v>44</v>
      </c>
      <c r="F7667" t="s">
        <v>10</v>
      </c>
      <c r="G7667" t="s">
        <v>10</v>
      </c>
      <c r="H7667">
        <v>222607.45</v>
      </c>
      <c r="I7667">
        <v>198488.54</v>
      </c>
      <c r="J7667">
        <v>0</v>
      </c>
    </row>
    <row r="7668" spans="1:10" x14ac:dyDescent="0.35">
      <c r="A7668">
        <v>323365</v>
      </c>
      <c r="B7668" t="s">
        <v>20</v>
      </c>
      <c r="C7668">
        <v>2015</v>
      </c>
      <c r="D7668">
        <v>8</v>
      </c>
      <c r="E7668" t="s">
        <v>44</v>
      </c>
      <c r="F7668" t="s">
        <v>10</v>
      </c>
      <c r="G7668" t="s">
        <v>10</v>
      </c>
      <c r="H7668">
        <v>7949.22</v>
      </c>
      <c r="I7668">
        <v>2159.9499999999998</v>
      </c>
      <c r="J7668">
        <v>0</v>
      </c>
    </row>
    <row r="7669" spans="1:10" x14ac:dyDescent="0.35">
      <c r="A7669">
        <v>323368</v>
      </c>
      <c r="B7669" t="s">
        <v>20</v>
      </c>
      <c r="C7669">
        <v>2015</v>
      </c>
      <c r="D7669">
        <v>8</v>
      </c>
      <c r="E7669" t="s">
        <v>44</v>
      </c>
      <c r="F7669" t="s">
        <v>10</v>
      </c>
      <c r="G7669" t="s">
        <v>10</v>
      </c>
      <c r="H7669">
        <v>338583.82</v>
      </c>
      <c r="I7669">
        <v>107846.73</v>
      </c>
      <c r="J7669">
        <v>0</v>
      </c>
    </row>
    <row r="7670" spans="1:10" x14ac:dyDescent="0.35">
      <c r="A7670">
        <v>323434</v>
      </c>
      <c r="B7670" t="s">
        <v>20</v>
      </c>
      <c r="C7670">
        <v>2015</v>
      </c>
      <c r="D7670">
        <v>8</v>
      </c>
      <c r="E7670" t="s">
        <v>44</v>
      </c>
      <c r="F7670" t="s">
        <v>10</v>
      </c>
      <c r="G7670" t="s">
        <v>10</v>
      </c>
      <c r="H7670">
        <v>22118.74</v>
      </c>
      <c r="I7670">
        <v>5942.89</v>
      </c>
      <c r="J7670">
        <v>0</v>
      </c>
    </row>
    <row r="7671" spans="1:10" x14ac:dyDescent="0.35">
      <c r="A7671">
        <v>323478</v>
      </c>
      <c r="B7671" t="s">
        <v>20</v>
      </c>
      <c r="C7671">
        <v>2015</v>
      </c>
      <c r="D7671">
        <v>8</v>
      </c>
      <c r="E7671" t="s">
        <v>44</v>
      </c>
      <c r="F7671" t="s">
        <v>10</v>
      </c>
      <c r="G7671" t="s">
        <v>10</v>
      </c>
      <c r="H7671">
        <v>118962.8</v>
      </c>
      <c r="I7671">
        <v>80493.38</v>
      </c>
      <c r="J7671">
        <v>0</v>
      </c>
    </row>
    <row r="7672" spans="1:10" x14ac:dyDescent="0.35">
      <c r="A7672">
        <v>323528</v>
      </c>
      <c r="B7672" t="s">
        <v>20</v>
      </c>
      <c r="C7672">
        <v>2015</v>
      </c>
      <c r="D7672">
        <v>8</v>
      </c>
      <c r="E7672" t="s">
        <v>44</v>
      </c>
      <c r="F7672" t="s">
        <v>10</v>
      </c>
      <c r="G7672" t="s">
        <v>10</v>
      </c>
      <c r="H7672">
        <v>39612</v>
      </c>
      <c r="I7672">
        <v>10723.2</v>
      </c>
      <c r="J7672">
        <v>0</v>
      </c>
    </row>
    <row r="7673" spans="1:10" x14ac:dyDescent="0.35">
      <c r="A7673">
        <v>323547</v>
      </c>
      <c r="B7673" t="s">
        <v>20</v>
      </c>
      <c r="C7673">
        <v>2015</v>
      </c>
      <c r="D7673">
        <v>8</v>
      </c>
      <c r="E7673" t="s">
        <v>44</v>
      </c>
      <c r="F7673" t="s">
        <v>10</v>
      </c>
      <c r="G7673" t="s">
        <v>10</v>
      </c>
      <c r="H7673">
        <v>20815.62</v>
      </c>
      <c r="I7673">
        <v>3058.5</v>
      </c>
      <c r="J7673">
        <v>0</v>
      </c>
    </row>
    <row r="7674" spans="1:10" x14ac:dyDescent="0.35">
      <c r="A7674">
        <v>323555</v>
      </c>
      <c r="B7674" t="s">
        <v>20</v>
      </c>
      <c r="C7674">
        <v>2015</v>
      </c>
      <c r="D7674">
        <v>8</v>
      </c>
      <c r="E7674" t="s">
        <v>44</v>
      </c>
      <c r="F7674" t="s">
        <v>10</v>
      </c>
      <c r="G7674" t="s">
        <v>10</v>
      </c>
      <c r="H7674">
        <v>40938.76</v>
      </c>
      <c r="I7674">
        <v>10208.290000000001</v>
      </c>
      <c r="J7674">
        <v>0</v>
      </c>
    </row>
    <row r="7675" spans="1:10" x14ac:dyDescent="0.35">
      <c r="A7675">
        <v>323556</v>
      </c>
      <c r="B7675" t="s">
        <v>20</v>
      </c>
      <c r="C7675">
        <v>2015</v>
      </c>
      <c r="D7675">
        <v>8</v>
      </c>
      <c r="E7675" t="s">
        <v>44</v>
      </c>
      <c r="F7675" t="s">
        <v>10</v>
      </c>
      <c r="G7675" t="s">
        <v>10</v>
      </c>
      <c r="H7675">
        <v>36492.06</v>
      </c>
      <c r="I7675">
        <v>8096.98</v>
      </c>
      <c r="J7675">
        <v>0</v>
      </c>
    </row>
    <row r="7676" spans="1:10" x14ac:dyDescent="0.35">
      <c r="A7676">
        <v>323697</v>
      </c>
      <c r="B7676" t="s">
        <v>20</v>
      </c>
      <c r="C7676">
        <v>2015</v>
      </c>
      <c r="D7676">
        <v>8</v>
      </c>
      <c r="E7676" t="s">
        <v>44</v>
      </c>
      <c r="F7676" t="s">
        <v>10</v>
      </c>
      <c r="G7676" t="s">
        <v>10</v>
      </c>
      <c r="H7676">
        <v>114968.94</v>
      </c>
      <c r="I7676">
        <v>52230.78</v>
      </c>
      <c r="J7676">
        <v>0</v>
      </c>
    </row>
    <row r="7677" spans="1:10" x14ac:dyDescent="0.35">
      <c r="A7677">
        <v>323746</v>
      </c>
      <c r="B7677" t="s">
        <v>20</v>
      </c>
      <c r="C7677">
        <v>2015</v>
      </c>
      <c r="D7677">
        <v>8</v>
      </c>
      <c r="E7677" t="s">
        <v>44</v>
      </c>
      <c r="F7677" t="s">
        <v>10</v>
      </c>
      <c r="G7677" t="s">
        <v>10</v>
      </c>
      <c r="H7677">
        <v>44083.51</v>
      </c>
      <c r="I7677">
        <v>12795.89</v>
      </c>
      <c r="J7677">
        <v>0</v>
      </c>
    </row>
    <row r="7678" spans="1:10" x14ac:dyDescent="0.35">
      <c r="A7678">
        <v>323810</v>
      </c>
      <c r="B7678" t="s">
        <v>20</v>
      </c>
      <c r="C7678">
        <v>2015</v>
      </c>
      <c r="D7678">
        <v>8</v>
      </c>
      <c r="E7678" t="s">
        <v>44</v>
      </c>
      <c r="F7678" t="s">
        <v>10</v>
      </c>
      <c r="G7678" t="s">
        <v>10</v>
      </c>
      <c r="H7678">
        <v>25503.38</v>
      </c>
      <c r="I7678">
        <v>8063.15</v>
      </c>
      <c r="J7678">
        <v>0</v>
      </c>
    </row>
    <row r="7679" spans="1:10" x14ac:dyDescent="0.35">
      <c r="A7679">
        <v>323878</v>
      </c>
      <c r="B7679" t="s">
        <v>20</v>
      </c>
      <c r="C7679">
        <v>2015</v>
      </c>
      <c r="D7679">
        <v>8</v>
      </c>
      <c r="E7679" t="s">
        <v>44</v>
      </c>
      <c r="F7679" t="s">
        <v>10</v>
      </c>
      <c r="G7679" t="s">
        <v>10</v>
      </c>
      <c r="H7679">
        <v>19053.48</v>
      </c>
      <c r="I7679">
        <v>5578.33</v>
      </c>
      <c r="J7679">
        <v>0</v>
      </c>
    </row>
    <row r="7680" spans="1:10" x14ac:dyDescent="0.35">
      <c r="A7680">
        <v>323901</v>
      </c>
      <c r="B7680" t="s">
        <v>20</v>
      </c>
      <c r="C7680">
        <v>2015</v>
      </c>
      <c r="D7680">
        <v>8</v>
      </c>
      <c r="E7680" t="s">
        <v>44</v>
      </c>
      <c r="F7680" t="s">
        <v>10</v>
      </c>
      <c r="G7680" t="s">
        <v>10</v>
      </c>
      <c r="H7680">
        <v>16223.9</v>
      </c>
      <c r="I7680">
        <v>3590.25</v>
      </c>
      <c r="J7680">
        <v>0</v>
      </c>
    </row>
    <row r="7681" spans="1:10" x14ac:dyDescent="0.35">
      <c r="A7681">
        <v>323938</v>
      </c>
      <c r="B7681" t="s">
        <v>20</v>
      </c>
      <c r="C7681">
        <v>2015</v>
      </c>
      <c r="D7681">
        <v>5</v>
      </c>
      <c r="E7681" t="s">
        <v>45</v>
      </c>
      <c r="F7681" t="s">
        <v>10</v>
      </c>
      <c r="G7681" t="s">
        <v>10</v>
      </c>
      <c r="H7681">
        <v>9463.74</v>
      </c>
      <c r="I7681">
        <v>2165.94</v>
      </c>
      <c r="J7681">
        <v>0</v>
      </c>
    </row>
    <row r="7682" spans="1:10" x14ac:dyDescent="0.35">
      <c r="A7682">
        <v>323943</v>
      </c>
      <c r="B7682" t="s">
        <v>20</v>
      </c>
      <c r="C7682">
        <v>2015</v>
      </c>
      <c r="D7682">
        <v>8</v>
      </c>
      <c r="E7682" t="s">
        <v>44</v>
      </c>
      <c r="F7682" t="s">
        <v>10</v>
      </c>
      <c r="G7682" t="s">
        <v>10</v>
      </c>
      <c r="H7682">
        <v>18170.54</v>
      </c>
      <c r="I7682">
        <v>2728.32</v>
      </c>
      <c r="J7682">
        <v>0</v>
      </c>
    </row>
    <row r="7683" spans="1:10" x14ac:dyDescent="0.35">
      <c r="A7683">
        <v>323950</v>
      </c>
      <c r="B7683" t="s">
        <v>20</v>
      </c>
      <c r="C7683">
        <v>2015</v>
      </c>
      <c r="D7683">
        <v>8</v>
      </c>
      <c r="E7683" t="s">
        <v>44</v>
      </c>
      <c r="F7683" t="s">
        <v>10</v>
      </c>
      <c r="G7683" t="s">
        <v>10</v>
      </c>
      <c r="H7683">
        <v>23398.68</v>
      </c>
      <c r="I7683">
        <v>3119.63</v>
      </c>
      <c r="J7683">
        <v>0</v>
      </c>
    </row>
    <row r="7684" spans="1:10" x14ac:dyDescent="0.35">
      <c r="A7684">
        <v>324119</v>
      </c>
      <c r="B7684" t="s">
        <v>20</v>
      </c>
      <c r="C7684">
        <v>2015</v>
      </c>
      <c r="D7684">
        <v>8</v>
      </c>
      <c r="E7684" t="s">
        <v>44</v>
      </c>
      <c r="F7684" t="s">
        <v>10</v>
      </c>
      <c r="G7684" t="s">
        <v>10</v>
      </c>
      <c r="H7684">
        <v>40149.800000000003</v>
      </c>
      <c r="I7684">
        <v>13306.42</v>
      </c>
      <c r="J7684">
        <v>0</v>
      </c>
    </row>
    <row r="7685" spans="1:10" x14ac:dyDescent="0.35">
      <c r="A7685">
        <v>324195</v>
      </c>
      <c r="B7685" t="s">
        <v>20</v>
      </c>
      <c r="C7685">
        <v>2015</v>
      </c>
      <c r="D7685">
        <v>8</v>
      </c>
      <c r="E7685" t="s">
        <v>44</v>
      </c>
      <c r="F7685" t="s">
        <v>10</v>
      </c>
      <c r="G7685" t="s">
        <v>10</v>
      </c>
      <c r="H7685">
        <v>38493.839999999997</v>
      </c>
      <c r="I7685">
        <v>10898.86</v>
      </c>
      <c r="J7685">
        <v>0</v>
      </c>
    </row>
    <row r="7686" spans="1:10" x14ac:dyDescent="0.35">
      <c r="A7686">
        <v>324229</v>
      </c>
      <c r="B7686" t="s">
        <v>20</v>
      </c>
      <c r="C7686">
        <v>2015</v>
      </c>
      <c r="D7686">
        <v>8</v>
      </c>
      <c r="E7686" t="s">
        <v>44</v>
      </c>
      <c r="F7686" t="s">
        <v>10</v>
      </c>
      <c r="G7686" t="s">
        <v>10</v>
      </c>
      <c r="H7686">
        <v>42773.98</v>
      </c>
      <c r="I7686">
        <v>10531.08</v>
      </c>
      <c r="J7686">
        <v>0</v>
      </c>
    </row>
    <row r="7687" spans="1:10" x14ac:dyDescent="0.35">
      <c r="A7687">
        <v>324304</v>
      </c>
      <c r="B7687" t="s">
        <v>20</v>
      </c>
      <c r="C7687">
        <v>2015</v>
      </c>
      <c r="D7687">
        <v>5</v>
      </c>
      <c r="E7687" t="s">
        <v>45</v>
      </c>
      <c r="F7687" t="s">
        <v>10</v>
      </c>
      <c r="G7687" t="s">
        <v>10</v>
      </c>
      <c r="H7687">
        <v>14487.16</v>
      </c>
      <c r="I7687">
        <v>2983.57</v>
      </c>
      <c r="J7687">
        <v>0</v>
      </c>
    </row>
    <row r="7688" spans="1:10" x14ac:dyDescent="0.35">
      <c r="A7688">
        <v>324344</v>
      </c>
      <c r="B7688" t="s">
        <v>20</v>
      </c>
      <c r="C7688">
        <v>2015</v>
      </c>
      <c r="D7688">
        <v>8</v>
      </c>
      <c r="E7688" t="s">
        <v>44</v>
      </c>
      <c r="F7688" t="s">
        <v>10</v>
      </c>
      <c r="G7688" t="s">
        <v>10</v>
      </c>
      <c r="H7688">
        <v>15955.64</v>
      </c>
      <c r="I7688">
        <v>2946.63</v>
      </c>
      <c r="J7688">
        <v>0</v>
      </c>
    </row>
    <row r="7689" spans="1:10" x14ac:dyDescent="0.35">
      <c r="A7689">
        <v>324372</v>
      </c>
      <c r="B7689" t="s">
        <v>20</v>
      </c>
      <c r="C7689">
        <v>2015</v>
      </c>
      <c r="D7689">
        <v>8</v>
      </c>
      <c r="E7689" t="s">
        <v>44</v>
      </c>
      <c r="F7689" t="s">
        <v>10</v>
      </c>
      <c r="G7689" t="s">
        <v>10</v>
      </c>
      <c r="H7689">
        <v>26381.919999999998</v>
      </c>
      <c r="I7689">
        <v>6749.84</v>
      </c>
      <c r="J7689">
        <v>0</v>
      </c>
    </row>
    <row r="7690" spans="1:10" x14ac:dyDescent="0.35">
      <c r="A7690">
        <v>324395</v>
      </c>
      <c r="B7690" t="s">
        <v>20</v>
      </c>
      <c r="C7690">
        <v>2015</v>
      </c>
      <c r="D7690">
        <v>8</v>
      </c>
      <c r="E7690" t="s">
        <v>44</v>
      </c>
      <c r="F7690" t="s">
        <v>10</v>
      </c>
      <c r="G7690" t="s">
        <v>10</v>
      </c>
      <c r="H7690">
        <v>61567</v>
      </c>
      <c r="I7690">
        <v>29091.34</v>
      </c>
      <c r="J7690">
        <v>0</v>
      </c>
    </row>
    <row r="7691" spans="1:10" x14ac:dyDescent="0.35">
      <c r="A7691">
        <v>324486</v>
      </c>
      <c r="B7691" t="s">
        <v>20</v>
      </c>
      <c r="C7691">
        <v>2015</v>
      </c>
      <c r="D7691">
        <v>8</v>
      </c>
      <c r="E7691" t="s">
        <v>44</v>
      </c>
      <c r="F7691" t="s">
        <v>10</v>
      </c>
      <c r="G7691" t="s">
        <v>10</v>
      </c>
      <c r="H7691">
        <v>36636.6</v>
      </c>
      <c r="I7691">
        <v>11274.94</v>
      </c>
      <c r="J7691">
        <v>0</v>
      </c>
    </row>
    <row r="7692" spans="1:10" x14ac:dyDescent="0.35">
      <c r="A7692">
        <v>324491</v>
      </c>
      <c r="B7692" t="s">
        <v>20</v>
      </c>
      <c r="C7692">
        <v>2015</v>
      </c>
      <c r="D7692">
        <v>8</v>
      </c>
      <c r="E7692" t="s">
        <v>44</v>
      </c>
      <c r="F7692" t="s">
        <v>10</v>
      </c>
      <c r="G7692" t="s">
        <v>10</v>
      </c>
      <c r="H7692">
        <v>27430.42</v>
      </c>
      <c r="I7692">
        <v>5273.3</v>
      </c>
      <c r="J7692">
        <v>0</v>
      </c>
    </row>
    <row r="7693" spans="1:10" x14ac:dyDescent="0.35">
      <c r="A7693">
        <v>324555</v>
      </c>
      <c r="B7693" t="s">
        <v>20</v>
      </c>
      <c r="C7693">
        <v>2015</v>
      </c>
      <c r="D7693">
        <v>8</v>
      </c>
      <c r="E7693" t="s">
        <v>44</v>
      </c>
      <c r="F7693" t="s">
        <v>10</v>
      </c>
      <c r="G7693" t="s">
        <v>10</v>
      </c>
      <c r="H7693">
        <v>10767.72</v>
      </c>
      <c r="I7693">
        <v>2507.65</v>
      </c>
      <c r="J7693">
        <v>0</v>
      </c>
    </row>
    <row r="7694" spans="1:10" x14ac:dyDescent="0.35">
      <c r="A7694">
        <v>324607</v>
      </c>
      <c r="B7694" t="s">
        <v>20</v>
      </c>
      <c r="C7694">
        <v>2015</v>
      </c>
      <c r="D7694">
        <v>8</v>
      </c>
      <c r="E7694" t="s">
        <v>44</v>
      </c>
      <c r="F7694" t="s">
        <v>10</v>
      </c>
      <c r="G7694" t="s">
        <v>10</v>
      </c>
      <c r="H7694">
        <v>231248.14</v>
      </c>
      <c r="I7694">
        <v>84436.21</v>
      </c>
      <c r="J7694">
        <v>0</v>
      </c>
    </row>
    <row r="7695" spans="1:10" x14ac:dyDescent="0.35">
      <c r="A7695">
        <v>324635</v>
      </c>
      <c r="B7695" t="s">
        <v>20</v>
      </c>
      <c r="C7695">
        <v>2015</v>
      </c>
      <c r="D7695">
        <v>8</v>
      </c>
      <c r="E7695" t="s">
        <v>44</v>
      </c>
      <c r="F7695" t="s">
        <v>10</v>
      </c>
      <c r="G7695" t="s">
        <v>10</v>
      </c>
      <c r="H7695">
        <v>16473.2</v>
      </c>
      <c r="I7695">
        <v>2411.2600000000002</v>
      </c>
      <c r="J7695">
        <v>0</v>
      </c>
    </row>
    <row r="7696" spans="1:10" x14ac:dyDescent="0.35">
      <c r="A7696">
        <v>324719</v>
      </c>
      <c r="B7696" t="s">
        <v>20</v>
      </c>
      <c r="C7696">
        <v>2015</v>
      </c>
      <c r="D7696">
        <v>5</v>
      </c>
      <c r="E7696" t="s">
        <v>45</v>
      </c>
      <c r="F7696" t="s">
        <v>10</v>
      </c>
      <c r="G7696" t="s">
        <v>10</v>
      </c>
      <c r="H7696">
        <v>34348.160000000003</v>
      </c>
      <c r="I7696">
        <v>9810.4599999999991</v>
      </c>
      <c r="J7696">
        <v>0</v>
      </c>
    </row>
    <row r="7697" spans="1:10" x14ac:dyDescent="0.35">
      <c r="A7697">
        <v>324726</v>
      </c>
      <c r="B7697" t="s">
        <v>20</v>
      </c>
      <c r="C7697">
        <v>2015</v>
      </c>
      <c r="D7697">
        <v>8</v>
      </c>
      <c r="E7697" t="s">
        <v>44</v>
      </c>
      <c r="F7697" t="s">
        <v>10</v>
      </c>
      <c r="G7697" t="s">
        <v>10</v>
      </c>
      <c r="H7697">
        <v>19321.3</v>
      </c>
      <c r="I7697">
        <v>5922.8</v>
      </c>
      <c r="J7697">
        <v>0</v>
      </c>
    </row>
    <row r="7698" spans="1:10" x14ac:dyDescent="0.35">
      <c r="A7698">
        <v>324737</v>
      </c>
      <c r="B7698" t="s">
        <v>20</v>
      </c>
      <c r="C7698">
        <v>2015</v>
      </c>
      <c r="D7698">
        <v>8</v>
      </c>
      <c r="E7698" t="s">
        <v>44</v>
      </c>
      <c r="F7698" t="s">
        <v>10</v>
      </c>
      <c r="G7698" t="s">
        <v>10</v>
      </c>
      <c r="H7698">
        <v>32700.560000000001</v>
      </c>
      <c r="I7698">
        <v>16274.07</v>
      </c>
      <c r="J7698">
        <v>0</v>
      </c>
    </row>
    <row r="7699" spans="1:10" x14ac:dyDescent="0.35">
      <c r="A7699">
        <v>324743</v>
      </c>
      <c r="B7699" t="s">
        <v>20</v>
      </c>
      <c r="C7699">
        <v>2015</v>
      </c>
      <c r="D7699">
        <v>8</v>
      </c>
      <c r="E7699" t="s">
        <v>44</v>
      </c>
      <c r="F7699" t="s">
        <v>10</v>
      </c>
      <c r="G7699" t="s">
        <v>10</v>
      </c>
      <c r="H7699">
        <v>19676.36</v>
      </c>
      <c r="I7699">
        <v>5212.33</v>
      </c>
      <c r="J7699">
        <v>0</v>
      </c>
    </row>
    <row r="7700" spans="1:10" x14ac:dyDescent="0.35">
      <c r="A7700">
        <v>324784</v>
      </c>
      <c r="B7700" t="s">
        <v>20</v>
      </c>
      <c r="C7700">
        <v>2015</v>
      </c>
      <c r="D7700">
        <v>5</v>
      </c>
      <c r="E7700" t="s">
        <v>45</v>
      </c>
      <c r="F7700" t="s">
        <v>10</v>
      </c>
      <c r="G7700" t="s">
        <v>10</v>
      </c>
      <c r="H7700">
        <v>49186.54</v>
      </c>
      <c r="I7700">
        <v>11803.78</v>
      </c>
      <c r="J7700">
        <v>0</v>
      </c>
    </row>
    <row r="7701" spans="1:10" x14ac:dyDescent="0.35">
      <c r="A7701">
        <v>324831</v>
      </c>
      <c r="B7701" t="s">
        <v>20</v>
      </c>
      <c r="C7701">
        <v>2015</v>
      </c>
      <c r="D7701">
        <v>8</v>
      </c>
      <c r="E7701" t="s">
        <v>44</v>
      </c>
      <c r="F7701" t="s">
        <v>10</v>
      </c>
      <c r="G7701" t="s">
        <v>10</v>
      </c>
      <c r="H7701">
        <v>97863.34</v>
      </c>
      <c r="I7701">
        <v>36166.269999999997</v>
      </c>
      <c r="J7701">
        <v>0</v>
      </c>
    </row>
    <row r="7702" spans="1:10" x14ac:dyDescent="0.35">
      <c r="A7702">
        <v>324871</v>
      </c>
      <c r="B7702" t="s">
        <v>20</v>
      </c>
      <c r="C7702">
        <v>2015</v>
      </c>
      <c r="D7702">
        <v>8</v>
      </c>
      <c r="E7702" t="s">
        <v>44</v>
      </c>
      <c r="F7702" t="s">
        <v>10</v>
      </c>
      <c r="G7702" t="s">
        <v>10</v>
      </c>
      <c r="H7702">
        <v>105282.04</v>
      </c>
      <c r="I7702">
        <v>69124.7</v>
      </c>
      <c r="J7702">
        <v>0</v>
      </c>
    </row>
    <row r="7703" spans="1:10" x14ac:dyDescent="0.35">
      <c r="A7703">
        <v>324974</v>
      </c>
      <c r="B7703" t="s">
        <v>20</v>
      </c>
      <c r="C7703">
        <v>2015</v>
      </c>
      <c r="D7703">
        <v>8</v>
      </c>
      <c r="E7703" t="s">
        <v>44</v>
      </c>
      <c r="F7703" t="s">
        <v>10</v>
      </c>
      <c r="G7703" t="s">
        <v>10</v>
      </c>
      <c r="H7703">
        <v>18610.740000000002</v>
      </c>
      <c r="I7703">
        <v>4672.4399999999996</v>
      </c>
      <c r="J7703">
        <v>0</v>
      </c>
    </row>
    <row r="7704" spans="1:10" x14ac:dyDescent="0.35">
      <c r="A7704">
        <v>325085</v>
      </c>
      <c r="B7704" t="s">
        <v>20</v>
      </c>
      <c r="C7704">
        <v>2015</v>
      </c>
      <c r="D7704">
        <v>8</v>
      </c>
      <c r="E7704" t="s">
        <v>44</v>
      </c>
      <c r="F7704" t="s">
        <v>10</v>
      </c>
      <c r="G7704" t="s">
        <v>10</v>
      </c>
      <c r="H7704">
        <v>33807.26</v>
      </c>
      <c r="I7704">
        <v>19799.400000000001</v>
      </c>
      <c r="J7704">
        <v>0</v>
      </c>
    </row>
    <row r="7705" spans="1:10" x14ac:dyDescent="0.35">
      <c r="A7705">
        <v>325101</v>
      </c>
      <c r="B7705" t="s">
        <v>20</v>
      </c>
      <c r="C7705">
        <v>2015</v>
      </c>
      <c r="D7705">
        <v>8</v>
      </c>
      <c r="E7705" t="s">
        <v>44</v>
      </c>
      <c r="F7705" t="s">
        <v>10</v>
      </c>
      <c r="G7705" t="s">
        <v>10</v>
      </c>
      <c r="H7705">
        <v>14454.52</v>
      </c>
      <c r="I7705">
        <v>4404.3900000000003</v>
      </c>
      <c r="J7705">
        <v>0</v>
      </c>
    </row>
    <row r="7706" spans="1:10" x14ac:dyDescent="0.35">
      <c r="A7706">
        <v>325119</v>
      </c>
      <c r="B7706" t="s">
        <v>20</v>
      </c>
      <c r="C7706">
        <v>2015</v>
      </c>
      <c r="D7706">
        <v>8</v>
      </c>
      <c r="E7706" t="s">
        <v>44</v>
      </c>
      <c r="F7706" t="s">
        <v>10</v>
      </c>
      <c r="G7706" t="s">
        <v>10</v>
      </c>
      <c r="H7706">
        <v>32204.22</v>
      </c>
      <c r="I7706">
        <v>5804.95</v>
      </c>
      <c r="J7706">
        <v>0</v>
      </c>
    </row>
    <row r="7707" spans="1:10" x14ac:dyDescent="0.35">
      <c r="A7707">
        <v>325135</v>
      </c>
      <c r="B7707" t="s">
        <v>20</v>
      </c>
      <c r="C7707">
        <v>2015</v>
      </c>
      <c r="D7707">
        <v>8</v>
      </c>
      <c r="E7707" t="s">
        <v>44</v>
      </c>
      <c r="F7707" t="s">
        <v>10</v>
      </c>
      <c r="G7707" t="s">
        <v>10</v>
      </c>
      <c r="H7707">
        <v>34916.94</v>
      </c>
      <c r="I7707">
        <v>11276.48</v>
      </c>
      <c r="J7707">
        <v>0</v>
      </c>
    </row>
    <row r="7708" spans="1:10" x14ac:dyDescent="0.35">
      <c r="A7708">
        <v>325179</v>
      </c>
      <c r="B7708" t="s">
        <v>20</v>
      </c>
      <c r="C7708">
        <v>2015</v>
      </c>
      <c r="D7708">
        <v>8</v>
      </c>
      <c r="E7708" t="s">
        <v>44</v>
      </c>
      <c r="F7708" t="s">
        <v>10</v>
      </c>
      <c r="G7708" t="s">
        <v>10</v>
      </c>
      <c r="H7708">
        <v>38907.26</v>
      </c>
      <c r="I7708">
        <v>13991.82</v>
      </c>
      <c r="J7708">
        <v>0</v>
      </c>
    </row>
    <row r="7709" spans="1:10" x14ac:dyDescent="0.35">
      <c r="A7709">
        <v>325275</v>
      </c>
      <c r="B7709" t="s">
        <v>20</v>
      </c>
      <c r="C7709">
        <v>2015</v>
      </c>
      <c r="D7709">
        <v>5</v>
      </c>
      <c r="E7709" t="s">
        <v>45</v>
      </c>
      <c r="F7709" t="s">
        <v>10</v>
      </c>
      <c r="G7709" t="s">
        <v>10</v>
      </c>
      <c r="H7709">
        <v>13952.28</v>
      </c>
      <c r="I7709">
        <v>4093.27</v>
      </c>
      <c r="J7709">
        <v>0</v>
      </c>
    </row>
    <row r="7710" spans="1:10" x14ac:dyDescent="0.35">
      <c r="A7710">
        <v>325291</v>
      </c>
      <c r="B7710" t="s">
        <v>20</v>
      </c>
      <c r="C7710">
        <v>2015</v>
      </c>
      <c r="D7710">
        <v>8</v>
      </c>
      <c r="E7710" t="s">
        <v>44</v>
      </c>
      <c r="F7710" t="s">
        <v>10</v>
      </c>
      <c r="G7710" t="s">
        <v>10</v>
      </c>
      <c r="H7710">
        <v>39483.07</v>
      </c>
      <c r="I7710">
        <v>21931.15</v>
      </c>
      <c r="J7710">
        <v>0</v>
      </c>
    </row>
    <row r="7711" spans="1:10" x14ac:dyDescent="0.35">
      <c r="A7711">
        <v>325293</v>
      </c>
      <c r="B7711" t="s">
        <v>20</v>
      </c>
      <c r="C7711">
        <v>2015</v>
      </c>
      <c r="D7711">
        <v>8</v>
      </c>
      <c r="E7711" t="s">
        <v>44</v>
      </c>
      <c r="F7711" t="s">
        <v>10</v>
      </c>
      <c r="G7711" t="s">
        <v>10</v>
      </c>
      <c r="H7711">
        <v>60766.58</v>
      </c>
      <c r="I7711">
        <v>19045.48</v>
      </c>
      <c r="J7711">
        <v>0</v>
      </c>
    </row>
    <row r="7712" spans="1:10" x14ac:dyDescent="0.35">
      <c r="A7712">
        <v>325333</v>
      </c>
      <c r="B7712" t="s">
        <v>20</v>
      </c>
      <c r="C7712">
        <v>2015</v>
      </c>
      <c r="D7712">
        <v>8</v>
      </c>
      <c r="E7712" t="s">
        <v>44</v>
      </c>
      <c r="F7712" t="s">
        <v>10</v>
      </c>
      <c r="G7712" t="s">
        <v>10</v>
      </c>
      <c r="H7712">
        <v>51323.6</v>
      </c>
      <c r="I7712">
        <v>14905.28</v>
      </c>
      <c r="J7712">
        <v>0</v>
      </c>
    </row>
    <row r="7713" spans="1:10" x14ac:dyDescent="0.35">
      <c r="A7713">
        <v>325352</v>
      </c>
      <c r="B7713" t="s">
        <v>20</v>
      </c>
      <c r="C7713">
        <v>2015</v>
      </c>
      <c r="D7713">
        <v>8</v>
      </c>
      <c r="E7713" t="s">
        <v>44</v>
      </c>
      <c r="F7713" t="s">
        <v>10</v>
      </c>
      <c r="G7713" t="s">
        <v>10</v>
      </c>
      <c r="H7713">
        <v>9709.5</v>
      </c>
      <c r="I7713">
        <v>2928.21</v>
      </c>
      <c r="J7713">
        <v>0</v>
      </c>
    </row>
    <row r="7714" spans="1:10" x14ac:dyDescent="0.35">
      <c r="A7714">
        <v>325363</v>
      </c>
      <c r="B7714" t="s">
        <v>20</v>
      </c>
      <c r="C7714">
        <v>2015</v>
      </c>
      <c r="D7714">
        <v>8</v>
      </c>
      <c r="E7714" t="s">
        <v>44</v>
      </c>
      <c r="F7714" t="s">
        <v>10</v>
      </c>
      <c r="G7714" t="s">
        <v>10</v>
      </c>
      <c r="H7714">
        <v>14605.36</v>
      </c>
      <c r="I7714">
        <v>4336.29</v>
      </c>
      <c r="J7714">
        <v>0</v>
      </c>
    </row>
    <row r="7715" spans="1:10" x14ac:dyDescent="0.35">
      <c r="A7715">
        <v>325384</v>
      </c>
      <c r="B7715" t="s">
        <v>20</v>
      </c>
      <c r="C7715">
        <v>2015</v>
      </c>
      <c r="D7715">
        <v>5</v>
      </c>
      <c r="E7715" t="s">
        <v>45</v>
      </c>
      <c r="F7715" t="s">
        <v>10</v>
      </c>
      <c r="G7715" t="s">
        <v>10</v>
      </c>
      <c r="H7715">
        <v>29354.3</v>
      </c>
      <c r="I7715">
        <v>11427.01</v>
      </c>
      <c r="J7715">
        <v>0</v>
      </c>
    </row>
    <row r="7716" spans="1:10" x14ac:dyDescent="0.35">
      <c r="A7716">
        <v>325412</v>
      </c>
      <c r="B7716" t="s">
        <v>20</v>
      </c>
      <c r="C7716">
        <v>2015</v>
      </c>
      <c r="D7716">
        <v>8</v>
      </c>
      <c r="E7716" t="s">
        <v>44</v>
      </c>
      <c r="F7716" t="s">
        <v>10</v>
      </c>
      <c r="G7716" t="s">
        <v>10</v>
      </c>
      <c r="H7716">
        <v>146031.9</v>
      </c>
      <c r="I7716">
        <v>77786.02</v>
      </c>
      <c r="J7716">
        <v>0</v>
      </c>
    </row>
    <row r="7717" spans="1:10" x14ac:dyDescent="0.35">
      <c r="A7717">
        <v>325532</v>
      </c>
      <c r="B7717" t="s">
        <v>20</v>
      </c>
      <c r="C7717">
        <v>2015</v>
      </c>
      <c r="D7717">
        <v>8</v>
      </c>
      <c r="E7717" t="s">
        <v>44</v>
      </c>
      <c r="F7717" t="s">
        <v>10</v>
      </c>
      <c r="G7717" t="s">
        <v>10</v>
      </c>
      <c r="H7717">
        <v>30825.279999999999</v>
      </c>
      <c r="I7717">
        <v>8447.9</v>
      </c>
      <c r="J7717">
        <v>0</v>
      </c>
    </row>
    <row r="7718" spans="1:10" x14ac:dyDescent="0.35">
      <c r="A7718">
        <v>325561</v>
      </c>
      <c r="B7718" t="s">
        <v>20</v>
      </c>
      <c r="C7718">
        <v>2015</v>
      </c>
      <c r="D7718">
        <v>8</v>
      </c>
      <c r="E7718" t="s">
        <v>44</v>
      </c>
      <c r="F7718" t="s">
        <v>10</v>
      </c>
      <c r="G7718" t="s">
        <v>10</v>
      </c>
      <c r="H7718">
        <v>14383.18</v>
      </c>
      <c r="I7718">
        <v>4381.38</v>
      </c>
      <c r="J7718">
        <v>0</v>
      </c>
    </row>
    <row r="7719" spans="1:10" x14ac:dyDescent="0.35">
      <c r="A7719">
        <v>325575</v>
      </c>
      <c r="B7719" t="s">
        <v>20</v>
      </c>
      <c r="C7719">
        <v>2015</v>
      </c>
      <c r="D7719">
        <v>8</v>
      </c>
      <c r="E7719" t="s">
        <v>44</v>
      </c>
      <c r="F7719" t="s">
        <v>10</v>
      </c>
      <c r="G7719" t="s">
        <v>10</v>
      </c>
      <c r="H7719">
        <v>52100.84</v>
      </c>
      <c r="I7719">
        <v>32863.949999999997</v>
      </c>
      <c r="J7719">
        <v>0</v>
      </c>
    </row>
    <row r="7720" spans="1:10" x14ac:dyDescent="0.35">
      <c r="A7720">
        <v>325617</v>
      </c>
      <c r="B7720" t="s">
        <v>20</v>
      </c>
      <c r="C7720">
        <v>2015</v>
      </c>
      <c r="D7720">
        <v>5</v>
      </c>
      <c r="E7720" t="s">
        <v>45</v>
      </c>
      <c r="F7720" t="s">
        <v>10</v>
      </c>
      <c r="G7720" t="s">
        <v>10</v>
      </c>
      <c r="H7720">
        <v>24558.06</v>
      </c>
      <c r="I7720">
        <v>6378.29</v>
      </c>
      <c r="J7720">
        <v>0</v>
      </c>
    </row>
    <row r="7721" spans="1:10" x14ac:dyDescent="0.35">
      <c r="A7721">
        <v>325643</v>
      </c>
      <c r="B7721" t="s">
        <v>20</v>
      </c>
      <c r="C7721">
        <v>2015</v>
      </c>
      <c r="D7721">
        <v>8</v>
      </c>
      <c r="E7721" t="s">
        <v>44</v>
      </c>
      <c r="F7721" t="s">
        <v>10</v>
      </c>
      <c r="G7721" t="s">
        <v>10</v>
      </c>
      <c r="H7721">
        <v>27529.040000000001</v>
      </c>
      <c r="I7721">
        <v>11891.97</v>
      </c>
      <c r="J7721">
        <v>0</v>
      </c>
    </row>
    <row r="7722" spans="1:10" x14ac:dyDescent="0.35">
      <c r="A7722">
        <v>325688</v>
      </c>
      <c r="B7722" t="s">
        <v>20</v>
      </c>
      <c r="C7722">
        <v>2015</v>
      </c>
      <c r="D7722">
        <v>8</v>
      </c>
      <c r="E7722" t="s">
        <v>44</v>
      </c>
      <c r="F7722" t="s">
        <v>10</v>
      </c>
      <c r="G7722" t="s">
        <v>10</v>
      </c>
      <c r="H7722">
        <v>16043.4</v>
      </c>
      <c r="I7722">
        <v>2878.14</v>
      </c>
      <c r="J7722">
        <v>0</v>
      </c>
    </row>
    <row r="7723" spans="1:10" x14ac:dyDescent="0.35">
      <c r="A7723">
        <v>325707</v>
      </c>
      <c r="B7723" t="s">
        <v>20</v>
      </c>
      <c r="C7723">
        <v>2015</v>
      </c>
      <c r="D7723">
        <v>8</v>
      </c>
      <c r="E7723" t="s">
        <v>44</v>
      </c>
      <c r="F7723" t="s">
        <v>10</v>
      </c>
      <c r="G7723" t="s">
        <v>10</v>
      </c>
      <c r="H7723">
        <v>15012.68</v>
      </c>
      <c r="I7723">
        <v>4384.25</v>
      </c>
      <c r="J7723">
        <v>0</v>
      </c>
    </row>
    <row r="7724" spans="1:10" x14ac:dyDescent="0.35">
      <c r="A7724">
        <v>325796</v>
      </c>
      <c r="B7724" t="s">
        <v>20</v>
      </c>
      <c r="C7724">
        <v>2015</v>
      </c>
      <c r="D7724">
        <v>8</v>
      </c>
      <c r="E7724" t="s">
        <v>44</v>
      </c>
      <c r="F7724" t="s">
        <v>10</v>
      </c>
      <c r="G7724" t="s">
        <v>10</v>
      </c>
      <c r="H7724">
        <v>74063.92</v>
      </c>
      <c r="I7724">
        <v>38942.17</v>
      </c>
      <c r="J7724">
        <v>0</v>
      </c>
    </row>
    <row r="7725" spans="1:10" x14ac:dyDescent="0.35">
      <c r="A7725">
        <v>325829</v>
      </c>
      <c r="B7725" t="s">
        <v>20</v>
      </c>
      <c r="C7725">
        <v>2015</v>
      </c>
      <c r="D7725">
        <v>8</v>
      </c>
      <c r="E7725" t="s">
        <v>44</v>
      </c>
      <c r="F7725" t="s">
        <v>10</v>
      </c>
      <c r="G7725" t="s">
        <v>10</v>
      </c>
      <c r="H7725">
        <v>46332.18</v>
      </c>
      <c r="I7725">
        <v>20922.439999999999</v>
      </c>
      <c r="J7725">
        <v>0</v>
      </c>
    </row>
    <row r="7726" spans="1:10" x14ac:dyDescent="0.35">
      <c r="A7726">
        <v>325940</v>
      </c>
      <c r="B7726" t="s">
        <v>20</v>
      </c>
      <c r="C7726">
        <v>2015</v>
      </c>
      <c r="D7726">
        <v>8</v>
      </c>
      <c r="E7726" t="s">
        <v>44</v>
      </c>
      <c r="F7726" t="s">
        <v>10</v>
      </c>
      <c r="G7726" t="s">
        <v>10</v>
      </c>
      <c r="H7726">
        <v>98950.5</v>
      </c>
      <c r="I7726">
        <v>29408.21</v>
      </c>
      <c r="J7726">
        <v>0</v>
      </c>
    </row>
    <row r="7727" spans="1:10" x14ac:dyDescent="0.35">
      <c r="A7727">
        <v>325981</v>
      </c>
      <c r="B7727" t="s">
        <v>20</v>
      </c>
      <c r="C7727">
        <v>2015</v>
      </c>
      <c r="D7727">
        <v>8</v>
      </c>
      <c r="E7727" t="s">
        <v>44</v>
      </c>
      <c r="F7727" t="s">
        <v>10</v>
      </c>
      <c r="G7727" t="s">
        <v>10</v>
      </c>
      <c r="H7727">
        <v>64668.800000000003</v>
      </c>
      <c r="I7727">
        <v>33774.85</v>
      </c>
      <c r="J7727">
        <v>0</v>
      </c>
    </row>
    <row r="7728" spans="1:10" x14ac:dyDescent="0.35">
      <c r="A7728">
        <v>325982</v>
      </c>
      <c r="B7728" t="s">
        <v>20</v>
      </c>
      <c r="C7728">
        <v>2015</v>
      </c>
      <c r="D7728">
        <v>8</v>
      </c>
      <c r="E7728" t="s">
        <v>44</v>
      </c>
      <c r="F7728" t="s">
        <v>10</v>
      </c>
      <c r="G7728" t="s">
        <v>10</v>
      </c>
      <c r="H7728">
        <v>44384.38</v>
      </c>
      <c r="I7728">
        <v>9904.3700000000008</v>
      </c>
      <c r="J7728">
        <v>0</v>
      </c>
    </row>
    <row r="7729" spans="1:10" x14ac:dyDescent="0.35">
      <c r="A7729">
        <v>326006</v>
      </c>
      <c r="B7729" t="s">
        <v>20</v>
      </c>
      <c r="C7729">
        <v>2015</v>
      </c>
      <c r="D7729">
        <v>8</v>
      </c>
      <c r="E7729" t="s">
        <v>44</v>
      </c>
      <c r="F7729" t="s">
        <v>10</v>
      </c>
      <c r="G7729" t="s">
        <v>10</v>
      </c>
      <c r="H7729">
        <v>21819.64</v>
      </c>
      <c r="I7729">
        <v>5773.93</v>
      </c>
      <c r="J7729">
        <v>0</v>
      </c>
    </row>
    <row r="7730" spans="1:10" x14ac:dyDescent="0.35">
      <c r="A7730">
        <v>326056</v>
      </c>
      <c r="B7730" t="s">
        <v>20</v>
      </c>
      <c r="C7730">
        <v>2015</v>
      </c>
      <c r="D7730">
        <v>8</v>
      </c>
      <c r="E7730" t="s">
        <v>44</v>
      </c>
      <c r="F7730" t="s">
        <v>10</v>
      </c>
      <c r="G7730" t="s">
        <v>10</v>
      </c>
      <c r="H7730">
        <v>87220.5</v>
      </c>
      <c r="I7730">
        <v>51285.65</v>
      </c>
      <c r="J7730">
        <v>0</v>
      </c>
    </row>
    <row r="7731" spans="1:10" x14ac:dyDescent="0.35">
      <c r="A7731">
        <v>326057</v>
      </c>
      <c r="B7731" t="s">
        <v>20</v>
      </c>
      <c r="C7731">
        <v>2015</v>
      </c>
      <c r="D7731">
        <v>8</v>
      </c>
      <c r="E7731" t="s">
        <v>44</v>
      </c>
      <c r="F7731" t="s">
        <v>10</v>
      </c>
      <c r="G7731" t="s">
        <v>10</v>
      </c>
      <c r="H7731">
        <v>135548.56</v>
      </c>
      <c r="I7731">
        <v>66767.03</v>
      </c>
      <c r="J7731">
        <v>0</v>
      </c>
    </row>
    <row r="7732" spans="1:10" x14ac:dyDescent="0.35">
      <c r="A7732">
        <v>326115</v>
      </c>
      <c r="B7732" t="s">
        <v>20</v>
      </c>
      <c r="C7732">
        <v>2015</v>
      </c>
      <c r="D7732">
        <v>8</v>
      </c>
      <c r="E7732" t="s">
        <v>44</v>
      </c>
      <c r="F7732" t="s">
        <v>10</v>
      </c>
      <c r="G7732" t="s">
        <v>10</v>
      </c>
      <c r="H7732">
        <v>36872.14</v>
      </c>
      <c r="I7732">
        <v>10168.9</v>
      </c>
      <c r="J7732">
        <v>0</v>
      </c>
    </row>
    <row r="7733" spans="1:10" x14ac:dyDescent="0.35">
      <c r="A7733">
        <v>326124</v>
      </c>
      <c r="B7733" t="s">
        <v>20</v>
      </c>
      <c r="C7733">
        <v>2015</v>
      </c>
      <c r="D7733">
        <v>8</v>
      </c>
      <c r="E7733" t="s">
        <v>44</v>
      </c>
      <c r="F7733" t="s">
        <v>10</v>
      </c>
      <c r="G7733" t="s">
        <v>10</v>
      </c>
      <c r="H7733">
        <v>110495.67</v>
      </c>
      <c r="I7733">
        <v>59656.86</v>
      </c>
      <c r="J7733">
        <v>0</v>
      </c>
    </row>
    <row r="7734" spans="1:10" x14ac:dyDescent="0.35">
      <c r="A7734">
        <v>326136</v>
      </c>
      <c r="B7734" t="s">
        <v>20</v>
      </c>
      <c r="C7734">
        <v>2015</v>
      </c>
      <c r="D7734">
        <v>8</v>
      </c>
      <c r="E7734" t="s">
        <v>44</v>
      </c>
      <c r="F7734" t="s">
        <v>10</v>
      </c>
      <c r="G7734" t="s">
        <v>10</v>
      </c>
      <c r="H7734">
        <v>45463.6</v>
      </c>
      <c r="I7734">
        <v>33171.58</v>
      </c>
      <c r="J7734">
        <v>0</v>
      </c>
    </row>
    <row r="7735" spans="1:10" x14ac:dyDescent="0.35">
      <c r="A7735">
        <v>326194</v>
      </c>
      <c r="B7735" t="s">
        <v>20</v>
      </c>
      <c r="C7735">
        <v>2015</v>
      </c>
      <c r="D7735">
        <v>8</v>
      </c>
      <c r="E7735" t="s">
        <v>44</v>
      </c>
      <c r="F7735" t="s">
        <v>10</v>
      </c>
      <c r="G7735" t="s">
        <v>10</v>
      </c>
      <c r="H7735">
        <v>71131.56</v>
      </c>
      <c r="I7735">
        <v>29380.67</v>
      </c>
      <c r="J7735">
        <v>0</v>
      </c>
    </row>
    <row r="7736" spans="1:10" x14ac:dyDescent="0.35">
      <c r="A7736">
        <v>326272</v>
      </c>
      <c r="B7736" t="s">
        <v>20</v>
      </c>
      <c r="C7736">
        <v>2015</v>
      </c>
      <c r="D7736">
        <v>8</v>
      </c>
      <c r="E7736" t="s">
        <v>44</v>
      </c>
      <c r="F7736" t="s">
        <v>10</v>
      </c>
      <c r="G7736" t="s">
        <v>10</v>
      </c>
      <c r="H7736">
        <v>33857.82</v>
      </c>
      <c r="I7736">
        <v>10418.17</v>
      </c>
      <c r="J7736">
        <v>0</v>
      </c>
    </row>
    <row r="7737" spans="1:10" x14ac:dyDescent="0.35">
      <c r="A7737">
        <v>326379</v>
      </c>
      <c r="B7737" t="s">
        <v>20</v>
      </c>
      <c r="C7737">
        <v>2015</v>
      </c>
      <c r="D7737">
        <v>8</v>
      </c>
      <c r="E7737" t="s">
        <v>44</v>
      </c>
      <c r="F7737" t="s">
        <v>10</v>
      </c>
      <c r="G7737" t="s">
        <v>10</v>
      </c>
      <c r="H7737">
        <v>24425.18</v>
      </c>
      <c r="I7737">
        <v>6538.6</v>
      </c>
      <c r="J7737">
        <v>0</v>
      </c>
    </row>
    <row r="7738" spans="1:10" x14ac:dyDescent="0.35">
      <c r="A7738">
        <v>326396</v>
      </c>
      <c r="B7738" t="s">
        <v>20</v>
      </c>
      <c r="C7738">
        <v>2015</v>
      </c>
      <c r="D7738">
        <v>8</v>
      </c>
      <c r="E7738" t="s">
        <v>44</v>
      </c>
      <c r="F7738" t="s">
        <v>10</v>
      </c>
      <c r="G7738" t="s">
        <v>10</v>
      </c>
      <c r="H7738">
        <v>171252.22</v>
      </c>
      <c r="I7738">
        <v>62658.55</v>
      </c>
      <c r="J7738">
        <v>0</v>
      </c>
    </row>
    <row r="7739" spans="1:10" x14ac:dyDescent="0.35">
      <c r="A7739">
        <v>326482</v>
      </c>
      <c r="B7739" t="s">
        <v>20</v>
      </c>
      <c r="C7739">
        <v>2015</v>
      </c>
      <c r="D7739">
        <v>8</v>
      </c>
      <c r="E7739" t="s">
        <v>44</v>
      </c>
      <c r="F7739" t="s">
        <v>10</v>
      </c>
      <c r="G7739" t="s">
        <v>10</v>
      </c>
      <c r="H7739">
        <v>33382.5</v>
      </c>
      <c r="I7739">
        <v>9576.43</v>
      </c>
      <c r="J7739">
        <v>0</v>
      </c>
    </row>
    <row r="7740" spans="1:10" x14ac:dyDescent="0.35">
      <c r="A7740">
        <v>326502</v>
      </c>
      <c r="B7740" t="s">
        <v>20</v>
      </c>
      <c r="C7740">
        <v>2015</v>
      </c>
      <c r="D7740">
        <v>8</v>
      </c>
      <c r="E7740" t="s">
        <v>44</v>
      </c>
      <c r="F7740" t="s">
        <v>10</v>
      </c>
      <c r="G7740" t="s">
        <v>10</v>
      </c>
      <c r="H7740">
        <v>37542.339999999997</v>
      </c>
      <c r="I7740">
        <v>10373.209999999999</v>
      </c>
      <c r="J7740">
        <v>0</v>
      </c>
    </row>
    <row r="7741" spans="1:10" x14ac:dyDescent="0.35">
      <c r="A7741">
        <v>326565</v>
      </c>
      <c r="B7741" t="s">
        <v>20</v>
      </c>
      <c r="C7741">
        <v>2015</v>
      </c>
      <c r="D7741">
        <v>8</v>
      </c>
      <c r="E7741" t="s">
        <v>44</v>
      </c>
      <c r="F7741" t="s">
        <v>10</v>
      </c>
      <c r="G7741" t="s">
        <v>10</v>
      </c>
      <c r="H7741">
        <v>34107.360000000001</v>
      </c>
      <c r="I7741">
        <v>11025.86</v>
      </c>
      <c r="J7741">
        <v>0</v>
      </c>
    </row>
    <row r="7742" spans="1:10" x14ac:dyDescent="0.35">
      <c r="A7742">
        <v>326610</v>
      </c>
      <c r="B7742" t="s">
        <v>20</v>
      </c>
      <c r="C7742">
        <v>2015</v>
      </c>
      <c r="D7742">
        <v>8</v>
      </c>
      <c r="E7742" t="s">
        <v>44</v>
      </c>
      <c r="F7742" t="s">
        <v>10</v>
      </c>
      <c r="G7742" t="s">
        <v>10</v>
      </c>
      <c r="H7742">
        <v>30169.5</v>
      </c>
      <c r="I7742">
        <v>18761.939999999999</v>
      </c>
      <c r="J7742">
        <v>0</v>
      </c>
    </row>
    <row r="7743" spans="1:10" x14ac:dyDescent="0.35">
      <c r="A7743">
        <v>326640</v>
      </c>
      <c r="B7743" t="s">
        <v>20</v>
      </c>
      <c r="C7743">
        <v>2015</v>
      </c>
      <c r="D7743">
        <v>8</v>
      </c>
      <c r="E7743" t="s">
        <v>44</v>
      </c>
      <c r="F7743" t="s">
        <v>10</v>
      </c>
      <c r="G7743" t="s">
        <v>10</v>
      </c>
      <c r="H7743">
        <v>24605.62</v>
      </c>
      <c r="I7743">
        <v>7733.76</v>
      </c>
      <c r="J7743">
        <v>0</v>
      </c>
    </row>
    <row r="7744" spans="1:10" x14ac:dyDescent="0.35">
      <c r="A7744">
        <v>326655</v>
      </c>
      <c r="B7744" t="s">
        <v>20</v>
      </c>
      <c r="C7744">
        <v>2015</v>
      </c>
      <c r="D7744">
        <v>8</v>
      </c>
      <c r="E7744" t="s">
        <v>44</v>
      </c>
      <c r="F7744" t="s">
        <v>10</v>
      </c>
      <c r="G7744" t="s">
        <v>10</v>
      </c>
      <c r="H7744">
        <v>33931.699999999997</v>
      </c>
      <c r="I7744">
        <v>6127.34</v>
      </c>
      <c r="J7744">
        <v>0</v>
      </c>
    </row>
    <row r="7745" spans="1:10" x14ac:dyDescent="0.35">
      <c r="A7745">
        <v>326734</v>
      </c>
      <c r="B7745" t="s">
        <v>20</v>
      </c>
      <c r="C7745">
        <v>2015</v>
      </c>
      <c r="D7745">
        <v>8</v>
      </c>
      <c r="E7745" t="s">
        <v>44</v>
      </c>
      <c r="F7745" t="s">
        <v>10</v>
      </c>
      <c r="G7745" t="s">
        <v>10</v>
      </c>
      <c r="H7745">
        <v>30671.88</v>
      </c>
      <c r="I7745">
        <v>20563.439999999999</v>
      </c>
      <c r="J7745">
        <v>0</v>
      </c>
    </row>
    <row r="7746" spans="1:10" x14ac:dyDescent="0.35">
      <c r="A7746">
        <v>326761</v>
      </c>
      <c r="B7746" t="s">
        <v>20</v>
      </c>
      <c r="C7746">
        <v>2015</v>
      </c>
      <c r="D7746">
        <v>8</v>
      </c>
      <c r="E7746" t="s">
        <v>44</v>
      </c>
      <c r="F7746" t="s">
        <v>10</v>
      </c>
      <c r="G7746" t="s">
        <v>10</v>
      </c>
      <c r="H7746">
        <v>24796.3</v>
      </c>
      <c r="I7746">
        <v>4458.5</v>
      </c>
      <c r="J7746">
        <v>0</v>
      </c>
    </row>
    <row r="7747" spans="1:10" x14ac:dyDescent="0.35">
      <c r="A7747">
        <v>326774</v>
      </c>
      <c r="B7747" t="s">
        <v>20</v>
      </c>
      <c r="C7747">
        <v>2015</v>
      </c>
      <c r="D7747">
        <v>8</v>
      </c>
      <c r="E7747" t="s">
        <v>44</v>
      </c>
      <c r="F7747" t="s">
        <v>10</v>
      </c>
      <c r="G7747" t="s">
        <v>10</v>
      </c>
      <c r="H7747">
        <v>40402.379999999997</v>
      </c>
      <c r="I7747">
        <v>10529</v>
      </c>
      <c r="J7747">
        <v>0</v>
      </c>
    </row>
    <row r="7748" spans="1:10" x14ac:dyDescent="0.35">
      <c r="A7748">
        <v>326813</v>
      </c>
      <c r="B7748" t="s">
        <v>20</v>
      </c>
      <c r="C7748">
        <v>2015</v>
      </c>
      <c r="D7748">
        <v>8</v>
      </c>
      <c r="E7748" t="s">
        <v>44</v>
      </c>
      <c r="F7748" t="s">
        <v>10</v>
      </c>
      <c r="G7748" t="s">
        <v>10</v>
      </c>
      <c r="H7748">
        <v>86221.75</v>
      </c>
      <c r="I7748">
        <v>52132.3</v>
      </c>
      <c r="J7748">
        <v>0</v>
      </c>
    </row>
    <row r="7749" spans="1:10" x14ac:dyDescent="0.35">
      <c r="A7749">
        <v>326922</v>
      </c>
      <c r="B7749" t="s">
        <v>20</v>
      </c>
      <c r="C7749">
        <v>2015</v>
      </c>
      <c r="D7749">
        <v>5</v>
      </c>
      <c r="E7749" t="s">
        <v>45</v>
      </c>
      <c r="F7749" t="s">
        <v>10</v>
      </c>
      <c r="G7749" t="s">
        <v>10</v>
      </c>
      <c r="H7749">
        <v>17087.32</v>
      </c>
      <c r="I7749">
        <v>3820.97</v>
      </c>
      <c r="J7749">
        <v>0</v>
      </c>
    </row>
    <row r="7750" spans="1:10" x14ac:dyDescent="0.35">
      <c r="A7750">
        <v>326925</v>
      </c>
      <c r="B7750" t="s">
        <v>20</v>
      </c>
      <c r="C7750">
        <v>2015</v>
      </c>
      <c r="D7750">
        <v>8</v>
      </c>
      <c r="E7750" t="s">
        <v>44</v>
      </c>
      <c r="F7750" t="s">
        <v>10</v>
      </c>
      <c r="G7750" t="s">
        <v>10</v>
      </c>
      <c r="H7750">
        <v>84343.679999999993</v>
      </c>
      <c r="I7750">
        <v>47725.14</v>
      </c>
      <c r="J7750">
        <v>0</v>
      </c>
    </row>
    <row r="7751" spans="1:10" x14ac:dyDescent="0.35">
      <c r="A7751">
        <v>326991</v>
      </c>
      <c r="B7751" t="s">
        <v>20</v>
      </c>
      <c r="C7751">
        <v>2015</v>
      </c>
      <c r="D7751">
        <v>8</v>
      </c>
      <c r="E7751" t="s">
        <v>44</v>
      </c>
      <c r="F7751" t="s">
        <v>10</v>
      </c>
      <c r="G7751" t="s">
        <v>10</v>
      </c>
      <c r="H7751">
        <v>62297.8</v>
      </c>
      <c r="I7751">
        <v>18790.25</v>
      </c>
      <c r="J7751">
        <v>0</v>
      </c>
    </row>
    <row r="7752" spans="1:10" x14ac:dyDescent="0.35">
      <c r="A7752">
        <v>326999</v>
      </c>
      <c r="B7752" t="s">
        <v>20</v>
      </c>
      <c r="C7752">
        <v>2015</v>
      </c>
      <c r="D7752">
        <v>8</v>
      </c>
      <c r="E7752" t="s">
        <v>44</v>
      </c>
      <c r="F7752" t="s">
        <v>10</v>
      </c>
      <c r="G7752" t="s">
        <v>10</v>
      </c>
      <c r="H7752">
        <v>39803.68</v>
      </c>
      <c r="I7752">
        <v>10636.98</v>
      </c>
      <c r="J7752">
        <v>0</v>
      </c>
    </row>
    <row r="7753" spans="1:10" x14ac:dyDescent="0.35">
      <c r="A7753">
        <v>327014</v>
      </c>
      <c r="B7753" t="s">
        <v>20</v>
      </c>
      <c r="C7753">
        <v>2015</v>
      </c>
      <c r="D7753">
        <v>8</v>
      </c>
      <c r="E7753" t="s">
        <v>44</v>
      </c>
      <c r="F7753" t="s">
        <v>10</v>
      </c>
      <c r="G7753" t="s">
        <v>10</v>
      </c>
      <c r="H7753">
        <v>68756.38</v>
      </c>
      <c r="I7753">
        <v>31272.84</v>
      </c>
      <c r="J7753">
        <v>0</v>
      </c>
    </row>
    <row r="7754" spans="1:10" x14ac:dyDescent="0.35">
      <c r="A7754">
        <v>327162</v>
      </c>
      <c r="B7754" t="s">
        <v>20</v>
      </c>
      <c r="C7754">
        <v>2015</v>
      </c>
      <c r="D7754">
        <v>8</v>
      </c>
      <c r="E7754" t="s">
        <v>44</v>
      </c>
      <c r="F7754" t="s">
        <v>10</v>
      </c>
      <c r="G7754" t="s">
        <v>10</v>
      </c>
      <c r="H7754">
        <v>16402.48</v>
      </c>
      <c r="I7754">
        <v>4708.74</v>
      </c>
      <c r="J7754">
        <v>0</v>
      </c>
    </row>
    <row r="7755" spans="1:10" x14ac:dyDescent="0.35">
      <c r="A7755">
        <v>327195</v>
      </c>
      <c r="B7755" t="s">
        <v>20</v>
      </c>
      <c r="C7755">
        <v>2015</v>
      </c>
      <c r="D7755">
        <v>8</v>
      </c>
      <c r="E7755" t="s">
        <v>44</v>
      </c>
      <c r="F7755" t="s">
        <v>10</v>
      </c>
      <c r="G7755" t="s">
        <v>10</v>
      </c>
      <c r="H7755">
        <v>46265.62</v>
      </c>
      <c r="I7755">
        <v>22504.49</v>
      </c>
      <c r="J7755">
        <v>0</v>
      </c>
    </row>
    <row r="7756" spans="1:10" x14ac:dyDescent="0.35">
      <c r="A7756">
        <v>327306</v>
      </c>
      <c r="B7756" t="s">
        <v>20</v>
      </c>
      <c r="C7756">
        <v>2015</v>
      </c>
      <c r="D7756">
        <v>8</v>
      </c>
      <c r="E7756" t="s">
        <v>44</v>
      </c>
      <c r="F7756" t="s">
        <v>10</v>
      </c>
      <c r="G7756" t="s">
        <v>10</v>
      </c>
      <c r="H7756">
        <v>28126.66</v>
      </c>
      <c r="I7756">
        <v>5619.94</v>
      </c>
      <c r="J7756">
        <v>0</v>
      </c>
    </row>
    <row r="7757" spans="1:10" x14ac:dyDescent="0.35">
      <c r="A7757">
        <v>327431</v>
      </c>
      <c r="B7757" t="s">
        <v>20</v>
      </c>
      <c r="C7757">
        <v>2015</v>
      </c>
      <c r="D7757">
        <v>8</v>
      </c>
      <c r="E7757" t="s">
        <v>44</v>
      </c>
      <c r="F7757" t="s">
        <v>10</v>
      </c>
      <c r="G7757" t="s">
        <v>10</v>
      </c>
      <c r="H7757">
        <v>94703.74</v>
      </c>
      <c r="I7757">
        <v>45285.760000000002</v>
      </c>
      <c r="J7757">
        <v>0</v>
      </c>
    </row>
    <row r="7758" spans="1:10" x14ac:dyDescent="0.35">
      <c r="A7758">
        <v>327542</v>
      </c>
      <c r="B7758" t="s">
        <v>20</v>
      </c>
      <c r="C7758">
        <v>2015</v>
      </c>
      <c r="D7758">
        <v>8</v>
      </c>
      <c r="E7758" t="s">
        <v>44</v>
      </c>
      <c r="F7758" t="s">
        <v>10</v>
      </c>
      <c r="G7758" t="s">
        <v>10</v>
      </c>
      <c r="H7758">
        <v>41851.120000000003</v>
      </c>
      <c r="I7758">
        <v>14593.11</v>
      </c>
      <c r="J7758">
        <v>0</v>
      </c>
    </row>
    <row r="7759" spans="1:10" x14ac:dyDescent="0.35">
      <c r="A7759">
        <v>327682</v>
      </c>
      <c r="B7759" t="s">
        <v>20</v>
      </c>
      <c r="C7759">
        <v>2015</v>
      </c>
      <c r="D7759">
        <v>8</v>
      </c>
      <c r="E7759" t="s">
        <v>44</v>
      </c>
      <c r="F7759" t="s">
        <v>10</v>
      </c>
      <c r="G7759" t="s">
        <v>10</v>
      </c>
      <c r="H7759">
        <v>26293.040000000001</v>
      </c>
      <c r="I7759">
        <v>7110.5</v>
      </c>
      <c r="J7759">
        <v>0</v>
      </c>
    </row>
    <row r="7760" spans="1:10" x14ac:dyDescent="0.35">
      <c r="A7760">
        <v>327730</v>
      </c>
      <c r="B7760" t="s">
        <v>20</v>
      </c>
      <c r="C7760">
        <v>2015</v>
      </c>
      <c r="D7760">
        <v>8</v>
      </c>
      <c r="E7760" t="s">
        <v>44</v>
      </c>
      <c r="F7760" t="s">
        <v>10</v>
      </c>
      <c r="G7760" t="s">
        <v>10</v>
      </c>
      <c r="H7760">
        <v>20423.02</v>
      </c>
      <c r="I7760">
        <v>5720.7</v>
      </c>
      <c r="J7760">
        <v>0</v>
      </c>
    </row>
    <row r="7761" spans="1:10" x14ac:dyDescent="0.35">
      <c r="A7761">
        <v>327824</v>
      </c>
      <c r="B7761" t="s">
        <v>20</v>
      </c>
      <c r="C7761">
        <v>2015</v>
      </c>
      <c r="D7761">
        <v>8</v>
      </c>
      <c r="E7761" t="s">
        <v>44</v>
      </c>
      <c r="F7761" t="s">
        <v>10</v>
      </c>
      <c r="G7761" t="s">
        <v>10</v>
      </c>
      <c r="H7761">
        <v>22092.240000000002</v>
      </c>
      <c r="I7761">
        <v>3270.62</v>
      </c>
      <c r="J7761">
        <v>0</v>
      </c>
    </row>
    <row r="7762" spans="1:10" x14ac:dyDescent="0.35">
      <c r="A7762">
        <v>328065</v>
      </c>
      <c r="B7762" t="s">
        <v>20</v>
      </c>
      <c r="C7762">
        <v>2015</v>
      </c>
      <c r="D7762">
        <v>8</v>
      </c>
      <c r="E7762" t="s">
        <v>44</v>
      </c>
      <c r="F7762" t="s">
        <v>10</v>
      </c>
      <c r="G7762" t="s">
        <v>10</v>
      </c>
      <c r="H7762">
        <v>149933.85999999999</v>
      </c>
      <c r="I7762">
        <v>61535.75</v>
      </c>
      <c r="J7762">
        <v>0</v>
      </c>
    </row>
    <row r="7763" spans="1:10" x14ac:dyDescent="0.35">
      <c r="A7763">
        <v>328539</v>
      </c>
      <c r="B7763" t="s">
        <v>20</v>
      </c>
      <c r="C7763">
        <v>2015</v>
      </c>
      <c r="D7763">
        <v>8</v>
      </c>
      <c r="E7763" t="s">
        <v>44</v>
      </c>
      <c r="F7763" t="s">
        <v>10</v>
      </c>
      <c r="G7763" t="s">
        <v>10</v>
      </c>
      <c r="H7763">
        <v>28089.9</v>
      </c>
      <c r="I7763">
        <v>8161.53</v>
      </c>
      <c r="J7763">
        <v>0</v>
      </c>
    </row>
    <row r="7764" spans="1:10" x14ac:dyDescent="0.35">
      <c r="A7764">
        <v>328541</v>
      </c>
      <c r="B7764" t="s">
        <v>20</v>
      </c>
      <c r="C7764">
        <v>2015</v>
      </c>
      <c r="D7764">
        <v>8</v>
      </c>
      <c r="E7764" t="s">
        <v>44</v>
      </c>
      <c r="F7764" t="s">
        <v>10</v>
      </c>
      <c r="G7764" t="s">
        <v>10</v>
      </c>
      <c r="H7764">
        <v>43095.8</v>
      </c>
      <c r="I7764">
        <v>13796.51</v>
      </c>
      <c r="J7764">
        <v>0</v>
      </c>
    </row>
    <row r="7765" spans="1:10" x14ac:dyDescent="0.35">
      <c r="A7765">
        <v>328682</v>
      </c>
      <c r="B7765" t="s">
        <v>20</v>
      </c>
      <c r="C7765">
        <v>2015</v>
      </c>
      <c r="D7765">
        <v>8</v>
      </c>
      <c r="E7765" t="s">
        <v>44</v>
      </c>
      <c r="F7765" t="s">
        <v>10</v>
      </c>
      <c r="G7765" t="s">
        <v>10</v>
      </c>
      <c r="H7765">
        <v>10447.48</v>
      </c>
      <c r="I7765">
        <v>2382.42</v>
      </c>
      <c r="J7765">
        <v>0</v>
      </c>
    </row>
    <row r="7766" spans="1:10" x14ac:dyDescent="0.35">
      <c r="A7766">
        <v>328843</v>
      </c>
      <c r="B7766" t="s">
        <v>20</v>
      </c>
      <c r="C7766">
        <v>2015</v>
      </c>
      <c r="D7766">
        <v>8</v>
      </c>
      <c r="E7766" t="s">
        <v>44</v>
      </c>
      <c r="F7766" t="s">
        <v>10</v>
      </c>
      <c r="G7766" t="s">
        <v>10</v>
      </c>
      <c r="H7766">
        <v>17841</v>
      </c>
      <c r="I7766">
        <v>4656.6899999999996</v>
      </c>
      <c r="J7766">
        <v>0</v>
      </c>
    </row>
    <row r="7767" spans="1:10" x14ac:dyDescent="0.35">
      <c r="A7767">
        <v>329010</v>
      </c>
      <c r="B7767" t="s">
        <v>20</v>
      </c>
      <c r="C7767">
        <v>2015</v>
      </c>
      <c r="D7767">
        <v>8</v>
      </c>
      <c r="E7767" t="s">
        <v>44</v>
      </c>
      <c r="F7767" t="s">
        <v>10</v>
      </c>
      <c r="G7767" t="s">
        <v>10</v>
      </c>
      <c r="H7767">
        <v>17868.560000000001</v>
      </c>
      <c r="I7767">
        <v>5266.79</v>
      </c>
      <c r="J7767">
        <v>0</v>
      </c>
    </row>
    <row r="7768" spans="1:10" x14ac:dyDescent="0.35">
      <c r="A7768">
        <v>329082</v>
      </c>
      <c r="B7768" t="s">
        <v>20</v>
      </c>
      <c r="C7768">
        <v>2015</v>
      </c>
      <c r="D7768">
        <v>8</v>
      </c>
      <c r="E7768" t="s">
        <v>44</v>
      </c>
      <c r="F7768" t="s">
        <v>10</v>
      </c>
      <c r="G7768" t="s">
        <v>10</v>
      </c>
      <c r="H7768">
        <v>110343.72</v>
      </c>
      <c r="I7768">
        <v>28905.72</v>
      </c>
      <c r="J7768">
        <v>0</v>
      </c>
    </row>
    <row r="7769" spans="1:10" x14ac:dyDescent="0.35">
      <c r="A7769">
        <v>329211</v>
      </c>
      <c r="B7769" t="s">
        <v>20</v>
      </c>
      <c r="C7769">
        <v>2015</v>
      </c>
      <c r="D7769">
        <v>8</v>
      </c>
      <c r="E7769" t="s">
        <v>44</v>
      </c>
      <c r="F7769" t="s">
        <v>10</v>
      </c>
      <c r="G7769" t="s">
        <v>10</v>
      </c>
      <c r="H7769">
        <v>61863.28</v>
      </c>
      <c r="I7769">
        <v>17520.349999999999</v>
      </c>
      <c r="J7769">
        <v>0</v>
      </c>
    </row>
    <row r="7770" spans="1:10" x14ac:dyDescent="0.35">
      <c r="A7770">
        <v>320149</v>
      </c>
      <c r="B7770" t="s">
        <v>20</v>
      </c>
      <c r="C7770">
        <v>2015</v>
      </c>
      <c r="D7770">
        <v>2</v>
      </c>
      <c r="E7770" t="s">
        <v>8</v>
      </c>
      <c r="F7770" t="s">
        <v>8</v>
      </c>
      <c r="G7770" t="s">
        <v>8</v>
      </c>
      <c r="H7770">
        <v>24332.16</v>
      </c>
      <c r="I7770">
        <v>8416.18</v>
      </c>
      <c r="J7770">
        <v>0</v>
      </c>
    </row>
    <row r="7771" spans="1:10" x14ac:dyDescent="0.35">
      <c r="A7771">
        <v>320214</v>
      </c>
      <c r="B7771" t="s">
        <v>20</v>
      </c>
      <c r="C7771">
        <v>2015</v>
      </c>
      <c r="D7771">
        <v>2</v>
      </c>
      <c r="E7771" t="s">
        <v>8</v>
      </c>
      <c r="F7771" t="s">
        <v>8</v>
      </c>
      <c r="G7771" t="s">
        <v>8</v>
      </c>
      <c r="H7771">
        <v>5170.16</v>
      </c>
      <c r="I7771">
        <v>6281.4</v>
      </c>
      <c r="J7771">
        <v>1</v>
      </c>
    </row>
    <row r="7772" spans="1:10" x14ac:dyDescent="0.35">
      <c r="A7772">
        <v>320246</v>
      </c>
      <c r="B7772" t="s">
        <v>20</v>
      </c>
      <c r="C7772">
        <v>2015</v>
      </c>
      <c r="D7772">
        <v>2</v>
      </c>
      <c r="E7772" t="s">
        <v>8</v>
      </c>
      <c r="F7772" t="s">
        <v>8</v>
      </c>
      <c r="G7772" t="s">
        <v>8</v>
      </c>
      <c r="H7772">
        <v>16382.68</v>
      </c>
      <c r="I7772">
        <v>2677.71</v>
      </c>
      <c r="J7772">
        <v>0</v>
      </c>
    </row>
    <row r="7773" spans="1:10" x14ac:dyDescent="0.35">
      <c r="A7773">
        <v>320449</v>
      </c>
      <c r="B7773" t="s">
        <v>20</v>
      </c>
      <c r="C7773">
        <v>2015</v>
      </c>
      <c r="D7773">
        <v>2</v>
      </c>
      <c r="E7773" t="s">
        <v>8</v>
      </c>
      <c r="F7773" t="s">
        <v>8</v>
      </c>
      <c r="G7773" t="s">
        <v>8</v>
      </c>
      <c r="H7773">
        <v>14723.16</v>
      </c>
      <c r="I7773">
        <v>4215.18</v>
      </c>
      <c r="J7773">
        <v>0</v>
      </c>
    </row>
    <row r="7774" spans="1:10" x14ac:dyDescent="0.35">
      <c r="A7774">
        <v>320631</v>
      </c>
      <c r="B7774" t="s">
        <v>20</v>
      </c>
      <c r="C7774">
        <v>2015</v>
      </c>
      <c r="D7774">
        <v>2</v>
      </c>
      <c r="E7774" t="s">
        <v>8</v>
      </c>
      <c r="F7774" t="s">
        <v>8</v>
      </c>
      <c r="G7774" t="s">
        <v>8</v>
      </c>
      <c r="H7774">
        <v>21595.68</v>
      </c>
      <c r="I7774">
        <v>8669.09</v>
      </c>
      <c r="J7774">
        <v>0</v>
      </c>
    </row>
    <row r="7775" spans="1:10" x14ac:dyDescent="0.35">
      <c r="A7775">
        <v>320752</v>
      </c>
      <c r="B7775" t="s">
        <v>20</v>
      </c>
      <c r="C7775">
        <v>2015</v>
      </c>
      <c r="D7775">
        <v>2</v>
      </c>
      <c r="E7775" t="s">
        <v>8</v>
      </c>
      <c r="F7775" t="s">
        <v>8</v>
      </c>
      <c r="G7775" t="s">
        <v>8</v>
      </c>
      <c r="H7775">
        <v>6286.72</v>
      </c>
      <c r="I7775">
        <v>7807.46</v>
      </c>
      <c r="J7775">
        <v>1</v>
      </c>
    </row>
    <row r="7776" spans="1:10" x14ac:dyDescent="0.35">
      <c r="A7776">
        <v>320912</v>
      </c>
      <c r="B7776" t="s">
        <v>20</v>
      </c>
      <c r="C7776">
        <v>2015</v>
      </c>
      <c r="D7776">
        <v>2</v>
      </c>
      <c r="E7776" t="s">
        <v>8</v>
      </c>
      <c r="F7776" t="s">
        <v>8</v>
      </c>
      <c r="G7776" t="s">
        <v>8</v>
      </c>
      <c r="H7776">
        <v>14797.82</v>
      </c>
      <c r="I7776">
        <v>4391.47</v>
      </c>
      <c r="J7776">
        <v>0</v>
      </c>
    </row>
    <row r="7777" spans="1:10" x14ac:dyDescent="0.35">
      <c r="A7777">
        <v>321467</v>
      </c>
      <c r="B7777" t="s">
        <v>20</v>
      </c>
      <c r="C7777">
        <v>2015</v>
      </c>
      <c r="D7777">
        <v>2</v>
      </c>
      <c r="E7777" t="s">
        <v>8</v>
      </c>
      <c r="F7777" t="s">
        <v>8</v>
      </c>
      <c r="G7777" t="s">
        <v>8</v>
      </c>
      <c r="H7777">
        <v>29297.98</v>
      </c>
      <c r="I7777">
        <v>8719.14</v>
      </c>
      <c r="J7777">
        <v>0</v>
      </c>
    </row>
    <row r="7778" spans="1:10" x14ac:dyDescent="0.35">
      <c r="A7778">
        <v>321514</v>
      </c>
      <c r="B7778" t="s">
        <v>20</v>
      </c>
      <c r="C7778">
        <v>2015</v>
      </c>
      <c r="D7778">
        <v>2</v>
      </c>
      <c r="E7778" t="s">
        <v>8</v>
      </c>
      <c r="F7778" t="s">
        <v>8</v>
      </c>
      <c r="G7778" t="s">
        <v>8</v>
      </c>
      <c r="H7778">
        <v>10589.06</v>
      </c>
      <c r="I7778">
        <v>2747.23</v>
      </c>
      <c r="J7778">
        <v>0</v>
      </c>
    </row>
    <row r="7779" spans="1:10" x14ac:dyDescent="0.35">
      <c r="A7779">
        <v>321684</v>
      </c>
      <c r="B7779" t="s">
        <v>20</v>
      </c>
      <c r="C7779">
        <v>2015</v>
      </c>
      <c r="D7779">
        <v>2</v>
      </c>
      <c r="E7779" t="s">
        <v>8</v>
      </c>
      <c r="F7779" t="s">
        <v>8</v>
      </c>
      <c r="G7779" t="s">
        <v>8</v>
      </c>
      <c r="H7779">
        <v>5063.33</v>
      </c>
      <c r="I7779">
        <v>3828.51</v>
      </c>
      <c r="J7779">
        <v>0</v>
      </c>
    </row>
    <row r="7780" spans="1:10" x14ac:dyDescent="0.35">
      <c r="A7780">
        <v>321687</v>
      </c>
      <c r="B7780" t="s">
        <v>20</v>
      </c>
      <c r="C7780">
        <v>2015</v>
      </c>
      <c r="D7780">
        <v>2</v>
      </c>
      <c r="E7780" t="s">
        <v>8</v>
      </c>
      <c r="F7780" t="s">
        <v>8</v>
      </c>
      <c r="G7780" t="s">
        <v>8</v>
      </c>
      <c r="H7780">
        <v>48639.360000000001</v>
      </c>
      <c r="I7780">
        <v>18993.27</v>
      </c>
      <c r="J7780">
        <v>0</v>
      </c>
    </row>
    <row r="7781" spans="1:10" x14ac:dyDescent="0.35">
      <c r="A7781">
        <v>321828</v>
      </c>
      <c r="B7781" t="s">
        <v>20</v>
      </c>
      <c r="C7781">
        <v>2015</v>
      </c>
      <c r="D7781">
        <v>2</v>
      </c>
      <c r="E7781" t="s">
        <v>8</v>
      </c>
      <c r="F7781" t="s">
        <v>8</v>
      </c>
      <c r="G7781" t="s">
        <v>8</v>
      </c>
      <c r="H7781">
        <v>47533.46</v>
      </c>
      <c r="I7781">
        <v>35693.75</v>
      </c>
      <c r="J7781">
        <v>0</v>
      </c>
    </row>
    <row r="7782" spans="1:10" x14ac:dyDescent="0.35">
      <c r="A7782">
        <v>322196</v>
      </c>
      <c r="B7782" t="s">
        <v>20</v>
      </c>
      <c r="C7782">
        <v>2015</v>
      </c>
      <c r="D7782">
        <v>2</v>
      </c>
      <c r="E7782" t="s">
        <v>8</v>
      </c>
      <c r="F7782" t="s">
        <v>8</v>
      </c>
      <c r="G7782" t="s">
        <v>8</v>
      </c>
      <c r="H7782">
        <v>24277.42</v>
      </c>
      <c r="I7782">
        <v>6816.2</v>
      </c>
      <c r="J7782">
        <v>0</v>
      </c>
    </row>
    <row r="7783" spans="1:10" x14ac:dyDescent="0.35">
      <c r="A7783">
        <v>322339</v>
      </c>
      <c r="B7783" t="s">
        <v>20</v>
      </c>
      <c r="C7783">
        <v>2015</v>
      </c>
      <c r="D7783">
        <v>2</v>
      </c>
      <c r="E7783" t="s">
        <v>8</v>
      </c>
      <c r="F7783" t="s">
        <v>8</v>
      </c>
      <c r="G7783" t="s">
        <v>8</v>
      </c>
      <c r="H7783">
        <v>13452.3</v>
      </c>
      <c r="I7783">
        <v>2725.56</v>
      </c>
      <c r="J7783">
        <v>0</v>
      </c>
    </row>
    <row r="7784" spans="1:10" x14ac:dyDescent="0.35">
      <c r="A7784">
        <v>322460</v>
      </c>
      <c r="B7784" t="s">
        <v>20</v>
      </c>
      <c r="C7784">
        <v>2015</v>
      </c>
      <c r="D7784">
        <v>2</v>
      </c>
      <c r="E7784" t="s">
        <v>8</v>
      </c>
      <c r="F7784" t="s">
        <v>8</v>
      </c>
      <c r="G7784" t="s">
        <v>8</v>
      </c>
      <c r="H7784">
        <v>24678.44</v>
      </c>
      <c r="I7784">
        <v>13266.54</v>
      </c>
      <c r="J7784">
        <v>0</v>
      </c>
    </row>
    <row r="7785" spans="1:10" x14ac:dyDescent="0.35">
      <c r="A7785">
        <v>322585</v>
      </c>
      <c r="B7785" t="s">
        <v>20</v>
      </c>
      <c r="C7785">
        <v>2015</v>
      </c>
      <c r="D7785">
        <v>2</v>
      </c>
      <c r="E7785" t="s">
        <v>8</v>
      </c>
      <c r="F7785" t="s">
        <v>8</v>
      </c>
      <c r="G7785" t="s">
        <v>8</v>
      </c>
      <c r="H7785">
        <v>62501.68</v>
      </c>
      <c r="I7785">
        <v>20069.07</v>
      </c>
      <c r="J7785">
        <v>0</v>
      </c>
    </row>
    <row r="7786" spans="1:10" x14ac:dyDescent="0.35">
      <c r="A7786">
        <v>322621</v>
      </c>
      <c r="B7786" t="s">
        <v>20</v>
      </c>
      <c r="C7786">
        <v>2015</v>
      </c>
      <c r="D7786">
        <v>2</v>
      </c>
      <c r="E7786" t="s">
        <v>8</v>
      </c>
      <c r="F7786" t="s">
        <v>8</v>
      </c>
      <c r="G7786" t="s">
        <v>8</v>
      </c>
      <c r="H7786">
        <v>26609.439999999999</v>
      </c>
      <c r="I7786">
        <v>4934.97</v>
      </c>
      <c r="J7786">
        <v>0</v>
      </c>
    </row>
    <row r="7787" spans="1:10" x14ac:dyDescent="0.35">
      <c r="A7787">
        <v>322677</v>
      </c>
      <c r="B7787" t="s">
        <v>20</v>
      </c>
      <c r="C7787">
        <v>2015</v>
      </c>
      <c r="D7787">
        <v>2</v>
      </c>
      <c r="E7787" t="s">
        <v>8</v>
      </c>
      <c r="F7787" t="s">
        <v>8</v>
      </c>
      <c r="G7787" t="s">
        <v>8</v>
      </c>
      <c r="H7787">
        <v>11848.44</v>
      </c>
      <c r="I7787">
        <v>3070.19</v>
      </c>
      <c r="J7787">
        <v>0</v>
      </c>
    </row>
    <row r="7788" spans="1:10" x14ac:dyDescent="0.35">
      <c r="A7788">
        <v>322774</v>
      </c>
      <c r="B7788" t="s">
        <v>20</v>
      </c>
      <c r="C7788">
        <v>2015</v>
      </c>
      <c r="D7788">
        <v>2</v>
      </c>
      <c r="E7788" t="s">
        <v>8</v>
      </c>
      <c r="F7788" t="s">
        <v>8</v>
      </c>
      <c r="G7788" t="s">
        <v>8</v>
      </c>
      <c r="H7788">
        <v>44365.42</v>
      </c>
      <c r="I7788">
        <v>27651.99</v>
      </c>
      <c r="J7788">
        <v>0</v>
      </c>
    </row>
    <row r="7789" spans="1:10" x14ac:dyDescent="0.35">
      <c r="A7789">
        <v>322817</v>
      </c>
      <c r="B7789" t="s">
        <v>20</v>
      </c>
      <c r="C7789">
        <v>2015</v>
      </c>
      <c r="D7789">
        <v>2</v>
      </c>
      <c r="E7789" t="s">
        <v>8</v>
      </c>
      <c r="F7789" t="s">
        <v>8</v>
      </c>
      <c r="G7789" t="s">
        <v>8</v>
      </c>
      <c r="H7789">
        <v>24308.16</v>
      </c>
      <c r="I7789">
        <v>13709.29</v>
      </c>
      <c r="J7789">
        <v>0</v>
      </c>
    </row>
    <row r="7790" spans="1:10" x14ac:dyDescent="0.35">
      <c r="A7790">
        <v>322867</v>
      </c>
      <c r="B7790" t="s">
        <v>20</v>
      </c>
      <c r="C7790">
        <v>2015</v>
      </c>
      <c r="D7790">
        <v>2</v>
      </c>
      <c r="E7790" t="s">
        <v>8</v>
      </c>
      <c r="F7790" t="s">
        <v>8</v>
      </c>
      <c r="G7790" t="s">
        <v>8</v>
      </c>
      <c r="H7790">
        <v>23598.84</v>
      </c>
      <c r="I7790">
        <v>9557.74</v>
      </c>
      <c r="J7790">
        <v>0</v>
      </c>
    </row>
    <row r="7791" spans="1:10" x14ac:dyDescent="0.35">
      <c r="A7791">
        <v>322953</v>
      </c>
      <c r="B7791" t="s">
        <v>20</v>
      </c>
      <c r="C7791">
        <v>2015</v>
      </c>
      <c r="D7791">
        <v>2</v>
      </c>
      <c r="E7791" t="s">
        <v>8</v>
      </c>
      <c r="F7791" t="s">
        <v>8</v>
      </c>
      <c r="G7791" t="s">
        <v>8</v>
      </c>
      <c r="H7791">
        <v>46717.98</v>
      </c>
      <c r="I7791">
        <v>18463.45</v>
      </c>
      <c r="J7791">
        <v>0</v>
      </c>
    </row>
    <row r="7792" spans="1:10" x14ac:dyDescent="0.35">
      <c r="A7792">
        <v>323082</v>
      </c>
      <c r="B7792" t="s">
        <v>20</v>
      </c>
      <c r="C7792">
        <v>2015</v>
      </c>
      <c r="D7792">
        <v>2</v>
      </c>
      <c r="E7792" t="s">
        <v>8</v>
      </c>
      <c r="F7792" t="s">
        <v>8</v>
      </c>
      <c r="G7792" t="s">
        <v>8</v>
      </c>
      <c r="H7792">
        <v>39138.120000000003</v>
      </c>
      <c r="I7792">
        <v>12605.37</v>
      </c>
      <c r="J7792">
        <v>0</v>
      </c>
    </row>
    <row r="7793" spans="1:10" x14ac:dyDescent="0.35">
      <c r="A7793">
        <v>323191</v>
      </c>
      <c r="B7793" t="s">
        <v>20</v>
      </c>
      <c r="C7793">
        <v>2015</v>
      </c>
      <c r="D7793">
        <v>2</v>
      </c>
      <c r="E7793" t="s">
        <v>8</v>
      </c>
      <c r="F7793" t="s">
        <v>8</v>
      </c>
      <c r="G7793" t="s">
        <v>8</v>
      </c>
      <c r="H7793">
        <v>14635.64</v>
      </c>
      <c r="I7793">
        <v>4452.1899999999996</v>
      </c>
      <c r="J7793">
        <v>0</v>
      </c>
    </row>
    <row r="7794" spans="1:10" x14ac:dyDescent="0.35">
      <c r="A7794">
        <v>323210</v>
      </c>
      <c r="B7794" t="s">
        <v>20</v>
      </c>
      <c r="C7794">
        <v>2015</v>
      </c>
      <c r="D7794">
        <v>2</v>
      </c>
      <c r="E7794" t="s">
        <v>8</v>
      </c>
      <c r="F7794" t="s">
        <v>8</v>
      </c>
      <c r="G7794" t="s">
        <v>8</v>
      </c>
      <c r="H7794">
        <v>33019.26</v>
      </c>
      <c r="I7794">
        <v>9263.7000000000007</v>
      </c>
      <c r="J7794">
        <v>0</v>
      </c>
    </row>
    <row r="7795" spans="1:10" x14ac:dyDescent="0.35">
      <c r="A7795">
        <v>323246</v>
      </c>
      <c r="B7795" t="s">
        <v>20</v>
      </c>
      <c r="C7795">
        <v>2015</v>
      </c>
      <c r="D7795">
        <v>2</v>
      </c>
      <c r="E7795" t="s">
        <v>8</v>
      </c>
      <c r="F7795" t="s">
        <v>8</v>
      </c>
      <c r="G7795" t="s">
        <v>8</v>
      </c>
      <c r="H7795">
        <v>25240.3</v>
      </c>
      <c r="I7795">
        <v>7876.31</v>
      </c>
      <c r="J7795">
        <v>0</v>
      </c>
    </row>
    <row r="7796" spans="1:10" x14ac:dyDescent="0.35">
      <c r="A7796">
        <v>323272</v>
      </c>
      <c r="B7796" t="s">
        <v>20</v>
      </c>
      <c r="C7796">
        <v>2015</v>
      </c>
      <c r="D7796">
        <v>2</v>
      </c>
      <c r="E7796" t="s">
        <v>8</v>
      </c>
      <c r="F7796" t="s">
        <v>8</v>
      </c>
      <c r="G7796" t="s">
        <v>8</v>
      </c>
      <c r="H7796">
        <v>11574.54</v>
      </c>
      <c r="I7796">
        <v>2509.12</v>
      </c>
      <c r="J7796">
        <v>0</v>
      </c>
    </row>
    <row r="7797" spans="1:10" x14ac:dyDescent="0.35">
      <c r="A7797">
        <v>323277</v>
      </c>
      <c r="B7797" t="s">
        <v>20</v>
      </c>
      <c r="C7797">
        <v>2015</v>
      </c>
      <c r="D7797">
        <v>2</v>
      </c>
      <c r="E7797" t="s">
        <v>8</v>
      </c>
      <c r="F7797" t="s">
        <v>8</v>
      </c>
      <c r="G7797" t="s">
        <v>8</v>
      </c>
      <c r="H7797">
        <v>38273.72</v>
      </c>
      <c r="I7797">
        <v>10407.52</v>
      </c>
      <c r="J7797">
        <v>0</v>
      </c>
    </row>
    <row r="7798" spans="1:10" x14ac:dyDescent="0.35">
      <c r="A7798">
        <v>323400</v>
      </c>
      <c r="B7798" t="s">
        <v>20</v>
      </c>
      <c r="C7798">
        <v>2015</v>
      </c>
      <c r="D7798">
        <v>2</v>
      </c>
      <c r="E7798" t="s">
        <v>8</v>
      </c>
      <c r="F7798" t="s">
        <v>8</v>
      </c>
      <c r="G7798" t="s">
        <v>8</v>
      </c>
      <c r="H7798">
        <v>11580.72</v>
      </c>
      <c r="I7798">
        <v>3198.11</v>
      </c>
      <c r="J7798">
        <v>0</v>
      </c>
    </row>
    <row r="7799" spans="1:10" x14ac:dyDescent="0.35">
      <c r="A7799">
        <v>323422</v>
      </c>
      <c r="B7799" t="s">
        <v>20</v>
      </c>
      <c r="C7799">
        <v>2015</v>
      </c>
      <c r="D7799">
        <v>2</v>
      </c>
      <c r="E7799" t="s">
        <v>8</v>
      </c>
      <c r="F7799" t="s">
        <v>8</v>
      </c>
      <c r="G7799" t="s">
        <v>8</v>
      </c>
      <c r="H7799">
        <v>24798.76</v>
      </c>
      <c r="I7799">
        <v>12012.63</v>
      </c>
      <c r="J7799">
        <v>0</v>
      </c>
    </row>
    <row r="7800" spans="1:10" x14ac:dyDescent="0.35">
      <c r="A7800">
        <v>323424</v>
      </c>
      <c r="B7800" t="s">
        <v>20</v>
      </c>
      <c r="C7800">
        <v>2015</v>
      </c>
      <c r="D7800">
        <v>2</v>
      </c>
      <c r="E7800" t="s">
        <v>8</v>
      </c>
      <c r="F7800" t="s">
        <v>8</v>
      </c>
      <c r="G7800" t="s">
        <v>8</v>
      </c>
      <c r="H7800">
        <v>20978.16</v>
      </c>
      <c r="I7800">
        <v>8052.04</v>
      </c>
      <c r="J7800">
        <v>0</v>
      </c>
    </row>
    <row r="7801" spans="1:10" x14ac:dyDescent="0.35">
      <c r="A7801">
        <v>323432</v>
      </c>
      <c r="B7801" t="s">
        <v>20</v>
      </c>
      <c r="C7801">
        <v>2015</v>
      </c>
      <c r="D7801">
        <v>2</v>
      </c>
      <c r="E7801" t="s">
        <v>8</v>
      </c>
      <c r="F7801" t="s">
        <v>8</v>
      </c>
      <c r="G7801" t="s">
        <v>8</v>
      </c>
      <c r="H7801">
        <v>9745.02</v>
      </c>
      <c r="I7801">
        <v>2774.53</v>
      </c>
      <c r="J7801">
        <v>0</v>
      </c>
    </row>
    <row r="7802" spans="1:10" x14ac:dyDescent="0.35">
      <c r="A7802">
        <v>323465</v>
      </c>
      <c r="B7802" t="s">
        <v>20</v>
      </c>
      <c r="C7802">
        <v>2015</v>
      </c>
      <c r="D7802">
        <v>2</v>
      </c>
      <c r="E7802" t="s">
        <v>8</v>
      </c>
      <c r="F7802" t="s">
        <v>8</v>
      </c>
      <c r="G7802" t="s">
        <v>8</v>
      </c>
      <c r="H7802">
        <v>21756.42</v>
      </c>
      <c r="I7802">
        <v>8484.3700000000008</v>
      </c>
      <c r="J7802">
        <v>0</v>
      </c>
    </row>
    <row r="7803" spans="1:10" x14ac:dyDescent="0.35">
      <c r="A7803">
        <v>323504</v>
      </c>
      <c r="B7803" t="s">
        <v>20</v>
      </c>
      <c r="C7803">
        <v>2015</v>
      </c>
      <c r="D7803">
        <v>2</v>
      </c>
      <c r="E7803" t="s">
        <v>8</v>
      </c>
      <c r="F7803" t="s">
        <v>8</v>
      </c>
      <c r="G7803" t="s">
        <v>8</v>
      </c>
      <c r="H7803">
        <v>14976.96</v>
      </c>
      <c r="I7803">
        <v>4299.6099999999997</v>
      </c>
      <c r="J7803">
        <v>0</v>
      </c>
    </row>
    <row r="7804" spans="1:10" x14ac:dyDescent="0.35">
      <c r="A7804">
        <v>323505</v>
      </c>
      <c r="B7804" t="s">
        <v>20</v>
      </c>
      <c r="C7804">
        <v>2015</v>
      </c>
      <c r="D7804">
        <v>2</v>
      </c>
      <c r="E7804" t="s">
        <v>8</v>
      </c>
      <c r="F7804" t="s">
        <v>8</v>
      </c>
      <c r="G7804" t="s">
        <v>8</v>
      </c>
      <c r="H7804">
        <v>23646.68</v>
      </c>
      <c r="I7804">
        <v>4610.33</v>
      </c>
      <c r="J7804">
        <v>0</v>
      </c>
    </row>
    <row r="7805" spans="1:10" x14ac:dyDescent="0.35">
      <c r="A7805">
        <v>323574</v>
      </c>
      <c r="B7805" t="s">
        <v>20</v>
      </c>
      <c r="C7805">
        <v>2015</v>
      </c>
      <c r="D7805">
        <v>2</v>
      </c>
      <c r="E7805" t="s">
        <v>8</v>
      </c>
      <c r="F7805" t="s">
        <v>8</v>
      </c>
      <c r="G7805" t="s">
        <v>8</v>
      </c>
      <c r="H7805">
        <v>78690.080000000002</v>
      </c>
      <c r="I7805">
        <v>53347.58</v>
      </c>
      <c r="J7805">
        <v>0</v>
      </c>
    </row>
    <row r="7806" spans="1:10" x14ac:dyDescent="0.35">
      <c r="A7806">
        <v>323638</v>
      </c>
      <c r="B7806" t="s">
        <v>20</v>
      </c>
      <c r="C7806">
        <v>2015</v>
      </c>
      <c r="D7806">
        <v>2</v>
      </c>
      <c r="E7806" t="s">
        <v>8</v>
      </c>
      <c r="F7806" t="s">
        <v>8</v>
      </c>
      <c r="G7806" t="s">
        <v>8</v>
      </c>
      <c r="H7806">
        <v>33877.9</v>
      </c>
      <c r="I7806">
        <v>9273.07</v>
      </c>
      <c r="J7806">
        <v>0</v>
      </c>
    </row>
    <row r="7807" spans="1:10" x14ac:dyDescent="0.35">
      <c r="A7807">
        <v>323872</v>
      </c>
      <c r="B7807" t="s">
        <v>20</v>
      </c>
      <c r="C7807">
        <v>2015</v>
      </c>
      <c r="D7807">
        <v>2</v>
      </c>
      <c r="E7807" t="s">
        <v>8</v>
      </c>
      <c r="F7807" t="s">
        <v>8</v>
      </c>
      <c r="G7807" t="s">
        <v>8</v>
      </c>
      <c r="H7807">
        <v>22241.86</v>
      </c>
      <c r="I7807">
        <v>7517.73</v>
      </c>
      <c r="J7807">
        <v>0</v>
      </c>
    </row>
    <row r="7808" spans="1:10" x14ac:dyDescent="0.35">
      <c r="A7808">
        <v>324102</v>
      </c>
      <c r="B7808" t="s">
        <v>20</v>
      </c>
      <c r="C7808">
        <v>2015</v>
      </c>
      <c r="D7808">
        <v>2</v>
      </c>
      <c r="E7808" t="s">
        <v>8</v>
      </c>
      <c r="F7808" t="s">
        <v>8</v>
      </c>
      <c r="G7808" t="s">
        <v>8</v>
      </c>
      <c r="H7808">
        <v>57260.81</v>
      </c>
      <c r="I7808">
        <v>33699.18</v>
      </c>
      <c r="J7808">
        <v>0</v>
      </c>
    </row>
    <row r="7809" spans="1:10" x14ac:dyDescent="0.35">
      <c r="A7809">
        <v>324163</v>
      </c>
      <c r="B7809" t="s">
        <v>20</v>
      </c>
      <c r="C7809">
        <v>2015</v>
      </c>
      <c r="D7809">
        <v>2</v>
      </c>
      <c r="E7809" t="s">
        <v>8</v>
      </c>
      <c r="F7809" t="s">
        <v>8</v>
      </c>
      <c r="G7809" t="s">
        <v>8</v>
      </c>
      <c r="H7809">
        <v>39085.56</v>
      </c>
      <c r="I7809">
        <v>10919.17</v>
      </c>
      <c r="J7809">
        <v>0</v>
      </c>
    </row>
    <row r="7810" spans="1:10" x14ac:dyDescent="0.35">
      <c r="A7810">
        <v>324208</v>
      </c>
      <c r="B7810" t="s">
        <v>20</v>
      </c>
      <c r="C7810">
        <v>2015</v>
      </c>
      <c r="D7810">
        <v>2</v>
      </c>
      <c r="E7810" t="s">
        <v>8</v>
      </c>
      <c r="F7810" t="s">
        <v>8</v>
      </c>
      <c r="G7810" t="s">
        <v>8</v>
      </c>
      <c r="H7810">
        <v>16470.7</v>
      </c>
      <c r="I7810">
        <v>5277.6</v>
      </c>
      <c r="J7810">
        <v>0</v>
      </c>
    </row>
    <row r="7811" spans="1:10" x14ac:dyDescent="0.35">
      <c r="A7811">
        <v>324238</v>
      </c>
      <c r="B7811" t="s">
        <v>20</v>
      </c>
      <c r="C7811">
        <v>2015</v>
      </c>
      <c r="D7811">
        <v>2</v>
      </c>
      <c r="E7811" t="s">
        <v>8</v>
      </c>
      <c r="F7811" t="s">
        <v>8</v>
      </c>
      <c r="G7811" t="s">
        <v>8</v>
      </c>
      <c r="H7811">
        <v>25845.74</v>
      </c>
      <c r="I7811">
        <v>7548.86</v>
      </c>
      <c r="J7811">
        <v>0</v>
      </c>
    </row>
    <row r="7812" spans="1:10" x14ac:dyDescent="0.35">
      <c r="A7812">
        <v>324257</v>
      </c>
      <c r="B7812" t="s">
        <v>20</v>
      </c>
      <c r="C7812">
        <v>2015</v>
      </c>
      <c r="D7812">
        <v>2</v>
      </c>
      <c r="E7812" t="s">
        <v>8</v>
      </c>
      <c r="F7812" t="s">
        <v>8</v>
      </c>
      <c r="G7812" t="s">
        <v>8</v>
      </c>
      <c r="H7812">
        <v>10490.7</v>
      </c>
      <c r="I7812">
        <v>2752.37</v>
      </c>
      <c r="J7812">
        <v>0</v>
      </c>
    </row>
    <row r="7813" spans="1:10" x14ac:dyDescent="0.35">
      <c r="A7813">
        <v>324264</v>
      </c>
      <c r="B7813" t="s">
        <v>20</v>
      </c>
      <c r="C7813">
        <v>2015</v>
      </c>
      <c r="D7813">
        <v>2</v>
      </c>
      <c r="E7813" t="s">
        <v>8</v>
      </c>
      <c r="F7813" t="s">
        <v>8</v>
      </c>
      <c r="G7813" t="s">
        <v>8</v>
      </c>
      <c r="H7813">
        <v>28207.82</v>
      </c>
      <c r="I7813">
        <v>6865.05</v>
      </c>
      <c r="J7813">
        <v>0</v>
      </c>
    </row>
    <row r="7814" spans="1:10" x14ac:dyDescent="0.35">
      <c r="A7814">
        <v>324302</v>
      </c>
      <c r="B7814" t="s">
        <v>20</v>
      </c>
      <c r="C7814">
        <v>2015</v>
      </c>
      <c r="D7814">
        <v>2</v>
      </c>
      <c r="E7814" t="s">
        <v>8</v>
      </c>
      <c r="F7814" t="s">
        <v>8</v>
      </c>
      <c r="G7814" t="s">
        <v>8</v>
      </c>
      <c r="H7814">
        <v>22534.240000000002</v>
      </c>
      <c r="I7814">
        <v>6710</v>
      </c>
      <c r="J7814">
        <v>0</v>
      </c>
    </row>
    <row r="7815" spans="1:10" x14ac:dyDescent="0.35">
      <c r="A7815">
        <v>324315</v>
      </c>
      <c r="B7815" t="s">
        <v>20</v>
      </c>
      <c r="C7815">
        <v>2015</v>
      </c>
      <c r="D7815">
        <v>2</v>
      </c>
      <c r="E7815" t="s">
        <v>8</v>
      </c>
      <c r="F7815" t="s">
        <v>8</v>
      </c>
      <c r="G7815" t="s">
        <v>8</v>
      </c>
      <c r="H7815">
        <v>27493.94</v>
      </c>
      <c r="I7815">
        <v>13513.29</v>
      </c>
      <c r="J7815">
        <v>0</v>
      </c>
    </row>
    <row r="7816" spans="1:10" x14ac:dyDescent="0.35">
      <c r="A7816">
        <v>324316</v>
      </c>
      <c r="B7816" t="s">
        <v>20</v>
      </c>
      <c r="C7816">
        <v>2015</v>
      </c>
      <c r="D7816">
        <v>2</v>
      </c>
      <c r="E7816" t="s">
        <v>8</v>
      </c>
      <c r="F7816" t="s">
        <v>8</v>
      </c>
      <c r="G7816" t="s">
        <v>8</v>
      </c>
      <c r="H7816">
        <v>33817.56</v>
      </c>
      <c r="I7816">
        <v>9986.01</v>
      </c>
      <c r="J7816">
        <v>0</v>
      </c>
    </row>
    <row r="7817" spans="1:10" x14ac:dyDescent="0.35">
      <c r="A7817">
        <v>324354</v>
      </c>
      <c r="B7817" t="s">
        <v>20</v>
      </c>
      <c r="C7817">
        <v>2015</v>
      </c>
      <c r="D7817">
        <v>2</v>
      </c>
      <c r="E7817" t="s">
        <v>8</v>
      </c>
      <c r="F7817" t="s">
        <v>8</v>
      </c>
      <c r="G7817" t="s">
        <v>8</v>
      </c>
      <c r="H7817">
        <v>9518.36</v>
      </c>
      <c r="I7817">
        <v>2622.18</v>
      </c>
      <c r="J7817">
        <v>0</v>
      </c>
    </row>
    <row r="7818" spans="1:10" x14ac:dyDescent="0.35">
      <c r="A7818">
        <v>324451</v>
      </c>
      <c r="B7818" t="s">
        <v>20</v>
      </c>
      <c r="C7818">
        <v>2015</v>
      </c>
      <c r="D7818">
        <v>2</v>
      </c>
      <c r="E7818" t="s">
        <v>8</v>
      </c>
      <c r="F7818" t="s">
        <v>8</v>
      </c>
      <c r="G7818" t="s">
        <v>8</v>
      </c>
      <c r="H7818">
        <v>31557.18</v>
      </c>
      <c r="I7818">
        <v>12023.51</v>
      </c>
      <c r="J7818">
        <v>0</v>
      </c>
    </row>
    <row r="7819" spans="1:10" x14ac:dyDescent="0.35">
      <c r="A7819">
        <v>324584</v>
      </c>
      <c r="B7819" t="s">
        <v>20</v>
      </c>
      <c r="C7819">
        <v>2015</v>
      </c>
      <c r="D7819">
        <v>2</v>
      </c>
      <c r="E7819" t="s">
        <v>8</v>
      </c>
      <c r="F7819" t="s">
        <v>8</v>
      </c>
      <c r="G7819" t="s">
        <v>8</v>
      </c>
      <c r="H7819">
        <v>20475.080000000002</v>
      </c>
      <c r="I7819">
        <v>5076.53</v>
      </c>
      <c r="J7819">
        <v>0</v>
      </c>
    </row>
    <row r="7820" spans="1:10" x14ac:dyDescent="0.35">
      <c r="A7820">
        <v>324650</v>
      </c>
      <c r="B7820" t="s">
        <v>20</v>
      </c>
      <c r="C7820">
        <v>2015</v>
      </c>
      <c r="D7820">
        <v>2</v>
      </c>
      <c r="E7820" t="s">
        <v>8</v>
      </c>
      <c r="F7820" t="s">
        <v>8</v>
      </c>
      <c r="G7820" t="s">
        <v>8</v>
      </c>
      <c r="H7820">
        <v>6884.06</v>
      </c>
      <c r="I7820">
        <v>2058.7800000000002</v>
      </c>
      <c r="J7820">
        <v>0</v>
      </c>
    </row>
    <row r="7821" spans="1:10" x14ac:dyDescent="0.35">
      <c r="A7821">
        <v>324669</v>
      </c>
      <c r="B7821" t="s">
        <v>20</v>
      </c>
      <c r="C7821">
        <v>2015</v>
      </c>
      <c r="D7821">
        <v>2</v>
      </c>
      <c r="E7821" t="s">
        <v>8</v>
      </c>
      <c r="F7821" t="s">
        <v>8</v>
      </c>
      <c r="G7821" t="s">
        <v>8</v>
      </c>
      <c r="H7821">
        <v>32721.16</v>
      </c>
      <c r="I7821">
        <v>9285.9</v>
      </c>
      <c r="J7821">
        <v>0</v>
      </c>
    </row>
    <row r="7822" spans="1:10" x14ac:dyDescent="0.35">
      <c r="A7822">
        <v>324718</v>
      </c>
      <c r="B7822" t="s">
        <v>20</v>
      </c>
      <c r="C7822">
        <v>2015</v>
      </c>
      <c r="D7822">
        <v>2</v>
      </c>
      <c r="E7822" t="s">
        <v>8</v>
      </c>
      <c r="F7822" t="s">
        <v>8</v>
      </c>
      <c r="G7822" t="s">
        <v>8</v>
      </c>
      <c r="H7822">
        <v>36037</v>
      </c>
      <c r="I7822">
        <v>10108.870000000001</v>
      </c>
      <c r="J7822">
        <v>0</v>
      </c>
    </row>
    <row r="7823" spans="1:10" x14ac:dyDescent="0.35">
      <c r="A7823">
        <v>324753</v>
      </c>
      <c r="B7823" t="s">
        <v>20</v>
      </c>
      <c r="C7823">
        <v>2015</v>
      </c>
      <c r="D7823">
        <v>2</v>
      </c>
      <c r="E7823" t="s">
        <v>8</v>
      </c>
      <c r="F7823" t="s">
        <v>8</v>
      </c>
      <c r="G7823" t="s">
        <v>8</v>
      </c>
      <c r="H7823">
        <v>41172.879999999997</v>
      </c>
      <c r="I7823">
        <v>8848.2000000000007</v>
      </c>
      <c r="J7823">
        <v>0</v>
      </c>
    </row>
    <row r="7824" spans="1:10" x14ac:dyDescent="0.35">
      <c r="A7824">
        <v>324911</v>
      </c>
      <c r="B7824" t="s">
        <v>20</v>
      </c>
      <c r="C7824">
        <v>2015</v>
      </c>
      <c r="D7824">
        <v>2</v>
      </c>
      <c r="E7824" t="s">
        <v>8</v>
      </c>
      <c r="F7824" t="s">
        <v>8</v>
      </c>
      <c r="G7824" t="s">
        <v>8</v>
      </c>
      <c r="H7824">
        <v>17562.54</v>
      </c>
      <c r="I7824">
        <v>4624.88</v>
      </c>
      <c r="J7824">
        <v>0</v>
      </c>
    </row>
    <row r="7825" spans="1:10" x14ac:dyDescent="0.35">
      <c r="A7825">
        <v>324957</v>
      </c>
      <c r="B7825" t="s">
        <v>20</v>
      </c>
      <c r="C7825">
        <v>2015</v>
      </c>
      <c r="D7825">
        <v>2</v>
      </c>
      <c r="E7825" t="s">
        <v>8</v>
      </c>
      <c r="F7825" t="s">
        <v>8</v>
      </c>
      <c r="G7825" t="s">
        <v>8</v>
      </c>
      <c r="H7825">
        <v>39385.879999999997</v>
      </c>
      <c r="I7825">
        <v>14933.79</v>
      </c>
      <c r="J7825">
        <v>0</v>
      </c>
    </row>
    <row r="7826" spans="1:10" x14ac:dyDescent="0.35">
      <c r="A7826">
        <v>324964</v>
      </c>
      <c r="B7826" t="s">
        <v>20</v>
      </c>
      <c r="C7826">
        <v>2015</v>
      </c>
      <c r="D7826">
        <v>2</v>
      </c>
      <c r="E7826" t="s">
        <v>8</v>
      </c>
      <c r="F7826" t="s">
        <v>8</v>
      </c>
      <c r="G7826" t="s">
        <v>8</v>
      </c>
      <c r="H7826">
        <v>20076.099999999999</v>
      </c>
      <c r="I7826">
        <v>5725.28</v>
      </c>
      <c r="J7826">
        <v>0</v>
      </c>
    </row>
    <row r="7827" spans="1:10" x14ac:dyDescent="0.35">
      <c r="A7827">
        <v>325079</v>
      </c>
      <c r="B7827" t="s">
        <v>20</v>
      </c>
      <c r="C7827">
        <v>2015</v>
      </c>
      <c r="D7827">
        <v>2</v>
      </c>
      <c r="E7827" t="s">
        <v>8</v>
      </c>
      <c r="F7827" t="s">
        <v>8</v>
      </c>
      <c r="G7827" t="s">
        <v>8</v>
      </c>
      <c r="H7827">
        <v>28807.46</v>
      </c>
      <c r="I7827">
        <v>9232.01</v>
      </c>
      <c r="J7827">
        <v>0</v>
      </c>
    </row>
    <row r="7828" spans="1:10" x14ac:dyDescent="0.35">
      <c r="A7828">
        <v>325160</v>
      </c>
      <c r="B7828" t="s">
        <v>20</v>
      </c>
      <c r="C7828">
        <v>2015</v>
      </c>
      <c r="D7828">
        <v>2</v>
      </c>
      <c r="E7828" t="s">
        <v>8</v>
      </c>
      <c r="F7828" t="s">
        <v>8</v>
      </c>
      <c r="G7828" t="s">
        <v>8</v>
      </c>
      <c r="H7828">
        <v>23888.68</v>
      </c>
      <c r="I7828">
        <v>8972.08</v>
      </c>
      <c r="J7828">
        <v>0</v>
      </c>
    </row>
    <row r="7829" spans="1:10" x14ac:dyDescent="0.35">
      <c r="A7829">
        <v>325433</v>
      </c>
      <c r="B7829" t="s">
        <v>20</v>
      </c>
      <c r="C7829">
        <v>2015</v>
      </c>
      <c r="D7829">
        <v>2</v>
      </c>
      <c r="E7829" t="s">
        <v>8</v>
      </c>
      <c r="F7829" t="s">
        <v>8</v>
      </c>
      <c r="G7829" t="s">
        <v>8</v>
      </c>
      <c r="H7829">
        <v>14190.4</v>
      </c>
      <c r="I7829">
        <v>4229.3</v>
      </c>
      <c r="J7829">
        <v>0</v>
      </c>
    </row>
    <row r="7830" spans="1:10" x14ac:dyDescent="0.35">
      <c r="A7830">
        <v>325487</v>
      </c>
      <c r="B7830" t="s">
        <v>20</v>
      </c>
      <c r="C7830">
        <v>2015</v>
      </c>
      <c r="D7830">
        <v>2</v>
      </c>
      <c r="E7830" t="s">
        <v>8</v>
      </c>
      <c r="F7830" t="s">
        <v>8</v>
      </c>
      <c r="G7830" t="s">
        <v>8</v>
      </c>
      <c r="H7830">
        <v>53270.1</v>
      </c>
      <c r="I7830">
        <v>12853.12</v>
      </c>
      <c r="J7830">
        <v>0</v>
      </c>
    </row>
    <row r="7831" spans="1:10" x14ac:dyDescent="0.35">
      <c r="A7831">
        <v>325627</v>
      </c>
      <c r="B7831" t="s">
        <v>20</v>
      </c>
      <c r="C7831">
        <v>2015</v>
      </c>
      <c r="D7831">
        <v>2</v>
      </c>
      <c r="E7831" t="s">
        <v>8</v>
      </c>
      <c r="F7831" t="s">
        <v>8</v>
      </c>
      <c r="G7831" t="s">
        <v>8</v>
      </c>
      <c r="H7831">
        <v>11512.58</v>
      </c>
      <c r="I7831">
        <v>3005.71</v>
      </c>
      <c r="J7831">
        <v>0</v>
      </c>
    </row>
    <row r="7832" spans="1:10" x14ac:dyDescent="0.35">
      <c r="A7832">
        <v>325680</v>
      </c>
      <c r="B7832" t="s">
        <v>20</v>
      </c>
      <c r="C7832">
        <v>2015</v>
      </c>
      <c r="D7832">
        <v>2</v>
      </c>
      <c r="E7832" t="s">
        <v>8</v>
      </c>
      <c r="F7832" t="s">
        <v>8</v>
      </c>
      <c r="G7832" t="s">
        <v>8</v>
      </c>
      <c r="H7832">
        <v>28756.9</v>
      </c>
      <c r="I7832">
        <v>14070.74</v>
      </c>
      <c r="J7832">
        <v>0</v>
      </c>
    </row>
    <row r="7833" spans="1:10" x14ac:dyDescent="0.35">
      <c r="A7833">
        <v>325695</v>
      </c>
      <c r="B7833" t="s">
        <v>20</v>
      </c>
      <c r="C7833">
        <v>2015</v>
      </c>
      <c r="D7833">
        <v>2</v>
      </c>
      <c r="E7833" t="s">
        <v>8</v>
      </c>
      <c r="F7833" t="s">
        <v>8</v>
      </c>
      <c r="G7833" t="s">
        <v>8</v>
      </c>
      <c r="H7833">
        <v>10530.66</v>
      </c>
      <c r="I7833">
        <v>2335.5100000000002</v>
      </c>
      <c r="J7833">
        <v>0</v>
      </c>
    </row>
    <row r="7834" spans="1:10" x14ac:dyDescent="0.35">
      <c r="A7834">
        <v>325714</v>
      </c>
      <c r="B7834" t="s">
        <v>20</v>
      </c>
      <c r="C7834">
        <v>2015</v>
      </c>
      <c r="D7834">
        <v>2</v>
      </c>
      <c r="E7834" t="s">
        <v>8</v>
      </c>
      <c r="F7834" t="s">
        <v>8</v>
      </c>
      <c r="G7834" t="s">
        <v>8</v>
      </c>
      <c r="H7834">
        <v>13706.46</v>
      </c>
      <c r="I7834">
        <v>3125.78</v>
      </c>
      <c r="J7834">
        <v>0</v>
      </c>
    </row>
    <row r="7835" spans="1:10" x14ac:dyDescent="0.35">
      <c r="A7835">
        <v>325745</v>
      </c>
      <c r="B7835" t="s">
        <v>20</v>
      </c>
      <c r="C7835">
        <v>2015</v>
      </c>
      <c r="D7835">
        <v>2</v>
      </c>
      <c r="E7835" t="s">
        <v>8</v>
      </c>
      <c r="F7835" t="s">
        <v>8</v>
      </c>
      <c r="G7835" t="s">
        <v>8</v>
      </c>
      <c r="H7835">
        <v>13348.04</v>
      </c>
      <c r="I7835">
        <v>3594.08</v>
      </c>
      <c r="J7835">
        <v>0</v>
      </c>
    </row>
    <row r="7836" spans="1:10" x14ac:dyDescent="0.35">
      <c r="A7836">
        <v>325817</v>
      </c>
      <c r="B7836" t="s">
        <v>20</v>
      </c>
      <c r="C7836">
        <v>2015</v>
      </c>
      <c r="D7836">
        <v>2</v>
      </c>
      <c r="E7836" t="s">
        <v>8</v>
      </c>
      <c r="F7836" t="s">
        <v>8</v>
      </c>
      <c r="G7836" t="s">
        <v>8</v>
      </c>
      <c r="H7836">
        <v>38239.64</v>
      </c>
      <c r="I7836">
        <v>9101.2099999999991</v>
      </c>
      <c r="J7836">
        <v>0</v>
      </c>
    </row>
    <row r="7837" spans="1:10" x14ac:dyDescent="0.35">
      <c r="A7837">
        <v>325877</v>
      </c>
      <c r="B7837" t="s">
        <v>20</v>
      </c>
      <c r="C7837">
        <v>2015</v>
      </c>
      <c r="D7837">
        <v>2</v>
      </c>
      <c r="E7837" t="s">
        <v>8</v>
      </c>
      <c r="F7837" t="s">
        <v>8</v>
      </c>
      <c r="G7837" t="s">
        <v>8</v>
      </c>
      <c r="H7837">
        <v>10542.8</v>
      </c>
      <c r="I7837">
        <v>2715.86</v>
      </c>
      <c r="J7837">
        <v>0</v>
      </c>
    </row>
    <row r="7838" spans="1:10" x14ac:dyDescent="0.35">
      <c r="A7838">
        <v>325880</v>
      </c>
      <c r="B7838" t="s">
        <v>20</v>
      </c>
      <c r="C7838">
        <v>2015</v>
      </c>
      <c r="D7838">
        <v>2</v>
      </c>
      <c r="E7838" t="s">
        <v>8</v>
      </c>
      <c r="F7838" t="s">
        <v>8</v>
      </c>
      <c r="G7838" t="s">
        <v>8</v>
      </c>
      <c r="H7838">
        <v>26045.599999999999</v>
      </c>
      <c r="I7838">
        <v>13145.64</v>
      </c>
      <c r="J7838">
        <v>0</v>
      </c>
    </row>
    <row r="7839" spans="1:10" x14ac:dyDescent="0.35">
      <c r="A7839">
        <v>325960</v>
      </c>
      <c r="B7839" t="s">
        <v>20</v>
      </c>
      <c r="C7839">
        <v>2015</v>
      </c>
      <c r="D7839">
        <v>2</v>
      </c>
      <c r="E7839" t="s">
        <v>8</v>
      </c>
      <c r="F7839" t="s">
        <v>8</v>
      </c>
      <c r="G7839" t="s">
        <v>8</v>
      </c>
      <c r="H7839">
        <v>9978.68</v>
      </c>
      <c r="I7839">
        <v>2671.18</v>
      </c>
      <c r="J7839">
        <v>0</v>
      </c>
    </row>
    <row r="7840" spans="1:10" x14ac:dyDescent="0.35">
      <c r="A7840">
        <v>325997</v>
      </c>
      <c r="B7840" t="s">
        <v>20</v>
      </c>
      <c r="C7840">
        <v>2015</v>
      </c>
      <c r="D7840">
        <v>2</v>
      </c>
      <c r="E7840" t="s">
        <v>8</v>
      </c>
      <c r="F7840" t="s">
        <v>8</v>
      </c>
      <c r="G7840" t="s">
        <v>8</v>
      </c>
      <c r="H7840">
        <v>8706.58</v>
      </c>
      <c r="I7840">
        <v>2298.89</v>
      </c>
      <c r="J7840">
        <v>0</v>
      </c>
    </row>
    <row r="7841" spans="1:10" x14ac:dyDescent="0.35">
      <c r="A7841">
        <v>326178</v>
      </c>
      <c r="B7841" t="s">
        <v>20</v>
      </c>
      <c r="C7841">
        <v>2015</v>
      </c>
      <c r="D7841">
        <v>2</v>
      </c>
      <c r="E7841" t="s">
        <v>8</v>
      </c>
      <c r="F7841" t="s">
        <v>8</v>
      </c>
      <c r="G7841" t="s">
        <v>8</v>
      </c>
      <c r="H7841">
        <v>9247.8799999999992</v>
      </c>
      <c r="I7841">
        <v>2488.9299999999998</v>
      </c>
      <c r="J7841">
        <v>0</v>
      </c>
    </row>
    <row r="7842" spans="1:10" x14ac:dyDescent="0.35">
      <c r="A7842">
        <v>326203</v>
      </c>
      <c r="B7842" t="s">
        <v>20</v>
      </c>
      <c r="C7842">
        <v>2015</v>
      </c>
      <c r="D7842">
        <v>2</v>
      </c>
      <c r="E7842" t="s">
        <v>8</v>
      </c>
      <c r="F7842" t="s">
        <v>8</v>
      </c>
      <c r="G7842" t="s">
        <v>8</v>
      </c>
      <c r="H7842">
        <v>13451.42</v>
      </c>
      <c r="I7842">
        <v>2934.81</v>
      </c>
      <c r="J7842">
        <v>0</v>
      </c>
    </row>
    <row r="7843" spans="1:10" x14ac:dyDescent="0.35">
      <c r="A7843">
        <v>326204</v>
      </c>
      <c r="B7843" t="s">
        <v>20</v>
      </c>
      <c r="C7843">
        <v>2015</v>
      </c>
      <c r="D7843">
        <v>2</v>
      </c>
      <c r="E7843" t="s">
        <v>8</v>
      </c>
      <c r="F7843" t="s">
        <v>8</v>
      </c>
      <c r="G7843" t="s">
        <v>8</v>
      </c>
      <c r="H7843">
        <v>26585.8</v>
      </c>
      <c r="I7843">
        <v>13008.03</v>
      </c>
      <c r="J7843">
        <v>0</v>
      </c>
    </row>
    <row r="7844" spans="1:10" x14ac:dyDescent="0.35">
      <c r="A7844">
        <v>326634</v>
      </c>
      <c r="B7844" t="s">
        <v>20</v>
      </c>
      <c r="C7844">
        <v>2015</v>
      </c>
      <c r="D7844">
        <v>2</v>
      </c>
      <c r="E7844" t="s">
        <v>8</v>
      </c>
      <c r="F7844" t="s">
        <v>8</v>
      </c>
      <c r="G7844" t="s">
        <v>8</v>
      </c>
      <c r="H7844">
        <v>113827.5</v>
      </c>
      <c r="I7844">
        <v>47217.62</v>
      </c>
      <c r="J7844">
        <v>0</v>
      </c>
    </row>
    <row r="7845" spans="1:10" x14ac:dyDescent="0.35">
      <c r="A7845">
        <v>326718</v>
      </c>
      <c r="B7845" t="s">
        <v>20</v>
      </c>
      <c r="C7845">
        <v>2015</v>
      </c>
      <c r="D7845">
        <v>2</v>
      </c>
      <c r="E7845" t="s">
        <v>8</v>
      </c>
      <c r="F7845" t="s">
        <v>8</v>
      </c>
      <c r="G7845" t="s">
        <v>8</v>
      </c>
      <c r="H7845">
        <v>16205.14</v>
      </c>
      <c r="I7845">
        <v>4888.3100000000004</v>
      </c>
      <c r="J7845">
        <v>0</v>
      </c>
    </row>
    <row r="7846" spans="1:10" x14ac:dyDescent="0.35">
      <c r="A7846">
        <v>326738</v>
      </c>
      <c r="B7846" t="s">
        <v>20</v>
      </c>
      <c r="C7846">
        <v>2015</v>
      </c>
      <c r="D7846">
        <v>2</v>
      </c>
      <c r="E7846" t="s">
        <v>8</v>
      </c>
      <c r="F7846" t="s">
        <v>8</v>
      </c>
      <c r="G7846" t="s">
        <v>8</v>
      </c>
      <c r="H7846">
        <v>27181.18</v>
      </c>
      <c r="I7846">
        <v>7760.76</v>
      </c>
      <c r="J7846">
        <v>0</v>
      </c>
    </row>
    <row r="7847" spans="1:10" x14ac:dyDescent="0.35">
      <c r="A7847">
        <v>326853</v>
      </c>
      <c r="B7847" t="s">
        <v>20</v>
      </c>
      <c r="C7847">
        <v>2015</v>
      </c>
      <c r="D7847">
        <v>2</v>
      </c>
      <c r="E7847" t="s">
        <v>8</v>
      </c>
      <c r="F7847" t="s">
        <v>8</v>
      </c>
      <c r="G7847" t="s">
        <v>8</v>
      </c>
      <c r="H7847">
        <v>20710.02</v>
      </c>
      <c r="I7847">
        <v>5140.21</v>
      </c>
      <c r="J7847">
        <v>0</v>
      </c>
    </row>
    <row r="7848" spans="1:10" x14ac:dyDescent="0.35">
      <c r="A7848">
        <v>326908</v>
      </c>
      <c r="B7848" t="s">
        <v>20</v>
      </c>
      <c r="C7848">
        <v>2015</v>
      </c>
      <c r="D7848">
        <v>2</v>
      </c>
      <c r="E7848" t="s">
        <v>8</v>
      </c>
      <c r="F7848" t="s">
        <v>8</v>
      </c>
      <c r="G7848" t="s">
        <v>8</v>
      </c>
      <c r="H7848">
        <v>10545.78</v>
      </c>
      <c r="I7848">
        <v>2970.66</v>
      </c>
      <c r="J7848">
        <v>0</v>
      </c>
    </row>
    <row r="7849" spans="1:10" x14ac:dyDescent="0.35">
      <c r="A7849">
        <v>327055</v>
      </c>
      <c r="B7849" t="s">
        <v>20</v>
      </c>
      <c r="C7849">
        <v>2015</v>
      </c>
      <c r="D7849">
        <v>2</v>
      </c>
      <c r="E7849" t="s">
        <v>8</v>
      </c>
      <c r="F7849" t="s">
        <v>8</v>
      </c>
      <c r="G7849" t="s">
        <v>8</v>
      </c>
      <c r="H7849">
        <v>30296.880000000001</v>
      </c>
      <c r="I7849">
        <v>10167.82</v>
      </c>
      <c r="J7849">
        <v>0</v>
      </c>
    </row>
    <row r="7850" spans="1:10" x14ac:dyDescent="0.35">
      <c r="A7850">
        <v>327384</v>
      </c>
      <c r="B7850" t="s">
        <v>20</v>
      </c>
      <c r="C7850">
        <v>2015</v>
      </c>
      <c r="D7850">
        <v>2</v>
      </c>
      <c r="E7850" t="s">
        <v>8</v>
      </c>
      <c r="F7850" t="s">
        <v>8</v>
      </c>
      <c r="G7850" t="s">
        <v>8</v>
      </c>
      <c r="H7850">
        <v>13641.14</v>
      </c>
      <c r="I7850">
        <v>4132.6099999999997</v>
      </c>
      <c r="J7850">
        <v>0</v>
      </c>
    </row>
    <row r="7851" spans="1:10" x14ac:dyDescent="0.35">
      <c r="A7851">
        <v>327551</v>
      </c>
      <c r="B7851" t="s">
        <v>20</v>
      </c>
      <c r="C7851">
        <v>2015</v>
      </c>
      <c r="D7851">
        <v>2</v>
      </c>
      <c r="E7851" t="s">
        <v>8</v>
      </c>
      <c r="F7851" t="s">
        <v>8</v>
      </c>
      <c r="G7851" t="s">
        <v>8</v>
      </c>
      <c r="H7851">
        <v>12508.88</v>
      </c>
      <c r="I7851">
        <v>3838.1</v>
      </c>
      <c r="J7851">
        <v>0</v>
      </c>
    </row>
    <row r="7852" spans="1:10" x14ac:dyDescent="0.35">
      <c r="A7852">
        <v>327931</v>
      </c>
      <c r="B7852" t="s">
        <v>20</v>
      </c>
      <c r="C7852">
        <v>2015</v>
      </c>
      <c r="D7852">
        <v>2</v>
      </c>
      <c r="E7852" t="s">
        <v>8</v>
      </c>
      <c r="F7852" t="s">
        <v>8</v>
      </c>
      <c r="G7852" t="s">
        <v>8</v>
      </c>
      <c r="H7852">
        <v>27775.42</v>
      </c>
      <c r="I7852">
        <v>8223.4699999999993</v>
      </c>
      <c r="J7852">
        <v>0</v>
      </c>
    </row>
    <row r="7853" spans="1:10" x14ac:dyDescent="0.35">
      <c r="A7853">
        <v>327995</v>
      </c>
      <c r="B7853" t="s">
        <v>20</v>
      </c>
      <c r="C7853">
        <v>2015</v>
      </c>
      <c r="D7853">
        <v>2</v>
      </c>
      <c r="E7853" t="s">
        <v>8</v>
      </c>
      <c r="F7853" t="s">
        <v>8</v>
      </c>
      <c r="G7853" t="s">
        <v>8</v>
      </c>
      <c r="H7853">
        <v>7967.48</v>
      </c>
      <c r="I7853">
        <v>2187.2800000000002</v>
      </c>
      <c r="J7853">
        <v>0</v>
      </c>
    </row>
    <row r="7854" spans="1:10" x14ac:dyDescent="0.35">
      <c r="A7854">
        <v>328003</v>
      </c>
      <c r="B7854" t="s">
        <v>20</v>
      </c>
      <c r="C7854">
        <v>2015</v>
      </c>
      <c r="D7854">
        <v>2</v>
      </c>
      <c r="E7854" t="s">
        <v>8</v>
      </c>
      <c r="F7854" t="s">
        <v>8</v>
      </c>
      <c r="G7854" t="s">
        <v>8</v>
      </c>
      <c r="H7854">
        <v>6962</v>
      </c>
      <c r="I7854">
        <v>1970.8</v>
      </c>
      <c r="J7854">
        <v>0</v>
      </c>
    </row>
    <row r="7855" spans="1:10" x14ac:dyDescent="0.35">
      <c r="A7855">
        <v>328115</v>
      </c>
      <c r="B7855" t="s">
        <v>20</v>
      </c>
      <c r="C7855">
        <v>2015</v>
      </c>
      <c r="D7855">
        <v>2</v>
      </c>
      <c r="E7855" t="s">
        <v>8</v>
      </c>
      <c r="F7855" t="s">
        <v>8</v>
      </c>
      <c r="G7855" t="s">
        <v>8</v>
      </c>
      <c r="H7855">
        <v>17558.96</v>
      </c>
      <c r="I7855">
        <v>4935.9799999999996</v>
      </c>
      <c r="J7855">
        <v>0</v>
      </c>
    </row>
    <row r="7856" spans="1:10" x14ac:dyDescent="0.35">
      <c r="A7856">
        <v>328169</v>
      </c>
      <c r="B7856" t="s">
        <v>20</v>
      </c>
      <c r="C7856">
        <v>2015</v>
      </c>
      <c r="D7856">
        <v>2</v>
      </c>
      <c r="E7856" t="s">
        <v>8</v>
      </c>
      <c r="F7856" t="s">
        <v>8</v>
      </c>
      <c r="G7856" t="s">
        <v>8</v>
      </c>
      <c r="H7856">
        <v>36108.959999999999</v>
      </c>
      <c r="I7856">
        <v>12292.92</v>
      </c>
      <c r="J7856">
        <v>0</v>
      </c>
    </row>
    <row r="7857" spans="1:10" x14ac:dyDescent="0.35">
      <c r="A7857">
        <v>328305</v>
      </c>
      <c r="B7857" t="s">
        <v>20</v>
      </c>
      <c r="C7857">
        <v>2015</v>
      </c>
      <c r="D7857">
        <v>2</v>
      </c>
      <c r="E7857" t="s">
        <v>8</v>
      </c>
      <c r="F7857" t="s">
        <v>8</v>
      </c>
      <c r="G7857" t="s">
        <v>8</v>
      </c>
      <c r="H7857">
        <v>54480.71</v>
      </c>
      <c r="I7857">
        <v>32934.67</v>
      </c>
      <c r="J7857">
        <v>0</v>
      </c>
    </row>
    <row r="7858" spans="1:10" x14ac:dyDescent="0.35">
      <c r="A7858">
        <v>328493</v>
      </c>
      <c r="B7858" t="s">
        <v>20</v>
      </c>
      <c r="C7858">
        <v>2015</v>
      </c>
      <c r="D7858">
        <v>2</v>
      </c>
      <c r="E7858" t="s">
        <v>8</v>
      </c>
      <c r="F7858" t="s">
        <v>8</v>
      </c>
      <c r="G7858" t="s">
        <v>8</v>
      </c>
      <c r="H7858">
        <v>33000.660000000003</v>
      </c>
      <c r="I7858">
        <v>8746.2900000000009</v>
      </c>
      <c r="J7858">
        <v>0</v>
      </c>
    </row>
    <row r="7859" spans="1:10" x14ac:dyDescent="0.35">
      <c r="A7859">
        <v>328555</v>
      </c>
      <c r="B7859" t="s">
        <v>20</v>
      </c>
      <c r="C7859">
        <v>2015</v>
      </c>
      <c r="D7859">
        <v>2</v>
      </c>
      <c r="E7859" t="s">
        <v>8</v>
      </c>
      <c r="F7859" t="s">
        <v>8</v>
      </c>
      <c r="G7859" t="s">
        <v>8</v>
      </c>
      <c r="H7859">
        <v>26025.01</v>
      </c>
      <c r="I7859">
        <v>14626.56</v>
      </c>
      <c r="J7859">
        <v>0</v>
      </c>
    </row>
    <row r="7860" spans="1:10" x14ac:dyDescent="0.35">
      <c r="A7860">
        <v>329042</v>
      </c>
      <c r="B7860" t="s">
        <v>20</v>
      </c>
      <c r="C7860">
        <v>2015</v>
      </c>
      <c r="D7860">
        <v>2</v>
      </c>
      <c r="E7860" t="s">
        <v>8</v>
      </c>
      <c r="F7860" t="s">
        <v>8</v>
      </c>
      <c r="G7860" t="s">
        <v>8</v>
      </c>
      <c r="H7860">
        <v>22559.52</v>
      </c>
      <c r="I7860">
        <v>6745.57</v>
      </c>
      <c r="J786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NegativeMargin Logic Validation</vt:lpstr>
      <vt:lpstr>Encounter Count Reconciliation</vt:lpstr>
      <vt:lpstr>Payer Group Mapping Validation</vt:lpstr>
      <vt:lpstr>Payer Group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2025-12-12T14:37:17Z</dcterms:created>
  <dcterms:modified xsi:type="dcterms:W3CDTF">2025-12-12T16:31:11Z</dcterms:modified>
</cp:coreProperties>
</file>