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F:\DATA Scientist\Data Analyst\Excel\LI_Hosp_Analysis\FOR GITHUB\LI_NY_Hospitals_SQL_Excel_PBI_Analysis\07_Excel_Executive_Analytics\Dashboards\"/>
    </mc:Choice>
  </mc:AlternateContent>
  <xr:revisionPtr revIDLastSave="0" documentId="13_ncr:1_{35E0EC9A-2E2F-4ED4-AFE0-EF2B2CC69D86}" xr6:coauthVersionLast="47" xr6:coauthVersionMax="47" xr10:uidLastSave="{00000000-0000-0000-0000-000000000000}"/>
  <bookViews>
    <workbookView xWindow="38280" yWindow="-120" windowWidth="51840" windowHeight="21240" activeTab="3" xr2:uid="{759F27C9-842D-4542-A7F5-B3A28CF32802}"/>
  </bookViews>
  <sheets>
    <sheet name="00_ReadMe" sheetId="3" r:id="rId1"/>
    <sheet name="01_Data" sheetId="2" r:id="rId2"/>
    <sheet name="02_Pivots" sheetId="5" r:id="rId3"/>
    <sheet name="03_Dashboard" sheetId="6" r:id="rId4"/>
  </sheets>
  <definedNames>
    <definedName name="ExternalData_1" localSheetId="1" hidden="1">'01_Data'!$A$1:$AQ$24</definedName>
    <definedName name="Slicer_Discharge_Year">#N/A</definedName>
    <definedName name="Slicer_Facility_Name">#N/A</definedName>
    <definedName name="Slicer_PeerGroup_Name">#N/A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6" l="1"/>
  <c r="K16" i="6"/>
  <c r="I16" i="6"/>
  <c r="G16" i="6"/>
  <c r="E16" i="6"/>
  <c r="C16" i="6"/>
  <c r="A16" i="6"/>
  <c r="M27" i="5"/>
  <c r="M26" i="5"/>
  <c r="M25" i="5"/>
  <c r="M24" i="5"/>
  <c r="M23" i="5"/>
  <c r="M22" i="5"/>
  <c r="M21" i="5"/>
  <c r="M20" i="5"/>
  <c r="M19" i="5"/>
  <c r="M18" i="5"/>
  <c r="M17" i="5"/>
  <c r="M16" i="5"/>
  <c r="M15" i="5"/>
  <c r="M14" i="5"/>
  <c r="M13" i="5"/>
  <c r="M12" i="5"/>
  <c r="M11" i="5"/>
  <c r="M10" i="5"/>
  <c r="M9" i="5"/>
  <c r="M8" i="5"/>
  <c r="M7" i="5"/>
  <c r="M6" i="5"/>
  <c r="M5" i="5"/>
  <c r="S27" i="5"/>
  <c r="S26" i="5"/>
  <c r="S25" i="5"/>
  <c r="S24" i="5"/>
  <c r="S23" i="5"/>
  <c r="S22" i="5"/>
  <c r="S21" i="5"/>
  <c r="S20" i="5"/>
  <c r="S19" i="5"/>
  <c r="S18" i="5"/>
  <c r="S17" i="5"/>
  <c r="S16" i="5"/>
  <c r="S15" i="5"/>
  <c r="S14" i="5"/>
  <c r="S13" i="5"/>
  <c r="S12" i="5"/>
  <c r="S11" i="5"/>
  <c r="S10" i="5"/>
  <c r="S9" i="5"/>
  <c r="S8" i="5"/>
  <c r="S7" i="5"/>
  <c r="S6" i="5"/>
  <c r="S5" i="5"/>
  <c r="P27" i="5"/>
  <c r="P26" i="5"/>
  <c r="P25" i="5"/>
  <c r="P24" i="5"/>
  <c r="P23" i="5"/>
  <c r="P22" i="5"/>
  <c r="P21" i="5"/>
  <c r="P20" i="5"/>
  <c r="P19" i="5"/>
  <c r="P18" i="5"/>
  <c r="P17" i="5"/>
  <c r="P16" i="5"/>
  <c r="P15" i="5"/>
  <c r="P14" i="5"/>
  <c r="P13" i="5"/>
  <c r="P12" i="5"/>
  <c r="P11" i="5"/>
  <c r="P10" i="5"/>
  <c r="P9" i="5"/>
  <c r="P8" i="5"/>
  <c r="P7" i="5"/>
  <c r="P6" i="5"/>
  <c r="P5" i="5"/>
  <c r="V27" i="5"/>
  <c r="V26" i="5"/>
  <c r="V25" i="5"/>
  <c r="V24" i="5"/>
  <c r="V23" i="5"/>
  <c r="V22" i="5"/>
  <c r="V21" i="5"/>
  <c r="V20" i="5"/>
  <c r="V19" i="5"/>
  <c r="V18" i="5"/>
  <c r="V17" i="5"/>
  <c r="V16" i="5"/>
  <c r="V15" i="5"/>
  <c r="V14" i="5"/>
  <c r="V13" i="5"/>
  <c r="V12" i="5"/>
  <c r="V11" i="5"/>
  <c r="V10" i="5"/>
  <c r="V9" i="5"/>
  <c r="V8" i="5"/>
  <c r="V7" i="5"/>
  <c r="V6" i="5"/>
  <c r="V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3960B4-28E4-4C30-9186-B032536C79BF}" keepAlive="1" name="Query - vw_Excel_KPI_Executive_FacilityYear" description="Connection to the 'vw_Excel_KPI_Executive_FacilityYear' query in the workbook." type="5" refreshedVersion="8" background="1" saveData="1">
    <dbPr connection="Provider=Microsoft.Mashup.OleDb.1;Data Source=$Workbook$;Location=vw_Excel_KPI_Executive_FacilityYear;Extended Properties=&quot;&quot;" command="SELECT * FROM [vw_Excel_KPI_Executive_FacilityYear]"/>
  </connection>
</connections>
</file>

<file path=xl/sharedStrings.xml><?xml version="1.0" encoding="utf-8"?>
<sst xmlns="http://schemas.openxmlformats.org/spreadsheetml/2006/main" count="273" uniqueCount="111">
  <si>
    <t>Facility_Key</t>
  </si>
  <si>
    <t>Facility_Name</t>
  </si>
  <si>
    <t>Discharge_Year</t>
  </si>
  <si>
    <t>Severity_Mix_Index</t>
  </si>
  <si>
    <t>Severity_Encounter_Count</t>
  </si>
  <si>
    <t>Severity_1_Count</t>
  </si>
  <si>
    <t>Severity_2_Count</t>
  </si>
  <si>
    <t>Severity_3_Count</t>
  </si>
  <si>
    <t>Severity_4_Count</t>
  </si>
  <si>
    <t>Commercial_Share</t>
  </si>
  <si>
    <t>Medicaid_Share</t>
  </si>
  <si>
    <t>Medicare_Share</t>
  </si>
  <si>
    <t>SelfPay_Share</t>
  </si>
  <si>
    <t>Other_Share</t>
  </si>
  <si>
    <t>Payer_Encounter_Count_Sum</t>
  </si>
  <si>
    <t>Encounter_Count_Total</t>
  </si>
  <si>
    <t>Encounter_Count_Unplanned</t>
  </si>
  <si>
    <t>Encounter_Count_Planned</t>
  </si>
  <si>
    <t>Unplanned_Admission_Rate</t>
  </si>
  <si>
    <t>Home_Count</t>
  </si>
  <si>
    <t>PostAcute_Count</t>
  </si>
  <si>
    <t>AcuteTransfer_Count</t>
  </si>
  <si>
    <t>Expired_Count</t>
  </si>
  <si>
    <t>OtherUnknown_Count</t>
  </si>
  <si>
    <t>Home_Share</t>
  </si>
  <si>
    <t>PostAcute_Share</t>
  </si>
  <si>
    <t>AcuteTransfer_Share</t>
  </si>
  <si>
    <t>Expired_Share</t>
  </si>
  <si>
    <t>OtherUnknown_Share</t>
  </si>
  <si>
    <t>Disposition_Total_Encounters</t>
  </si>
  <si>
    <t>Avg_LOS</t>
  </si>
  <si>
    <t>Min_LOS</t>
  </si>
  <si>
    <t>Max_LOS</t>
  </si>
  <si>
    <t>Death_Count</t>
  </si>
  <si>
    <t>Mortality_Rate</t>
  </si>
  <si>
    <t>Avg_MCost</t>
  </si>
  <si>
    <t>Margin_Pressure_Ratio</t>
  </si>
  <si>
    <t>NegMargin_Rate</t>
  </si>
  <si>
    <t>Total_Costs</t>
  </si>
  <si>
    <t>Total_Charges</t>
  </si>
  <si>
    <t>Peconic Bay Medical Center</t>
  </si>
  <si>
    <t>Glen Cove Hospital</t>
  </si>
  <si>
    <t>Mercy Medical Center</t>
  </si>
  <si>
    <t>Winthrop-University Hospital</t>
  </si>
  <si>
    <t>St. Joseph Hospital</t>
  </si>
  <si>
    <t>St Francis Hospital</t>
  </si>
  <si>
    <t>St Charles Hospital</t>
  </si>
  <si>
    <t>Southside Hospital</t>
  </si>
  <si>
    <t>John T Mather Memorial Hospital of Port Jefferson New York Inc</t>
  </si>
  <si>
    <t>Franklin Hospital</t>
  </si>
  <si>
    <t>Brookhaven Memorial Hospital Medical Center Inc</t>
  </si>
  <si>
    <t>St Catherine of Siena Hospital</t>
  </si>
  <si>
    <t>University Hospital</t>
  </si>
  <si>
    <t>Long Island Jewish Valley Stream</t>
  </si>
  <si>
    <t>Nassau University Medical Center</t>
  </si>
  <si>
    <t>Plainview Hospital</t>
  </si>
  <si>
    <t>North Shore University Hospital</t>
  </si>
  <si>
    <t>Syosset Hospital</t>
  </si>
  <si>
    <t>Huntington Hospital</t>
  </si>
  <si>
    <t>Good Samaritan Hospital Medical Center</t>
  </si>
  <si>
    <t>South Nassau Communities Hospital</t>
  </si>
  <si>
    <t>Southampton Hospital</t>
  </si>
  <si>
    <t>Eastern Long Island Hospital</t>
  </si>
  <si>
    <t>Excel Governance Contract</t>
  </si>
  <si>
    <t>Data source:</t>
  </si>
  <si>
    <t>dbo.vw_Excel_KPI_Executive_FacilityYear</t>
  </si>
  <si>
    <t>Grain:</t>
  </si>
  <si>
    <t>Facility-Year</t>
  </si>
  <si>
    <t>Rules:</t>
  </si>
  <si>
    <t>1. No KPI formulas</t>
  </si>
  <si>
    <t>2. No calculated fields in pivots</t>
  </si>
  <si>
    <t>3. Use slicers for filtering, not edits to data</t>
  </si>
  <si>
    <t>4. Interpret outcome KPIs within context KPIs (Severity, Intake, Payer)</t>
  </si>
  <si>
    <t>Row Labels</t>
  </si>
  <si>
    <t>Grand Total</t>
  </si>
  <si>
    <t>Average of Severity_Mix_Index</t>
  </si>
  <si>
    <t>Average of Unplanned_Admission_Rate</t>
  </si>
  <si>
    <t>Average of Avg_LOS</t>
  </si>
  <si>
    <t>Average of Mortality_Rate</t>
  </si>
  <si>
    <t>Average of Margin_Pressure_Ratio</t>
  </si>
  <si>
    <t>Average of NegMargin_Rate</t>
  </si>
  <si>
    <t>Sum of Encounter_Count_Total</t>
  </si>
  <si>
    <t>Sum of Total_Costs</t>
  </si>
  <si>
    <t>Sum of Total_Charges</t>
  </si>
  <si>
    <t>(All)</t>
  </si>
  <si>
    <t>PeerGroup_Name</t>
  </si>
  <si>
    <t>PeerGroup_Count</t>
  </si>
  <si>
    <t>PeerGroup_List</t>
  </si>
  <si>
    <t>PG-C Mid-Size Community</t>
  </si>
  <si>
    <t>PG-B Large Community</t>
  </si>
  <si>
    <t>PG-A Academic / Tertiary</t>
  </si>
  <si>
    <t>PG-E Specialty-Dominant</t>
  </si>
  <si>
    <t>PG-D Rural / East-End</t>
  </si>
  <si>
    <t>Executive KPI Overview</t>
  </si>
  <si>
    <t>Facility Performance Distribution  ·  Use slicers to filter by Year, Peer Group, or Facility</t>
  </si>
  <si>
    <t>KPI Scoreboard (Filtered Totals)</t>
  </si>
  <si>
    <t>Total Encounters</t>
  </si>
  <si>
    <t>Avg Severity Index</t>
  </si>
  <si>
    <t>Avg Unplanned Adm Rate</t>
  </si>
  <si>
    <t>Avg LOS (days)</t>
  </si>
  <si>
    <t>Avg Mortality Rate</t>
  </si>
  <si>
    <t>Avg Margin Pressure</t>
  </si>
  <si>
    <t>Total Costs</t>
  </si>
  <si>
    <t>Facility Name</t>
  </si>
  <si>
    <t>Margin Pressure Ratio</t>
  </si>
  <si>
    <t>Avg LOS</t>
  </si>
  <si>
    <t>Mortality Rate</t>
  </si>
  <si>
    <t>Unplanned Adm Rate</t>
  </si>
  <si>
    <t>⚐  Read as context and distribution, not performance ranking.</t>
  </si>
  <si>
    <t>⚐  Outcome KPIs should be interpreted after Severity and Intake context.</t>
  </si>
  <si>
    <t>⚐  All metrics originate from validated SQL logic; Excel contains no KPI math.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</si>
</sst>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quot;$&quot;#,##0"/>
    <numFmt numFmtId="167" formatCode="&quot;$&quot;#,##0,,&quot;M&quot;"/>
  </numFmts>
  <fonts count="13" x14ac:knownFonts="1">
    <font>
      <sz val="16"/>
      <color theme="1"/>
      <name val="Aptos Narrow"/>
      <family val="2"/>
      <scheme val="minor"/>
    </font>
    <font>
      <b/>
      <sz val="18"/>
      <color rgb="FFFFFFFF"/>
      <name val="Arial"/>
    </font>
    <font>
      <b/>
      <sz val="12"/>
      <color rgb="FF2F5496"/>
      <name val="Arial"/>
      <family val="2"/>
    </font>
    <font>
      <sz val="12"/>
      <color rgb="FF333333"/>
      <name val="Consolas"/>
      <family val="3"/>
    </font>
    <font>
      <sz val="12"/>
      <color theme="1"/>
      <name val="Aptos Narrow"/>
      <family val="2"/>
      <scheme val="minor"/>
    </font>
    <font>
      <sz val="12"/>
      <color rgb="FF333333"/>
      <name val="Arial"/>
      <family val="2"/>
    </font>
    <font>
      <sz val="8"/>
      <name val="Aptos Narrow"/>
      <family val="2"/>
      <scheme val="minor"/>
    </font>
    <font>
      <b/>
      <sz val="16"/>
      <color rgb="FF1F2937"/>
      <name val="Arial"/>
    </font>
    <font>
      <i/>
      <sz val="9"/>
      <color rgb="FF6B7280"/>
      <name val="Arial"/>
    </font>
    <font>
      <b/>
      <sz val="14"/>
      <color rgb="FF1F2937"/>
      <name val="Arial"/>
    </font>
    <font>
      <b/>
      <sz val="13"/>
      <color rgb="FF6B7280"/>
      <name val="Arial"/>
    </font>
    <font>
      <b/>
      <sz val="9"/>
      <color theme="1"/>
      <name val="Aptos Narrow"/>
      <family val="2"/>
      <scheme val="minor"/>
    </font>
    <font>
      <i/>
      <sz val="14"/>
      <color rgb="FF595959"/>
      <name val="Aptos Narrow"/>
      <family val="2"/>
      <scheme val="minor"/>
    </font>
  </fonts>
  <fills count="7">
    <fill>
      <patternFill patternType="none"/>
    </fill>
    <fill>
      <patternFill patternType="gray125"/>
    </fill>
    <fill>
      <patternFill patternType="solid">
        <fgColor rgb="FF2F5496"/>
        <bgColor indexed="64"/>
      </patternFill>
    </fill>
    <fill>
      <patternFill patternType="solid">
        <fgColor rgb="FFFFFFFF"/>
        <bgColor indexed="64"/>
      </patternFill>
    </fill>
    <fill>
      <patternFill patternType="solid">
        <fgColor rgb="FFD6E4F0"/>
        <bgColor indexed="64"/>
      </patternFill>
    </fill>
    <fill>
      <patternFill patternType="solid">
        <fgColor rgb="FFF2F2F2"/>
        <bgColor indexed="64"/>
      </patternFill>
    </fill>
    <fill>
      <patternFill patternType="solid">
        <fgColor rgb="FFF3F4F6"/>
        <bgColor indexed="64"/>
      </patternFill>
    </fill>
  </fills>
  <borders count="3">
    <border>
      <left/>
      <right/>
      <top/>
      <bottom/>
      <diagonal/>
    </border>
    <border>
      <left/>
      <right/>
      <top/>
      <bottom style="thin">
        <color rgb="FFD1D5DB"/>
      </bottom>
      <diagonal/>
    </border>
    <border>
      <left/>
      <right/>
      <top style="thin">
        <color rgb="FFD1D5DB"/>
      </top>
      <bottom/>
      <diagonal/>
    </border>
  </borders>
  <cellStyleXfs count="1">
    <xf numFmtId="0" fontId="0" fillId="0" borderId="0"/>
  </cellStyleXfs>
  <cellXfs count="28">
    <xf numFmtId="0" fontId="0" fillId="0" borderId="0" xfId="0"/>
    <xf numFmtId="0" fontId="1" fillId="2" borderId="0" xfId="0" applyFont="1" applyFill="1" applyAlignment="1">
      <alignment horizontal="left"/>
    </xf>
    <xf numFmtId="0" fontId="0" fillId="3" borderId="0" xfId="0" applyFill="1"/>
    <xf numFmtId="0" fontId="2" fillId="4" borderId="0" xfId="0" applyFont="1" applyFill="1"/>
    <xf numFmtId="0" fontId="3" fillId="3" borderId="0" xfId="0" applyFont="1" applyFill="1"/>
    <xf numFmtId="0" fontId="4" fillId="3" borderId="0" xfId="0" applyFont="1" applyFill="1"/>
    <xf numFmtId="0" fontId="5" fillId="3" borderId="0" xfId="0" applyFont="1" applyFill="1"/>
    <xf numFmtId="0" fontId="5" fillId="5" borderId="0" xfId="0" applyFont="1" applyFill="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10" fontId="0" fillId="0" borderId="0" xfId="0" applyNumberFormat="1"/>
    <xf numFmtId="3" fontId="0" fillId="0" borderId="0" xfId="0" applyNumberFormat="1"/>
    <xf numFmtId="166" fontId="0" fillId="0" borderId="0" xfId="0" applyNumberFormat="1"/>
    <xf numFmtId="0" fontId="7" fillId="0" borderId="0" xfId="0" applyFont="1"/>
    <xf numFmtId="0" fontId="8" fillId="0" borderId="0" xfId="0" applyFont="1"/>
    <xf numFmtId="3" fontId="9" fillId="0" borderId="1" xfId="0" applyNumberFormat="1" applyFont="1" applyBorder="1" applyAlignment="1">
      <alignment horizontal="center"/>
    </xf>
    <xf numFmtId="2" fontId="9" fillId="0" borderId="1" xfId="0" applyNumberFormat="1" applyFont="1" applyBorder="1" applyAlignment="1">
      <alignment horizontal="center"/>
    </xf>
    <xf numFmtId="164" fontId="9" fillId="0" borderId="1" xfId="0" applyNumberFormat="1" applyFont="1" applyBorder="1" applyAlignment="1">
      <alignment horizontal="center"/>
    </xf>
    <xf numFmtId="165" fontId="9" fillId="0" borderId="1" xfId="0" applyNumberFormat="1" applyFont="1" applyBorder="1" applyAlignment="1">
      <alignment horizontal="center"/>
    </xf>
    <xf numFmtId="10" fontId="9" fillId="0" borderId="1" xfId="0" applyNumberFormat="1" applyFont="1" applyBorder="1" applyAlignment="1">
      <alignment horizontal="center"/>
    </xf>
    <xf numFmtId="167" fontId="9" fillId="0" borderId="1" xfId="0" applyNumberFormat="1" applyFont="1" applyBorder="1" applyAlignment="1">
      <alignment horizontal="center"/>
    </xf>
    <xf numFmtId="0" fontId="0" fillId="0" borderId="0" xfId="0" applyFont="1"/>
    <xf numFmtId="0" fontId="10" fillId="6" borderId="2" xfId="0" applyFont="1" applyFill="1" applyBorder="1" applyAlignment="1">
      <alignment horizontal="center"/>
    </xf>
    <xf numFmtId="0" fontId="11" fillId="0" borderId="0" xfId="0" applyFont="1"/>
    <xf numFmtId="0" fontId="12" fillId="0" borderId="0" xfId="0" applyFont="1"/>
  </cellXfs>
  <cellStyles count="1">
    <cellStyle name="Normal" xfId="0" builtinId="0"/>
  </cellStyles>
  <dxfs count="432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a:t>Unplanned Admission Rate Distribution by Facility</a:t>
            </a:r>
          </a:p>
        </c:rich>
      </c:tx>
      <c:layout>
        <c:manualLayout>
          <c:xMode val="edge"/>
          <c:yMode val="edge"/>
          <c:x val="0.2041935851987646"/>
          <c:y val="1.8045112781954888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'02_Pivots'!$M$4</c:f>
              <c:strCache>
                <c:ptCount val="1"/>
                <c:pt idx="0">
                  <c:v>Unplanned Adm Rate</c:v>
                </c:pt>
              </c:strCache>
            </c:strRef>
          </c:tx>
          <c:spPr>
            <a:solidFill>
              <a:schemeClr val="accent1"/>
            </a:solidFill>
            <a:ln>
              <a:noFill/>
            </a:ln>
            <a:effectLst/>
          </c:spPr>
          <c:invertIfNegative val="0"/>
          <c:cat>
            <c:strRef>
              <c:f>'02_Pivots'!$L$5:$L$27</c:f>
              <c:strCache>
                <c:ptCount val="23"/>
                <c:pt idx="0">
                  <c:v>Brookhaven Memorial Hospital Medical Center Inc</c:v>
                </c:pt>
                <c:pt idx="1">
                  <c:v>Eastern Long Island Hospital</c:v>
                </c:pt>
                <c:pt idx="2">
                  <c:v>Franklin Hospital</c:v>
                </c:pt>
                <c:pt idx="3">
                  <c:v>Glen Cove Hospital</c:v>
                </c:pt>
                <c:pt idx="4">
                  <c:v>Good Samaritan Hospital Medical Center</c:v>
                </c:pt>
                <c:pt idx="5">
                  <c:v>Huntington Hospital</c:v>
                </c:pt>
                <c:pt idx="6">
                  <c:v>John T Mather Memorial Hospital of Port Jefferson New York Inc</c:v>
                </c:pt>
                <c:pt idx="7">
                  <c:v>Long Island Jewish Valley Stream</c:v>
                </c:pt>
                <c:pt idx="8">
                  <c:v>Mercy Medical Center</c:v>
                </c:pt>
                <c:pt idx="9">
                  <c:v>Nassau University Medical Center</c:v>
                </c:pt>
                <c:pt idx="10">
                  <c:v>North Shore University Hospital</c:v>
                </c:pt>
                <c:pt idx="11">
                  <c:v>Peconic Bay Medical Center</c:v>
                </c:pt>
                <c:pt idx="12">
                  <c:v>Plainview Hospital</c:v>
                </c:pt>
                <c:pt idx="13">
                  <c:v>South Nassau Communities Hospital</c:v>
                </c:pt>
                <c:pt idx="14">
                  <c:v>Southampton Hospital</c:v>
                </c:pt>
                <c:pt idx="15">
                  <c:v>Southside Hospital</c:v>
                </c:pt>
                <c:pt idx="16">
                  <c:v>St Catherine of Siena Hospital</c:v>
                </c:pt>
                <c:pt idx="17">
                  <c:v>St Charles Hospital</c:v>
                </c:pt>
                <c:pt idx="18">
                  <c:v>St Francis Hospital</c:v>
                </c:pt>
                <c:pt idx="19">
                  <c:v>St. Joseph Hospital</c:v>
                </c:pt>
                <c:pt idx="20">
                  <c:v>Syosset Hospital</c:v>
                </c:pt>
                <c:pt idx="21">
                  <c:v>University Hospital</c:v>
                </c:pt>
                <c:pt idx="22">
                  <c:v>Winthrop-University Hospital</c:v>
                </c:pt>
              </c:strCache>
            </c:strRef>
          </c:cat>
          <c:val>
            <c:numRef>
              <c:f>'02_Pivots'!$M$5:$M$27</c:f>
              <c:numCache>
                <c:formatCode>General</c:formatCode>
                <c:ptCount val="23"/>
                <c:pt idx="0">
                  <c:v>0.96609999999999996</c:v>
                </c:pt>
                <c:pt idx="1">
                  <c:v>0.82340000000000002</c:v>
                </c:pt>
                <c:pt idx="2">
                  <c:v>0.90559999999999996</c:v>
                </c:pt>
                <c:pt idx="3">
                  <c:v>0.74919999999999998</c:v>
                </c:pt>
                <c:pt idx="4">
                  <c:v>0.77729999999999999</c:v>
                </c:pt>
                <c:pt idx="5">
                  <c:v>0.72799999999999998</c:v>
                </c:pt>
                <c:pt idx="6">
                  <c:v>0.86650000000000005</c:v>
                </c:pt>
                <c:pt idx="7">
                  <c:v>0.89839999999999998</c:v>
                </c:pt>
                <c:pt idx="8">
                  <c:v>0.7298</c:v>
                </c:pt>
                <c:pt idx="9">
                  <c:v>0.82040000000000002</c:v>
                </c:pt>
                <c:pt idx="10">
                  <c:v>0.6754</c:v>
                </c:pt>
                <c:pt idx="11">
                  <c:v>0.74850000000000005</c:v>
                </c:pt>
                <c:pt idx="12">
                  <c:v>0.93930000000000002</c:v>
                </c:pt>
                <c:pt idx="13">
                  <c:v>0.79300000000000004</c:v>
                </c:pt>
                <c:pt idx="14">
                  <c:v>0.71220000000000006</c:v>
                </c:pt>
                <c:pt idx="15">
                  <c:v>0.64929999999999999</c:v>
                </c:pt>
                <c:pt idx="16">
                  <c:v>0.82969999999999999</c:v>
                </c:pt>
                <c:pt idx="17">
                  <c:v>0.46039999999999998</c:v>
                </c:pt>
                <c:pt idx="18">
                  <c:v>0.79279999999999995</c:v>
                </c:pt>
                <c:pt idx="19">
                  <c:v>0.95309999999999995</c:v>
                </c:pt>
                <c:pt idx="20">
                  <c:v>0.64329999999999998</c:v>
                </c:pt>
                <c:pt idx="21">
                  <c:v>0.67759999999999998</c:v>
                </c:pt>
                <c:pt idx="22">
                  <c:v>0.62050000000000005</c:v>
                </c:pt>
              </c:numCache>
            </c:numRef>
          </c:val>
          <c:extLst>
            <c:ext xmlns:c16="http://schemas.microsoft.com/office/drawing/2014/chart" uri="{C3380CC4-5D6E-409C-BE32-E72D297353CC}">
              <c16:uniqueId val="{00000000-9DC9-427B-AB45-E054917D9130}"/>
            </c:ext>
          </c:extLst>
        </c:ser>
        <c:dLbls>
          <c:showLegendKey val="0"/>
          <c:showVal val="0"/>
          <c:showCatName val="0"/>
          <c:showSerName val="0"/>
          <c:showPercent val="0"/>
          <c:showBubbleSize val="0"/>
        </c:dLbls>
        <c:gapWidth val="182"/>
        <c:axId val="404575264"/>
        <c:axId val="1561038288"/>
      </c:barChart>
      <c:catAx>
        <c:axId val="40457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61038288"/>
        <c:crosses val="autoZero"/>
        <c:auto val="1"/>
        <c:lblAlgn val="ctr"/>
        <c:lblOffset val="100"/>
        <c:noMultiLvlLbl val="0"/>
      </c:catAx>
      <c:valAx>
        <c:axId val="156103828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40457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a:t>Average Length of Stay Distribution by Facility</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'02_Pivots'!$P$4</c:f>
              <c:strCache>
                <c:ptCount val="1"/>
                <c:pt idx="0">
                  <c:v>Avg LOS</c:v>
                </c:pt>
              </c:strCache>
            </c:strRef>
          </c:tx>
          <c:spPr>
            <a:solidFill>
              <a:schemeClr val="accent1"/>
            </a:solidFill>
            <a:ln>
              <a:noFill/>
            </a:ln>
            <a:effectLst/>
          </c:spPr>
          <c:invertIfNegative val="0"/>
          <c:cat>
            <c:strRef>
              <c:f>'02_Pivots'!$O$5:$O$27</c:f>
              <c:strCache>
                <c:ptCount val="23"/>
                <c:pt idx="0">
                  <c:v>Brookhaven Memorial Hospital Medical Center Inc</c:v>
                </c:pt>
                <c:pt idx="1">
                  <c:v>Eastern Long Island Hospital</c:v>
                </c:pt>
                <c:pt idx="2">
                  <c:v>Franklin Hospital</c:v>
                </c:pt>
                <c:pt idx="3">
                  <c:v>Glen Cove Hospital</c:v>
                </c:pt>
                <c:pt idx="4">
                  <c:v>Good Samaritan Hospital Medical Center</c:v>
                </c:pt>
                <c:pt idx="5">
                  <c:v>Huntington Hospital</c:v>
                </c:pt>
                <c:pt idx="6">
                  <c:v>John T Mather Memorial Hospital of Port Jefferson New York Inc</c:v>
                </c:pt>
                <c:pt idx="7">
                  <c:v>Long Island Jewish Valley Stream</c:v>
                </c:pt>
                <c:pt idx="8">
                  <c:v>Mercy Medical Center</c:v>
                </c:pt>
                <c:pt idx="9">
                  <c:v>Nassau University Medical Center</c:v>
                </c:pt>
                <c:pt idx="10">
                  <c:v>North Shore University Hospital</c:v>
                </c:pt>
                <c:pt idx="11">
                  <c:v>Peconic Bay Medical Center</c:v>
                </c:pt>
                <c:pt idx="12">
                  <c:v>Plainview Hospital</c:v>
                </c:pt>
                <c:pt idx="13">
                  <c:v>South Nassau Communities Hospital</c:v>
                </c:pt>
                <c:pt idx="14">
                  <c:v>Southampton Hospital</c:v>
                </c:pt>
                <c:pt idx="15">
                  <c:v>Southside Hospital</c:v>
                </c:pt>
                <c:pt idx="16">
                  <c:v>St Catherine of Siena Hospital</c:v>
                </c:pt>
                <c:pt idx="17">
                  <c:v>St Charles Hospital</c:v>
                </c:pt>
                <c:pt idx="18">
                  <c:v>St Francis Hospital</c:v>
                </c:pt>
                <c:pt idx="19">
                  <c:v>St. Joseph Hospital</c:v>
                </c:pt>
                <c:pt idx="20">
                  <c:v>Syosset Hospital</c:v>
                </c:pt>
                <c:pt idx="21">
                  <c:v>University Hospital</c:v>
                </c:pt>
                <c:pt idx="22">
                  <c:v>Winthrop-University Hospital</c:v>
                </c:pt>
              </c:strCache>
            </c:strRef>
          </c:cat>
          <c:val>
            <c:numRef>
              <c:f>'02_Pivots'!$P$5:$P$27</c:f>
              <c:numCache>
                <c:formatCode>General</c:formatCode>
                <c:ptCount val="23"/>
                <c:pt idx="0">
                  <c:v>6.3327868852459019</c:v>
                </c:pt>
                <c:pt idx="1">
                  <c:v>6.8229813664596275</c:v>
                </c:pt>
                <c:pt idx="2">
                  <c:v>5.0306469920544838</c:v>
                </c:pt>
                <c:pt idx="3">
                  <c:v>7.0670655696833711</c:v>
                </c:pt>
                <c:pt idx="4">
                  <c:v>5.2032105903834447</c:v>
                </c:pt>
                <c:pt idx="5">
                  <c:v>4.7236026750107367</c:v>
                </c:pt>
                <c:pt idx="6">
                  <c:v>6.0666970387243735</c:v>
                </c:pt>
                <c:pt idx="7">
                  <c:v>4.9303726006774555</c:v>
                </c:pt>
                <c:pt idx="8">
                  <c:v>6.2629403306973401</c:v>
                </c:pt>
                <c:pt idx="9">
                  <c:v>5.9261765930862138</c:v>
                </c:pt>
                <c:pt idx="10">
                  <c:v>5.4342480698220879</c:v>
                </c:pt>
                <c:pt idx="11">
                  <c:v>4.0196028513238291</c:v>
                </c:pt>
                <c:pt idx="12">
                  <c:v>4.9707252957342574</c:v>
                </c:pt>
                <c:pt idx="13">
                  <c:v>5.1842780499183574</c:v>
                </c:pt>
                <c:pt idx="14">
                  <c:v>3.5001840264998161</c:v>
                </c:pt>
                <c:pt idx="15">
                  <c:v>4.751915860683896</c:v>
                </c:pt>
                <c:pt idx="16">
                  <c:v>5.761459644076937</c:v>
                </c:pt>
                <c:pt idx="17">
                  <c:v>6.0489208633093527</c:v>
                </c:pt>
                <c:pt idx="18">
                  <c:v>6.4319723537693587</c:v>
                </c:pt>
                <c:pt idx="19">
                  <c:v>5.5268870251603355</c:v>
                </c:pt>
                <c:pt idx="20">
                  <c:v>5.1416755602988262</c:v>
                </c:pt>
                <c:pt idx="21">
                  <c:v>5.5169320730080331</c:v>
                </c:pt>
                <c:pt idx="22">
                  <c:v>4.8065633859282384</c:v>
                </c:pt>
              </c:numCache>
            </c:numRef>
          </c:val>
          <c:extLst>
            <c:ext xmlns:c16="http://schemas.microsoft.com/office/drawing/2014/chart" uri="{C3380CC4-5D6E-409C-BE32-E72D297353CC}">
              <c16:uniqueId val="{00000000-4950-45B9-B021-2AE1D98AEA87}"/>
            </c:ext>
          </c:extLst>
        </c:ser>
        <c:dLbls>
          <c:showLegendKey val="0"/>
          <c:showVal val="0"/>
          <c:showCatName val="0"/>
          <c:showSerName val="0"/>
          <c:showPercent val="0"/>
          <c:showBubbleSize val="0"/>
        </c:dLbls>
        <c:gapWidth val="182"/>
        <c:axId val="406692384"/>
        <c:axId val="406692864"/>
      </c:barChart>
      <c:catAx>
        <c:axId val="40669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06692864"/>
        <c:crosses val="autoZero"/>
        <c:auto val="1"/>
        <c:lblAlgn val="ctr"/>
        <c:lblOffset val="100"/>
        <c:noMultiLvlLbl val="0"/>
      </c:catAx>
      <c:valAx>
        <c:axId val="406692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40669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a:t>Mortality Rate Distribution by Facility</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'02_Pivots'!$S$4</c:f>
              <c:strCache>
                <c:ptCount val="1"/>
                <c:pt idx="0">
                  <c:v>Mortality Rate</c:v>
                </c:pt>
              </c:strCache>
            </c:strRef>
          </c:tx>
          <c:spPr>
            <a:solidFill>
              <a:schemeClr val="accent1"/>
            </a:solidFill>
            <a:ln>
              <a:noFill/>
            </a:ln>
            <a:effectLst/>
          </c:spPr>
          <c:invertIfNegative val="0"/>
          <c:cat>
            <c:strRef>
              <c:f>'02_Pivots'!$R$5:$R$27</c:f>
              <c:strCache>
                <c:ptCount val="23"/>
                <c:pt idx="0">
                  <c:v>Brookhaven Memorial Hospital Medical Center Inc</c:v>
                </c:pt>
                <c:pt idx="1">
                  <c:v>Eastern Long Island Hospital</c:v>
                </c:pt>
                <c:pt idx="2">
                  <c:v>Franklin Hospital</c:v>
                </c:pt>
                <c:pt idx="3">
                  <c:v>Glen Cove Hospital</c:v>
                </c:pt>
                <c:pt idx="4">
                  <c:v>Good Samaritan Hospital Medical Center</c:v>
                </c:pt>
                <c:pt idx="5">
                  <c:v>Huntington Hospital</c:v>
                </c:pt>
                <c:pt idx="6">
                  <c:v>John T Mather Memorial Hospital of Port Jefferson New York Inc</c:v>
                </c:pt>
                <c:pt idx="7">
                  <c:v>Long Island Jewish Valley Stream</c:v>
                </c:pt>
                <c:pt idx="8">
                  <c:v>Mercy Medical Center</c:v>
                </c:pt>
                <c:pt idx="9">
                  <c:v>Nassau University Medical Center</c:v>
                </c:pt>
                <c:pt idx="10">
                  <c:v>North Shore University Hospital</c:v>
                </c:pt>
                <c:pt idx="11">
                  <c:v>Peconic Bay Medical Center</c:v>
                </c:pt>
                <c:pt idx="12">
                  <c:v>Plainview Hospital</c:v>
                </c:pt>
                <c:pt idx="13">
                  <c:v>South Nassau Communities Hospital</c:v>
                </c:pt>
                <c:pt idx="14">
                  <c:v>Southampton Hospital</c:v>
                </c:pt>
                <c:pt idx="15">
                  <c:v>Southside Hospital</c:v>
                </c:pt>
                <c:pt idx="16">
                  <c:v>St Catherine of Siena Hospital</c:v>
                </c:pt>
                <c:pt idx="17">
                  <c:v>St Charles Hospital</c:v>
                </c:pt>
                <c:pt idx="18">
                  <c:v>St Francis Hospital</c:v>
                </c:pt>
                <c:pt idx="19">
                  <c:v>St. Joseph Hospital</c:v>
                </c:pt>
                <c:pt idx="20">
                  <c:v>Syosset Hospital</c:v>
                </c:pt>
                <c:pt idx="21">
                  <c:v>University Hospital</c:v>
                </c:pt>
                <c:pt idx="22">
                  <c:v>Winthrop-University Hospital</c:v>
                </c:pt>
              </c:strCache>
            </c:strRef>
          </c:cat>
          <c:val>
            <c:numRef>
              <c:f>'02_Pivots'!$S$5:$S$27</c:f>
              <c:numCache>
                <c:formatCode>General</c:formatCode>
                <c:ptCount val="23"/>
                <c:pt idx="0">
                  <c:v>4.5245901639344263E-2</c:v>
                </c:pt>
                <c:pt idx="1">
                  <c:v>1.203416149068323E-2</c:v>
                </c:pt>
                <c:pt idx="2">
                  <c:v>1.9782714447867684E-2</c:v>
                </c:pt>
                <c:pt idx="3">
                  <c:v>3.6898529045125902E-2</c:v>
                </c:pt>
                <c:pt idx="4">
                  <c:v>2.5410833840535607E-2</c:v>
                </c:pt>
                <c:pt idx="5">
                  <c:v>1.6626786919442912E-2</c:v>
                </c:pt>
                <c:pt idx="6">
                  <c:v>1.9407744874715263E-2</c:v>
                </c:pt>
                <c:pt idx="7">
                  <c:v>1.7312758750470454E-2</c:v>
                </c:pt>
                <c:pt idx="8">
                  <c:v>2.6060388209920921E-2</c:v>
                </c:pt>
                <c:pt idx="9">
                  <c:v>2.0616409829237816E-2</c:v>
                </c:pt>
                <c:pt idx="10">
                  <c:v>2.014098690835851E-2</c:v>
                </c:pt>
                <c:pt idx="11">
                  <c:v>2.4058044806517312E-2</c:v>
                </c:pt>
                <c:pt idx="12">
                  <c:v>3.4532202174692314E-2</c:v>
                </c:pt>
                <c:pt idx="13">
                  <c:v>2.7338465127128529E-2</c:v>
                </c:pt>
                <c:pt idx="14">
                  <c:v>2.0610967979389033E-2</c:v>
                </c:pt>
                <c:pt idx="15">
                  <c:v>1.5115480154325881E-2</c:v>
                </c:pt>
                <c:pt idx="16">
                  <c:v>2.8042423152975015E-2</c:v>
                </c:pt>
                <c:pt idx="17">
                  <c:v>6.7446043165467623E-3</c:v>
                </c:pt>
                <c:pt idx="18">
                  <c:v>2.8542173300908743E-2</c:v>
                </c:pt>
                <c:pt idx="19">
                  <c:v>4.1604999177766812E-2</c:v>
                </c:pt>
                <c:pt idx="20">
                  <c:v>2.2411953041622197E-2</c:v>
                </c:pt>
                <c:pt idx="21">
                  <c:v>1.7031422975389593E-2</c:v>
                </c:pt>
                <c:pt idx="22">
                  <c:v>1.4948025543369318E-2</c:v>
                </c:pt>
              </c:numCache>
            </c:numRef>
          </c:val>
          <c:extLst>
            <c:ext xmlns:c16="http://schemas.microsoft.com/office/drawing/2014/chart" uri="{C3380CC4-5D6E-409C-BE32-E72D297353CC}">
              <c16:uniqueId val="{00000000-4E35-45EA-8CB5-F182E3AE58DA}"/>
            </c:ext>
          </c:extLst>
        </c:ser>
        <c:dLbls>
          <c:showLegendKey val="0"/>
          <c:showVal val="0"/>
          <c:showCatName val="0"/>
          <c:showSerName val="0"/>
          <c:showPercent val="0"/>
          <c:showBubbleSize val="0"/>
        </c:dLbls>
        <c:gapWidth val="182"/>
        <c:axId val="319880176"/>
        <c:axId val="146991280"/>
      </c:barChart>
      <c:catAx>
        <c:axId val="31988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6991280"/>
        <c:crosses val="autoZero"/>
        <c:auto val="1"/>
        <c:lblAlgn val="ctr"/>
        <c:lblOffset val="100"/>
        <c:noMultiLvlLbl val="0"/>
      </c:catAx>
      <c:valAx>
        <c:axId val="146991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31988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a:t>Margin Pressure Ratio Exposure by Facility</a:t>
            </a:r>
          </a:p>
        </c:rich>
      </c:tx>
      <c:layout>
        <c:manualLayout>
          <c:xMode val="edge"/>
          <c:yMode val="edge"/>
          <c:x val="0.18167847769028869"/>
          <c:y val="1.7647058823529412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'02_Pivots'!$V$4</c:f>
              <c:strCache>
                <c:ptCount val="1"/>
                <c:pt idx="0">
                  <c:v>Margin Pressure Ratio</c:v>
                </c:pt>
              </c:strCache>
            </c:strRef>
          </c:tx>
          <c:spPr>
            <a:solidFill>
              <a:schemeClr val="accent1"/>
            </a:solidFill>
            <a:ln>
              <a:noFill/>
            </a:ln>
            <a:effectLst/>
          </c:spPr>
          <c:invertIfNegative val="0"/>
          <c:cat>
            <c:strRef>
              <c:f>'02_Pivots'!$U$5:$U$27</c:f>
              <c:strCache>
                <c:ptCount val="23"/>
                <c:pt idx="0">
                  <c:v>Brookhaven Memorial Hospital Medical Center Inc</c:v>
                </c:pt>
                <c:pt idx="1">
                  <c:v>Eastern Long Island Hospital</c:v>
                </c:pt>
                <c:pt idx="2">
                  <c:v>Franklin Hospital</c:v>
                </c:pt>
                <c:pt idx="3">
                  <c:v>Glen Cove Hospital</c:v>
                </c:pt>
                <c:pt idx="4">
                  <c:v>Good Samaritan Hospital Medical Center</c:v>
                </c:pt>
                <c:pt idx="5">
                  <c:v>Huntington Hospital</c:v>
                </c:pt>
                <c:pt idx="6">
                  <c:v>John T Mather Memorial Hospital of Port Jefferson New York Inc</c:v>
                </c:pt>
                <c:pt idx="7">
                  <c:v>Long Island Jewish Valley Stream</c:v>
                </c:pt>
                <c:pt idx="8">
                  <c:v>Mercy Medical Center</c:v>
                </c:pt>
                <c:pt idx="9">
                  <c:v>Nassau University Medical Center</c:v>
                </c:pt>
                <c:pt idx="10">
                  <c:v>North Shore University Hospital</c:v>
                </c:pt>
                <c:pt idx="11">
                  <c:v>Peconic Bay Medical Center</c:v>
                </c:pt>
                <c:pt idx="12">
                  <c:v>Plainview Hospital</c:v>
                </c:pt>
                <c:pt idx="13">
                  <c:v>South Nassau Communities Hospital</c:v>
                </c:pt>
                <c:pt idx="14">
                  <c:v>Southampton Hospital</c:v>
                </c:pt>
                <c:pt idx="15">
                  <c:v>Southside Hospital</c:v>
                </c:pt>
                <c:pt idx="16">
                  <c:v>St Catherine of Siena Hospital</c:v>
                </c:pt>
                <c:pt idx="17">
                  <c:v>St Charles Hospital</c:v>
                </c:pt>
                <c:pt idx="18">
                  <c:v>St Francis Hospital</c:v>
                </c:pt>
                <c:pt idx="19">
                  <c:v>St. Joseph Hospital</c:v>
                </c:pt>
                <c:pt idx="20">
                  <c:v>Syosset Hospital</c:v>
                </c:pt>
                <c:pt idx="21">
                  <c:v>University Hospital</c:v>
                </c:pt>
                <c:pt idx="22">
                  <c:v>Winthrop-University Hospital</c:v>
                </c:pt>
              </c:strCache>
            </c:strRef>
          </c:cat>
          <c:val>
            <c:numRef>
              <c:f>'02_Pivots'!$V$5:$V$27</c:f>
              <c:numCache>
                <c:formatCode>General</c:formatCode>
                <c:ptCount val="23"/>
                <c:pt idx="0">
                  <c:v>0.18709237408207111</c:v>
                </c:pt>
                <c:pt idx="1">
                  <c:v>0.21242109410044391</c:v>
                </c:pt>
                <c:pt idx="2">
                  <c:v>0.31280802760563037</c:v>
                </c:pt>
                <c:pt idx="3">
                  <c:v>0.31078361424882556</c:v>
                </c:pt>
                <c:pt idx="4">
                  <c:v>0.22455022330570798</c:v>
                </c:pt>
                <c:pt idx="5">
                  <c:v>0.30144506100929491</c:v>
                </c:pt>
                <c:pt idx="6">
                  <c:v>0.2658494981654636</c:v>
                </c:pt>
                <c:pt idx="7">
                  <c:v>0.31424282590327901</c:v>
                </c:pt>
                <c:pt idx="8">
                  <c:v>0.25584418041749163</c:v>
                </c:pt>
                <c:pt idx="9">
                  <c:v>0.41951106394291104</c:v>
                </c:pt>
                <c:pt idx="10">
                  <c:v>0.21363968431737174</c:v>
                </c:pt>
                <c:pt idx="11">
                  <c:v>0.4597810150729319</c:v>
                </c:pt>
                <c:pt idx="12">
                  <c:v>0.36449217184252153</c:v>
                </c:pt>
                <c:pt idx="13">
                  <c:v>0.24968765267676848</c:v>
                </c:pt>
                <c:pt idx="14">
                  <c:v>0.37859168578224378</c:v>
                </c:pt>
                <c:pt idx="15">
                  <c:v>0.25723352806513944</c:v>
                </c:pt>
                <c:pt idx="16">
                  <c:v>0.2064817304171192</c:v>
                </c:pt>
                <c:pt idx="17">
                  <c:v>0.21463008911266399</c:v>
                </c:pt>
                <c:pt idx="18">
                  <c:v>0.19627799634239979</c:v>
                </c:pt>
                <c:pt idx="19">
                  <c:v>0.2916953345775064</c:v>
                </c:pt>
                <c:pt idx="20">
                  <c:v>0.22822397663370023</c:v>
                </c:pt>
                <c:pt idx="21">
                  <c:v>0.33813347897553198</c:v>
                </c:pt>
                <c:pt idx="22">
                  <c:v>0.23318862855944167</c:v>
                </c:pt>
              </c:numCache>
            </c:numRef>
          </c:val>
          <c:extLst>
            <c:ext xmlns:c16="http://schemas.microsoft.com/office/drawing/2014/chart" uri="{C3380CC4-5D6E-409C-BE32-E72D297353CC}">
              <c16:uniqueId val="{00000000-D344-4BB7-9164-11FF3861DD83}"/>
            </c:ext>
          </c:extLst>
        </c:ser>
        <c:dLbls>
          <c:showLegendKey val="0"/>
          <c:showVal val="0"/>
          <c:showCatName val="0"/>
          <c:showSerName val="0"/>
          <c:showPercent val="0"/>
          <c:showBubbleSize val="0"/>
        </c:dLbls>
        <c:gapWidth val="182"/>
        <c:axId val="328617936"/>
        <c:axId val="328618896"/>
      </c:barChart>
      <c:catAx>
        <c:axId val="32861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28618896"/>
        <c:crosses val="autoZero"/>
        <c:auto val="1"/>
        <c:lblAlgn val="ctr"/>
        <c:lblOffset val="100"/>
        <c:noMultiLvlLbl val="0"/>
      </c:catAx>
      <c:valAx>
        <c:axId val="328618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32861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50800</xdr:colOff>
      <xdr:row>2</xdr:row>
      <xdr:rowOff>88900</xdr:rowOff>
    </xdr:from>
    <xdr:to>
      <xdr:col>6</xdr:col>
      <xdr:colOff>485775</xdr:colOff>
      <xdr:row>10</xdr:row>
      <xdr:rowOff>196850</xdr:rowOff>
    </xdr:to>
    <mc:AlternateContent xmlns:mc="http://schemas.openxmlformats.org/markup-compatibility/2006">
      <mc:Choice xmlns:a14="http://schemas.microsoft.com/office/drawing/2010/main" Requires="a14">
        <xdr:graphicFrame macro="">
          <xdr:nvGraphicFramePr>
            <xdr:cNvPr id="2" name="PeerGroup_Name">
              <a:extLst>
                <a:ext uri="{FF2B5EF4-FFF2-40B4-BE49-F238E27FC236}">
                  <a16:creationId xmlns:a16="http://schemas.microsoft.com/office/drawing/2014/main" id="{1FC19051-3464-5245-DE7F-8FCA31523E2E}"/>
                </a:ext>
              </a:extLst>
            </xdr:cNvPr>
            <xdr:cNvGraphicFramePr/>
          </xdr:nvGraphicFramePr>
          <xdr:xfrm>
            <a:off x="0" y="0"/>
            <a:ext cx="0" cy="0"/>
          </xdr:xfrm>
          <a:graphic>
            <a:graphicData uri="http://schemas.microsoft.com/office/drawing/2010/slicer">
              <sle:slicer xmlns:sle="http://schemas.microsoft.com/office/drawing/2010/slicer" name="PeerGroup_Name"/>
            </a:graphicData>
          </a:graphic>
        </xdr:graphicFrame>
      </mc:Choice>
      <mc:Fallback>
        <xdr:sp macro="" textlink="">
          <xdr:nvSpPr>
            <xdr:cNvPr id="0" name=""/>
            <xdr:cNvSpPr>
              <a:spLocks noTextEdit="1"/>
            </xdr:cNvSpPr>
          </xdr:nvSpPr>
          <xdr:spPr>
            <a:xfrm>
              <a:off x="2536825" y="822325"/>
              <a:ext cx="29210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xdr:row>
      <xdr:rowOff>165100</xdr:rowOff>
    </xdr:from>
    <xdr:to>
      <xdr:col>2</xdr:col>
      <xdr:colOff>565150</xdr:colOff>
      <xdr:row>8</xdr:row>
      <xdr:rowOff>66675</xdr:rowOff>
    </xdr:to>
    <mc:AlternateContent xmlns:mc="http://schemas.openxmlformats.org/markup-compatibility/2006">
      <mc:Choice xmlns:a14="http://schemas.microsoft.com/office/drawing/2010/main" Requires="a14">
        <xdr:graphicFrame macro="">
          <xdr:nvGraphicFramePr>
            <xdr:cNvPr id="3" name="Discharge_Year">
              <a:extLst>
                <a:ext uri="{FF2B5EF4-FFF2-40B4-BE49-F238E27FC236}">
                  <a16:creationId xmlns:a16="http://schemas.microsoft.com/office/drawing/2014/main" id="{BC5CA03E-358E-8200-3004-E81EDB332258}"/>
                </a:ext>
              </a:extLst>
            </xdr:cNvPr>
            <xdr:cNvGraphicFramePr/>
          </xdr:nvGraphicFramePr>
          <xdr:xfrm>
            <a:off x="0" y="0"/>
            <a:ext cx="0" cy="0"/>
          </xdr:xfrm>
          <a:graphic>
            <a:graphicData uri="http://schemas.microsoft.com/office/drawing/2010/slicer">
              <sle:slicer xmlns:sle="http://schemas.microsoft.com/office/drawing/2010/slicer" name="Discharge_Year"/>
            </a:graphicData>
          </a:graphic>
        </xdr:graphicFrame>
      </mc:Choice>
      <mc:Fallback>
        <xdr:sp macro="" textlink="">
          <xdr:nvSpPr>
            <xdr:cNvPr id="0" name=""/>
            <xdr:cNvSpPr>
              <a:spLocks noTextEdit="1"/>
            </xdr:cNvSpPr>
          </xdr:nvSpPr>
          <xdr:spPr>
            <a:xfrm>
              <a:off x="190500" y="831850"/>
              <a:ext cx="2032000"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809625</xdr:colOff>
      <xdr:row>2</xdr:row>
      <xdr:rowOff>88900</xdr:rowOff>
    </xdr:from>
    <xdr:to>
      <xdr:col>12</xdr:col>
      <xdr:colOff>663575</xdr:colOff>
      <xdr:row>10</xdr:row>
      <xdr:rowOff>196850</xdr:rowOff>
    </xdr:to>
    <mc:AlternateContent xmlns:mc="http://schemas.openxmlformats.org/markup-compatibility/2006">
      <mc:Choice xmlns:a14="http://schemas.microsoft.com/office/drawing/2010/main" Requires="a14">
        <xdr:graphicFrame macro="">
          <xdr:nvGraphicFramePr>
            <xdr:cNvPr id="4" name="Facility_Name">
              <a:extLst>
                <a:ext uri="{FF2B5EF4-FFF2-40B4-BE49-F238E27FC236}">
                  <a16:creationId xmlns:a16="http://schemas.microsoft.com/office/drawing/2014/main" id="{39E8CBBA-E9F5-27F1-1F57-4EC0DE9ED80E}"/>
                </a:ext>
              </a:extLst>
            </xdr:cNvPr>
            <xdr:cNvGraphicFramePr/>
          </xdr:nvGraphicFramePr>
          <xdr:xfrm>
            <a:off x="0" y="0"/>
            <a:ext cx="0" cy="0"/>
          </xdr:xfrm>
          <a:graphic>
            <a:graphicData uri="http://schemas.microsoft.com/office/drawing/2010/slicer">
              <sle:slicer xmlns:sle="http://schemas.microsoft.com/office/drawing/2010/slicer" name="Facility_Name"/>
            </a:graphicData>
          </a:graphic>
        </xdr:graphicFrame>
      </mc:Choice>
      <mc:Fallback>
        <xdr:sp macro="" textlink="">
          <xdr:nvSpPr>
            <xdr:cNvPr id="0" name=""/>
            <xdr:cNvSpPr>
              <a:spLocks noTextEdit="1"/>
            </xdr:cNvSpPr>
          </xdr:nvSpPr>
          <xdr:spPr>
            <a:xfrm>
              <a:off x="5781675" y="822325"/>
              <a:ext cx="48260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219075</xdr:colOff>
      <xdr:row>20</xdr:row>
      <xdr:rowOff>107950</xdr:rowOff>
    </xdr:from>
    <xdr:to>
      <xdr:col>8</xdr:col>
      <xdr:colOff>381000</xdr:colOff>
      <xdr:row>36</xdr:row>
      <xdr:rowOff>63500</xdr:rowOff>
    </xdr:to>
    <xdr:graphicFrame macro="">
      <xdr:nvGraphicFramePr>
        <xdr:cNvPr id="9" name="Chart 8">
          <a:extLst>
            <a:ext uri="{FF2B5EF4-FFF2-40B4-BE49-F238E27FC236}">
              <a16:creationId xmlns:a16="http://schemas.microsoft.com/office/drawing/2014/main" id="{D0F8BCFE-16B7-CC54-08E1-44DBC9DD7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730250</xdr:colOff>
      <xdr:row>20</xdr:row>
      <xdr:rowOff>98425</xdr:rowOff>
    </xdr:from>
    <xdr:to>
      <xdr:col>16</xdr:col>
      <xdr:colOff>790575</xdr:colOff>
      <xdr:row>37</xdr:row>
      <xdr:rowOff>15875</xdr:rowOff>
    </xdr:to>
    <xdr:graphicFrame macro="">
      <xdr:nvGraphicFramePr>
        <xdr:cNvPr id="10" name="Chart 9">
          <a:extLst>
            <a:ext uri="{FF2B5EF4-FFF2-40B4-BE49-F238E27FC236}">
              <a16:creationId xmlns:a16="http://schemas.microsoft.com/office/drawing/2014/main" id="{45F6512D-F791-C040-0E4F-D71758296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219075</xdr:colOff>
      <xdr:row>37</xdr:row>
      <xdr:rowOff>146050</xdr:rowOff>
    </xdr:from>
    <xdr:to>
      <xdr:col>8</xdr:col>
      <xdr:colOff>381000</xdr:colOff>
      <xdr:row>53</xdr:row>
      <xdr:rowOff>196850</xdr:rowOff>
    </xdr:to>
    <xdr:graphicFrame macro="">
      <xdr:nvGraphicFramePr>
        <xdr:cNvPr id="11" name="Chart 10">
          <a:extLst>
            <a:ext uri="{FF2B5EF4-FFF2-40B4-BE49-F238E27FC236}">
              <a16:creationId xmlns:a16="http://schemas.microsoft.com/office/drawing/2014/main" id="{8A6E303F-B30C-5344-1433-9DD7A119F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730250</xdr:colOff>
      <xdr:row>37</xdr:row>
      <xdr:rowOff>117475</xdr:rowOff>
    </xdr:from>
    <xdr:to>
      <xdr:col>16</xdr:col>
      <xdr:colOff>771525</xdr:colOff>
      <xdr:row>53</xdr:row>
      <xdr:rowOff>168275</xdr:rowOff>
    </xdr:to>
    <xdr:graphicFrame macro="">
      <xdr:nvGraphicFramePr>
        <xdr:cNvPr id="12" name="Chart 11">
          <a:extLst>
            <a:ext uri="{FF2B5EF4-FFF2-40B4-BE49-F238E27FC236}">
              <a16:creationId xmlns:a16="http://schemas.microsoft.com/office/drawing/2014/main" id="{93DC2788-391D-E53C-26D0-F0A44D17C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an-Yves TRAN" refreshedDate="46065.464469444443" createdVersion="8" refreshedVersion="8" minRefreshableVersion="3" recordCount="23" xr:uid="{4D957A6D-E0AA-437A-8900-CCE6E9F9E504}">
  <cacheSource type="worksheet">
    <worksheetSource ref="A1:AQ24" sheet="01_Data"/>
  </cacheSource>
  <cacheFields count="43">
    <cacheField name="Facility_Key" numFmtId="0">
      <sharedItems containsSemiMixedTypes="0" containsString="0" containsNumber="1" containsInteger="1" minValue="1" maxValue="23"/>
    </cacheField>
    <cacheField name="Facility_Name" numFmtId="0">
      <sharedItems count="23">
        <s v="Long Island Jewish Valley Stream"/>
        <s v="Franklin Hospital"/>
        <s v="Brookhaven Memorial Hospital Medical Center Inc"/>
        <s v="St Catherine of Siena Hospital"/>
        <s v="Nassau University Medical Center"/>
        <s v="Syosset Hospital"/>
        <s v="St Francis Hospital"/>
        <s v="Winthrop-University Hospital"/>
        <s v="South Nassau Communities Hospital"/>
        <s v="Southampton Hospital"/>
        <s v="Eastern Long Island Hospital"/>
        <s v="Mercy Medical Center"/>
        <s v="North Shore University Hospital"/>
        <s v="Huntington Hospital"/>
        <s v="Southside Hospital"/>
        <s v="Glen Cove Hospital"/>
        <s v="St Charles Hospital"/>
        <s v="University Hospital"/>
        <s v="John T Mather Memorial Hospital of Port Jefferson New York Inc"/>
        <s v="Peconic Bay Medical Center"/>
        <s v="St. Joseph Hospital"/>
        <s v="Plainview Hospital"/>
        <s v="Good Samaritan Hospital Medical Center"/>
      </sharedItems>
    </cacheField>
    <cacheField name="PeerGroup_Name" numFmtId="0">
      <sharedItems count="5">
        <s v="PG-C Mid-Size Community"/>
        <s v="PG-B Large Community"/>
        <s v="PG-A Academic / Tertiary"/>
        <s v="PG-E Specialty-Dominant"/>
        <s v="PG-D Rural / East-End"/>
      </sharedItems>
    </cacheField>
    <cacheField name="PeerGroup_Count" numFmtId="0">
      <sharedItems containsSemiMixedTypes="0" containsString="0" containsNumber="1" containsInteger="1" minValue="1" maxValue="1"/>
    </cacheField>
    <cacheField name="PeerGroup_List" numFmtId="0">
      <sharedItems/>
    </cacheField>
    <cacheField name="Discharge_Year" numFmtId="0">
      <sharedItems containsSemiMixedTypes="0" containsString="0" containsNumber="1" containsInteger="1" minValue="2015" maxValue="2015" count="1">
        <n v="2015"/>
      </sharedItems>
    </cacheField>
    <cacheField name="Severity_Mix_Index" numFmtId="0">
      <sharedItems containsSemiMixedTypes="0" containsString="0" containsNumber="1" minValue="2.3487" maxValue="2.9232"/>
    </cacheField>
    <cacheField name="Severity_Encounter_Count" numFmtId="0">
      <sharedItems containsSemiMixedTypes="0" containsString="0" containsNumber="1" containsInteger="1" minValue="2576" maxValue="47664"/>
    </cacheField>
    <cacheField name="Severity_1_Count" numFmtId="0">
      <sharedItems containsSemiMixedTypes="0" containsString="0" containsNumber="1" containsInteger="1" minValue="430" maxValue="5967"/>
    </cacheField>
    <cacheField name="Severity_2_Count" numFmtId="0">
      <sharedItems containsSemiMixedTypes="0" containsString="0" containsNumber="1" containsInteger="1" minValue="535" maxValue="13266"/>
    </cacheField>
    <cacheField name="Severity_3_Count" numFmtId="0">
      <sharedItems containsSemiMixedTypes="0" containsString="0" containsNumber="1" containsInteger="1" minValue="675" maxValue="11380"/>
    </cacheField>
    <cacheField name="Severity_4_Count" numFmtId="0">
      <sharedItems containsSemiMixedTypes="0" containsString="0" containsNumber="1" containsInteger="1" minValue="582" maxValue="17051"/>
    </cacheField>
    <cacheField name="Commercial_Share" numFmtId="0">
      <sharedItems containsSemiMixedTypes="0" containsString="0" containsNumber="1" minValue="0.158" maxValue="0.46229999999999999"/>
    </cacheField>
    <cacheField name="Medicaid_Share" numFmtId="0">
      <sharedItems containsSemiMixedTypes="0" containsString="0" containsNumber="1" minValue="5.11E-2" maxValue="0.50160000000000005"/>
    </cacheField>
    <cacheField name="Medicare_Share" numFmtId="0">
      <sharedItems containsSemiMixedTypes="0" containsString="0" containsNumber="1" minValue="0.26690000000000003" maxValue="0.7117"/>
    </cacheField>
    <cacheField name="SelfPay_Share" numFmtId="0">
      <sharedItems containsSemiMixedTypes="0" containsString="0" containsNumber="1" minValue="5.0000000000000001E-4" maxValue="2.63E-2"/>
    </cacheField>
    <cacheField name="Other_Share" numFmtId="0">
      <sharedItems containsSemiMixedTypes="0" containsString="0" containsNumber="1" minValue="0" maxValue="4.2599999999999999E-2"/>
    </cacheField>
    <cacheField name="Payer_Encounter_Count_Sum" numFmtId="0">
      <sharedItems containsSemiMixedTypes="0" containsString="0" containsNumber="1" containsInteger="1" minValue="2576" maxValue="47664"/>
    </cacheField>
    <cacheField name="Encounter_Count_Total" numFmtId="0">
      <sharedItems containsSemiMixedTypes="0" containsString="0" containsNumber="1" containsInteger="1" minValue="2576" maxValue="47664"/>
    </cacheField>
    <cacheField name="Encounter_Count_Unplanned" numFmtId="0">
      <sharedItems containsSemiMixedTypes="0" containsString="0" containsNumber="1" containsInteger="1" minValue="2121" maxValue="32191"/>
    </cacheField>
    <cacheField name="Encounter_Count_Planned" numFmtId="0">
      <sharedItems containsSemiMixedTypes="0" containsString="0" containsNumber="1" containsInteger="1" minValue="270" maxValue="15473"/>
    </cacheField>
    <cacheField name="Unplanned_Admission_Rate" numFmtId="0">
      <sharedItems containsSemiMixedTypes="0" containsString="0" containsNumber="1" minValue="0.46039999999999998" maxValue="0.96609999999999996"/>
    </cacheField>
    <cacheField name="Home_Count" numFmtId="0">
      <sharedItems containsSemiMixedTypes="0" containsString="0" containsNumber="1" containsInteger="1" minValue="1572" maxValue="34256"/>
    </cacheField>
    <cacheField name="PostAcute_Count" numFmtId="0">
      <sharedItems containsSemiMixedTypes="0" containsString="0" containsNumber="1" containsInteger="1" minValue="454" maxValue="5147"/>
    </cacheField>
    <cacheField name="AcuteTransfer_Count" numFmtId="0">
      <sharedItems containsSemiMixedTypes="0" containsString="0" containsNumber="1" containsInteger="1" minValue="0" maxValue="0"/>
    </cacheField>
    <cacheField name="Expired_Count" numFmtId="0">
      <sharedItems containsSemiMixedTypes="0" containsString="0" containsNumber="1" containsInteger="1" minValue="31" maxValue="960"/>
    </cacheField>
    <cacheField name="OtherUnknown_Count" numFmtId="0">
      <sharedItems containsSemiMixedTypes="0" containsString="0" containsNumber="1" containsInteger="1" minValue="0" maxValue="0"/>
    </cacheField>
    <cacheField name="Home_Share" numFmtId="0">
      <sharedItems containsSemiMixedTypes="0" containsString="0" containsNumber="1" minValue="0.3947" maxValue="0.78520000000000001"/>
    </cacheField>
    <cacheField name="PostAcute_Share" numFmtId="0">
      <sharedItems containsSemiMixedTypes="0" containsString="0" containsNumber="1" minValue="7.9299999999999995E-2" maxValue="0.32200000000000001"/>
    </cacheField>
    <cacheField name="AcuteTransfer_Share" numFmtId="0">
      <sharedItems containsSemiMixedTypes="0" containsString="0" containsNumber="1" containsInteger="1" minValue="0" maxValue="0"/>
    </cacheField>
    <cacheField name="Expired_Share" numFmtId="0">
      <sharedItems containsSemiMixedTypes="0" containsString="0" containsNumber="1" minValue="6.7000000000000002E-3" maxValue="4.5199999999999997E-2"/>
    </cacheField>
    <cacheField name="OtherUnknown_Share" numFmtId="0">
      <sharedItems containsSemiMixedTypes="0" containsString="0" containsNumber="1" containsInteger="1" minValue="0" maxValue="0"/>
    </cacheField>
    <cacheField name="Disposition_Total_Encounters" numFmtId="0">
      <sharedItems containsSemiMixedTypes="0" containsString="0" containsNumber="1" containsInteger="1" minValue="2576" maxValue="47664"/>
    </cacheField>
    <cacheField name="Avg_LOS" numFmtId="0">
      <sharedItems containsSemiMixedTypes="0" containsString="0" containsNumber="1" minValue="3.5001840264998161" maxValue="7.0670655696833711"/>
    </cacheField>
    <cacheField name="Min_LOS" numFmtId="0">
      <sharedItems containsSemiMixedTypes="0" containsString="0" containsNumber="1" containsInteger="1" minValue="1" maxValue="1"/>
    </cacheField>
    <cacheField name="Max_LOS" numFmtId="0">
      <sharedItems containsSemiMixedTypes="0" containsString="0" containsNumber="1" containsInteger="1" minValue="40" maxValue="120"/>
    </cacheField>
    <cacheField name="Death_Count" numFmtId="0">
      <sharedItems containsSemiMixedTypes="0" containsString="0" containsNumber="1" containsInteger="1" minValue="31" maxValue="960"/>
    </cacheField>
    <cacheField name="Mortality_Rate" numFmtId="0">
      <sharedItems containsSemiMixedTypes="0" containsString="0" containsNumber="1" minValue="6.7446043165467623E-3" maxValue="4.5245901639344263E-2"/>
    </cacheField>
    <cacheField name="Avg_MCost" numFmtId="0">
      <sharedItems containsSemiMixedTypes="0" containsString="0" containsNumber="1" minValue="8113.5782725155277" maxValue="19311.297707002752"/>
    </cacheField>
    <cacheField name="Margin_Pressure_Ratio" numFmtId="0">
      <sharedItems containsSemiMixedTypes="0" containsString="0" containsNumber="1" minValue="0.18709237408207111" maxValue="0.4597810150729319"/>
    </cacheField>
    <cacheField name="NegMargin_Rate" numFmtId="0">
      <sharedItems containsSemiMixedTypes="0" containsString="0" containsNumber="1" minValue="0" maxValue="3.3859E-2"/>
    </cacheField>
    <cacheField name="Total_Costs" numFmtId="0">
      <sharedItems containsSemiMixedTypes="0" containsString="0" containsNumber="1" minValue="20900577.629999999" maxValue="767484854.82000005"/>
    </cacheField>
    <cacheField name="Total_Charges" numFmtId="0">
      <sharedItems containsSemiMixedTypes="0" containsString="0" containsNumber="1" minValue="98392194.609999999" maxValue="3592426459.8699999"/>
    </cacheField>
  </cacheFields>
  <extLst>
    <ext xmlns:x14="http://schemas.microsoft.com/office/spreadsheetml/2009/9/main" uri="{725AE2AE-9491-48be-B2B4-4EB974FC3084}">
      <x14:pivotCacheDefinition pivotCacheId="264020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n v="1"/>
    <x v="0"/>
    <x v="0"/>
    <n v="1"/>
    <s v="PG-C Mid-Size Community"/>
    <x v="0"/>
    <n v="2.6446999999999998"/>
    <n v="2657"/>
    <n v="430"/>
    <n v="690"/>
    <n v="931"/>
    <n v="606"/>
    <n v="0.18709999999999999"/>
    <n v="0.2258"/>
    <n v="0.51939999999999997"/>
    <n v="2.63E-2"/>
    <n v="4.1399999999999999E-2"/>
    <n v="2657"/>
    <n v="2657"/>
    <n v="2387"/>
    <n v="270"/>
    <n v="0.89839999999999998"/>
    <n v="1572"/>
    <n v="454"/>
    <n v="0"/>
    <n v="46"/>
    <n v="0"/>
    <n v="0.59160000000000001"/>
    <n v="0.1709"/>
    <n v="0"/>
    <n v="1.7299999999999999E-2"/>
    <n v="0"/>
    <n v="2657"/>
    <n v="4.9303726006774555"/>
    <n v="1"/>
    <n v="82"/>
    <n v="46"/>
    <n v="1.7312758750470454E-2"/>
    <n v="17193.681471584496"/>
    <n v="0.31424282590327901"/>
    <n v="0"/>
    <n v="45683611.670000002"/>
    <n v="145376784.78"/>
  </r>
  <r>
    <n v="2"/>
    <x v="1"/>
    <x v="0"/>
    <n v="1"/>
    <s v="PG-C Mid-Size Community"/>
    <x v="0"/>
    <n v="2.6362999999999999"/>
    <n v="6167"/>
    <n v="1013"/>
    <n v="1628"/>
    <n v="2115"/>
    <n v="1411"/>
    <n v="0.193"/>
    <n v="0.22439999999999999"/>
    <n v="0.51439999999999997"/>
    <n v="2.6100000000000002E-2"/>
    <n v="4.2200000000000001E-2"/>
    <n v="6167"/>
    <n v="6167"/>
    <n v="5585"/>
    <n v="582"/>
    <n v="0.90559999999999996"/>
    <n v="3713"/>
    <n v="1025"/>
    <n v="0"/>
    <n v="122"/>
    <n v="0"/>
    <n v="0.60209999999999997"/>
    <n v="0.16619999999999999"/>
    <n v="0"/>
    <n v="1.9800000000000002E-2"/>
    <n v="0"/>
    <n v="6167"/>
    <n v="5.0306469920544838"/>
    <n v="1"/>
    <n v="120"/>
    <n v="122"/>
    <n v="1.9782714447867684E-2"/>
    <n v="17342.405848873033"/>
    <n v="0.31280802760563037"/>
    <n v="0"/>
    <n v="106950616.87"/>
    <n v="341904962.25"/>
  </r>
  <r>
    <n v="3"/>
    <x v="2"/>
    <x v="1"/>
    <n v="1"/>
    <s v="PG-B Large Community"/>
    <x v="0"/>
    <n v="2.7101000000000002"/>
    <n v="12200"/>
    <n v="1973"/>
    <n v="3102"/>
    <n v="3614"/>
    <n v="3511"/>
    <n v="0.35270000000000001"/>
    <n v="5.3999999999999999E-2"/>
    <n v="0.57040000000000002"/>
    <n v="2.29E-2"/>
    <n v="0"/>
    <n v="12200"/>
    <n v="12200"/>
    <n v="11786"/>
    <n v="414"/>
    <n v="0.96609999999999996"/>
    <n v="5635"/>
    <n v="2716"/>
    <n v="0"/>
    <n v="552"/>
    <n v="0"/>
    <n v="0.46189999999999998"/>
    <n v="0.22259999999999999"/>
    <n v="0"/>
    <n v="4.5199999999999997E-2"/>
    <n v="0"/>
    <n v="12200"/>
    <n v="6.3327868852459019"/>
    <n v="1"/>
    <n v="120"/>
    <n v="552"/>
    <n v="4.5245901639344263E-2"/>
    <n v="11602.699094262294"/>
    <n v="0.18709237408207111"/>
    <n v="0"/>
    <n v="141552928.94999999"/>
    <n v="756593793.00999999"/>
  </r>
  <r>
    <n v="4"/>
    <x v="3"/>
    <x v="1"/>
    <n v="1"/>
    <s v="PG-B Large Community"/>
    <x v="0"/>
    <n v="2.8365999999999998"/>
    <n v="11126"/>
    <n v="1472"/>
    <n v="2579"/>
    <n v="3370"/>
    <n v="3705"/>
    <n v="0.2621"/>
    <n v="0.1963"/>
    <n v="0.51839999999999997"/>
    <n v="5.1999999999999998E-3"/>
    <n v="1.7999999999999999E-2"/>
    <n v="11126"/>
    <n v="11126"/>
    <n v="9231"/>
    <n v="1895"/>
    <n v="0.82969999999999999"/>
    <n v="6936"/>
    <n v="2192"/>
    <n v="0"/>
    <n v="312"/>
    <n v="0"/>
    <n v="0.62339999999999995"/>
    <n v="0.19700000000000001"/>
    <n v="0"/>
    <n v="2.8000000000000001E-2"/>
    <n v="0"/>
    <n v="11126"/>
    <n v="5.761459644076937"/>
    <n v="1"/>
    <n v="120"/>
    <n v="312"/>
    <n v="2.8042423152975015E-2"/>
    <n v="11178.658483731801"/>
    <n v="0.2064817304171192"/>
    <n v="0"/>
    <n v="124373754.29000001"/>
    <n v="602347500.86000001"/>
  </r>
  <r>
    <n v="5"/>
    <x v="4"/>
    <x v="2"/>
    <n v="1"/>
    <s v="PG-A Academic / Tertiary"/>
    <x v="0"/>
    <n v="2.6633"/>
    <n v="19208"/>
    <n v="3226"/>
    <n v="5489"/>
    <n v="5019"/>
    <n v="5474"/>
    <n v="0.18390000000000001"/>
    <n v="0.48449999999999999"/>
    <n v="0.26690000000000003"/>
    <n v="2.2100000000000002E-2"/>
    <n v="4.2599999999999999E-2"/>
    <n v="19208"/>
    <n v="19208"/>
    <n v="15758"/>
    <n v="3450"/>
    <n v="0.82040000000000002"/>
    <n v="13822"/>
    <n v="1523"/>
    <n v="0"/>
    <n v="396"/>
    <n v="0"/>
    <n v="0.71960000000000002"/>
    <n v="7.9299999999999995E-2"/>
    <n v="0"/>
    <n v="2.06E-2"/>
    <n v="0"/>
    <n v="19208"/>
    <n v="5.9261765930862138"/>
    <n v="1"/>
    <n v="120"/>
    <n v="396"/>
    <n v="2.0616409829237816E-2"/>
    <n v="14000.471753436068"/>
    <n v="0.41951106394291104"/>
    <n v="3.1288999999999997E-2"/>
    <n v="268921061.44"/>
    <n v="641034491.23000002"/>
  </r>
  <r>
    <n v="6"/>
    <x v="5"/>
    <x v="0"/>
    <n v="1"/>
    <s v="PG-C Mid-Size Community"/>
    <x v="0"/>
    <n v="2.3487"/>
    <n v="3748"/>
    <n v="860"/>
    <n v="1303"/>
    <n v="1003"/>
    <n v="582"/>
    <n v="0.3367"/>
    <n v="9.7900000000000001E-2"/>
    <n v="0.56430000000000002"/>
    <n v="1.1000000000000001E-3"/>
    <n v="0"/>
    <n v="3748"/>
    <n v="3748"/>
    <n v="2411"/>
    <n v="1337"/>
    <n v="0.64329999999999998"/>
    <n v="1584"/>
    <n v="1207"/>
    <n v="0"/>
    <n v="84"/>
    <n v="0"/>
    <n v="0.42259999999999998"/>
    <n v="0.32200000000000001"/>
    <n v="0"/>
    <n v="2.24E-2"/>
    <n v="0"/>
    <n v="3748"/>
    <n v="5.1416755602988262"/>
    <n v="1"/>
    <n v="120"/>
    <n v="84"/>
    <n v="2.2411953041622197E-2"/>
    <n v="15623.623657950908"/>
    <n v="0.22822397663370023"/>
    <n v="0"/>
    <n v="58557341.469999999"/>
    <n v="256578394.31999999"/>
  </r>
  <r>
    <n v="7"/>
    <x v="6"/>
    <x v="3"/>
    <n v="1"/>
    <s v="PG-E Specialty-Dominant"/>
    <x v="0"/>
    <n v="2.7517"/>
    <n v="15626"/>
    <n v="2597"/>
    <n v="3979"/>
    <n v="3757"/>
    <n v="5293"/>
    <n v="0.2235"/>
    <n v="5.11E-2"/>
    <n v="0.7117"/>
    <n v="3.0000000000000001E-3"/>
    <n v="1.06E-2"/>
    <n v="15626"/>
    <n v="15626"/>
    <n v="12388"/>
    <n v="3238"/>
    <n v="0.79279999999999995"/>
    <n v="7454"/>
    <n v="3082"/>
    <n v="0"/>
    <n v="446"/>
    <n v="0"/>
    <n v="0.47699999999999998"/>
    <n v="0.19719999999999999"/>
    <n v="0"/>
    <n v="2.8500000000000001E-2"/>
    <n v="0"/>
    <n v="15626"/>
    <n v="6.4319723537693587"/>
    <n v="1"/>
    <n v="120"/>
    <n v="446"/>
    <n v="2.8542173300908743E-2"/>
    <n v="19265.353059004221"/>
    <n v="0.19627799634239979"/>
    <n v="0"/>
    <n v="301040406.89999998"/>
    <n v="1533745058.0799999"/>
  </r>
  <r>
    <n v="8"/>
    <x v="7"/>
    <x v="2"/>
    <n v="1"/>
    <s v="PG-A Academic / Tertiary"/>
    <x v="0"/>
    <n v="2.8626999999999998"/>
    <n v="34921"/>
    <n v="4478"/>
    <n v="9200"/>
    <n v="7883"/>
    <n v="13360"/>
    <n v="0.42880000000000001"/>
    <n v="0.20030000000000001"/>
    <n v="0.34620000000000001"/>
    <n v="7.4999999999999997E-3"/>
    <n v="1.72E-2"/>
    <n v="34921"/>
    <n v="34921"/>
    <n v="21669"/>
    <n v="13252"/>
    <n v="0.62050000000000005"/>
    <n v="23303"/>
    <n v="3217"/>
    <n v="0"/>
    <n v="522"/>
    <n v="0"/>
    <n v="0.6673"/>
    <n v="9.2100000000000001E-2"/>
    <n v="0"/>
    <n v="1.49E-2"/>
    <n v="0"/>
    <n v="34921"/>
    <n v="4.8065633859282384"/>
    <n v="1"/>
    <n v="120"/>
    <n v="522"/>
    <n v="1.4948025543369318E-2"/>
    <n v="14759.542471292345"/>
    <n v="0.23318862855944167"/>
    <n v="0"/>
    <n v="515417982.63999999"/>
    <n v="2210304961.3699999"/>
  </r>
  <r>
    <n v="9"/>
    <x v="8"/>
    <x v="1"/>
    <n v="1"/>
    <s v="PG-B Large Community"/>
    <x v="0"/>
    <n v="2.7898000000000001"/>
    <n v="21435"/>
    <n v="3041"/>
    <n v="5746"/>
    <n v="5326"/>
    <n v="7322"/>
    <n v="0.31409999999999999"/>
    <n v="0.19109999999999999"/>
    <n v="0.46850000000000003"/>
    <n v="3.0999999999999999E-3"/>
    <n v="2.3099999999999999E-2"/>
    <n v="21435"/>
    <n v="21435"/>
    <n v="16999"/>
    <n v="4436"/>
    <n v="0.79300000000000004"/>
    <n v="13374"/>
    <n v="3526"/>
    <n v="0"/>
    <n v="586"/>
    <n v="0"/>
    <n v="0.62390000000000001"/>
    <n v="0.16450000000000001"/>
    <n v="0"/>
    <n v="2.7300000000000001E-2"/>
    <n v="0"/>
    <n v="21435"/>
    <n v="5.1842780499183574"/>
    <n v="1"/>
    <n v="120"/>
    <n v="586"/>
    <n v="2.7338465127128529E-2"/>
    <n v="10827.980948448798"/>
    <n v="0.24968765267676848"/>
    <n v="8.1639999999999994E-3"/>
    <n v="232097771.63"/>
    <n v="929552459.40999997"/>
  </r>
  <r>
    <n v="10"/>
    <x v="9"/>
    <x v="4"/>
    <n v="1"/>
    <s v="PG-D Rural / East-End"/>
    <x v="0"/>
    <n v="2.8801999999999999"/>
    <n v="5434"/>
    <n v="661"/>
    <n v="1490"/>
    <n v="1122"/>
    <n v="2161"/>
    <n v="0.2858"/>
    <n v="0.23480000000000001"/>
    <n v="0.43909999999999999"/>
    <n v="2.3199999999999998E-2"/>
    <n v="1.7100000000000001E-2"/>
    <n v="5434"/>
    <n v="5434"/>
    <n v="3870"/>
    <n v="1564"/>
    <n v="0.71220000000000006"/>
    <n v="4267"/>
    <n v="580"/>
    <n v="0"/>
    <n v="112"/>
    <n v="0"/>
    <n v="0.78520000000000001"/>
    <n v="0.1067"/>
    <n v="0"/>
    <n v="2.06E-2"/>
    <n v="0"/>
    <n v="5434"/>
    <n v="3.5001840264998161"/>
    <n v="1"/>
    <n v="120"/>
    <n v="112"/>
    <n v="2.0610967979389033E-2"/>
    <n v="11198.972175193227"/>
    <n v="0.37859168578224378"/>
    <n v="2.0240000000000002E-3"/>
    <n v="60855214.799999997"/>
    <n v="160741022.81"/>
  </r>
  <r>
    <n v="11"/>
    <x v="10"/>
    <x v="4"/>
    <n v="1"/>
    <s v="PG-D Rural / East-End"/>
    <x v="0"/>
    <n v="2.4981"/>
    <n v="2576"/>
    <n v="708"/>
    <n v="535"/>
    <n v="675"/>
    <n v="658"/>
    <n v="0.158"/>
    <n v="0.50160000000000005"/>
    <n v="0.31640000000000001"/>
    <n v="5.7999999999999996E-3"/>
    <n v="1.8200000000000001E-2"/>
    <n v="2576"/>
    <n v="2576"/>
    <n v="2121"/>
    <n v="455"/>
    <n v="0.82340000000000002"/>
    <n v="1736"/>
    <n v="456"/>
    <n v="0"/>
    <n v="31"/>
    <n v="0"/>
    <n v="0.67390000000000005"/>
    <n v="0.17699999999999999"/>
    <n v="0"/>
    <n v="1.2E-2"/>
    <n v="0"/>
    <n v="2576"/>
    <n v="6.8229813664596275"/>
    <n v="1"/>
    <n v="40"/>
    <n v="31"/>
    <n v="1.203416149068323E-2"/>
    <n v="8113.5782725155277"/>
    <n v="0.21242109410044391"/>
    <n v="0"/>
    <n v="20900577.629999999"/>
    <n v="98392194.609999999"/>
  </r>
  <r>
    <n v="12"/>
    <x v="11"/>
    <x v="1"/>
    <n v="1"/>
    <s v="PG-B Large Community"/>
    <x v="0"/>
    <n v="2.8782999999999999"/>
    <n v="11128"/>
    <n v="1383"/>
    <n v="2743"/>
    <n v="2847"/>
    <n v="4155"/>
    <n v="0.251"/>
    <n v="0.27050000000000002"/>
    <n v="0.44900000000000001"/>
    <n v="1.41E-2"/>
    <n v="1.54E-2"/>
    <n v="11128"/>
    <n v="11128"/>
    <n v="8121"/>
    <n v="3007"/>
    <n v="0.7298"/>
    <n v="6073"/>
    <n v="1619"/>
    <n v="0"/>
    <n v="290"/>
    <n v="0"/>
    <n v="0.54569999999999996"/>
    <n v="0.14549999999999999"/>
    <n v="0"/>
    <n v="2.6100000000000002E-2"/>
    <n v="0"/>
    <n v="11128"/>
    <n v="6.2629403306973401"/>
    <n v="1"/>
    <n v="120"/>
    <n v="290"/>
    <n v="2.6060388209920921E-2"/>
    <n v="12723.563159597412"/>
    <n v="0.25584418041749163"/>
    <n v="0"/>
    <n v="141587810.84"/>
    <n v="553414232.87"/>
  </r>
  <r>
    <n v="13"/>
    <x v="12"/>
    <x v="2"/>
    <n v="1"/>
    <s v="PG-A Academic / Tertiary"/>
    <x v="0"/>
    <n v="2.8290000000000002"/>
    <n v="47664"/>
    <n v="5967"/>
    <n v="13266"/>
    <n v="11380"/>
    <n v="17051"/>
    <n v="0.46229999999999999"/>
    <n v="0.13009999999999999"/>
    <n v="0.40629999999999999"/>
    <n v="1.4E-3"/>
    <n v="0"/>
    <n v="47664"/>
    <n v="47664"/>
    <n v="32191"/>
    <n v="15473"/>
    <n v="0.6754"/>
    <n v="34256"/>
    <n v="5147"/>
    <n v="0"/>
    <n v="960"/>
    <n v="0"/>
    <n v="0.71870000000000001"/>
    <n v="0.108"/>
    <n v="0"/>
    <n v="2.01E-2"/>
    <n v="0"/>
    <n v="47664"/>
    <n v="5.4342480698220879"/>
    <n v="1"/>
    <n v="120"/>
    <n v="960"/>
    <n v="2.014098690835851E-2"/>
    <n v="16101.981680513596"/>
    <n v="0.21363968431737174"/>
    <n v="0"/>
    <n v="767484854.82000005"/>
    <n v="3592426459.8699999"/>
  </r>
  <r>
    <n v="14"/>
    <x v="13"/>
    <x v="1"/>
    <n v="1"/>
    <s v="PG-B Large Community"/>
    <x v="0"/>
    <n v="2.7660999999999998"/>
    <n v="16299"/>
    <n v="2237"/>
    <n v="4529"/>
    <n v="4343"/>
    <n v="5190"/>
    <n v="0.30740000000000001"/>
    <n v="0.18060000000000001"/>
    <n v="0.48449999999999999"/>
    <n v="6.0000000000000001E-3"/>
    <n v="2.1499999999999998E-2"/>
    <n v="16299"/>
    <n v="16299"/>
    <n v="11865"/>
    <n v="4434"/>
    <n v="0.72799999999999998"/>
    <n v="10481"/>
    <n v="2502"/>
    <n v="0"/>
    <n v="271"/>
    <n v="0"/>
    <n v="0.64300000000000002"/>
    <n v="0.1535"/>
    <n v="0"/>
    <n v="1.66E-2"/>
    <n v="0"/>
    <n v="16299"/>
    <n v="4.7236026750107367"/>
    <n v="1"/>
    <n v="120"/>
    <n v="271"/>
    <n v="1.6626786919442912E-2"/>
    <n v="12338.492413031474"/>
    <n v="0.30144506100929491"/>
    <n v="0"/>
    <n v="201105087.84"/>
    <n v="667136781.63"/>
  </r>
  <r>
    <n v="15"/>
    <x v="14"/>
    <x v="1"/>
    <n v="1"/>
    <s v="PG-B Large Community"/>
    <x v="0"/>
    <n v="2.8866999999999998"/>
    <n v="18921"/>
    <n v="2355"/>
    <n v="5274"/>
    <n v="3451"/>
    <n v="7841"/>
    <n v="0.30070000000000002"/>
    <n v="0.2964"/>
    <n v="0.39379999999999998"/>
    <n v="4.1000000000000003E-3"/>
    <n v="5.0000000000000001E-3"/>
    <n v="18921"/>
    <n v="18921"/>
    <n v="12285"/>
    <n v="6636"/>
    <n v="0.64929999999999999"/>
    <n v="13481"/>
    <n v="2235"/>
    <n v="0"/>
    <n v="286"/>
    <n v="0"/>
    <n v="0.71250000000000002"/>
    <n v="0.1181"/>
    <n v="0"/>
    <n v="1.5100000000000001E-2"/>
    <n v="0"/>
    <n v="18921"/>
    <n v="4.751915860683896"/>
    <n v="1"/>
    <n v="120"/>
    <n v="286"/>
    <n v="1.5115480154325881E-2"/>
    <n v="12190.33054595423"/>
    <n v="0.25723352806513944"/>
    <n v="0"/>
    <n v="230653244.25999999"/>
    <n v="896668665.22000003"/>
  </r>
  <r>
    <n v="16"/>
    <x v="15"/>
    <x v="0"/>
    <n v="1"/>
    <s v="PG-C Mid-Size Community"/>
    <x v="0"/>
    <n v="2.9232"/>
    <n v="4011"/>
    <n v="487"/>
    <n v="1032"/>
    <n v="794"/>
    <n v="1698"/>
    <n v="0.22209999999999999"/>
    <n v="0.1047"/>
    <n v="0.67269999999999996"/>
    <n v="5.0000000000000001E-4"/>
    <n v="0"/>
    <n v="4011"/>
    <n v="4011"/>
    <n v="3005"/>
    <n v="1006"/>
    <n v="0.74919999999999998"/>
    <n v="1902"/>
    <n v="1017"/>
    <n v="0"/>
    <n v="148"/>
    <n v="0"/>
    <n v="0.47420000000000001"/>
    <n v="0.25359999999999999"/>
    <n v="0"/>
    <n v="3.6900000000000002E-2"/>
    <n v="0"/>
    <n v="4011"/>
    <n v="7.0670655696833711"/>
    <n v="1"/>
    <n v="87"/>
    <n v="148"/>
    <n v="3.6898529045125902E-2"/>
    <n v="15395.272378459236"/>
    <n v="0.31078361424882556"/>
    <n v="0"/>
    <n v="61750437.509999998"/>
    <n v="198692706.69"/>
  </r>
  <r>
    <n v="17"/>
    <x v="16"/>
    <x v="3"/>
    <n v="1"/>
    <s v="PG-E Specialty-Dominant"/>
    <x v="0"/>
    <n v="2.7254"/>
    <n v="11120"/>
    <n v="1853"/>
    <n v="3449"/>
    <n v="1717"/>
    <n v="4101"/>
    <n v="0.39410000000000001"/>
    <n v="0.2621"/>
    <n v="0.31709999999999999"/>
    <n v="6.4999999999999997E-3"/>
    <n v="2.0299999999999999E-2"/>
    <n v="11120"/>
    <n v="11120"/>
    <n v="5120"/>
    <n v="6000"/>
    <n v="0.46039999999999998"/>
    <n v="7199"/>
    <n v="906"/>
    <n v="0"/>
    <n v="75"/>
    <n v="0"/>
    <n v="0.64739999999999998"/>
    <n v="8.1500000000000003E-2"/>
    <n v="0"/>
    <n v="6.7000000000000002E-3"/>
    <n v="0"/>
    <n v="11120"/>
    <n v="6.0489208633093527"/>
    <n v="1"/>
    <n v="120"/>
    <n v="75"/>
    <n v="6.7446043165467623E-3"/>
    <n v="10213.964243705035"/>
    <n v="0.21463008911266399"/>
    <n v="0"/>
    <n v="113579282.39"/>
    <n v="529186205.25"/>
  </r>
  <r>
    <n v="18"/>
    <x v="17"/>
    <x v="2"/>
    <n v="1"/>
    <s v="PG-A Academic / Tertiary"/>
    <x v="0"/>
    <n v="2.8239999999999998"/>
    <n v="35229"/>
    <n v="4521"/>
    <n v="9585"/>
    <n v="8695"/>
    <n v="12428"/>
    <n v="0.43740000000000001"/>
    <n v="0.2412"/>
    <n v="0.30199999999999999"/>
    <n v="2E-3"/>
    <n v="1.7399999999999999E-2"/>
    <n v="35229"/>
    <n v="35229"/>
    <n v="23872"/>
    <n v="11357"/>
    <n v="0.67759999999999998"/>
    <n v="24650"/>
    <n v="3991"/>
    <n v="0"/>
    <n v="600"/>
    <n v="0"/>
    <n v="0.69969999999999999"/>
    <n v="0.1133"/>
    <n v="0"/>
    <n v="1.7000000000000001E-2"/>
    <n v="0"/>
    <n v="35229"/>
    <n v="5.5169320730080331"/>
    <n v="1"/>
    <n v="120"/>
    <n v="600"/>
    <n v="1.7031422975389593E-2"/>
    <n v="19311.297707002752"/>
    <n v="0.33813347897553198"/>
    <n v="1.9009999999999999E-3"/>
    <n v="680317706.91999996"/>
    <n v="2011979733.51"/>
  </r>
  <r>
    <n v="19"/>
    <x v="18"/>
    <x v="0"/>
    <n v="1"/>
    <s v="PG-C Mid-Size Community"/>
    <x v="0"/>
    <n v="2.7740999999999998"/>
    <n v="10975"/>
    <n v="1457"/>
    <n v="2633"/>
    <n v="3817"/>
    <n v="3068"/>
    <n v="0.28360000000000002"/>
    <n v="9.3200000000000005E-2"/>
    <n v="0.58530000000000004"/>
    <n v="4.4999999999999997E-3"/>
    <n v="3.3300000000000003E-2"/>
    <n v="10975"/>
    <n v="10975"/>
    <n v="9510"/>
    <n v="1465"/>
    <n v="0.86650000000000005"/>
    <n v="6606"/>
    <n v="1838"/>
    <n v="0"/>
    <n v="213"/>
    <n v="0"/>
    <n v="0.60189999999999999"/>
    <n v="0.16750000000000001"/>
    <n v="0"/>
    <n v="1.9400000000000001E-2"/>
    <n v="0"/>
    <n v="10975"/>
    <n v="6.0666970387243735"/>
    <n v="1"/>
    <n v="120"/>
    <n v="213"/>
    <n v="1.9407744874715263E-2"/>
    <n v="13802.929272892939"/>
    <n v="0.2658494981654636"/>
    <n v="0"/>
    <n v="151487148.77000001"/>
    <n v="569822963.04999995"/>
  </r>
  <r>
    <n v="20"/>
    <x v="19"/>
    <x v="4"/>
    <n v="1"/>
    <s v="PG-D Rural / East-End"/>
    <x v="0"/>
    <n v="2.6448999999999998"/>
    <n v="7856"/>
    <n v="1320"/>
    <n v="2444"/>
    <n v="1798"/>
    <n v="2294"/>
    <n v="0.20019999999999999"/>
    <n v="0.20380000000000001"/>
    <n v="0.56140000000000001"/>
    <n v="1.1599999999999999E-2"/>
    <n v="2.3E-2"/>
    <n v="7856"/>
    <n v="7856"/>
    <n v="5880"/>
    <n v="1976"/>
    <n v="0.74850000000000005"/>
    <n v="4478"/>
    <n v="1846"/>
    <n v="0"/>
    <n v="189"/>
    <n v="0"/>
    <n v="0.56999999999999995"/>
    <n v="0.23499999999999999"/>
    <n v="0"/>
    <n v="2.41E-2"/>
    <n v="0"/>
    <n v="7856"/>
    <n v="4.0196028513238291"/>
    <n v="1"/>
    <n v="120"/>
    <n v="189"/>
    <n v="2.4058044806517312E-2"/>
    <n v="18785.745650458251"/>
    <n v="0.4597810150729319"/>
    <n v="3.3859E-2"/>
    <n v="147580817.83000001"/>
    <n v="320980669.04000002"/>
  </r>
  <r>
    <n v="21"/>
    <x v="20"/>
    <x v="1"/>
    <n v="1"/>
    <s v="PG-B Large Community"/>
    <x v="0"/>
    <n v="2.5971000000000002"/>
    <n v="6081"/>
    <n v="1117"/>
    <n v="1720"/>
    <n v="1740"/>
    <n v="1504"/>
    <n v="0.1714"/>
    <n v="0.10150000000000001"/>
    <n v="0.70609999999999995"/>
    <n v="9.9000000000000008E-3"/>
    <n v="1.12E-2"/>
    <n v="6081"/>
    <n v="6081"/>
    <n v="5796"/>
    <n v="285"/>
    <n v="0.95309999999999995"/>
    <n v="2400"/>
    <n v="1553"/>
    <n v="0"/>
    <n v="253"/>
    <n v="0"/>
    <n v="0.3947"/>
    <n v="0.25540000000000002"/>
    <n v="0"/>
    <n v="4.1599999999999998E-2"/>
    <n v="0"/>
    <n v="6081"/>
    <n v="5.5268870251603355"/>
    <n v="1"/>
    <n v="96"/>
    <n v="253"/>
    <n v="4.1604999177766812E-2"/>
    <n v="14763.155877322808"/>
    <n v="0.2916953345775064"/>
    <n v="0"/>
    <n v="89774750.890000001"/>
    <n v="307768895.31"/>
  </r>
  <r>
    <n v="22"/>
    <x v="21"/>
    <x v="0"/>
    <n v="1"/>
    <s v="PG-C Mid-Size Community"/>
    <x v="0"/>
    <n v="2.6541999999999999"/>
    <n v="8369"/>
    <n v="1483"/>
    <n v="2251"/>
    <n v="2312"/>
    <n v="2323"/>
    <n v="0.25369999999999998"/>
    <n v="6.5100000000000005E-2"/>
    <n v="0.6804"/>
    <n v="8.0000000000000004E-4"/>
    <n v="0"/>
    <n v="8369"/>
    <n v="8369"/>
    <n v="7861"/>
    <n v="508"/>
    <n v="0.93930000000000002"/>
    <n v="3879"/>
    <n v="1907"/>
    <n v="0"/>
    <n v="289"/>
    <n v="0"/>
    <n v="0.46350000000000002"/>
    <n v="0.22789999999999999"/>
    <n v="0"/>
    <n v="3.4500000000000003E-2"/>
    <n v="0"/>
    <n v="8369"/>
    <n v="4.9707252957342574"/>
    <n v="1"/>
    <n v="107"/>
    <n v="289"/>
    <n v="3.4532202174692314E-2"/>
    <n v="15186.960199545943"/>
    <n v="0.36449217184252153"/>
    <n v="0"/>
    <n v="127099669.91"/>
    <n v="348703428.30000001"/>
  </r>
  <r>
    <n v="23"/>
    <x v="22"/>
    <x v="1"/>
    <n v="1"/>
    <s v="PG-B Large Community"/>
    <x v="0"/>
    <n v="2.7818000000000001"/>
    <n v="26288"/>
    <n v="4059"/>
    <n v="6987"/>
    <n v="5873"/>
    <n v="9369"/>
    <n v="0.29330000000000001"/>
    <n v="0.28710000000000002"/>
    <n v="0.38519999999999999"/>
    <n v="1.52E-2"/>
    <n v="1.9300000000000001E-2"/>
    <n v="26288"/>
    <n v="26288"/>
    <n v="20434"/>
    <n v="5854"/>
    <n v="0.77729999999999999"/>
    <n v="18425"/>
    <n v="2941"/>
    <n v="0"/>
    <n v="668"/>
    <n v="0"/>
    <n v="0.70089999999999997"/>
    <n v="0.1119"/>
    <n v="0"/>
    <n v="2.5399999999999999E-2"/>
    <n v="0"/>
    <n v="26288"/>
    <n v="5.2032105903834447"/>
    <n v="1"/>
    <n v="120"/>
    <n v="668"/>
    <n v="2.5410833840535607E-2"/>
    <n v="12745.938833688375"/>
    <n v="0.22455022330570798"/>
    <n v="0"/>
    <n v="335065240.06"/>
    <n v="1492161687.16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BDD049-97F7-43F3-84AB-31ED6A9F173F}" name="Executive_KPI_Overview"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J28" firstHeaderRow="0" firstDataRow="1" firstDataCol="1" rowPageCount="2" colPageCount="1"/>
  <pivotFields count="43">
    <pivotField showAll="0"/>
    <pivotField axis="axisRow" showAll="0">
      <items count="24">
        <item x="2"/>
        <item x="10"/>
        <item x="1"/>
        <item x="15"/>
        <item x="22"/>
        <item x="13"/>
        <item x="18"/>
        <item x="0"/>
        <item x="11"/>
        <item x="4"/>
        <item x="12"/>
        <item x="19"/>
        <item x="21"/>
        <item x="8"/>
        <item x="9"/>
        <item x="14"/>
        <item x="3"/>
        <item x="16"/>
        <item x="6"/>
        <item x="20"/>
        <item x="5"/>
        <item x="17"/>
        <item x="7"/>
        <item t="default"/>
      </items>
    </pivotField>
    <pivotField axis="axisPage" showAll="0">
      <items count="6">
        <item x="2"/>
        <item x="1"/>
        <item x="0"/>
        <item x="4"/>
        <item x="3"/>
        <item t="default"/>
      </items>
    </pivotField>
    <pivotField showAll="0"/>
    <pivotField showAll="0"/>
    <pivotField axis="axisPage" showAll="0">
      <items count="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dataField="1" showAll="0"/>
    <pivotField dataField="1" showAll="0"/>
    <pivotField dataField="1" showAll="0"/>
    <pivotField dataField="1" showAll="0"/>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9">
    <i>
      <x/>
    </i>
    <i i="1">
      <x v="1"/>
    </i>
    <i i="2">
      <x v="2"/>
    </i>
    <i i="3">
      <x v="3"/>
    </i>
    <i i="4">
      <x v="4"/>
    </i>
    <i i="5">
      <x v="5"/>
    </i>
    <i i="6">
      <x v="6"/>
    </i>
    <i i="7">
      <x v="7"/>
    </i>
    <i i="8">
      <x v="8"/>
    </i>
  </colItems>
  <pageFields count="2">
    <pageField fld="5" hier="-1"/>
    <pageField fld="2" hier="-1"/>
  </pageFields>
  <dataFields count="9">
    <dataField name="Average of Severity_Mix_Index" fld="6" subtotal="average" baseField="0" baseItem="0"/>
    <dataField name="Average of Unplanned_Admission_Rate" fld="21" subtotal="average" baseField="0" baseItem="0"/>
    <dataField name="Average of Avg_LOS" fld="33" subtotal="average" baseField="0" baseItem="0"/>
    <dataField name="Average of Mortality_Rate" fld="37" subtotal="average" baseField="0" baseItem="0"/>
    <dataField name="Average of Margin_Pressure_Ratio" fld="39" subtotal="average" baseField="0" baseItem="0"/>
    <dataField name="Average of NegMargin_Rate" fld="40" subtotal="average" baseField="0" baseItem="0"/>
    <dataField name="Sum of Encounter_Count_Total" fld="18" baseField="0" baseItem="0"/>
    <dataField name="Sum of Total_Costs" fld="41" baseField="0" baseItem="0"/>
    <dataField name="Sum of Total_Charges" fld="42" baseField="0" baseItem="0"/>
  </dataFields>
  <formats count="216">
    <format dxfId="4319">
      <pivotArea collapsedLevelsAreSubtotals="1" fieldPosition="0">
        <references count="2">
          <reference field="4294967294" count="1" selected="0">
            <x v="0"/>
          </reference>
          <reference field="1" count="1">
            <x v="0"/>
          </reference>
        </references>
      </pivotArea>
    </format>
    <format dxfId="4318">
      <pivotArea collapsedLevelsAreSubtotals="1" fieldPosition="0">
        <references count="2">
          <reference field="4294967294" count="1" selected="0">
            <x v="0"/>
          </reference>
          <reference field="1" count="1">
            <x v="1"/>
          </reference>
        </references>
      </pivotArea>
    </format>
    <format dxfId="4317">
      <pivotArea collapsedLevelsAreSubtotals="1" fieldPosition="0">
        <references count="2">
          <reference field="4294967294" count="1" selected="0">
            <x v="0"/>
          </reference>
          <reference field="1" count="1">
            <x v="2"/>
          </reference>
        </references>
      </pivotArea>
    </format>
    <format dxfId="4316">
      <pivotArea collapsedLevelsAreSubtotals="1" fieldPosition="0">
        <references count="2">
          <reference field="4294967294" count="1" selected="0">
            <x v="0"/>
          </reference>
          <reference field="1" count="1">
            <x v="3"/>
          </reference>
        </references>
      </pivotArea>
    </format>
    <format dxfId="4315">
      <pivotArea collapsedLevelsAreSubtotals="1" fieldPosition="0">
        <references count="2">
          <reference field="4294967294" count="1" selected="0">
            <x v="0"/>
          </reference>
          <reference field="1" count="1">
            <x v="4"/>
          </reference>
        </references>
      </pivotArea>
    </format>
    <format dxfId="4314">
      <pivotArea collapsedLevelsAreSubtotals="1" fieldPosition="0">
        <references count="2">
          <reference field="4294967294" count="1" selected="0">
            <x v="0"/>
          </reference>
          <reference field="1" count="1">
            <x v="5"/>
          </reference>
        </references>
      </pivotArea>
    </format>
    <format dxfId="4313">
      <pivotArea collapsedLevelsAreSubtotals="1" fieldPosition="0">
        <references count="2">
          <reference field="4294967294" count="1" selected="0">
            <x v="0"/>
          </reference>
          <reference field="1" count="1">
            <x v="6"/>
          </reference>
        </references>
      </pivotArea>
    </format>
    <format dxfId="4312">
      <pivotArea collapsedLevelsAreSubtotals="1" fieldPosition="0">
        <references count="2">
          <reference field="4294967294" count="1" selected="0">
            <x v="0"/>
          </reference>
          <reference field="1" count="1">
            <x v="7"/>
          </reference>
        </references>
      </pivotArea>
    </format>
    <format dxfId="4311">
      <pivotArea collapsedLevelsAreSubtotals="1" fieldPosition="0">
        <references count="2">
          <reference field="4294967294" count="1" selected="0">
            <x v="0"/>
          </reference>
          <reference field="1" count="1">
            <x v="8"/>
          </reference>
        </references>
      </pivotArea>
    </format>
    <format dxfId="4310">
      <pivotArea collapsedLevelsAreSubtotals="1" fieldPosition="0">
        <references count="2">
          <reference field="4294967294" count="1" selected="0">
            <x v="0"/>
          </reference>
          <reference field="1" count="1">
            <x v="9"/>
          </reference>
        </references>
      </pivotArea>
    </format>
    <format dxfId="4309">
      <pivotArea collapsedLevelsAreSubtotals="1" fieldPosition="0">
        <references count="2">
          <reference field="4294967294" count="1" selected="0">
            <x v="0"/>
          </reference>
          <reference field="1" count="1">
            <x v="10"/>
          </reference>
        </references>
      </pivotArea>
    </format>
    <format dxfId="4308">
      <pivotArea collapsedLevelsAreSubtotals="1" fieldPosition="0">
        <references count="2">
          <reference field="4294967294" count="1" selected="0">
            <x v="0"/>
          </reference>
          <reference field="1" count="1">
            <x v="11"/>
          </reference>
        </references>
      </pivotArea>
    </format>
    <format dxfId="4307">
      <pivotArea collapsedLevelsAreSubtotals="1" fieldPosition="0">
        <references count="2">
          <reference field="4294967294" count="1" selected="0">
            <x v="0"/>
          </reference>
          <reference field="1" count="1">
            <x v="12"/>
          </reference>
        </references>
      </pivotArea>
    </format>
    <format dxfId="4306">
      <pivotArea collapsedLevelsAreSubtotals="1" fieldPosition="0">
        <references count="2">
          <reference field="4294967294" count="1" selected="0">
            <x v="0"/>
          </reference>
          <reference field="1" count="1">
            <x v="13"/>
          </reference>
        </references>
      </pivotArea>
    </format>
    <format dxfId="4305">
      <pivotArea collapsedLevelsAreSubtotals="1" fieldPosition="0">
        <references count="2">
          <reference field="4294967294" count="1" selected="0">
            <x v="0"/>
          </reference>
          <reference field="1" count="1">
            <x v="14"/>
          </reference>
        </references>
      </pivotArea>
    </format>
    <format dxfId="4304">
      <pivotArea collapsedLevelsAreSubtotals="1" fieldPosition="0">
        <references count="2">
          <reference field="4294967294" count="1" selected="0">
            <x v="0"/>
          </reference>
          <reference field="1" count="1">
            <x v="15"/>
          </reference>
        </references>
      </pivotArea>
    </format>
    <format dxfId="4303">
      <pivotArea collapsedLevelsAreSubtotals="1" fieldPosition="0">
        <references count="2">
          <reference field="4294967294" count="1" selected="0">
            <x v="0"/>
          </reference>
          <reference field="1" count="1">
            <x v="16"/>
          </reference>
        </references>
      </pivotArea>
    </format>
    <format dxfId="4302">
      <pivotArea collapsedLevelsAreSubtotals="1" fieldPosition="0">
        <references count="2">
          <reference field="4294967294" count="1" selected="0">
            <x v="0"/>
          </reference>
          <reference field="1" count="1">
            <x v="17"/>
          </reference>
        </references>
      </pivotArea>
    </format>
    <format dxfId="4301">
      <pivotArea collapsedLevelsAreSubtotals="1" fieldPosition="0">
        <references count="2">
          <reference field="4294967294" count="1" selected="0">
            <x v="0"/>
          </reference>
          <reference field="1" count="1">
            <x v="18"/>
          </reference>
        </references>
      </pivotArea>
    </format>
    <format dxfId="4300">
      <pivotArea collapsedLevelsAreSubtotals="1" fieldPosition="0">
        <references count="2">
          <reference field="4294967294" count="1" selected="0">
            <x v="0"/>
          </reference>
          <reference field="1" count="1">
            <x v="19"/>
          </reference>
        </references>
      </pivotArea>
    </format>
    <format dxfId="4299">
      <pivotArea collapsedLevelsAreSubtotals="1" fieldPosition="0">
        <references count="2">
          <reference field="4294967294" count="1" selected="0">
            <x v="0"/>
          </reference>
          <reference field="1" count="1">
            <x v="20"/>
          </reference>
        </references>
      </pivotArea>
    </format>
    <format dxfId="4298">
      <pivotArea collapsedLevelsAreSubtotals="1" fieldPosition="0">
        <references count="2">
          <reference field="4294967294" count="1" selected="0">
            <x v="0"/>
          </reference>
          <reference field="1" count="1">
            <x v="21"/>
          </reference>
        </references>
      </pivotArea>
    </format>
    <format dxfId="4297">
      <pivotArea collapsedLevelsAreSubtotals="1" fieldPosition="0">
        <references count="2">
          <reference field="4294967294" count="1" selected="0">
            <x v="0"/>
          </reference>
          <reference field="1" count="1">
            <x v="22"/>
          </reference>
        </references>
      </pivotArea>
    </format>
    <format dxfId="4296">
      <pivotArea field="1" grandRow="1" outline="0" collapsedLevelsAreSubtotals="1" axis="axisRow" fieldPosition="0">
        <references count="1">
          <reference field="4294967294" count="1" selected="0">
            <x v="0"/>
          </reference>
        </references>
      </pivotArea>
    </format>
    <format dxfId="4295">
      <pivotArea collapsedLevelsAreSubtotals="1" fieldPosition="0">
        <references count="2">
          <reference field="4294967294" count="1" selected="0">
            <x v="1"/>
          </reference>
          <reference field="1" count="1">
            <x v="0"/>
          </reference>
        </references>
      </pivotArea>
    </format>
    <format dxfId="4294">
      <pivotArea collapsedLevelsAreSubtotals="1" fieldPosition="0">
        <references count="2">
          <reference field="4294967294" count="1" selected="0">
            <x v="1"/>
          </reference>
          <reference field="1" count="1">
            <x v="1"/>
          </reference>
        </references>
      </pivotArea>
    </format>
    <format dxfId="4293">
      <pivotArea collapsedLevelsAreSubtotals="1" fieldPosition="0">
        <references count="2">
          <reference field="4294967294" count="1" selected="0">
            <x v="1"/>
          </reference>
          <reference field="1" count="1">
            <x v="2"/>
          </reference>
        </references>
      </pivotArea>
    </format>
    <format dxfId="4292">
      <pivotArea collapsedLevelsAreSubtotals="1" fieldPosition="0">
        <references count="2">
          <reference field="4294967294" count="1" selected="0">
            <x v="1"/>
          </reference>
          <reference field="1" count="1">
            <x v="3"/>
          </reference>
        </references>
      </pivotArea>
    </format>
    <format dxfId="4291">
      <pivotArea collapsedLevelsAreSubtotals="1" fieldPosition="0">
        <references count="2">
          <reference field="4294967294" count="1" selected="0">
            <x v="1"/>
          </reference>
          <reference field="1" count="1">
            <x v="4"/>
          </reference>
        </references>
      </pivotArea>
    </format>
    <format dxfId="4290">
      <pivotArea collapsedLevelsAreSubtotals="1" fieldPosition="0">
        <references count="2">
          <reference field="4294967294" count="1" selected="0">
            <x v="1"/>
          </reference>
          <reference field="1" count="1">
            <x v="5"/>
          </reference>
        </references>
      </pivotArea>
    </format>
    <format dxfId="4289">
      <pivotArea collapsedLevelsAreSubtotals="1" fieldPosition="0">
        <references count="2">
          <reference field="4294967294" count="1" selected="0">
            <x v="1"/>
          </reference>
          <reference field="1" count="1">
            <x v="6"/>
          </reference>
        </references>
      </pivotArea>
    </format>
    <format dxfId="4288">
      <pivotArea collapsedLevelsAreSubtotals="1" fieldPosition="0">
        <references count="2">
          <reference field="4294967294" count="1" selected="0">
            <x v="1"/>
          </reference>
          <reference field="1" count="1">
            <x v="7"/>
          </reference>
        </references>
      </pivotArea>
    </format>
    <format dxfId="4287">
      <pivotArea collapsedLevelsAreSubtotals="1" fieldPosition="0">
        <references count="2">
          <reference field="4294967294" count="1" selected="0">
            <x v="1"/>
          </reference>
          <reference field="1" count="1">
            <x v="8"/>
          </reference>
        </references>
      </pivotArea>
    </format>
    <format dxfId="4286">
      <pivotArea collapsedLevelsAreSubtotals="1" fieldPosition="0">
        <references count="2">
          <reference field="4294967294" count="1" selected="0">
            <x v="1"/>
          </reference>
          <reference field="1" count="1">
            <x v="9"/>
          </reference>
        </references>
      </pivotArea>
    </format>
    <format dxfId="4285">
      <pivotArea collapsedLevelsAreSubtotals="1" fieldPosition="0">
        <references count="2">
          <reference field="4294967294" count="1" selected="0">
            <x v="1"/>
          </reference>
          <reference field="1" count="1">
            <x v="10"/>
          </reference>
        </references>
      </pivotArea>
    </format>
    <format dxfId="4284">
      <pivotArea collapsedLevelsAreSubtotals="1" fieldPosition="0">
        <references count="2">
          <reference field="4294967294" count="1" selected="0">
            <x v="1"/>
          </reference>
          <reference field="1" count="1">
            <x v="11"/>
          </reference>
        </references>
      </pivotArea>
    </format>
    <format dxfId="4283">
      <pivotArea collapsedLevelsAreSubtotals="1" fieldPosition="0">
        <references count="2">
          <reference field="4294967294" count="1" selected="0">
            <x v="1"/>
          </reference>
          <reference field="1" count="1">
            <x v="12"/>
          </reference>
        </references>
      </pivotArea>
    </format>
    <format dxfId="4282">
      <pivotArea collapsedLevelsAreSubtotals="1" fieldPosition="0">
        <references count="2">
          <reference field="4294967294" count="1" selected="0">
            <x v="1"/>
          </reference>
          <reference field="1" count="1">
            <x v="13"/>
          </reference>
        </references>
      </pivotArea>
    </format>
    <format dxfId="4281">
      <pivotArea collapsedLevelsAreSubtotals="1" fieldPosition="0">
        <references count="2">
          <reference field="4294967294" count="1" selected="0">
            <x v="1"/>
          </reference>
          <reference field="1" count="1">
            <x v="14"/>
          </reference>
        </references>
      </pivotArea>
    </format>
    <format dxfId="4280">
      <pivotArea collapsedLevelsAreSubtotals="1" fieldPosition="0">
        <references count="2">
          <reference field="4294967294" count="1" selected="0">
            <x v="1"/>
          </reference>
          <reference field="1" count="1">
            <x v="15"/>
          </reference>
        </references>
      </pivotArea>
    </format>
    <format dxfId="4279">
      <pivotArea collapsedLevelsAreSubtotals="1" fieldPosition="0">
        <references count="2">
          <reference field="4294967294" count="1" selected="0">
            <x v="1"/>
          </reference>
          <reference field="1" count="1">
            <x v="16"/>
          </reference>
        </references>
      </pivotArea>
    </format>
    <format dxfId="4278">
      <pivotArea collapsedLevelsAreSubtotals="1" fieldPosition="0">
        <references count="2">
          <reference field="4294967294" count="1" selected="0">
            <x v="1"/>
          </reference>
          <reference field="1" count="1">
            <x v="17"/>
          </reference>
        </references>
      </pivotArea>
    </format>
    <format dxfId="4277">
      <pivotArea collapsedLevelsAreSubtotals="1" fieldPosition="0">
        <references count="2">
          <reference field="4294967294" count="1" selected="0">
            <x v="1"/>
          </reference>
          <reference field="1" count="1">
            <x v="18"/>
          </reference>
        </references>
      </pivotArea>
    </format>
    <format dxfId="4276">
      <pivotArea collapsedLevelsAreSubtotals="1" fieldPosition="0">
        <references count="2">
          <reference field="4294967294" count="1" selected="0">
            <x v="1"/>
          </reference>
          <reference field="1" count="1">
            <x v="19"/>
          </reference>
        </references>
      </pivotArea>
    </format>
    <format dxfId="4275">
      <pivotArea collapsedLevelsAreSubtotals="1" fieldPosition="0">
        <references count="2">
          <reference field="4294967294" count="1" selected="0">
            <x v="1"/>
          </reference>
          <reference field="1" count="1">
            <x v="20"/>
          </reference>
        </references>
      </pivotArea>
    </format>
    <format dxfId="4274">
      <pivotArea collapsedLevelsAreSubtotals="1" fieldPosition="0">
        <references count="2">
          <reference field="4294967294" count="1" selected="0">
            <x v="1"/>
          </reference>
          <reference field="1" count="1">
            <x v="21"/>
          </reference>
        </references>
      </pivotArea>
    </format>
    <format dxfId="4273">
      <pivotArea collapsedLevelsAreSubtotals="1" fieldPosition="0">
        <references count="2">
          <reference field="4294967294" count="1" selected="0">
            <x v="1"/>
          </reference>
          <reference field="1" count="1">
            <x v="22"/>
          </reference>
        </references>
      </pivotArea>
    </format>
    <format dxfId="4272">
      <pivotArea field="1" grandRow="1" outline="0" collapsedLevelsAreSubtotals="1" axis="axisRow" fieldPosition="0">
        <references count="1">
          <reference field="4294967294" count="1" selected="0">
            <x v="1"/>
          </reference>
        </references>
      </pivotArea>
    </format>
    <format dxfId="4271">
      <pivotArea collapsedLevelsAreSubtotals="1" fieldPosition="0">
        <references count="2">
          <reference field="4294967294" count="1" selected="0">
            <x v="2"/>
          </reference>
          <reference field="1" count="1">
            <x v="0"/>
          </reference>
        </references>
      </pivotArea>
    </format>
    <format dxfId="4270">
      <pivotArea collapsedLevelsAreSubtotals="1" fieldPosition="0">
        <references count="2">
          <reference field="4294967294" count="1" selected="0">
            <x v="2"/>
          </reference>
          <reference field="1" count="1">
            <x v="1"/>
          </reference>
        </references>
      </pivotArea>
    </format>
    <format dxfId="4269">
      <pivotArea collapsedLevelsAreSubtotals="1" fieldPosition="0">
        <references count="2">
          <reference field="4294967294" count="1" selected="0">
            <x v="2"/>
          </reference>
          <reference field="1" count="1">
            <x v="2"/>
          </reference>
        </references>
      </pivotArea>
    </format>
    <format dxfId="4268">
      <pivotArea collapsedLevelsAreSubtotals="1" fieldPosition="0">
        <references count="2">
          <reference field="4294967294" count="1" selected="0">
            <x v="2"/>
          </reference>
          <reference field="1" count="1">
            <x v="3"/>
          </reference>
        </references>
      </pivotArea>
    </format>
    <format dxfId="4267">
      <pivotArea collapsedLevelsAreSubtotals="1" fieldPosition="0">
        <references count="2">
          <reference field="4294967294" count="1" selected="0">
            <x v="2"/>
          </reference>
          <reference field="1" count="1">
            <x v="4"/>
          </reference>
        </references>
      </pivotArea>
    </format>
    <format dxfId="4266">
      <pivotArea collapsedLevelsAreSubtotals="1" fieldPosition="0">
        <references count="2">
          <reference field="4294967294" count="1" selected="0">
            <x v="2"/>
          </reference>
          <reference field="1" count="1">
            <x v="5"/>
          </reference>
        </references>
      </pivotArea>
    </format>
    <format dxfId="4265">
      <pivotArea collapsedLevelsAreSubtotals="1" fieldPosition="0">
        <references count="2">
          <reference field="4294967294" count="1" selected="0">
            <x v="2"/>
          </reference>
          <reference field="1" count="1">
            <x v="6"/>
          </reference>
        </references>
      </pivotArea>
    </format>
    <format dxfId="4264">
      <pivotArea collapsedLevelsAreSubtotals="1" fieldPosition="0">
        <references count="2">
          <reference field="4294967294" count="1" selected="0">
            <x v="2"/>
          </reference>
          <reference field="1" count="1">
            <x v="7"/>
          </reference>
        </references>
      </pivotArea>
    </format>
    <format dxfId="4263">
      <pivotArea collapsedLevelsAreSubtotals="1" fieldPosition="0">
        <references count="2">
          <reference field="4294967294" count="1" selected="0">
            <x v="2"/>
          </reference>
          <reference field="1" count="1">
            <x v="8"/>
          </reference>
        </references>
      </pivotArea>
    </format>
    <format dxfId="4262">
      <pivotArea collapsedLevelsAreSubtotals="1" fieldPosition="0">
        <references count="2">
          <reference field="4294967294" count="1" selected="0">
            <x v="2"/>
          </reference>
          <reference field="1" count="1">
            <x v="9"/>
          </reference>
        </references>
      </pivotArea>
    </format>
    <format dxfId="4261">
      <pivotArea collapsedLevelsAreSubtotals="1" fieldPosition="0">
        <references count="2">
          <reference field="4294967294" count="1" selected="0">
            <x v="2"/>
          </reference>
          <reference field="1" count="1">
            <x v="10"/>
          </reference>
        </references>
      </pivotArea>
    </format>
    <format dxfId="4260">
      <pivotArea collapsedLevelsAreSubtotals="1" fieldPosition="0">
        <references count="2">
          <reference field="4294967294" count="1" selected="0">
            <x v="2"/>
          </reference>
          <reference field="1" count="1">
            <x v="11"/>
          </reference>
        </references>
      </pivotArea>
    </format>
    <format dxfId="4259">
      <pivotArea collapsedLevelsAreSubtotals="1" fieldPosition="0">
        <references count="2">
          <reference field="4294967294" count="1" selected="0">
            <x v="2"/>
          </reference>
          <reference field="1" count="1">
            <x v="12"/>
          </reference>
        </references>
      </pivotArea>
    </format>
    <format dxfId="4258">
      <pivotArea collapsedLevelsAreSubtotals="1" fieldPosition="0">
        <references count="2">
          <reference field="4294967294" count="1" selected="0">
            <x v="2"/>
          </reference>
          <reference field="1" count="1">
            <x v="13"/>
          </reference>
        </references>
      </pivotArea>
    </format>
    <format dxfId="4257">
      <pivotArea collapsedLevelsAreSubtotals="1" fieldPosition="0">
        <references count="2">
          <reference field="4294967294" count="1" selected="0">
            <x v="2"/>
          </reference>
          <reference field="1" count="1">
            <x v="14"/>
          </reference>
        </references>
      </pivotArea>
    </format>
    <format dxfId="4256">
      <pivotArea collapsedLevelsAreSubtotals="1" fieldPosition="0">
        <references count="2">
          <reference field="4294967294" count="1" selected="0">
            <x v="2"/>
          </reference>
          <reference field="1" count="1">
            <x v="15"/>
          </reference>
        </references>
      </pivotArea>
    </format>
    <format dxfId="4255">
      <pivotArea collapsedLevelsAreSubtotals="1" fieldPosition="0">
        <references count="2">
          <reference field="4294967294" count="1" selected="0">
            <x v="2"/>
          </reference>
          <reference field="1" count="1">
            <x v="16"/>
          </reference>
        </references>
      </pivotArea>
    </format>
    <format dxfId="4254">
      <pivotArea collapsedLevelsAreSubtotals="1" fieldPosition="0">
        <references count="2">
          <reference field="4294967294" count="1" selected="0">
            <x v="2"/>
          </reference>
          <reference field="1" count="1">
            <x v="17"/>
          </reference>
        </references>
      </pivotArea>
    </format>
    <format dxfId="4253">
      <pivotArea collapsedLevelsAreSubtotals="1" fieldPosition="0">
        <references count="2">
          <reference field="4294967294" count="1" selected="0">
            <x v="2"/>
          </reference>
          <reference field="1" count="1">
            <x v="18"/>
          </reference>
        </references>
      </pivotArea>
    </format>
    <format dxfId="4252">
      <pivotArea collapsedLevelsAreSubtotals="1" fieldPosition="0">
        <references count="2">
          <reference field="4294967294" count="1" selected="0">
            <x v="2"/>
          </reference>
          <reference field="1" count="1">
            <x v="19"/>
          </reference>
        </references>
      </pivotArea>
    </format>
    <format dxfId="4251">
      <pivotArea collapsedLevelsAreSubtotals="1" fieldPosition="0">
        <references count="2">
          <reference field="4294967294" count="1" selected="0">
            <x v="2"/>
          </reference>
          <reference field="1" count="1">
            <x v="20"/>
          </reference>
        </references>
      </pivotArea>
    </format>
    <format dxfId="4250">
      <pivotArea collapsedLevelsAreSubtotals="1" fieldPosition="0">
        <references count="2">
          <reference field="4294967294" count="1" selected="0">
            <x v="2"/>
          </reference>
          <reference field="1" count="1">
            <x v="21"/>
          </reference>
        </references>
      </pivotArea>
    </format>
    <format dxfId="4249">
      <pivotArea collapsedLevelsAreSubtotals="1" fieldPosition="0">
        <references count="2">
          <reference field="4294967294" count="1" selected="0">
            <x v="2"/>
          </reference>
          <reference field="1" count="1">
            <x v="22"/>
          </reference>
        </references>
      </pivotArea>
    </format>
    <format dxfId="4248">
      <pivotArea field="1" grandRow="1" outline="0" collapsedLevelsAreSubtotals="1" axis="axisRow" fieldPosition="0">
        <references count="1">
          <reference field="4294967294" count="1" selected="0">
            <x v="2"/>
          </reference>
        </references>
      </pivotArea>
    </format>
    <format dxfId="4247">
      <pivotArea collapsedLevelsAreSubtotals="1" fieldPosition="0">
        <references count="2">
          <reference field="4294967294" count="1" selected="0">
            <x v="3"/>
          </reference>
          <reference field="1" count="1">
            <x v="0"/>
          </reference>
        </references>
      </pivotArea>
    </format>
    <format dxfId="4246">
      <pivotArea collapsedLevelsAreSubtotals="1" fieldPosition="0">
        <references count="2">
          <reference field="4294967294" count="1" selected="0">
            <x v="3"/>
          </reference>
          <reference field="1" count="1">
            <x v="1"/>
          </reference>
        </references>
      </pivotArea>
    </format>
    <format dxfId="4245">
      <pivotArea collapsedLevelsAreSubtotals="1" fieldPosition="0">
        <references count="2">
          <reference field="4294967294" count="1" selected="0">
            <x v="3"/>
          </reference>
          <reference field="1" count="1">
            <x v="2"/>
          </reference>
        </references>
      </pivotArea>
    </format>
    <format dxfId="4244">
      <pivotArea collapsedLevelsAreSubtotals="1" fieldPosition="0">
        <references count="2">
          <reference field="4294967294" count="1" selected="0">
            <x v="3"/>
          </reference>
          <reference field="1" count="1">
            <x v="3"/>
          </reference>
        </references>
      </pivotArea>
    </format>
    <format dxfId="4243">
      <pivotArea collapsedLevelsAreSubtotals="1" fieldPosition="0">
        <references count="2">
          <reference field="4294967294" count="1" selected="0">
            <x v="3"/>
          </reference>
          <reference field="1" count="1">
            <x v="4"/>
          </reference>
        </references>
      </pivotArea>
    </format>
    <format dxfId="4242">
      <pivotArea collapsedLevelsAreSubtotals="1" fieldPosition="0">
        <references count="2">
          <reference field="4294967294" count="1" selected="0">
            <x v="3"/>
          </reference>
          <reference field="1" count="1">
            <x v="5"/>
          </reference>
        </references>
      </pivotArea>
    </format>
    <format dxfId="4241">
      <pivotArea collapsedLevelsAreSubtotals="1" fieldPosition="0">
        <references count="2">
          <reference field="4294967294" count="1" selected="0">
            <x v="3"/>
          </reference>
          <reference field="1" count="1">
            <x v="6"/>
          </reference>
        </references>
      </pivotArea>
    </format>
    <format dxfId="4240">
      <pivotArea collapsedLevelsAreSubtotals="1" fieldPosition="0">
        <references count="2">
          <reference field="4294967294" count="1" selected="0">
            <x v="3"/>
          </reference>
          <reference field="1" count="1">
            <x v="7"/>
          </reference>
        </references>
      </pivotArea>
    </format>
    <format dxfId="4239">
      <pivotArea collapsedLevelsAreSubtotals="1" fieldPosition="0">
        <references count="2">
          <reference field="4294967294" count="1" selected="0">
            <x v="3"/>
          </reference>
          <reference field="1" count="1">
            <x v="8"/>
          </reference>
        </references>
      </pivotArea>
    </format>
    <format dxfId="4238">
      <pivotArea collapsedLevelsAreSubtotals="1" fieldPosition="0">
        <references count="2">
          <reference field="4294967294" count="1" selected="0">
            <x v="3"/>
          </reference>
          <reference field="1" count="1">
            <x v="9"/>
          </reference>
        </references>
      </pivotArea>
    </format>
    <format dxfId="4237">
      <pivotArea collapsedLevelsAreSubtotals="1" fieldPosition="0">
        <references count="2">
          <reference field="4294967294" count="1" selected="0">
            <x v="3"/>
          </reference>
          <reference field="1" count="1">
            <x v="10"/>
          </reference>
        </references>
      </pivotArea>
    </format>
    <format dxfId="4236">
      <pivotArea collapsedLevelsAreSubtotals="1" fieldPosition="0">
        <references count="2">
          <reference field="4294967294" count="1" selected="0">
            <x v="3"/>
          </reference>
          <reference field="1" count="1">
            <x v="11"/>
          </reference>
        </references>
      </pivotArea>
    </format>
    <format dxfId="4235">
      <pivotArea collapsedLevelsAreSubtotals="1" fieldPosition="0">
        <references count="2">
          <reference field="4294967294" count="1" selected="0">
            <x v="3"/>
          </reference>
          <reference field="1" count="1">
            <x v="12"/>
          </reference>
        </references>
      </pivotArea>
    </format>
    <format dxfId="4234">
      <pivotArea collapsedLevelsAreSubtotals="1" fieldPosition="0">
        <references count="2">
          <reference field="4294967294" count="1" selected="0">
            <x v="3"/>
          </reference>
          <reference field="1" count="1">
            <x v="13"/>
          </reference>
        </references>
      </pivotArea>
    </format>
    <format dxfId="4233">
      <pivotArea collapsedLevelsAreSubtotals="1" fieldPosition="0">
        <references count="2">
          <reference field="4294967294" count="1" selected="0">
            <x v="3"/>
          </reference>
          <reference field="1" count="1">
            <x v="14"/>
          </reference>
        </references>
      </pivotArea>
    </format>
    <format dxfId="4232">
      <pivotArea collapsedLevelsAreSubtotals="1" fieldPosition="0">
        <references count="2">
          <reference field="4294967294" count="1" selected="0">
            <x v="3"/>
          </reference>
          <reference field="1" count="1">
            <x v="15"/>
          </reference>
        </references>
      </pivotArea>
    </format>
    <format dxfId="4231">
      <pivotArea collapsedLevelsAreSubtotals="1" fieldPosition="0">
        <references count="2">
          <reference field="4294967294" count="1" selected="0">
            <x v="3"/>
          </reference>
          <reference field="1" count="1">
            <x v="16"/>
          </reference>
        </references>
      </pivotArea>
    </format>
    <format dxfId="4230">
      <pivotArea collapsedLevelsAreSubtotals="1" fieldPosition="0">
        <references count="2">
          <reference field="4294967294" count="1" selected="0">
            <x v="3"/>
          </reference>
          <reference field="1" count="1">
            <x v="17"/>
          </reference>
        </references>
      </pivotArea>
    </format>
    <format dxfId="4229">
      <pivotArea collapsedLevelsAreSubtotals="1" fieldPosition="0">
        <references count="2">
          <reference field="4294967294" count="1" selected="0">
            <x v="3"/>
          </reference>
          <reference field="1" count="1">
            <x v="18"/>
          </reference>
        </references>
      </pivotArea>
    </format>
    <format dxfId="4228">
      <pivotArea collapsedLevelsAreSubtotals="1" fieldPosition="0">
        <references count="2">
          <reference field="4294967294" count="1" selected="0">
            <x v="3"/>
          </reference>
          <reference field="1" count="1">
            <x v="19"/>
          </reference>
        </references>
      </pivotArea>
    </format>
    <format dxfId="4227">
      <pivotArea collapsedLevelsAreSubtotals="1" fieldPosition="0">
        <references count="2">
          <reference field="4294967294" count="1" selected="0">
            <x v="3"/>
          </reference>
          <reference field="1" count="1">
            <x v="20"/>
          </reference>
        </references>
      </pivotArea>
    </format>
    <format dxfId="4226">
      <pivotArea collapsedLevelsAreSubtotals="1" fieldPosition="0">
        <references count="2">
          <reference field="4294967294" count="1" selected="0">
            <x v="3"/>
          </reference>
          <reference field="1" count="1">
            <x v="21"/>
          </reference>
        </references>
      </pivotArea>
    </format>
    <format dxfId="4225">
      <pivotArea collapsedLevelsAreSubtotals="1" fieldPosition="0">
        <references count="2">
          <reference field="4294967294" count="1" selected="0">
            <x v="3"/>
          </reference>
          <reference field="1" count="1">
            <x v="22"/>
          </reference>
        </references>
      </pivotArea>
    </format>
    <format dxfId="4224">
      <pivotArea field="1" grandRow="1" outline="0" collapsedLevelsAreSubtotals="1" axis="axisRow" fieldPosition="0">
        <references count="1">
          <reference field="4294967294" count="1" selected="0">
            <x v="3"/>
          </reference>
        </references>
      </pivotArea>
    </format>
    <format dxfId="4223">
      <pivotArea collapsedLevelsAreSubtotals="1" fieldPosition="0">
        <references count="2">
          <reference field="4294967294" count="1" selected="0">
            <x v="4"/>
          </reference>
          <reference field="1" count="1">
            <x v="0"/>
          </reference>
        </references>
      </pivotArea>
    </format>
    <format dxfId="4222">
      <pivotArea collapsedLevelsAreSubtotals="1" fieldPosition="0">
        <references count="2">
          <reference field="4294967294" count="1" selected="0">
            <x v="4"/>
          </reference>
          <reference field="1" count="1">
            <x v="1"/>
          </reference>
        </references>
      </pivotArea>
    </format>
    <format dxfId="4221">
      <pivotArea collapsedLevelsAreSubtotals="1" fieldPosition="0">
        <references count="2">
          <reference field="4294967294" count="1" selected="0">
            <x v="4"/>
          </reference>
          <reference field="1" count="1">
            <x v="2"/>
          </reference>
        </references>
      </pivotArea>
    </format>
    <format dxfId="4220">
      <pivotArea collapsedLevelsAreSubtotals="1" fieldPosition="0">
        <references count="2">
          <reference field="4294967294" count="1" selected="0">
            <x v="4"/>
          </reference>
          <reference field="1" count="1">
            <x v="3"/>
          </reference>
        </references>
      </pivotArea>
    </format>
    <format dxfId="4219">
      <pivotArea collapsedLevelsAreSubtotals="1" fieldPosition="0">
        <references count="2">
          <reference field="4294967294" count="1" selected="0">
            <x v="4"/>
          </reference>
          <reference field="1" count="1">
            <x v="4"/>
          </reference>
        </references>
      </pivotArea>
    </format>
    <format dxfId="4218">
      <pivotArea collapsedLevelsAreSubtotals="1" fieldPosition="0">
        <references count="2">
          <reference field="4294967294" count="1" selected="0">
            <x v="4"/>
          </reference>
          <reference field="1" count="1">
            <x v="5"/>
          </reference>
        </references>
      </pivotArea>
    </format>
    <format dxfId="4217">
      <pivotArea collapsedLevelsAreSubtotals="1" fieldPosition="0">
        <references count="2">
          <reference field="4294967294" count="1" selected="0">
            <x v="4"/>
          </reference>
          <reference field="1" count="1">
            <x v="6"/>
          </reference>
        </references>
      </pivotArea>
    </format>
    <format dxfId="4216">
      <pivotArea collapsedLevelsAreSubtotals="1" fieldPosition="0">
        <references count="2">
          <reference field="4294967294" count="1" selected="0">
            <x v="4"/>
          </reference>
          <reference field="1" count="1">
            <x v="7"/>
          </reference>
        </references>
      </pivotArea>
    </format>
    <format dxfId="4215">
      <pivotArea collapsedLevelsAreSubtotals="1" fieldPosition="0">
        <references count="2">
          <reference field="4294967294" count="1" selected="0">
            <x v="4"/>
          </reference>
          <reference field="1" count="1">
            <x v="8"/>
          </reference>
        </references>
      </pivotArea>
    </format>
    <format dxfId="4214">
      <pivotArea collapsedLevelsAreSubtotals="1" fieldPosition="0">
        <references count="2">
          <reference field="4294967294" count="1" selected="0">
            <x v="4"/>
          </reference>
          <reference field="1" count="1">
            <x v="9"/>
          </reference>
        </references>
      </pivotArea>
    </format>
    <format dxfId="4213">
      <pivotArea collapsedLevelsAreSubtotals="1" fieldPosition="0">
        <references count="2">
          <reference field="4294967294" count="1" selected="0">
            <x v="4"/>
          </reference>
          <reference field="1" count="1">
            <x v="10"/>
          </reference>
        </references>
      </pivotArea>
    </format>
    <format dxfId="4212">
      <pivotArea collapsedLevelsAreSubtotals="1" fieldPosition="0">
        <references count="2">
          <reference field="4294967294" count="1" selected="0">
            <x v="4"/>
          </reference>
          <reference field="1" count="1">
            <x v="11"/>
          </reference>
        </references>
      </pivotArea>
    </format>
    <format dxfId="4211">
      <pivotArea collapsedLevelsAreSubtotals="1" fieldPosition="0">
        <references count="2">
          <reference field="4294967294" count="1" selected="0">
            <x v="4"/>
          </reference>
          <reference field="1" count="1">
            <x v="12"/>
          </reference>
        </references>
      </pivotArea>
    </format>
    <format dxfId="4210">
      <pivotArea collapsedLevelsAreSubtotals="1" fieldPosition="0">
        <references count="2">
          <reference field="4294967294" count="1" selected="0">
            <x v="4"/>
          </reference>
          <reference field="1" count="1">
            <x v="13"/>
          </reference>
        </references>
      </pivotArea>
    </format>
    <format dxfId="4209">
      <pivotArea collapsedLevelsAreSubtotals="1" fieldPosition="0">
        <references count="2">
          <reference field="4294967294" count="1" selected="0">
            <x v="4"/>
          </reference>
          <reference field="1" count="1">
            <x v="14"/>
          </reference>
        </references>
      </pivotArea>
    </format>
    <format dxfId="4208">
      <pivotArea collapsedLevelsAreSubtotals="1" fieldPosition="0">
        <references count="2">
          <reference field="4294967294" count="1" selected="0">
            <x v="4"/>
          </reference>
          <reference field="1" count="1">
            <x v="15"/>
          </reference>
        </references>
      </pivotArea>
    </format>
    <format dxfId="4207">
      <pivotArea collapsedLevelsAreSubtotals="1" fieldPosition="0">
        <references count="2">
          <reference field="4294967294" count="1" selected="0">
            <x v="4"/>
          </reference>
          <reference field="1" count="1">
            <x v="16"/>
          </reference>
        </references>
      </pivotArea>
    </format>
    <format dxfId="4206">
      <pivotArea collapsedLevelsAreSubtotals="1" fieldPosition="0">
        <references count="2">
          <reference field="4294967294" count="1" selected="0">
            <x v="4"/>
          </reference>
          <reference field="1" count="1">
            <x v="17"/>
          </reference>
        </references>
      </pivotArea>
    </format>
    <format dxfId="4205">
      <pivotArea collapsedLevelsAreSubtotals="1" fieldPosition="0">
        <references count="2">
          <reference field="4294967294" count="1" selected="0">
            <x v="4"/>
          </reference>
          <reference field="1" count="1">
            <x v="18"/>
          </reference>
        </references>
      </pivotArea>
    </format>
    <format dxfId="4204">
      <pivotArea collapsedLevelsAreSubtotals="1" fieldPosition="0">
        <references count="2">
          <reference field="4294967294" count="1" selected="0">
            <x v="4"/>
          </reference>
          <reference field="1" count="1">
            <x v="19"/>
          </reference>
        </references>
      </pivotArea>
    </format>
    <format dxfId="4203">
      <pivotArea collapsedLevelsAreSubtotals="1" fieldPosition="0">
        <references count="2">
          <reference field="4294967294" count="1" selected="0">
            <x v="4"/>
          </reference>
          <reference field="1" count="1">
            <x v="20"/>
          </reference>
        </references>
      </pivotArea>
    </format>
    <format dxfId="4202">
      <pivotArea collapsedLevelsAreSubtotals="1" fieldPosition="0">
        <references count="2">
          <reference field="4294967294" count="1" selected="0">
            <x v="4"/>
          </reference>
          <reference field="1" count="1">
            <x v="21"/>
          </reference>
        </references>
      </pivotArea>
    </format>
    <format dxfId="4201">
      <pivotArea collapsedLevelsAreSubtotals="1" fieldPosition="0">
        <references count="2">
          <reference field="4294967294" count="1" selected="0">
            <x v="4"/>
          </reference>
          <reference field="1" count="1">
            <x v="22"/>
          </reference>
        </references>
      </pivotArea>
    </format>
    <format dxfId="4200">
      <pivotArea field="1" grandRow="1" outline="0" collapsedLevelsAreSubtotals="1" axis="axisRow" fieldPosition="0">
        <references count="1">
          <reference field="4294967294" count="1" selected="0">
            <x v="4"/>
          </reference>
        </references>
      </pivotArea>
    </format>
    <format dxfId="4199">
      <pivotArea collapsedLevelsAreSubtotals="1" fieldPosition="0">
        <references count="2">
          <reference field="4294967294" count="1" selected="0">
            <x v="5"/>
          </reference>
          <reference field="1" count="1">
            <x v="0"/>
          </reference>
        </references>
      </pivotArea>
    </format>
    <format dxfId="4198">
      <pivotArea collapsedLevelsAreSubtotals="1" fieldPosition="0">
        <references count="2">
          <reference field="4294967294" count="1" selected="0">
            <x v="5"/>
          </reference>
          <reference field="1" count="1">
            <x v="1"/>
          </reference>
        </references>
      </pivotArea>
    </format>
    <format dxfId="4197">
      <pivotArea collapsedLevelsAreSubtotals="1" fieldPosition="0">
        <references count="2">
          <reference field="4294967294" count="1" selected="0">
            <x v="5"/>
          </reference>
          <reference field="1" count="1">
            <x v="2"/>
          </reference>
        </references>
      </pivotArea>
    </format>
    <format dxfId="4196">
      <pivotArea collapsedLevelsAreSubtotals="1" fieldPosition="0">
        <references count="2">
          <reference field="4294967294" count="1" selected="0">
            <x v="5"/>
          </reference>
          <reference field="1" count="1">
            <x v="3"/>
          </reference>
        </references>
      </pivotArea>
    </format>
    <format dxfId="4195">
      <pivotArea collapsedLevelsAreSubtotals="1" fieldPosition="0">
        <references count="2">
          <reference field="4294967294" count="1" selected="0">
            <x v="5"/>
          </reference>
          <reference field="1" count="1">
            <x v="4"/>
          </reference>
        </references>
      </pivotArea>
    </format>
    <format dxfId="4194">
      <pivotArea collapsedLevelsAreSubtotals="1" fieldPosition="0">
        <references count="2">
          <reference field="4294967294" count="1" selected="0">
            <x v="5"/>
          </reference>
          <reference field="1" count="1">
            <x v="5"/>
          </reference>
        </references>
      </pivotArea>
    </format>
    <format dxfId="4193">
      <pivotArea collapsedLevelsAreSubtotals="1" fieldPosition="0">
        <references count="2">
          <reference field="4294967294" count="1" selected="0">
            <x v="5"/>
          </reference>
          <reference field="1" count="1">
            <x v="6"/>
          </reference>
        </references>
      </pivotArea>
    </format>
    <format dxfId="4192">
      <pivotArea collapsedLevelsAreSubtotals="1" fieldPosition="0">
        <references count="2">
          <reference field="4294967294" count="1" selected="0">
            <x v="5"/>
          </reference>
          <reference field="1" count="1">
            <x v="7"/>
          </reference>
        </references>
      </pivotArea>
    </format>
    <format dxfId="4191">
      <pivotArea collapsedLevelsAreSubtotals="1" fieldPosition="0">
        <references count="2">
          <reference field="4294967294" count="1" selected="0">
            <x v="5"/>
          </reference>
          <reference field="1" count="1">
            <x v="8"/>
          </reference>
        </references>
      </pivotArea>
    </format>
    <format dxfId="4190">
      <pivotArea collapsedLevelsAreSubtotals="1" fieldPosition="0">
        <references count="2">
          <reference field="4294967294" count="1" selected="0">
            <x v="5"/>
          </reference>
          <reference field="1" count="1">
            <x v="9"/>
          </reference>
        </references>
      </pivotArea>
    </format>
    <format dxfId="4189">
      <pivotArea collapsedLevelsAreSubtotals="1" fieldPosition="0">
        <references count="2">
          <reference field="4294967294" count="1" selected="0">
            <x v="5"/>
          </reference>
          <reference field="1" count="1">
            <x v="10"/>
          </reference>
        </references>
      </pivotArea>
    </format>
    <format dxfId="4188">
      <pivotArea collapsedLevelsAreSubtotals="1" fieldPosition="0">
        <references count="2">
          <reference field="4294967294" count="1" selected="0">
            <x v="5"/>
          </reference>
          <reference field="1" count="1">
            <x v="11"/>
          </reference>
        </references>
      </pivotArea>
    </format>
    <format dxfId="4187">
      <pivotArea collapsedLevelsAreSubtotals="1" fieldPosition="0">
        <references count="2">
          <reference field="4294967294" count="1" selected="0">
            <x v="5"/>
          </reference>
          <reference field="1" count="1">
            <x v="12"/>
          </reference>
        </references>
      </pivotArea>
    </format>
    <format dxfId="4186">
      <pivotArea collapsedLevelsAreSubtotals="1" fieldPosition="0">
        <references count="2">
          <reference field="4294967294" count="1" selected="0">
            <x v="5"/>
          </reference>
          <reference field="1" count="1">
            <x v="13"/>
          </reference>
        </references>
      </pivotArea>
    </format>
    <format dxfId="4185">
      <pivotArea collapsedLevelsAreSubtotals="1" fieldPosition="0">
        <references count="2">
          <reference field="4294967294" count="1" selected="0">
            <x v="5"/>
          </reference>
          <reference field="1" count="1">
            <x v="14"/>
          </reference>
        </references>
      </pivotArea>
    </format>
    <format dxfId="4184">
      <pivotArea collapsedLevelsAreSubtotals="1" fieldPosition="0">
        <references count="2">
          <reference field="4294967294" count="1" selected="0">
            <x v="5"/>
          </reference>
          <reference field="1" count="1">
            <x v="15"/>
          </reference>
        </references>
      </pivotArea>
    </format>
    <format dxfId="4183">
      <pivotArea collapsedLevelsAreSubtotals="1" fieldPosition="0">
        <references count="2">
          <reference field="4294967294" count="1" selected="0">
            <x v="5"/>
          </reference>
          <reference field="1" count="1">
            <x v="16"/>
          </reference>
        </references>
      </pivotArea>
    </format>
    <format dxfId="4182">
      <pivotArea collapsedLevelsAreSubtotals="1" fieldPosition="0">
        <references count="2">
          <reference field="4294967294" count="1" selected="0">
            <x v="5"/>
          </reference>
          <reference field="1" count="1">
            <x v="17"/>
          </reference>
        </references>
      </pivotArea>
    </format>
    <format dxfId="4181">
      <pivotArea collapsedLevelsAreSubtotals="1" fieldPosition="0">
        <references count="2">
          <reference field="4294967294" count="1" selected="0">
            <x v="5"/>
          </reference>
          <reference field="1" count="1">
            <x v="18"/>
          </reference>
        </references>
      </pivotArea>
    </format>
    <format dxfId="4180">
      <pivotArea collapsedLevelsAreSubtotals="1" fieldPosition="0">
        <references count="2">
          <reference field="4294967294" count="1" selected="0">
            <x v="5"/>
          </reference>
          <reference field="1" count="1">
            <x v="19"/>
          </reference>
        </references>
      </pivotArea>
    </format>
    <format dxfId="4179">
      <pivotArea collapsedLevelsAreSubtotals="1" fieldPosition="0">
        <references count="2">
          <reference field="4294967294" count="1" selected="0">
            <x v="5"/>
          </reference>
          <reference field="1" count="1">
            <x v="20"/>
          </reference>
        </references>
      </pivotArea>
    </format>
    <format dxfId="4178">
      <pivotArea collapsedLevelsAreSubtotals="1" fieldPosition="0">
        <references count="2">
          <reference field="4294967294" count="1" selected="0">
            <x v="5"/>
          </reference>
          <reference field="1" count="1">
            <x v="21"/>
          </reference>
        </references>
      </pivotArea>
    </format>
    <format dxfId="4177">
      <pivotArea collapsedLevelsAreSubtotals="1" fieldPosition="0">
        <references count="2">
          <reference field="4294967294" count="1" selected="0">
            <x v="5"/>
          </reference>
          <reference field="1" count="1">
            <x v="22"/>
          </reference>
        </references>
      </pivotArea>
    </format>
    <format dxfId="4176">
      <pivotArea field="1" grandRow="1" outline="0" collapsedLevelsAreSubtotals="1" axis="axisRow" fieldPosition="0">
        <references count="1">
          <reference field="4294967294" count="1" selected="0">
            <x v="5"/>
          </reference>
        </references>
      </pivotArea>
    </format>
    <format dxfId="4175">
      <pivotArea collapsedLevelsAreSubtotals="1" fieldPosition="0">
        <references count="2">
          <reference field="4294967294" count="1" selected="0">
            <x v="6"/>
          </reference>
          <reference field="1" count="1">
            <x v="0"/>
          </reference>
        </references>
      </pivotArea>
    </format>
    <format dxfId="4174">
      <pivotArea collapsedLevelsAreSubtotals="1" fieldPosition="0">
        <references count="2">
          <reference field="4294967294" count="1" selected="0">
            <x v="6"/>
          </reference>
          <reference field="1" count="1">
            <x v="1"/>
          </reference>
        </references>
      </pivotArea>
    </format>
    <format dxfId="4173">
      <pivotArea collapsedLevelsAreSubtotals="1" fieldPosition="0">
        <references count="2">
          <reference field="4294967294" count="1" selected="0">
            <x v="6"/>
          </reference>
          <reference field="1" count="1">
            <x v="2"/>
          </reference>
        </references>
      </pivotArea>
    </format>
    <format dxfId="4172">
      <pivotArea collapsedLevelsAreSubtotals="1" fieldPosition="0">
        <references count="2">
          <reference field="4294967294" count="1" selected="0">
            <x v="6"/>
          </reference>
          <reference field="1" count="1">
            <x v="3"/>
          </reference>
        </references>
      </pivotArea>
    </format>
    <format dxfId="4171">
      <pivotArea collapsedLevelsAreSubtotals="1" fieldPosition="0">
        <references count="2">
          <reference field="4294967294" count="1" selected="0">
            <x v="6"/>
          </reference>
          <reference field="1" count="1">
            <x v="4"/>
          </reference>
        </references>
      </pivotArea>
    </format>
    <format dxfId="4170">
      <pivotArea collapsedLevelsAreSubtotals="1" fieldPosition="0">
        <references count="2">
          <reference field="4294967294" count="1" selected="0">
            <x v="6"/>
          </reference>
          <reference field="1" count="1">
            <x v="5"/>
          </reference>
        </references>
      </pivotArea>
    </format>
    <format dxfId="4169">
      <pivotArea collapsedLevelsAreSubtotals="1" fieldPosition="0">
        <references count="2">
          <reference field="4294967294" count="1" selected="0">
            <x v="6"/>
          </reference>
          <reference field="1" count="1">
            <x v="6"/>
          </reference>
        </references>
      </pivotArea>
    </format>
    <format dxfId="4168">
      <pivotArea collapsedLevelsAreSubtotals="1" fieldPosition="0">
        <references count="2">
          <reference field="4294967294" count="1" selected="0">
            <x v="6"/>
          </reference>
          <reference field="1" count="1">
            <x v="7"/>
          </reference>
        </references>
      </pivotArea>
    </format>
    <format dxfId="4167">
      <pivotArea collapsedLevelsAreSubtotals="1" fieldPosition="0">
        <references count="2">
          <reference field="4294967294" count="1" selected="0">
            <x v="6"/>
          </reference>
          <reference field="1" count="1">
            <x v="8"/>
          </reference>
        </references>
      </pivotArea>
    </format>
    <format dxfId="4166">
      <pivotArea collapsedLevelsAreSubtotals="1" fieldPosition="0">
        <references count="2">
          <reference field="4294967294" count="1" selected="0">
            <x v="6"/>
          </reference>
          <reference field="1" count="1">
            <x v="9"/>
          </reference>
        </references>
      </pivotArea>
    </format>
    <format dxfId="4165">
      <pivotArea collapsedLevelsAreSubtotals="1" fieldPosition="0">
        <references count="2">
          <reference field="4294967294" count="1" selected="0">
            <x v="6"/>
          </reference>
          <reference field="1" count="1">
            <x v="10"/>
          </reference>
        </references>
      </pivotArea>
    </format>
    <format dxfId="4164">
      <pivotArea collapsedLevelsAreSubtotals="1" fieldPosition="0">
        <references count="2">
          <reference field="4294967294" count="1" selected="0">
            <x v="6"/>
          </reference>
          <reference field="1" count="1">
            <x v="11"/>
          </reference>
        </references>
      </pivotArea>
    </format>
    <format dxfId="4163">
      <pivotArea collapsedLevelsAreSubtotals="1" fieldPosition="0">
        <references count="2">
          <reference field="4294967294" count="1" selected="0">
            <x v="6"/>
          </reference>
          <reference field="1" count="1">
            <x v="12"/>
          </reference>
        </references>
      </pivotArea>
    </format>
    <format dxfId="4162">
      <pivotArea collapsedLevelsAreSubtotals="1" fieldPosition="0">
        <references count="2">
          <reference field="4294967294" count="1" selected="0">
            <x v="6"/>
          </reference>
          <reference field="1" count="1">
            <x v="13"/>
          </reference>
        </references>
      </pivotArea>
    </format>
    <format dxfId="4161">
      <pivotArea collapsedLevelsAreSubtotals="1" fieldPosition="0">
        <references count="2">
          <reference field="4294967294" count="1" selected="0">
            <x v="6"/>
          </reference>
          <reference field="1" count="1">
            <x v="14"/>
          </reference>
        </references>
      </pivotArea>
    </format>
    <format dxfId="4160">
      <pivotArea collapsedLevelsAreSubtotals="1" fieldPosition="0">
        <references count="2">
          <reference field="4294967294" count="1" selected="0">
            <x v="6"/>
          </reference>
          <reference field="1" count="1">
            <x v="15"/>
          </reference>
        </references>
      </pivotArea>
    </format>
    <format dxfId="4159">
      <pivotArea collapsedLevelsAreSubtotals="1" fieldPosition="0">
        <references count="2">
          <reference field="4294967294" count="1" selected="0">
            <x v="6"/>
          </reference>
          <reference field="1" count="1">
            <x v="16"/>
          </reference>
        </references>
      </pivotArea>
    </format>
    <format dxfId="4158">
      <pivotArea collapsedLevelsAreSubtotals="1" fieldPosition="0">
        <references count="2">
          <reference field="4294967294" count="1" selected="0">
            <x v="6"/>
          </reference>
          <reference field="1" count="1">
            <x v="17"/>
          </reference>
        </references>
      </pivotArea>
    </format>
    <format dxfId="4157">
      <pivotArea collapsedLevelsAreSubtotals="1" fieldPosition="0">
        <references count="2">
          <reference field="4294967294" count="1" selected="0">
            <x v="6"/>
          </reference>
          <reference field="1" count="1">
            <x v="18"/>
          </reference>
        </references>
      </pivotArea>
    </format>
    <format dxfId="4156">
      <pivotArea collapsedLevelsAreSubtotals="1" fieldPosition="0">
        <references count="2">
          <reference field="4294967294" count="1" selected="0">
            <x v="6"/>
          </reference>
          <reference field="1" count="1">
            <x v="19"/>
          </reference>
        </references>
      </pivotArea>
    </format>
    <format dxfId="4155">
      <pivotArea collapsedLevelsAreSubtotals="1" fieldPosition="0">
        <references count="2">
          <reference field="4294967294" count="1" selected="0">
            <x v="6"/>
          </reference>
          <reference field="1" count="1">
            <x v="20"/>
          </reference>
        </references>
      </pivotArea>
    </format>
    <format dxfId="4154">
      <pivotArea collapsedLevelsAreSubtotals="1" fieldPosition="0">
        <references count="2">
          <reference field="4294967294" count="1" selected="0">
            <x v="6"/>
          </reference>
          <reference field="1" count="1">
            <x v="21"/>
          </reference>
        </references>
      </pivotArea>
    </format>
    <format dxfId="4153">
      <pivotArea collapsedLevelsAreSubtotals="1" fieldPosition="0">
        <references count="2">
          <reference field="4294967294" count="1" selected="0">
            <x v="6"/>
          </reference>
          <reference field="1" count="1">
            <x v="22"/>
          </reference>
        </references>
      </pivotArea>
    </format>
    <format dxfId="4152">
      <pivotArea field="1" grandRow="1" outline="0" collapsedLevelsAreSubtotals="1" axis="axisRow" fieldPosition="0">
        <references count="1">
          <reference field="4294967294" count="1" selected="0">
            <x v="6"/>
          </reference>
        </references>
      </pivotArea>
    </format>
    <format dxfId="4151">
      <pivotArea collapsedLevelsAreSubtotals="1" fieldPosition="0">
        <references count="2">
          <reference field="4294967294" count="1" selected="0">
            <x v="7"/>
          </reference>
          <reference field="1" count="1">
            <x v="0"/>
          </reference>
        </references>
      </pivotArea>
    </format>
    <format dxfId="4150">
      <pivotArea collapsedLevelsAreSubtotals="1" fieldPosition="0">
        <references count="2">
          <reference field="4294967294" count="1" selected="0">
            <x v="7"/>
          </reference>
          <reference field="1" count="1">
            <x v="1"/>
          </reference>
        </references>
      </pivotArea>
    </format>
    <format dxfId="4149">
      <pivotArea collapsedLevelsAreSubtotals="1" fieldPosition="0">
        <references count="2">
          <reference field="4294967294" count="1" selected="0">
            <x v="7"/>
          </reference>
          <reference field="1" count="1">
            <x v="2"/>
          </reference>
        </references>
      </pivotArea>
    </format>
    <format dxfId="4148">
      <pivotArea collapsedLevelsAreSubtotals="1" fieldPosition="0">
        <references count="2">
          <reference field="4294967294" count="1" selected="0">
            <x v="7"/>
          </reference>
          <reference field="1" count="1">
            <x v="3"/>
          </reference>
        </references>
      </pivotArea>
    </format>
    <format dxfId="4147">
      <pivotArea collapsedLevelsAreSubtotals="1" fieldPosition="0">
        <references count="2">
          <reference field="4294967294" count="1" selected="0">
            <x v="7"/>
          </reference>
          <reference field="1" count="1">
            <x v="4"/>
          </reference>
        </references>
      </pivotArea>
    </format>
    <format dxfId="4146">
      <pivotArea collapsedLevelsAreSubtotals="1" fieldPosition="0">
        <references count="2">
          <reference field="4294967294" count="1" selected="0">
            <x v="7"/>
          </reference>
          <reference field="1" count="1">
            <x v="5"/>
          </reference>
        </references>
      </pivotArea>
    </format>
    <format dxfId="4145">
      <pivotArea collapsedLevelsAreSubtotals="1" fieldPosition="0">
        <references count="2">
          <reference field="4294967294" count="1" selected="0">
            <x v="7"/>
          </reference>
          <reference field="1" count="1">
            <x v="6"/>
          </reference>
        </references>
      </pivotArea>
    </format>
    <format dxfId="4144">
      <pivotArea collapsedLevelsAreSubtotals="1" fieldPosition="0">
        <references count="2">
          <reference field="4294967294" count="1" selected="0">
            <x v="7"/>
          </reference>
          <reference field="1" count="1">
            <x v="7"/>
          </reference>
        </references>
      </pivotArea>
    </format>
    <format dxfId="4143">
      <pivotArea collapsedLevelsAreSubtotals="1" fieldPosition="0">
        <references count="2">
          <reference field="4294967294" count="1" selected="0">
            <x v="7"/>
          </reference>
          <reference field="1" count="1">
            <x v="8"/>
          </reference>
        </references>
      </pivotArea>
    </format>
    <format dxfId="4142">
      <pivotArea collapsedLevelsAreSubtotals="1" fieldPosition="0">
        <references count="2">
          <reference field="4294967294" count="1" selected="0">
            <x v="7"/>
          </reference>
          <reference field="1" count="1">
            <x v="9"/>
          </reference>
        </references>
      </pivotArea>
    </format>
    <format dxfId="4141">
      <pivotArea collapsedLevelsAreSubtotals="1" fieldPosition="0">
        <references count="2">
          <reference field="4294967294" count="1" selected="0">
            <x v="7"/>
          </reference>
          <reference field="1" count="1">
            <x v="10"/>
          </reference>
        </references>
      </pivotArea>
    </format>
    <format dxfId="4140">
      <pivotArea collapsedLevelsAreSubtotals="1" fieldPosition="0">
        <references count="2">
          <reference field="4294967294" count="1" selected="0">
            <x v="7"/>
          </reference>
          <reference field="1" count="1">
            <x v="11"/>
          </reference>
        </references>
      </pivotArea>
    </format>
    <format dxfId="4139">
      <pivotArea collapsedLevelsAreSubtotals="1" fieldPosition="0">
        <references count="2">
          <reference field="4294967294" count="1" selected="0">
            <x v="7"/>
          </reference>
          <reference field="1" count="1">
            <x v="12"/>
          </reference>
        </references>
      </pivotArea>
    </format>
    <format dxfId="4138">
      <pivotArea collapsedLevelsAreSubtotals="1" fieldPosition="0">
        <references count="2">
          <reference field="4294967294" count="1" selected="0">
            <x v="7"/>
          </reference>
          <reference field="1" count="1">
            <x v="13"/>
          </reference>
        </references>
      </pivotArea>
    </format>
    <format dxfId="4137">
      <pivotArea collapsedLevelsAreSubtotals="1" fieldPosition="0">
        <references count="2">
          <reference field="4294967294" count="1" selected="0">
            <x v="7"/>
          </reference>
          <reference field="1" count="1">
            <x v="14"/>
          </reference>
        </references>
      </pivotArea>
    </format>
    <format dxfId="4136">
      <pivotArea collapsedLevelsAreSubtotals="1" fieldPosition="0">
        <references count="2">
          <reference field="4294967294" count="1" selected="0">
            <x v="7"/>
          </reference>
          <reference field="1" count="1">
            <x v="15"/>
          </reference>
        </references>
      </pivotArea>
    </format>
    <format dxfId="4135">
      <pivotArea collapsedLevelsAreSubtotals="1" fieldPosition="0">
        <references count="2">
          <reference field="4294967294" count="1" selected="0">
            <x v="7"/>
          </reference>
          <reference field="1" count="1">
            <x v="16"/>
          </reference>
        </references>
      </pivotArea>
    </format>
    <format dxfId="4134">
      <pivotArea collapsedLevelsAreSubtotals="1" fieldPosition="0">
        <references count="2">
          <reference field="4294967294" count="1" selected="0">
            <x v="7"/>
          </reference>
          <reference field="1" count="1">
            <x v="17"/>
          </reference>
        </references>
      </pivotArea>
    </format>
    <format dxfId="4133">
      <pivotArea collapsedLevelsAreSubtotals="1" fieldPosition="0">
        <references count="2">
          <reference field="4294967294" count="1" selected="0">
            <x v="7"/>
          </reference>
          <reference field="1" count="1">
            <x v="18"/>
          </reference>
        </references>
      </pivotArea>
    </format>
    <format dxfId="4132">
      <pivotArea collapsedLevelsAreSubtotals="1" fieldPosition="0">
        <references count="2">
          <reference field="4294967294" count="1" selected="0">
            <x v="7"/>
          </reference>
          <reference field="1" count="1">
            <x v="19"/>
          </reference>
        </references>
      </pivotArea>
    </format>
    <format dxfId="4131">
      <pivotArea collapsedLevelsAreSubtotals="1" fieldPosition="0">
        <references count="2">
          <reference field="4294967294" count="1" selected="0">
            <x v="7"/>
          </reference>
          <reference field="1" count="1">
            <x v="20"/>
          </reference>
        </references>
      </pivotArea>
    </format>
    <format dxfId="4130">
      <pivotArea collapsedLevelsAreSubtotals="1" fieldPosition="0">
        <references count="2">
          <reference field="4294967294" count="1" selected="0">
            <x v="7"/>
          </reference>
          <reference field="1" count="1">
            <x v="21"/>
          </reference>
        </references>
      </pivotArea>
    </format>
    <format dxfId="4129">
      <pivotArea collapsedLevelsAreSubtotals="1" fieldPosition="0">
        <references count="2">
          <reference field="4294967294" count="1" selected="0">
            <x v="7"/>
          </reference>
          <reference field="1" count="1">
            <x v="22"/>
          </reference>
        </references>
      </pivotArea>
    </format>
    <format dxfId="4128">
      <pivotArea field="1" grandRow="1" outline="0" collapsedLevelsAreSubtotals="1" axis="axisRow" fieldPosition="0">
        <references count="1">
          <reference field="4294967294" count="1" selected="0">
            <x v="7"/>
          </reference>
        </references>
      </pivotArea>
    </format>
    <format dxfId="4127">
      <pivotArea collapsedLevelsAreSubtotals="1" fieldPosition="0">
        <references count="2">
          <reference field="4294967294" count="1" selected="0">
            <x v="8"/>
          </reference>
          <reference field="1" count="1">
            <x v="0"/>
          </reference>
        </references>
      </pivotArea>
    </format>
    <format dxfId="4126">
      <pivotArea collapsedLevelsAreSubtotals="1" fieldPosition="0">
        <references count="2">
          <reference field="4294967294" count="1" selected="0">
            <x v="8"/>
          </reference>
          <reference field="1" count="1">
            <x v="1"/>
          </reference>
        </references>
      </pivotArea>
    </format>
    <format dxfId="4125">
      <pivotArea collapsedLevelsAreSubtotals="1" fieldPosition="0">
        <references count="2">
          <reference field="4294967294" count="1" selected="0">
            <x v="8"/>
          </reference>
          <reference field="1" count="1">
            <x v="2"/>
          </reference>
        </references>
      </pivotArea>
    </format>
    <format dxfId="4124">
      <pivotArea collapsedLevelsAreSubtotals="1" fieldPosition="0">
        <references count="2">
          <reference field="4294967294" count="1" selected="0">
            <x v="8"/>
          </reference>
          <reference field="1" count="1">
            <x v="3"/>
          </reference>
        </references>
      </pivotArea>
    </format>
    <format dxfId="4123">
      <pivotArea collapsedLevelsAreSubtotals="1" fieldPosition="0">
        <references count="2">
          <reference field="4294967294" count="1" selected="0">
            <x v="8"/>
          </reference>
          <reference field="1" count="1">
            <x v="4"/>
          </reference>
        </references>
      </pivotArea>
    </format>
    <format dxfId="4122">
      <pivotArea collapsedLevelsAreSubtotals="1" fieldPosition="0">
        <references count="2">
          <reference field="4294967294" count="1" selected="0">
            <x v="8"/>
          </reference>
          <reference field="1" count="1">
            <x v="5"/>
          </reference>
        </references>
      </pivotArea>
    </format>
    <format dxfId="4121">
      <pivotArea collapsedLevelsAreSubtotals="1" fieldPosition="0">
        <references count="2">
          <reference field="4294967294" count="1" selected="0">
            <x v="8"/>
          </reference>
          <reference field="1" count="1">
            <x v="6"/>
          </reference>
        </references>
      </pivotArea>
    </format>
    <format dxfId="4120">
      <pivotArea collapsedLevelsAreSubtotals="1" fieldPosition="0">
        <references count="2">
          <reference field="4294967294" count="1" selected="0">
            <x v="8"/>
          </reference>
          <reference field="1" count="1">
            <x v="7"/>
          </reference>
        </references>
      </pivotArea>
    </format>
    <format dxfId="4119">
      <pivotArea collapsedLevelsAreSubtotals="1" fieldPosition="0">
        <references count="2">
          <reference field="4294967294" count="1" selected="0">
            <x v="8"/>
          </reference>
          <reference field="1" count="1">
            <x v="8"/>
          </reference>
        </references>
      </pivotArea>
    </format>
    <format dxfId="4118">
      <pivotArea collapsedLevelsAreSubtotals="1" fieldPosition="0">
        <references count="2">
          <reference field="4294967294" count="1" selected="0">
            <x v="8"/>
          </reference>
          <reference field="1" count="1">
            <x v="9"/>
          </reference>
        </references>
      </pivotArea>
    </format>
    <format dxfId="4117">
      <pivotArea collapsedLevelsAreSubtotals="1" fieldPosition="0">
        <references count="2">
          <reference field="4294967294" count="1" selected="0">
            <x v="8"/>
          </reference>
          <reference field="1" count="1">
            <x v="10"/>
          </reference>
        </references>
      </pivotArea>
    </format>
    <format dxfId="4116">
      <pivotArea collapsedLevelsAreSubtotals="1" fieldPosition="0">
        <references count="2">
          <reference field="4294967294" count="1" selected="0">
            <x v="8"/>
          </reference>
          <reference field="1" count="1">
            <x v="11"/>
          </reference>
        </references>
      </pivotArea>
    </format>
    <format dxfId="4115">
      <pivotArea collapsedLevelsAreSubtotals="1" fieldPosition="0">
        <references count="2">
          <reference field="4294967294" count="1" selected="0">
            <x v="8"/>
          </reference>
          <reference field="1" count="1">
            <x v="12"/>
          </reference>
        </references>
      </pivotArea>
    </format>
    <format dxfId="4114">
      <pivotArea collapsedLevelsAreSubtotals="1" fieldPosition="0">
        <references count="2">
          <reference field="4294967294" count="1" selected="0">
            <x v="8"/>
          </reference>
          <reference field="1" count="1">
            <x v="13"/>
          </reference>
        </references>
      </pivotArea>
    </format>
    <format dxfId="4113">
      <pivotArea collapsedLevelsAreSubtotals="1" fieldPosition="0">
        <references count="2">
          <reference field="4294967294" count="1" selected="0">
            <x v="8"/>
          </reference>
          <reference field="1" count="1">
            <x v="14"/>
          </reference>
        </references>
      </pivotArea>
    </format>
    <format dxfId="4112">
      <pivotArea collapsedLevelsAreSubtotals="1" fieldPosition="0">
        <references count="2">
          <reference field="4294967294" count="1" selected="0">
            <x v="8"/>
          </reference>
          <reference field="1" count="1">
            <x v="15"/>
          </reference>
        </references>
      </pivotArea>
    </format>
    <format dxfId="4111">
      <pivotArea collapsedLevelsAreSubtotals="1" fieldPosition="0">
        <references count="2">
          <reference field="4294967294" count="1" selected="0">
            <x v="8"/>
          </reference>
          <reference field="1" count="1">
            <x v="16"/>
          </reference>
        </references>
      </pivotArea>
    </format>
    <format dxfId="4110">
      <pivotArea collapsedLevelsAreSubtotals="1" fieldPosition="0">
        <references count="2">
          <reference field="4294967294" count="1" selected="0">
            <x v="8"/>
          </reference>
          <reference field="1" count="1">
            <x v="17"/>
          </reference>
        </references>
      </pivotArea>
    </format>
    <format dxfId="4109">
      <pivotArea collapsedLevelsAreSubtotals="1" fieldPosition="0">
        <references count="2">
          <reference field="4294967294" count="1" selected="0">
            <x v="8"/>
          </reference>
          <reference field="1" count="1">
            <x v="18"/>
          </reference>
        </references>
      </pivotArea>
    </format>
    <format dxfId="4108">
      <pivotArea collapsedLevelsAreSubtotals="1" fieldPosition="0">
        <references count="2">
          <reference field="4294967294" count="1" selected="0">
            <x v="8"/>
          </reference>
          <reference field="1" count="1">
            <x v="19"/>
          </reference>
        </references>
      </pivotArea>
    </format>
    <format dxfId="4107">
      <pivotArea collapsedLevelsAreSubtotals="1" fieldPosition="0">
        <references count="2">
          <reference field="4294967294" count="1" selected="0">
            <x v="8"/>
          </reference>
          <reference field="1" count="1">
            <x v="20"/>
          </reference>
        </references>
      </pivotArea>
    </format>
    <format dxfId="4106">
      <pivotArea collapsedLevelsAreSubtotals="1" fieldPosition="0">
        <references count="2">
          <reference field="4294967294" count="1" selected="0">
            <x v="8"/>
          </reference>
          <reference field="1" count="1">
            <x v="21"/>
          </reference>
        </references>
      </pivotArea>
    </format>
    <format dxfId="4105">
      <pivotArea collapsedLevelsAreSubtotals="1" fieldPosition="0">
        <references count="2">
          <reference field="4294967294" count="1" selected="0">
            <x v="8"/>
          </reference>
          <reference field="1" count="1">
            <x v="22"/>
          </reference>
        </references>
      </pivotArea>
    </format>
    <format dxfId="4104">
      <pivotArea field="1" grandRow="1" outline="0" collapsedLevelsAreSubtotals="1" axis="axisRow"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D39456-E3D3-4C93-A528-DF498D96C41C}" autoFormatId="16" applyNumberFormats="0" applyBorderFormats="0" applyFontFormats="0" applyPatternFormats="0" applyAlignmentFormats="0" applyWidthHeightFormats="0">
  <queryTableRefresh nextId="47">
    <queryTableFields count="43">
      <queryTableField id="1" name="Facility_Key" tableColumnId="1"/>
      <queryTableField id="2" name="Facility_Name" tableColumnId="2"/>
      <queryTableField id="41" name="PeerGroup_Name" tableColumnId="41"/>
      <queryTableField id="42" name="PeerGroup_Count" tableColumnId="42"/>
      <queryTableField id="43" name="PeerGroup_List" tableColumnId="43"/>
      <queryTableField id="3" name="Discharge_Year" tableColumnId="3"/>
      <queryTableField id="4" name="Severity_Mix_Index" tableColumnId="4"/>
      <queryTableField id="5" name="Severity_Encounter_Count" tableColumnId="5"/>
      <queryTableField id="6" name="Severity_1_Count" tableColumnId="6"/>
      <queryTableField id="7" name="Severity_2_Count" tableColumnId="7"/>
      <queryTableField id="8" name="Severity_3_Count" tableColumnId="8"/>
      <queryTableField id="9" name="Severity_4_Count" tableColumnId="9"/>
      <queryTableField id="10" name="Commercial_Share" tableColumnId="10"/>
      <queryTableField id="11" name="Medicaid_Share" tableColumnId="11"/>
      <queryTableField id="12" name="Medicare_Share" tableColumnId="12"/>
      <queryTableField id="13" name="SelfPay_Share" tableColumnId="13"/>
      <queryTableField id="14" name="Other_Share" tableColumnId="14"/>
      <queryTableField id="15" name="Payer_Encounter_Count_Sum" tableColumnId="15"/>
      <queryTableField id="16" name="Encounter_Count_Total" tableColumnId="16"/>
      <queryTableField id="17" name="Encounter_Count_Unplanned" tableColumnId="17"/>
      <queryTableField id="18" name="Encounter_Count_Planned" tableColumnId="18"/>
      <queryTableField id="19" name="Unplanned_Admission_Rate" tableColumnId="19"/>
      <queryTableField id="20" name="Home_Count" tableColumnId="20"/>
      <queryTableField id="21" name="PostAcute_Count" tableColumnId="21"/>
      <queryTableField id="22" name="AcuteTransfer_Count" tableColumnId="22"/>
      <queryTableField id="23" name="Expired_Count" tableColumnId="23"/>
      <queryTableField id="24" name="OtherUnknown_Count" tableColumnId="24"/>
      <queryTableField id="25" name="Home_Share" tableColumnId="25"/>
      <queryTableField id="26" name="PostAcute_Share" tableColumnId="26"/>
      <queryTableField id="27" name="AcuteTransfer_Share" tableColumnId="27"/>
      <queryTableField id="28" name="Expired_Share" tableColumnId="28"/>
      <queryTableField id="29" name="OtherUnknown_Share" tableColumnId="29"/>
      <queryTableField id="30" name="Disposition_Total_Encounters" tableColumnId="30"/>
      <queryTableField id="31" name="Avg_LOS" tableColumnId="31"/>
      <queryTableField id="32" name="Min_LOS" tableColumnId="32"/>
      <queryTableField id="33" name="Max_LOS" tableColumnId="33"/>
      <queryTableField id="34" name="Death_Count" tableColumnId="34"/>
      <queryTableField id="35" name="Mortality_Rate" tableColumnId="35"/>
      <queryTableField id="36" name="Avg_MCost" tableColumnId="36"/>
      <queryTableField id="37" name="Margin_Pressure_Ratio" tableColumnId="37"/>
      <queryTableField id="38" name="NegMargin_Rate" tableColumnId="38"/>
      <queryTableField id="39" name="Total_Costs" tableColumnId="39"/>
      <queryTableField id="40" name="Total_Charges" tableColumnId="4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erGroup_Name" xr10:uid="{6B9E42E1-C9B0-42DF-BF1D-89E31A8AEBD7}" sourceName="PeerGroup_Name">
  <pivotTables>
    <pivotTable tabId="5" name="Executive_KPI_Overview"/>
  </pivotTables>
  <data>
    <tabular pivotCacheId="264020811">
      <items count="5">
        <i x="2" s="1"/>
        <i x="1"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Year" xr10:uid="{97D5B0D8-EEF3-4216-8E3B-330B4B5CD739}" sourceName="Discharge_Year">
  <pivotTables>
    <pivotTable tabId="5" name="Executive_KPI_Overview"/>
  </pivotTables>
  <data>
    <tabular pivotCacheId="264020811">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_Name" xr10:uid="{86074FC4-67D2-4058-A727-C4664C598DD9}" sourceName="Facility_Name">
  <pivotTables>
    <pivotTable tabId="5" name="Executive_KPI_Overview"/>
  </pivotTables>
  <data>
    <tabular pivotCacheId="264020811">
      <items count="23">
        <i x="2" s="1"/>
        <i x="10" s="1"/>
        <i x="1" s="1"/>
        <i x="15" s="1"/>
        <i x="22" s="1"/>
        <i x="13" s="1"/>
        <i x="18" s="1"/>
        <i x="0" s="1"/>
        <i x="11" s="1"/>
        <i x="4" s="1"/>
        <i x="12" s="1"/>
        <i x="19" s="1"/>
        <i x="21" s="1"/>
        <i x="8" s="1"/>
        <i x="9" s="1"/>
        <i x="14" s="1"/>
        <i x="3" s="1"/>
        <i x="16" s="1"/>
        <i x="6" s="1"/>
        <i x="20" s="1"/>
        <i x="5" s="1"/>
        <i x="17"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erGroup_Name" xr10:uid="{EFB195FE-F722-4817-8205-F3F35B70E63E}" cache="Slicer_PeerGroup_Name" caption="Peer Group" style="SlicerStyleLight2" rowHeight="352425"/>
  <slicer name="Discharge_Year" xr10:uid="{B42D6A6B-7853-47B2-AE03-3DFD2A57EE8F}" cache="Slicer_Discharge_Year" caption="Encounter Year" style="SlicerStyleLight2" rowHeight="352425"/>
  <slicer name="Facility_Name" xr10:uid="{AA8B5540-4204-40E9-A773-6ADF83D08284}" cache="Slicer_Facility_Name" caption="Facility Name" style="SlicerStyleLight2" rowHeight="352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AE0FF6-981D-42BF-B6D3-C67B79B1BD4D}" name="vw_Excel_KPI_Executive_FacilityYear" displayName="vw_Excel_KPI_Executive_FacilityYear" ref="A1:AQ24" tableType="queryTable" totalsRowShown="0">
  <autoFilter ref="A1:AQ24" xr:uid="{CAAE0FF6-981D-42BF-B6D3-C67B79B1BD4D}"/>
  <tableColumns count="43">
    <tableColumn id="1" xr3:uid="{E816D987-2DBD-45BC-979A-1C2DF65B2D87}" uniqueName="1" name="Facility_Key" queryTableFieldId="1"/>
    <tableColumn id="2" xr3:uid="{38544FFB-84A8-4769-AF6D-9F7182E972CD}" uniqueName="2" name="Facility_Name" queryTableFieldId="2" dataDxfId="4322"/>
    <tableColumn id="41" xr3:uid="{DC36BCA5-853C-4DB8-ACB8-791EBC3E4D8A}" uniqueName="41" name="PeerGroup_Name" queryTableFieldId="41" dataDxfId="4321"/>
    <tableColumn id="42" xr3:uid="{E687405E-AD0F-4500-A8E5-84B69A4FAFF5}" uniqueName="42" name="PeerGroup_Count" queryTableFieldId="42"/>
    <tableColumn id="43" xr3:uid="{072AEFDB-F032-4BC2-8388-9239D0E923BB}" uniqueName="43" name="PeerGroup_List" queryTableFieldId="43" dataDxfId="4320"/>
    <tableColumn id="3" xr3:uid="{5B6FFC3A-3C36-4A04-BF98-113C7692A347}" uniqueName="3" name="Discharge_Year" queryTableFieldId="3"/>
    <tableColumn id="4" xr3:uid="{491A3A08-3651-466B-B6E4-8E37785714E0}" uniqueName="4" name="Severity_Mix_Index" queryTableFieldId="4"/>
    <tableColumn id="5" xr3:uid="{548D2AE0-DFC1-427A-9641-9B71410A8778}" uniqueName="5" name="Severity_Encounter_Count" queryTableFieldId="5"/>
    <tableColumn id="6" xr3:uid="{BB1B8A08-17EC-40E0-923A-ECD0E9D00213}" uniqueName="6" name="Severity_1_Count" queryTableFieldId="6"/>
    <tableColumn id="7" xr3:uid="{9089918F-038E-464B-8DD5-C68F5B7E1D3C}" uniqueName="7" name="Severity_2_Count" queryTableFieldId="7"/>
    <tableColumn id="8" xr3:uid="{E279BC86-12C0-4472-A14B-E56C30C73D34}" uniqueName="8" name="Severity_3_Count" queryTableFieldId="8"/>
    <tableColumn id="9" xr3:uid="{112C589A-8159-44DF-99BD-4871D2E0CE9E}" uniqueName="9" name="Severity_4_Count" queryTableFieldId="9"/>
    <tableColumn id="10" xr3:uid="{7534E881-FBD2-40DB-A6A4-9A7AC26E76F1}" uniqueName="10" name="Commercial_Share" queryTableFieldId="10"/>
    <tableColumn id="11" xr3:uid="{CB3E5967-9616-41F2-8AFA-E89EBA64A663}" uniqueName="11" name="Medicaid_Share" queryTableFieldId="11"/>
    <tableColumn id="12" xr3:uid="{DAFAB9E3-6720-4898-99CD-72EE11BB2627}" uniqueName="12" name="Medicare_Share" queryTableFieldId="12"/>
    <tableColumn id="13" xr3:uid="{2AB66B98-6A45-481E-9E59-B5467DAA79C6}" uniqueName="13" name="SelfPay_Share" queryTableFieldId="13"/>
    <tableColumn id="14" xr3:uid="{7DDFF08F-7AFF-465D-9793-34CAFDD97A34}" uniqueName="14" name="Other_Share" queryTableFieldId="14"/>
    <tableColumn id="15" xr3:uid="{C8C16553-0211-4E3B-BB7F-1149C213B36A}" uniqueName="15" name="Payer_Encounter_Count_Sum" queryTableFieldId="15"/>
    <tableColumn id="16" xr3:uid="{E3FEC55B-E547-4CC6-A464-445C53FB4183}" uniqueName="16" name="Encounter_Count_Total" queryTableFieldId="16"/>
    <tableColumn id="17" xr3:uid="{1E5AE866-482A-41B3-9386-597DFF470440}" uniqueName="17" name="Encounter_Count_Unplanned" queryTableFieldId="17"/>
    <tableColumn id="18" xr3:uid="{BE6CD3C9-F0AB-4228-ADD6-3EC0AAE211B3}" uniqueName="18" name="Encounter_Count_Planned" queryTableFieldId="18"/>
    <tableColumn id="19" xr3:uid="{6B7361CB-C267-489B-9D2A-D94A6C1EE326}" uniqueName="19" name="Unplanned_Admission_Rate" queryTableFieldId="19"/>
    <tableColumn id="20" xr3:uid="{381A1D03-E2A1-4111-B588-073072B96B9C}" uniqueName="20" name="Home_Count" queryTableFieldId="20"/>
    <tableColumn id="21" xr3:uid="{B337256F-19B2-412C-A5A2-7E05388D6E20}" uniqueName="21" name="PostAcute_Count" queryTableFieldId="21"/>
    <tableColumn id="22" xr3:uid="{39260A9B-3980-4313-8509-C7A2885657A5}" uniqueName="22" name="AcuteTransfer_Count" queryTableFieldId="22"/>
    <tableColumn id="23" xr3:uid="{BE24E5A3-C417-405A-9AA0-20FCB96FD2D6}" uniqueName="23" name="Expired_Count" queryTableFieldId="23"/>
    <tableColumn id="24" xr3:uid="{D7679075-95F2-4438-9A8B-54542F929619}" uniqueName="24" name="OtherUnknown_Count" queryTableFieldId="24"/>
    <tableColumn id="25" xr3:uid="{8461070F-BD08-4A85-B5BC-7EBC5974C0BA}" uniqueName="25" name="Home_Share" queryTableFieldId="25"/>
    <tableColumn id="26" xr3:uid="{B197B29A-2A4A-4634-B486-9A66AE024B2A}" uniqueName="26" name="PostAcute_Share" queryTableFieldId="26"/>
    <tableColumn id="27" xr3:uid="{01CF11F1-798D-418C-BD4E-A38013CD0B51}" uniqueName="27" name="AcuteTransfer_Share" queryTableFieldId="27"/>
    <tableColumn id="28" xr3:uid="{F08643B7-442D-4F17-A743-A00B03D4929B}" uniqueName="28" name="Expired_Share" queryTableFieldId="28"/>
    <tableColumn id="29" xr3:uid="{F9F6CB2B-E5E4-4279-A8DD-AF0B4D96D082}" uniqueName="29" name="OtherUnknown_Share" queryTableFieldId="29"/>
    <tableColumn id="30" xr3:uid="{6C594365-4342-4033-ADC8-94E45C8DDEAB}" uniqueName="30" name="Disposition_Total_Encounters" queryTableFieldId="30"/>
    <tableColumn id="31" xr3:uid="{8AD47D3E-0FA8-487B-A75D-753BD08E0777}" uniqueName="31" name="Avg_LOS" queryTableFieldId="31"/>
    <tableColumn id="32" xr3:uid="{33353DE8-8345-411C-8C28-100EAA009874}" uniqueName="32" name="Min_LOS" queryTableFieldId="32"/>
    <tableColumn id="33" xr3:uid="{10520271-CA4B-4743-B117-1AE73E0A9A27}" uniqueName="33" name="Max_LOS" queryTableFieldId="33"/>
    <tableColumn id="34" xr3:uid="{A4DB76F8-A9E6-4549-9828-B9AE5EFFE998}" uniqueName="34" name="Death_Count" queryTableFieldId="34"/>
    <tableColumn id="35" xr3:uid="{E8DE74F7-83CA-4C0B-811F-37E4370D54DA}" uniqueName="35" name="Mortality_Rate" queryTableFieldId="35"/>
    <tableColumn id="36" xr3:uid="{6A3DDC80-84A2-4EAF-9AC5-A50349487912}" uniqueName="36" name="Avg_MCost" queryTableFieldId="36"/>
    <tableColumn id="37" xr3:uid="{4F09A0A7-015C-4896-BF33-A972C0D85302}" uniqueName="37" name="Margin_Pressure_Ratio" queryTableFieldId="37"/>
    <tableColumn id="38" xr3:uid="{E12A9A72-AD9C-4CF4-8260-648E7C90096F}" uniqueName="38" name="NegMargin_Rate" queryTableFieldId="38"/>
    <tableColumn id="39" xr3:uid="{4D15ED40-5339-4DEE-B871-CD68C848EB27}" uniqueName="39" name="Total_Costs" queryTableFieldId="39"/>
    <tableColumn id="40" xr3:uid="{5E064410-3F20-41BB-9C93-41F5AC7414D7}" uniqueName="40" name="Total_Charges" queryTableFieldId="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7E8381-525D-489C-934D-1BA9A7A7B0E4}">
  <we:reference id="wa200009404" version="1.0.0.5" store="en-US"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B8DB7-2415-4B89-8ABC-EF52DBEF9914}">
  <sheetPr>
    <tabColor rgb="FF4472C4"/>
  </sheetPr>
  <dimension ref="A1:A13"/>
  <sheetViews>
    <sheetView showGridLines="0" zoomScale="115" zoomScaleNormal="115" workbookViewId="0">
      <pane ySplit="1" topLeftCell="A2" activePane="bottomLeft" state="frozen"/>
      <selection pane="bottomLeft" activeCell="A19" sqref="A19"/>
    </sheetView>
  </sheetViews>
  <sheetFormatPr defaultRowHeight="21" x14ac:dyDescent="0.35"/>
  <cols>
    <col min="1" max="1" width="60.6328125" customWidth="1"/>
  </cols>
  <sheetData>
    <row r="1" spans="1:1" ht="36" customHeight="1" x14ac:dyDescent="0.35">
      <c r="A1" s="1" t="s">
        <v>63</v>
      </c>
    </row>
    <row r="2" spans="1:1" ht="9.9499999999999993" customHeight="1" x14ac:dyDescent="0.35">
      <c r="A2" s="2"/>
    </row>
    <row r="3" spans="1:1" x14ac:dyDescent="0.35">
      <c r="A3" s="3" t="s">
        <v>64</v>
      </c>
    </row>
    <row r="4" spans="1:1" x14ac:dyDescent="0.35">
      <c r="A4" s="4" t="s">
        <v>65</v>
      </c>
    </row>
    <row r="5" spans="1:1" ht="9.9499999999999993" customHeight="1" x14ac:dyDescent="0.35">
      <c r="A5" s="5"/>
    </row>
    <row r="6" spans="1:1" x14ac:dyDescent="0.35">
      <c r="A6" s="3" t="s">
        <v>66</v>
      </c>
    </row>
    <row r="7" spans="1:1" x14ac:dyDescent="0.35">
      <c r="A7" s="6" t="s">
        <v>67</v>
      </c>
    </row>
    <row r="8" spans="1:1" ht="9.9499999999999993" customHeight="1" x14ac:dyDescent="0.35">
      <c r="A8" s="5"/>
    </row>
    <row r="9" spans="1:1" x14ac:dyDescent="0.35">
      <c r="A9" s="3" t="s">
        <v>68</v>
      </c>
    </row>
    <row r="10" spans="1:1" x14ac:dyDescent="0.35">
      <c r="A10" s="7" t="s">
        <v>69</v>
      </c>
    </row>
    <row r="11" spans="1:1" x14ac:dyDescent="0.35">
      <c r="A11" s="6" t="s">
        <v>70</v>
      </c>
    </row>
    <row r="12" spans="1:1" x14ac:dyDescent="0.35">
      <c r="A12" s="7" t="s">
        <v>71</v>
      </c>
    </row>
    <row r="13" spans="1:1" x14ac:dyDescent="0.35">
      <c r="A13" s="6"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24B1E-A06C-4AEA-9986-5702C4A4109D}">
  <dimension ref="A1:AQ24"/>
  <sheetViews>
    <sheetView topLeftCell="AA1" workbookViewId="0">
      <selection activeCell="AL32" sqref="AL32"/>
    </sheetView>
  </sheetViews>
  <sheetFormatPr defaultRowHeight="21" x14ac:dyDescent="0.35"/>
  <cols>
    <col min="1" max="1" width="11.6328125" bestFit="1" customWidth="1"/>
    <col min="2" max="2" width="49" bestFit="1" customWidth="1"/>
    <col min="3" max="3" width="21.1796875" bestFit="1" customWidth="1"/>
    <col min="4" max="4" width="16.453125" bestFit="1" customWidth="1"/>
    <col min="5" max="5" width="21.1796875" bestFit="1" customWidth="1"/>
    <col min="6" max="6" width="14.6328125" bestFit="1" customWidth="1"/>
    <col min="7" max="7" width="17.36328125" bestFit="1" customWidth="1"/>
    <col min="8" max="8" width="23.54296875" bestFit="1" customWidth="1"/>
    <col min="9" max="12" width="16.1796875" bestFit="1" customWidth="1"/>
    <col min="13" max="13" width="17.453125" bestFit="1" customWidth="1"/>
    <col min="14" max="14" width="14.81640625" bestFit="1" customWidth="1"/>
    <col min="15" max="15" width="15" bestFit="1" customWidth="1"/>
    <col min="16" max="16" width="13.453125" bestFit="1" customWidth="1"/>
    <col min="17" max="17" width="12.1796875" bestFit="1" customWidth="1"/>
    <col min="18" max="18" width="25.90625" bestFit="1" customWidth="1"/>
    <col min="19" max="19" width="21" bestFit="1" customWidth="1"/>
    <col min="20" max="20" width="25.81640625" bestFit="1" customWidth="1"/>
    <col min="21" max="21" width="23.6328125" bestFit="1" customWidth="1"/>
    <col min="22" max="22" width="24.81640625" bestFit="1" customWidth="1"/>
    <col min="23" max="23" width="12.7265625" bestFit="1" customWidth="1"/>
    <col min="24" max="24" width="16.1796875" bestFit="1" customWidth="1"/>
    <col min="25" max="25" width="19.1796875" bestFit="1" customWidth="1"/>
    <col min="26" max="26" width="13.81640625" bestFit="1" customWidth="1"/>
    <col min="27" max="27" width="20" bestFit="1" customWidth="1"/>
    <col min="28" max="28" width="12.453125" bestFit="1" customWidth="1"/>
    <col min="29" max="29" width="15.90625" bestFit="1" customWidth="1"/>
    <col min="30" max="30" width="18.90625" bestFit="1" customWidth="1"/>
    <col min="31" max="31" width="13.54296875" bestFit="1" customWidth="1"/>
    <col min="32" max="32" width="19.7265625" bestFit="1" customWidth="1"/>
    <col min="33" max="33" width="26.1796875" bestFit="1" customWidth="1"/>
    <col min="34" max="34" width="11.81640625" bestFit="1" customWidth="1"/>
    <col min="35" max="35" width="9.08984375" bestFit="1" customWidth="1"/>
    <col min="36" max="36" width="9.36328125" bestFit="1" customWidth="1"/>
    <col min="37" max="37" width="12.6328125" bestFit="1" customWidth="1"/>
    <col min="38" max="38" width="13.7265625" bestFit="1" customWidth="1"/>
    <col min="39" max="39" width="11.81640625" bestFit="1" customWidth="1"/>
    <col min="40" max="40" width="20.54296875" bestFit="1" customWidth="1"/>
    <col min="41" max="41" width="15.26953125" bestFit="1" customWidth="1"/>
    <col min="42" max="42" width="11.81640625" bestFit="1" customWidth="1"/>
    <col min="43" max="43" width="13.54296875" customWidth="1"/>
  </cols>
  <sheetData>
    <row r="1" spans="1:43" x14ac:dyDescent="0.35">
      <c r="A1" t="s">
        <v>0</v>
      </c>
      <c r="B1" t="s">
        <v>1</v>
      </c>
      <c r="C1" t="s">
        <v>85</v>
      </c>
      <c r="D1" t="s">
        <v>86</v>
      </c>
      <c r="E1" t="s">
        <v>87</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row>
    <row r="2" spans="1:43" x14ac:dyDescent="0.35">
      <c r="A2">
        <v>1</v>
      </c>
      <c r="B2" t="s">
        <v>53</v>
      </c>
      <c r="C2" t="s">
        <v>88</v>
      </c>
      <c r="D2">
        <v>1</v>
      </c>
      <c r="E2" t="s">
        <v>88</v>
      </c>
      <c r="F2">
        <v>2015</v>
      </c>
      <c r="G2">
        <v>2.6446999999999998</v>
      </c>
      <c r="H2">
        <v>2657</v>
      </c>
      <c r="I2">
        <v>430</v>
      </c>
      <c r="J2">
        <v>690</v>
      </c>
      <c r="K2">
        <v>931</v>
      </c>
      <c r="L2">
        <v>606</v>
      </c>
      <c r="M2">
        <v>0.18709999999999999</v>
      </c>
      <c r="N2">
        <v>0.2258</v>
      </c>
      <c r="O2">
        <v>0.51939999999999997</v>
      </c>
      <c r="P2">
        <v>2.63E-2</v>
      </c>
      <c r="Q2">
        <v>4.1399999999999999E-2</v>
      </c>
      <c r="R2">
        <v>2657</v>
      </c>
      <c r="S2">
        <v>2657</v>
      </c>
      <c r="T2">
        <v>2387</v>
      </c>
      <c r="U2">
        <v>270</v>
      </c>
      <c r="V2">
        <v>0.89839999999999998</v>
      </c>
      <c r="W2">
        <v>1572</v>
      </c>
      <c r="X2">
        <v>454</v>
      </c>
      <c r="Y2">
        <v>0</v>
      </c>
      <c r="Z2">
        <v>46</v>
      </c>
      <c r="AA2">
        <v>0</v>
      </c>
      <c r="AB2">
        <v>0.59160000000000001</v>
      </c>
      <c r="AC2">
        <v>0.1709</v>
      </c>
      <c r="AD2">
        <v>0</v>
      </c>
      <c r="AE2">
        <v>1.7299999999999999E-2</v>
      </c>
      <c r="AF2">
        <v>0</v>
      </c>
      <c r="AG2">
        <v>2657</v>
      </c>
      <c r="AH2">
        <v>4.9303726006774555</v>
      </c>
      <c r="AI2">
        <v>1</v>
      </c>
      <c r="AJ2">
        <v>82</v>
      </c>
      <c r="AK2">
        <v>46</v>
      </c>
      <c r="AL2">
        <v>1.7312758750470454E-2</v>
      </c>
      <c r="AM2">
        <v>17193.681471584496</v>
      </c>
      <c r="AN2">
        <v>0.31424282590327901</v>
      </c>
      <c r="AO2">
        <v>0</v>
      </c>
      <c r="AP2">
        <v>45683611.670000002</v>
      </c>
      <c r="AQ2">
        <v>145376784.78</v>
      </c>
    </row>
    <row r="3" spans="1:43" x14ac:dyDescent="0.35">
      <c r="A3">
        <v>2</v>
      </c>
      <c r="B3" t="s">
        <v>49</v>
      </c>
      <c r="C3" t="s">
        <v>88</v>
      </c>
      <c r="D3">
        <v>1</v>
      </c>
      <c r="E3" t="s">
        <v>88</v>
      </c>
      <c r="F3">
        <v>2015</v>
      </c>
      <c r="G3">
        <v>2.6362999999999999</v>
      </c>
      <c r="H3">
        <v>6167</v>
      </c>
      <c r="I3">
        <v>1013</v>
      </c>
      <c r="J3">
        <v>1628</v>
      </c>
      <c r="K3">
        <v>2115</v>
      </c>
      <c r="L3">
        <v>1411</v>
      </c>
      <c r="M3">
        <v>0.193</v>
      </c>
      <c r="N3">
        <v>0.22439999999999999</v>
      </c>
      <c r="O3">
        <v>0.51439999999999997</v>
      </c>
      <c r="P3">
        <v>2.6100000000000002E-2</v>
      </c>
      <c r="Q3">
        <v>4.2200000000000001E-2</v>
      </c>
      <c r="R3">
        <v>6167</v>
      </c>
      <c r="S3">
        <v>6167</v>
      </c>
      <c r="T3">
        <v>5585</v>
      </c>
      <c r="U3">
        <v>582</v>
      </c>
      <c r="V3">
        <v>0.90559999999999996</v>
      </c>
      <c r="W3">
        <v>3713</v>
      </c>
      <c r="X3">
        <v>1025</v>
      </c>
      <c r="Y3">
        <v>0</v>
      </c>
      <c r="Z3">
        <v>122</v>
      </c>
      <c r="AA3">
        <v>0</v>
      </c>
      <c r="AB3">
        <v>0.60209999999999997</v>
      </c>
      <c r="AC3">
        <v>0.16619999999999999</v>
      </c>
      <c r="AD3">
        <v>0</v>
      </c>
      <c r="AE3">
        <v>1.9800000000000002E-2</v>
      </c>
      <c r="AF3">
        <v>0</v>
      </c>
      <c r="AG3">
        <v>6167</v>
      </c>
      <c r="AH3">
        <v>5.0306469920544838</v>
      </c>
      <c r="AI3">
        <v>1</v>
      </c>
      <c r="AJ3">
        <v>120</v>
      </c>
      <c r="AK3">
        <v>122</v>
      </c>
      <c r="AL3">
        <v>1.9782714447867684E-2</v>
      </c>
      <c r="AM3">
        <v>17342.405848873033</v>
      </c>
      <c r="AN3">
        <v>0.31280802760563037</v>
      </c>
      <c r="AO3">
        <v>0</v>
      </c>
      <c r="AP3">
        <v>106950616.87</v>
      </c>
      <c r="AQ3">
        <v>341904962.25</v>
      </c>
    </row>
    <row r="4" spans="1:43" x14ac:dyDescent="0.35">
      <c r="A4">
        <v>3</v>
      </c>
      <c r="B4" t="s">
        <v>50</v>
      </c>
      <c r="C4" t="s">
        <v>89</v>
      </c>
      <c r="D4">
        <v>1</v>
      </c>
      <c r="E4" t="s">
        <v>89</v>
      </c>
      <c r="F4">
        <v>2015</v>
      </c>
      <c r="G4">
        <v>2.7101000000000002</v>
      </c>
      <c r="H4">
        <v>12200</v>
      </c>
      <c r="I4">
        <v>1973</v>
      </c>
      <c r="J4">
        <v>3102</v>
      </c>
      <c r="K4">
        <v>3614</v>
      </c>
      <c r="L4">
        <v>3511</v>
      </c>
      <c r="M4">
        <v>0.35270000000000001</v>
      </c>
      <c r="N4">
        <v>5.3999999999999999E-2</v>
      </c>
      <c r="O4">
        <v>0.57040000000000002</v>
      </c>
      <c r="P4">
        <v>2.29E-2</v>
      </c>
      <c r="Q4">
        <v>0</v>
      </c>
      <c r="R4">
        <v>12200</v>
      </c>
      <c r="S4">
        <v>12200</v>
      </c>
      <c r="T4">
        <v>11786</v>
      </c>
      <c r="U4">
        <v>414</v>
      </c>
      <c r="V4">
        <v>0.96609999999999996</v>
      </c>
      <c r="W4">
        <v>5635</v>
      </c>
      <c r="X4">
        <v>2716</v>
      </c>
      <c r="Y4">
        <v>0</v>
      </c>
      <c r="Z4">
        <v>552</v>
      </c>
      <c r="AA4">
        <v>0</v>
      </c>
      <c r="AB4">
        <v>0.46189999999999998</v>
      </c>
      <c r="AC4">
        <v>0.22259999999999999</v>
      </c>
      <c r="AD4">
        <v>0</v>
      </c>
      <c r="AE4">
        <v>4.5199999999999997E-2</v>
      </c>
      <c r="AF4">
        <v>0</v>
      </c>
      <c r="AG4">
        <v>12200</v>
      </c>
      <c r="AH4">
        <v>6.3327868852459019</v>
      </c>
      <c r="AI4">
        <v>1</v>
      </c>
      <c r="AJ4">
        <v>120</v>
      </c>
      <c r="AK4">
        <v>552</v>
      </c>
      <c r="AL4">
        <v>4.5245901639344263E-2</v>
      </c>
      <c r="AM4">
        <v>11602.699094262294</v>
      </c>
      <c r="AN4">
        <v>0.18709237408207111</v>
      </c>
      <c r="AO4">
        <v>0</v>
      </c>
      <c r="AP4">
        <v>141552928.94999999</v>
      </c>
      <c r="AQ4">
        <v>756593793.00999999</v>
      </c>
    </row>
    <row r="5" spans="1:43" x14ac:dyDescent="0.35">
      <c r="A5">
        <v>4</v>
      </c>
      <c r="B5" t="s">
        <v>51</v>
      </c>
      <c r="C5" t="s">
        <v>89</v>
      </c>
      <c r="D5">
        <v>1</v>
      </c>
      <c r="E5" t="s">
        <v>89</v>
      </c>
      <c r="F5">
        <v>2015</v>
      </c>
      <c r="G5">
        <v>2.8365999999999998</v>
      </c>
      <c r="H5">
        <v>11126</v>
      </c>
      <c r="I5">
        <v>1472</v>
      </c>
      <c r="J5">
        <v>2579</v>
      </c>
      <c r="K5">
        <v>3370</v>
      </c>
      <c r="L5">
        <v>3705</v>
      </c>
      <c r="M5">
        <v>0.2621</v>
      </c>
      <c r="N5">
        <v>0.1963</v>
      </c>
      <c r="O5">
        <v>0.51839999999999997</v>
      </c>
      <c r="P5">
        <v>5.1999999999999998E-3</v>
      </c>
      <c r="Q5">
        <v>1.7999999999999999E-2</v>
      </c>
      <c r="R5">
        <v>11126</v>
      </c>
      <c r="S5">
        <v>11126</v>
      </c>
      <c r="T5">
        <v>9231</v>
      </c>
      <c r="U5">
        <v>1895</v>
      </c>
      <c r="V5">
        <v>0.82969999999999999</v>
      </c>
      <c r="W5">
        <v>6936</v>
      </c>
      <c r="X5">
        <v>2192</v>
      </c>
      <c r="Y5">
        <v>0</v>
      </c>
      <c r="Z5">
        <v>312</v>
      </c>
      <c r="AA5">
        <v>0</v>
      </c>
      <c r="AB5">
        <v>0.62339999999999995</v>
      </c>
      <c r="AC5">
        <v>0.19700000000000001</v>
      </c>
      <c r="AD5">
        <v>0</v>
      </c>
      <c r="AE5">
        <v>2.8000000000000001E-2</v>
      </c>
      <c r="AF5">
        <v>0</v>
      </c>
      <c r="AG5">
        <v>11126</v>
      </c>
      <c r="AH5">
        <v>5.761459644076937</v>
      </c>
      <c r="AI5">
        <v>1</v>
      </c>
      <c r="AJ5">
        <v>120</v>
      </c>
      <c r="AK5">
        <v>312</v>
      </c>
      <c r="AL5">
        <v>2.8042423152975015E-2</v>
      </c>
      <c r="AM5">
        <v>11178.658483731801</v>
      </c>
      <c r="AN5">
        <v>0.2064817304171192</v>
      </c>
      <c r="AO5">
        <v>0</v>
      </c>
      <c r="AP5">
        <v>124373754.29000001</v>
      </c>
      <c r="AQ5">
        <v>602347500.86000001</v>
      </c>
    </row>
    <row r="6" spans="1:43" x14ac:dyDescent="0.35">
      <c r="A6">
        <v>5</v>
      </c>
      <c r="B6" t="s">
        <v>54</v>
      </c>
      <c r="C6" t="s">
        <v>90</v>
      </c>
      <c r="D6">
        <v>1</v>
      </c>
      <c r="E6" t="s">
        <v>90</v>
      </c>
      <c r="F6">
        <v>2015</v>
      </c>
      <c r="G6">
        <v>2.6633</v>
      </c>
      <c r="H6">
        <v>19208</v>
      </c>
      <c r="I6">
        <v>3226</v>
      </c>
      <c r="J6">
        <v>5489</v>
      </c>
      <c r="K6">
        <v>5019</v>
      </c>
      <c r="L6">
        <v>5474</v>
      </c>
      <c r="M6">
        <v>0.18390000000000001</v>
      </c>
      <c r="N6">
        <v>0.48449999999999999</v>
      </c>
      <c r="O6">
        <v>0.26690000000000003</v>
      </c>
      <c r="P6">
        <v>2.2100000000000002E-2</v>
      </c>
      <c r="Q6">
        <v>4.2599999999999999E-2</v>
      </c>
      <c r="R6">
        <v>19208</v>
      </c>
      <c r="S6">
        <v>19208</v>
      </c>
      <c r="T6">
        <v>15758</v>
      </c>
      <c r="U6">
        <v>3450</v>
      </c>
      <c r="V6">
        <v>0.82040000000000002</v>
      </c>
      <c r="W6">
        <v>13822</v>
      </c>
      <c r="X6">
        <v>1523</v>
      </c>
      <c r="Y6">
        <v>0</v>
      </c>
      <c r="Z6">
        <v>396</v>
      </c>
      <c r="AA6">
        <v>0</v>
      </c>
      <c r="AB6">
        <v>0.71960000000000002</v>
      </c>
      <c r="AC6">
        <v>7.9299999999999995E-2</v>
      </c>
      <c r="AD6">
        <v>0</v>
      </c>
      <c r="AE6">
        <v>2.06E-2</v>
      </c>
      <c r="AF6">
        <v>0</v>
      </c>
      <c r="AG6">
        <v>19208</v>
      </c>
      <c r="AH6">
        <v>5.9261765930862138</v>
      </c>
      <c r="AI6">
        <v>1</v>
      </c>
      <c r="AJ6">
        <v>120</v>
      </c>
      <c r="AK6">
        <v>396</v>
      </c>
      <c r="AL6">
        <v>2.0616409829237816E-2</v>
      </c>
      <c r="AM6">
        <v>14000.471753436068</v>
      </c>
      <c r="AN6">
        <v>0.41951106394291104</v>
      </c>
      <c r="AO6">
        <v>3.1288999999999997E-2</v>
      </c>
      <c r="AP6">
        <v>268921061.44</v>
      </c>
      <c r="AQ6">
        <v>641034491.23000002</v>
      </c>
    </row>
    <row r="7" spans="1:43" x14ac:dyDescent="0.35">
      <c r="A7">
        <v>6</v>
      </c>
      <c r="B7" t="s">
        <v>57</v>
      </c>
      <c r="C7" t="s">
        <v>88</v>
      </c>
      <c r="D7">
        <v>1</v>
      </c>
      <c r="E7" t="s">
        <v>88</v>
      </c>
      <c r="F7">
        <v>2015</v>
      </c>
      <c r="G7">
        <v>2.3487</v>
      </c>
      <c r="H7">
        <v>3748</v>
      </c>
      <c r="I7">
        <v>860</v>
      </c>
      <c r="J7">
        <v>1303</v>
      </c>
      <c r="K7">
        <v>1003</v>
      </c>
      <c r="L7">
        <v>582</v>
      </c>
      <c r="M7">
        <v>0.3367</v>
      </c>
      <c r="N7">
        <v>9.7900000000000001E-2</v>
      </c>
      <c r="O7">
        <v>0.56430000000000002</v>
      </c>
      <c r="P7">
        <v>1.1000000000000001E-3</v>
      </c>
      <c r="Q7">
        <v>0</v>
      </c>
      <c r="R7">
        <v>3748</v>
      </c>
      <c r="S7">
        <v>3748</v>
      </c>
      <c r="T7">
        <v>2411</v>
      </c>
      <c r="U7">
        <v>1337</v>
      </c>
      <c r="V7">
        <v>0.64329999999999998</v>
      </c>
      <c r="W7">
        <v>1584</v>
      </c>
      <c r="X7">
        <v>1207</v>
      </c>
      <c r="Y7">
        <v>0</v>
      </c>
      <c r="Z7">
        <v>84</v>
      </c>
      <c r="AA7">
        <v>0</v>
      </c>
      <c r="AB7">
        <v>0.42259999999999998</v>
      </c>
      <c r="AC7">
        <v>0.32200000000000001</v>
      </c>
      <c r="AD7">
        <v>0</v>
      </c>
      <c r="AE7">
        <v>2.24E-2</v>
      </c>
      <c r="AF7">
        <v>0</v>
      </c>
      <c r="AG7">
        <v>3748</v>
      </c>
      <c r="AH7">
        <v>5.1416755602988262</v>
      </c>
      <c r="AI7">
        <v>1</v>
      </c>
      <c r="AJ7">
        <v>120</v>
      </c>
      <c r="AK7">
        <v>84</v>
      </c>
      <c r="AL7">
        <v>2.2411953041622197E-2</v>
      </c>
      <c r="AM7">
        <v>15623.623657950908</v>
      </c>
      <c r="AN7">
        <v>0.22822397663370023</v>
      </c>
      <c r="AO7">
        <v>0</v>
      </c>
      <c r="AP7">
        <v>58557341.469999999</v>
      </c>
      <c r="AQ7">
        <v>256578394.31999999</v>
      </c>
    </row>
    <row r="8" spans="1:43" x14ac:dyDescent="0.35">
      <c r="A8">
        <v>7</v>
      </c>
      <c r="B8" t="s">
        <v>45</v>
      </c>
      <c r="C8" t="s">
        <v>91</v>
      </c>
      <c r="D8">
        <v>1</v>
      </c>
      <c r="E8" t="s">
        <v>91</v>
      </c>
      <c r="F8">
        <v>2015</v>
      </c>
      <c r="G8">
        <v>2.7517</v>
      </c>
      <c r="H8">
        <v>15626</v>
      </c>
      <c r="I8">
        <v>2597</v>
      </c>
      <c r="J8">
        <v>3979</v>
      </c>
      <c r="K8">
        <v>3757</v>
      </c>
      <c r="L8">
        <v>5293</v>
      </c>
      <c r="M8">
        <v>0.2235</v>
      </c>
      <c r="N8">
        <v>5.11E-2</v>
      </c>
      <c r="O8">
        <v>0.7117</v>
      </c>
      <c r="P8">
        <v>3.0000000000000001E-3</v>
      </c>
      <c r="Q8">
        <v>1.06E-2</v>
      </c>
      <c r="R8">
        <v>15626</v>
      </c>
      <c r="S8">
        <v>15626</v>
      </c>
      <c r="T8">
        <v>12388</v>
      </c>
      <c r="U8">
        <v>3238</v>
      </c>
      <c r="V8">
        <v>0.79279999999999995</v>
      </c>
      <c r="W8">
        <v>7454</v>
      </c>
      <c r="X8">
        <v>3082</v>
      </c>
      <c r="Y8">
        <v>0</v>
      </c>
      <c r="Z8">
        <v>446</v>
      </c>
      <c r="AA8">
        <v>0</v>
      </c>
      <c r="AB8">
        <v>0.47699999999999998</v>
      </c>
      <c r="AC8">
        <v>0.19719999999999999</v>
      </c>
      <c r="AD8">
        <v>0</v>
      </c>
      <c r="AE8">
        <v>2.8500000000000001E-2</v>
      </c>
      <c r="AF8">
        <v>0</v>
      </c>
      <c r="AG8">
        <v>15626</v>
      </c>
      <c r="AH8">
        <v>6.4319723537693587</v>
      </c>
      <c r="AI8">
        <v>1</v>
      </c>
      <c r="AJ8">
        <v>120</v>
      </c>
      <c r="AK8">
        <v>446</v>
      </c>
      <c r="AL8">
        <v>2.8542173300908743E-2</v>
      </c>
      <c r="AM8">
        <v>19265.353059004221</v>
      </c>
      <c r="AN8">
        <v>0.19627799634239979</v>
      </c>
      <c r="AO8">
        <v>0</v>
      </c>
      <c r="AP8">
        <v>301040406.89999998</v>
      </c>
      <c r="AQ8">
        <v>1533745058.0799999</v>
      </c>
    </row>
    <row r="9" spans="1:43" x14ac:dyDescent="0.35">
      <c r="A9">
        <v>8</v>
      </c>
      <c r="B9" t="s">
        <v>43</v>
      </c>
      <c r="C9" t="s">
        <v>90</v>
      </c>
      <c r="D9">
        <v>1</v>
      </c>
      <c r="E9" t="s">
        <v>90</v>
      </c>
      <c r="F9">
        <v>2015</v>
      </c>
      <c r="G9">
        <v>2.8626999999999998</v>
      </c>
      <c r="H9">
        <v>34921</v>
      </c>
      <c r="I9">
        <v>4478</v>
      </c>
      <c r="J9">
        <v>9200</v>
      </c>
      <c r="K9">
        <v>7883</v>
      </c>
      <c r="L9">
        <v>13360</v>
      </c>
      <c r="M9">
        <v>0.42880000000000001</v>
      </c>
      <c r="N9">
        <v>0.20030000000000001</v>
      </c>
      <c r="O9">
        <v>0.34620000000000001</v>
      </c>
      <c r="P9">
        <v>7.4999999999999997E-3</v>
      </c>
      <c r="Q9">
        <v>1.72E-2</v>
      </c>
      <c r="R9">
        <v>34921</v>
      </c>
      <c r="S9">
        <v>34921</v>
      </c>
      <c r="T9">
        <v>21669</v>
      </c>
      <c r="U9">
        <v>13252</v>
      </c>
      <c r="V9">
        <v>0.62050000000000005</v>
      </c>
      <c r="W9">
        <v>23303</v>
      </c>
      <c r="X9">
        <v>3217</v>
      </c>
      <c r="Y9">
        <v>0</v>
      </c>
      <c r="Z9">
        <v>522</v>
      </c>
      <c r="AA9">
        <v>0</v>
      </c>
      <c r="AB9">
        <v>0.6673</v>
      </c>
      <c r="AC9">
        <v>9.2100000000000001E-2</v>
      </c>
      <c r="AD9">
        <v>0</v>
      </c>
      <c r="AE9">
        <v>1.49E-2</v>
      </c>
      <c r="AF9">
        <v>0</v>
      </c>
      <c r="AG9">
        <v>34921</v>
      </c>
      <c r="AH9">
        <v>4.8065633859282384</v>
      </c>
      <c r="AI9">
        <v>1</v>
      </c>
      <c r="AJ9">
        <v>120</v>
      </c>
      <c r="AK9">
        <v>522</v>
      </c>
      <c r="AL9">
        <v>1.4948025543369318E-2</v>
      </c>
      <c r="AM9">
        <v>14759.542471292345</v>
      </c>
      <c r="AN9">
        <v>0.23318862855944167</v>
      </c>
      <c r="AO9">
        <v>0</v>
      </c>
      <c r="AP9">
        <v>515417982.63999999</v>
      </c>
      <c r="AQ9">
        <v>2210304961.3699999</v>
      </c>
    </row>
    <row r="10" spans="1:43" x14ac:dyDescent="0.35">
      <c r="A10">
        <v>9</v>
      </c>
      <c r="B10" t="s">
        <v>60</v>
      </c>
      <c r="C10" t="s">
        <v>89</v>
      </c>
      <c r="D10">
        <v>1</v>
      </c>
      <c r="E10" t="s">
        <v>89</v>
      </c>
      <c r="F10">
        <v>2015</v>
      </c>
      <c r="G10">
        <v>2.7898000000000001</v>
      </c>
      <c r="H10">
        <v>21435</v>
      </c>
      <c r="I10">
        <v>3041</v>
      </c>
      <c r="J10">
        <v>5746</v>
      </c>
      <c r="K10">
        <v>5326</v>
      </c>
      <c r="L10">
        <v>7322</v>
      </c>
      <c r="M10">
        <v>0.31409999999999999</v>
      </c>
      <c r="N10">
        <v>0.19109999999999999</v>
      </c>
      <c r="O10">
        <v>0.46850000000000003</v>
      </c>
      <c r="P10">
        <v>3.0999999999999999E-3</v>
      </c>
      <c r="Q10">
        <v>2.3099999999999999E-2</v>
      </c>
      <c r="R10">
        <v>21435</v>
      </c>
      <c r="S10">
        <v>21435</v>
      </c>
      <c r="T10">
        <v>16999</v>
      </c>
      <c r="U10">
        <v>4436</v>
      </c>
      <c r="V10">
        <v>0.79300000000000004</v>
      </c>
      <c r="W10">
        <v>13374</v>
      </c>
      <c r="X10">
        <v>3526</v>
      </c>
      <c r="Y10">
        <v>0</v>
      </c>
      <c r="Z10">
        <v>586</v>
      </c>
      <c r="AA10">
        <v>0</v>
      </c>
      <c r="AB10">
        <v>0.62390000000000001</v>
      </c>
      <c r="AC10">
        <v>0.16450000000000001</v>
      </c>
      <c r="AD10">
        <v>0</v>
      </c>
      <c r="AE10">
        <v>2.7300000000000001E-2</v>
      </c>
      <c r="AF10">
        <v>0</v>
      </c>
      <c r="AG10">
        <v>21435</v>
      </c>
      <c r="AH10">
        <v>5.1842780499183574</v>
      </c>
      <c r="AI10">
        <v>1</v>
      </c>
      <c r="AJ10">
        <v>120</v>
      </c>
      <c r="AK10">
        <v>586</v>
      </c>
      <c r="AL10">
        <v>2.7338465127128529E-2</v>
      </c>
      <c r="AM10">
        <v>10827.980948448798</v>
      </c>
      <c r="AN10">
        <v>0.24968765267676848</v>
      </c>
      <c r="AO10">
        <v>8.1639999999999994E-3</v>
      </c>
      <c r="AP10">
        <v>232097771.63</v>
      </c>
      <c r="AQ10">
        <v>929552459.40999997</v>
      </c>
    </row>
    <row r="11" spans="1:43" x14ac:dyDescent="0.35">
      <c r="A11">
        <v>10</v>
      </c>
      <c r="B11" t="s">
        <v>61</v>
      </c>
      <c r="C11" t="s">
        <v>92</v>
      </c>
      <c r="D11">
        <v>1</v>
      </c>
      <c r="E11" t="s">
        <v>92</v>
      </c>
      <c r="F11">
        <v>2015</v>
      </c>
      <c r="G11">
        <v>2.8801999999999999</v>
      </c>
      <c r="H11">
        <v>5434</v>
      </c>
      <c r="I11">
        <v>661</v>
      </c>
      <c r="J11">
        <v>1490</v>
      </c>
      <c r="K11">
        <v>1122</v>
      </c>
      <c r="L11">
        <v>2161</v>
      </c>
      <c r="M11">
        <v>0.2858</v>
      </c>
      <c r="N11">
        <v>0.23480000000000001</v>
      </c>
      <c r="O11">
        <v>0.43909999999999999</v>
      </c>
      <c r="P11">
        <v>2.3199999999999998E-2</v>
      </c>
      <c r="Q11">
        <v>1.7100000000000001E-2</v>
      </c>
      <c r="R11">
        <v>5434</v>
      </c>
      <c r="S11">
        <v>5434</v>
      </c>
      <c r="T11">
        <v>3870</v>
      </c>
      <c r="U11">
        <v>1564</v>
      </c>
      <c r="V11">
        <v>0.71220000000000006</v>
      </c>
      <c r="W11">
        <v>4267</v>
      </c>
      <c r="X11">
        <v>580</v>
      </c>
      <c r="Y11">
        <v>0</v>
      </c>
      <c r="Z11">
        <v>112</v>
      </c>
      <c r="AA11">
        <v>0</v>
      </c>
      <c r="AB11">
        <v>0.78520000000000001</v>
      </c>
      <c r="AC11">
        <v>0.1067</v>
      </c>
      <c r="AD11">
        <v>0</v>
      </c>
      <c r="AE11">
        <v>2.06E-2</v>
      </c>
      <c r="AF11">
        <v>0</v>
      </c>
      <c r="AG11">
        <v>5434</v>
      </c>
      <c r="AH11">
        <v>3.5001840264998161</v>
      </c>
      <c r="AI11">
        <v>1</v>
      </c>
      <c r="AJ11">
        <v>120</v>
      </c>
      <c r="AK11">
        <v>112</v>
      </c>
      <c r="AL11">
        <v>2.0610967979389033E-2</v>
      </c>
      <c r="AM11">
        <v>11198.972175193227</v>
      </c>
      <c r="AN11">
        <v>0.37859168578224378</v>
      </c>
      <c r="AO11">
        <v>2.0240000000000002E-3</v>
      </c>
      <c r="AP11">
        <v>60855214.799999997</v>
      </c>
      <c r="AQ11">
        <v>160741022.81</v>
      </c>
    </row>
    <row r="12" spans="1:43" x14ac:dyDescent="0.35">
      <c r="A12">
        <v>11</v>
      </c>
      <c r="B12" t="s">
        <v>62</v>
      </c>
      <c r="C12" t="s">
        <v>92</v>
      </c>
      <c r="D12">
        <v>1</v>
      </c>
      <c r="E12" t="s">
        <v>92</v>
      </c>
      <c r="F12">
        <v>2015</v>
      </c>
      <c r="G12">
        <v>2.4981</v>
      </c>
      <c r="H12">
        <v>2576</v>
      </c>
      <c r="I12">
        <v>708</v>
      </c>
      <c r="J12">
        <v>535</v>
      </c>
      <c r="K12">
        <v>675</v>
      </c>
      <c r="L12">
        <v>658</v>
      </c>
      <c r="M12">
        <v>0.158</v>
      </c>
      <c r="N12">
        <v>0.50160000000000005</v>
      </c>
      <c r="O12">
        <v>0.31640000000000001</v>
      </c>
      <c r="P12">
        <v>5.7999999999999996E-3</v>
      </c>
      <c r="Q12">
        <v>1.8200000000000001E-2</v>
      </c>
      <c r="R12">
        <v>2576</v>
      </c>
      <c r="S12">
        <v>2576</v>
      </c>
      <c r="T12">
        <v>2121</v>
      </c>
      <c r="U12">
        <v>455</v>
      </c>
      <c r="V12">
        <v>0.82340000000000002</v>
      </c>
      <c r="W12">
        <v>1736</v>
      </c>
      <c r="X12">
        <v>456</v>
      </c>
      <c r="Y12">
        <v>0</v>
      </c>
      <c r="Z12">
        <v>31</v>
      </c>
      <c r="AA12">
        <v>0</v>
      </c>
      <c r="AB12">
        <v>0.67390000000000005</v>
      </c>
      <c r="AC12">
        <v>0.17699999999999999</v>
      </c>
      <c r="AD12">
        <v>0</v>
      </c>
      <c r="AE12">
        <v>1.2E-2</v>
      </c>
      <c r="AF12">
        <v>0</v>
      </c>
      <c r="AG12">
        <v>2576</v>
      </c>
      <c r="AH12">
        <v>6.8229813664596275</v>
      </c>
      <c r="AI12">
        <v>1</v>
      </c>
      <c r="AJ12">
        <v>40</v>
      </c>
      <c r="AK12">
        <v>31</v>
      </c>
      <c r="AL12">
        <v>1.203416149068323E-2</v>
      </c>
      <c r="AM12">
        <v>8113.5782725155277</v>
      </c>
      <c r="AN12">
        <v>0.21242109410044391</v>
      </c>
      <c r="AO12">
        <v>0</v>
      </c>
      <c r="AP12">
        <v>20900577.629999999</v>
      </c>
      <c r="AQ12">
        <v>98392194.609999999</v>
      </c>
    </row>
    <row r="13" spans="1:43" x14ac:dyDescent="0.35">
      <c r="A13">
        <v>12</v>
      </c>
      <c r="B13" t="s">
        <v>42</v>
      </c>
      <c r="C13" t="s">
        <v>89</v>
      </c>
      <c r="D13">
        <v>1</v>
      </c>
      <c r="E13" t="s">
        <v>89</v>
      </c>
      <c r="F13">
        <v>2015</v>
      </c>
      <c r="G13">
        <v>2.8782999999999999</v>
      </c>
      <c r="H13">
        <v>11128</v>
      </c>
      <c r="I13">
        <v>1383</v>
      </c>
      <c r="J13">
        <v>2743</v>
      </c>
      <c r="K13">
        <v>2847</v>
      </c>
      <c r="L13">
        <v>4155</v>
      </c>
      <c r="M13">
        <v>0.251</v>
      </c>
      <c r="N13">
        <v>0.27050000000000002</v>
      </c>
      <c r="O13">
        <v>0.44900000000000001</v>
      </c>
      <c r="P13">
        <v>1.41E-2</v>
      </c>
      <c r="Q13">
        <v>1.54E-2</v>
      </c>
      <c r="R13">
        <v>11128</v>
      </c>
      <c r="S13">
        <v>11128</v>
      </c>
      <c r="T13">
        <v>8121</v>
      </c>
      <c r="U13">
        <v>3007</v>
      </c>
      <c r="V13">
        <v>0.7298</v>
      </c>
      <c r="W13">
        <v>6073</v>
      </c>
      <c r="X13">
        <v>1619</v>
      </c>
      <c r="Y13">
        <v>0</v>
      </c>
      <c r="Z13">
        <v>290</v>
      </c>
      <c r="AA13">
        <v>0</v>
      </c>
      <c r="AB13">
        <v>0.54569999999999996</v>
      </c>
      <c r="AC13">
        <v>0.14549999999999999</v>
      </c>
      <c r="AD13">
        <v>0</v>
      </c>
      <c r="AE13">
        <v>2.6100000000000002E-2</v>
      </c>
      <c r="AF13">
        <v>0</v>
      </c>
      <c r="AG13">
        <v>11128</v>
      </c>
      <c r="AH13">
        <v>6.2629403306973401</v>
      </c>
      <c r="AI13">
        <v>1</v>
      </c>
      <c r="AJ13">
        <v>120</v>
      </c>
      <c r="AK13">
        <v>290</v>
      </c>
      <c r="AL13">
        <v>2.6060388209920921E-2</v>
      </c>
      <c r="AM13">
        <v>12723.563159597412</v>
      </c>
      <c r="AN13">
        <v>0.25584418041749163</v>
      </c>
      <c r="AO13">
        <v>0</v>
      </c>
      <c r="AP13">
        <v>141587810.84</v>
      </c>
      <c r="AQ13">
        <v>553414232.87</v>
      </c>
    </row>
    <row r="14" spans="1:43" x14ac:dyDescent="0.35">
      <c r="A14">
        <v>13</v>
      </c>
      <c r="B14" t="s">
        <v>56</v>
      </c>
      <c r="C14" t="s">
        <v>90</v>
      </c>
      <c r="D14">
        <v>1</v>
      </c>
      <c r="E14" t="s">
        <v>90</v>
      </c>
      <c r="F14">
        <v>2015</v>
      </c>
      <c r="G14">
        <v>2.8290000000000002</v>
      </c>
      <c r="H14">
        <v>47664</v>
      </c>
      <c r="I14">
        <v>5967</v>
      </c>
      <c r="J14">
        <v>13266</v>
      </c>
      <c r="K14">
        <v>11380</v>
      </c>
      <c r="L14">
        <v>17051</v>
      </c>
      <c r="M14">
        <v>0.46229999999999999</v>
      </c>
      <c r="N14">
        <v>0.13009999999999999</v>
      </c>
      <c r="O14">
        <v>0.40629999999999999</v>
      </c>
      <c r="P14">
        <v>1.4E-3</v>
      </c>
      <c r="Q14">
        <v>0</v>
      </c>
      <c r="R14">
        <v>47664</v>
      </c>
      <c r="S14">
        <v>47664</v>
      </c>
      <c r="T14">
        <v>32191</v>
      </c>
      <c r="U14">
        <v>15473</v>
      </c>
      <c r="V14">
        <v>0.6754</v>
      </c>
      <c r="W14">
        <v>34256</v>
      </c>
      <c r="X14">
        <v>5147</v>
      </c>
      <c r="Y14">
        <v>0</v>
      </c>
      <c r="Z14">
        <v>960</v>
      </c>
      <c r="AA14">
        <v>0</v>
      </c>
      <c r="AB14">
        <v>0.71870000000000001</v>
      </c>
      <c r="AC14">
        <v>0.108</v>
      </c>
      <c r="AD14">
        <v>0</v>
      </c>
      <c r="AE14">
        <v>2.01E-2</v>
      </c>
      <c r="AF14">
        <v>0</v>
      </c>
      <c r="AG14">
        <v>47664</v>
      </c>
      <c r="AH14">
        <v>5.4342480698220879</v>
      </c>
      <c r="AI14">
        <v>1</v>
      </c>
      <c r="AJ14">
        <v>120</v>
      </c>
      <c r="AK14">
        <v>960</v>
      </c>
      <c r="AL14">
        <v>2.014098690835851E-2</v>
      </c>
      <c r="AM14">
        <v>16101.981680513596</v>
      </c>
      <c r="AN14">
        <v>0.21363968431737174</v>
      </c>
      <c r="AO14">
        <v>0</v>
      </c>
      <c r="AP14">
        <v>767484854.82000005</v>
      </c>
      <c r="AQ14">
        <v>3592426459.8699999</v>
      </c>
    </row>
    <row r="15" spans="1:43" x14ac:dyDescent="0.35">
      <c r="A15">
        <v>14</v>
      </c>
      <c r="B15" t="s">
        <v>58</v>
      </c>
      <c r="C15" t="s">
        <v>89</v>
      </c>
      <c r="D15">
        <v>1</v>
      </c>
      <c r="E15" t="s">
        <v>89</v>
      </c>
      <c r="F15">
        <v>2015</v>
      </c>
      <c r="G15">
        <v>2.7660999999999998</v>
      </c>
      <c r="H15">
        <v>16299</v>
      </c>
      <c r="I15">
        <v>2237</v>
      </c>
      <c r="J15">
        <v>4529</v>
      </c>
      <c r="K15">
        <v>4343</v>
      </c>
      <c r="L15">
        <v>5190</v>
      </c>
      <c r="M15">
        <v>0.30740000000000001</v>
      </c>
      <c r="N15">
        <v>0.18060000000000001</v>
      </c>
      <c r="O15">
        <v>0.48449999999999999</v>
      </c>
      <c r="P15">
        <v>6.0000000000000001E-3</v>
      </c>
      <c r="Q15">
        <v>2.1499999999999998E-2</v>
      </c>
      <c r="R15">
        <v>16299</v>
      </c>
      <c r="S15">
        <v>16299</v>
      </c>
      <c r="T15">
        <v>11865</v>
      </c>
      <c r="U15">
        <v>4434</v>
      </c>
      <c r="V15">
        <v>0.72799999999999998</v>
      </c>
      <c r="W15">
        <v>10481</v>
      </c>
      <c r="X15">
        <v>2502</v>
      </c>
      <c r="Y15">
        <v>0</v>
      </c>
      <c r="Z15">
        <v>271</v>
      </c>
      <c r="AA15">
        <v>0</v>
      </c>
      <c r="AB15">
        <v>0.64300000000000002</v>
      </c>
      <c r="AC15">
        <v>0.1535</v>
      </c>
      <c r="AD15">
        <v>0</v>
      </c>
      <c r="AE15">
        <v>1.66E-2</v>
      </c>
      <c r="AF15">
        <v>0</v>
      </c>
      <c r="AG15">
        <v>16299</v>
      </c>
      <c r="AH15">
        <v>4.7236026750107367</v>
      </c>
      <c r="AI15">
        <v>1</v>
      </c>
      <c r="AJ15">
        <v>120</v>
      </c>
      <c r="AK15">
        <v>271</v>
      </c>
      <c r="AL15">
        <v>1.6626786919442912E-2</v>
      </c>
      <c r="AM15">
        <v>12338.492413031474</v>
      </c>
      <c r="AN15">
        <v>0.30144506100929491</v>
      </c>
      <c r="AO15">
        <v>0</v>
      </c>
      <c r="AP15">
        <v>201105087.84</v>
      </c>
      <c r="AQ15">
        <v>667136781.63</v>
      </c>
    </row>
    <row r="16" spans="1:43" x14ac:dyDescent="0.35">
      <c r="A16">
        <v>15</v>
      </c>
      <c r="B16" t="s">
        <v>47</v>
      </c>
      <c r="C16" t="s">
        <v>89</v>
      </c>
      <c r="D16">
        <v>1</v>
      </c>
      <c r="E16" t="s">
        <v>89</v>
      </c>
      <c r="F16">
        <v>2015</v>
      </c>
      <c r="G16">
        <v>2.8866999999999998</v>
      </c>
      <c r="H16">
        <v>18921</v>
      </c>
      <c r="I16">
        <v>2355</v>
      </c>
      <c r="J16">
        <v>5274</v>
      </c>
      <c r="K16">
        <v>3451</v>
      </c>
      <c r="L16">
        <v>7841</v>
      </c>
      <c r="M16">
        <v>0.30070000000000002</v>
      </c>
      <c r="N16">
        <v>0.2964</v>
      </c>
      <c r="O16">
        <v>0.39379999999999998</v>
      </c>
      <c r="P16">
        <v>4.1000000000000003E-3</v>
      </c>
      <c r="Q16">
        <v>5.0000000000000001E-3</v>
      </c>
      <c r="R16">
        <v>18921</v>
      </c>
      <c r="S16">
        <v>18921</v>
      </c>
      <c r="T16">
        <v>12285</v>
      </c>
      <c r="U16">
        <v>6636</v>
      </c>
      <c r="V16">
        <v>0.64929999999999999</v>
      </c>
      <c r="W16">
        <v>13481</v>
      </c>
      <c r="X16">
        <v>2235</v>
      </c>
      <c r="Y16">
        <v>0</v>
      </c>
      <c r="Z16">
        <v>286</v>
      </c>
      <c r="AA16">
        <v>0</v>
      </c>
      <c r="AB16">
        <v>0.71250000000000002</v>
      </c>
      <c r="AC16">
        <v>0.1181</v>
      </c>
      <c r="AD16">
        <v>0</v>
      </c>
      <c r="AE16">
        <v>1.5100000000000001E-2</v>
      </c>
      <c r="AF16">
        <v>0</v>
      </c>
      <c r="AG16">
        <v>18921</v>
      </c>
      <c r="AH16">
        <v>4.751915860683896</v>
      </c>
      <c r="AI16">
        <v>1</v>
      </c>
      <c r="AJ16">
        <v>120</v>
      </c>
      <c r="AK16">
        <v>286</v>
      </c>
      <c r="AL16">
        <v>1.5115480154325881E-2</v>
      </c>
      <c r="AM16">
        <v>12190.33054595423</v>
      </c>
      <c r="AN16">
        <v>0.25723352806513944</v>
      </c>
      <c r="AO16">
        <v>0</v>
      </c>
      <c r="AP16">
        <v>230653244.25999999</v>
      </c>
      <c r="AQ16">
        <v>896668665.22000003</v>
      </c>
    </row>
    <row r="17" spans="1:43" x14ac:dyDescent="0.35">
      <c r="A17">
        <v>16</v>
      </c>
      <c r="B17" t="s">
        <v>41</v>
      </c>
      <c r="C17" t="s">
        <v>88</v>
      </c>
      <c r="D17">
        <v>1</v>
      </c>
      <c r="E17" t="s">
        <v>88</v>
      </c>
      <c r="F17">
        <v>2015</v>
      </c>
      <c r="G17">
        <v>2.9232</v>
      </c>
      <c r="H17">
        <v>4011</v>
      </c>
      <c r="I17">
        <v>487</v>
      </c>
      <c r="J17">
        <v>1032</v>
      </c>
      <c r="K17">
        <v>794</v>
      </c>
      <c r="L17">
        <v>1698</v>
      </c>
      <c r="M17">
        <v>0.22209999999999999</v>
      </c>
      <c r="N17">
        <v>0.1047</v>
      </c>
      <c r="O17">
        <v>0.67269999999999996</v>
      </c>
      <c r="P17">
        <v>5.0000000000000001E-4</v>
      </c>
      <c r="Q17">
        <v>0</v>
      </c>
      <c r="R17">
        <v>4011</v>
      </c>
      <c r="S17">
        <v>4011</v>
      </c>
      <c r="T17">
        <v>3005</v>
      </c>
      <c r="U17">
        <v>1006</v>
      </c>
      <c r="V17">
        <v>0.74919999999999998</v>
      </c>
      <c r="W17">
        <v>1902</v>
      </c>
      <c r="X17">
        <v>1017</v>
      </c>
      <c r="Y17">
        <v>0</v>
      </c>
      <c r="Z17">
        <v>148</v>
      </c>
      <c r="AA17">
        <v>0</v>
      </c>
      <c r="AB17">
        <v>0.47420000000000001</v>
      </c>
      <c r="AC17">
        <v>0.25359999999999999</v>
      </c>
      <c r="AD17">
        <v>0</v>
      </c>
      <c r="AE17">
        <v>3.6900000000000002E-2</v>
      </c>
      <c r="AF17">
        <v>0</v>
      </c>
      <c r="AG17">
        <v>4011</v>
      </c>
      <c r="AH17">
        <v>7.0670655696833711</v>
      </c>
      <c r="AI17">
        <v>1</v>
      </c>
      <c r="AJ17">
        <v>87</v>
      </c>
      <c r="AK17">
        <v>148</v>
      </c>
      <c r="AL17">
        <v>3.6898529045125902E-2</v>
      </c>
      <c r="AM17">
        <v>15395.272378459236</v>
      </c>
      <c r="AN17">
        <v>0.31078361424882556</v>
      </c>
      <c r="AO17">
        <v>0</v>
      </c>
      <c r="AP17">
        <v>61750437.509999998</v>
      </c>
      <c r="AQ17">
        <v>198692706.69</v>
      </c>
    </row>
    <row r="18" spans="1:43" x14ac:dyDescent="0.35">
      <c r="A18">
        <v>17</v>
      </c>
      <c r="B18" t="s">
        <v>46</v>
      </c>
      <c r="C18" t="s">
        <v>91</v>
      </c>
      <c r="D18">
        <v>1</v>
      </c>
      <c r="E18" t="s">
        <v>91</v>
      </c>
      <c r="F18">
        <v>2015</v>
      </c>
      <c r="G18">
        <v>2.7254</v>
      </c>
      <c r="H18">
        <v>11120</v>
      </c>
      <c r="I18">
        <v>1853</v>
      </c>
      <c r="J18">
        <v>3449</v>
      </c>
      <c r="K18">
        <v>1717</v>
      </c>
      <c r="L18">
        <v>4101</v>
      </c>
      <c r="M18">
        <v>0.39410000000000001</v>
      </c>
      <c r="N18">
        <v>0.2621</v>
      </c>
      <c r="O18">
        <v>0.31709999999999999</v>
      </c>
      <c r="P18">
        <v>6.4999999999999997E-3</v>
      </c>
      <c r="Q18">
        <v>2.0299999999999999E-2</v>
      </c>
      <c r="R18">
        <v>11120</v>
      </c>
      <c r="S18">
        <v>11120</v>
      </c>
      <c r="T18">
        <v>5120</v>
      </c>
      <c r="U18">
        <v>6000</v>
      </c>
      <c r="V18">
        <v>0.46039999999999998</v>
      </c>
      <c r="W18">
        <v>7199</v>
      </c>
      <c r="X18">
        <v>906</v>
      </c>
      <c r="Y18">
        <v>0</v>
      </c>
      <c r="Z18">
        <v>75</v>
      </c>
      <c r="AA18">
        <v>0</v>
      </c>
      <c r="AB18">
        <v>0.64739999999999998</v>
      </c>
      <c r="AC18">
        <v>8.1500000000000003E-2</v>
      </c>
      <c r="AD18">
        <v>0</v>
      </c>
      <c r="AE18">
        <v>6.7000000000000002E-3</v>
      </c>
      <c r="AF18">
        <v>0</v>
      </c>
      <c r="AG18">
        <v>11120</v>
      </c>
      <c r="AH18">
        <v>6.0489208633093527</v>
      </c>
      <c r="AI18">
        <v>1</v>
      </c>
      <c r="AJ18">
        <v>120</v>
      </c>
      <c r="AK18">
        <v>75</v>
      </c>
      <c r="AL18">
        <v>6.7446043165467623E-3</v>
      </c>
      <c r="AM18">
        <v>10213.964243705035</v>
      </c>
      <c r="AN18">
        <v>0.21463008911266399</v>
      </c>
      <c r="AO18">
        <v>0</v>
      </c>
      <c r="AP18">
        <v>113579282.39</v>
      </c>
      <c r="AQ18">
        <v>529186205.25</v>
      </c>
    </row>
    <row r="19" spans="1:43" x14ac:dyDescent="0.35">
      <c r="A19">
        <v>18</v>
      </c>
      <c r="B19" t="s">
        <v>52</v>
      </c>
      <c r="C19" t="s">
        <v>90</v>
      </c>
      <c r="D19">
        <v>1</v>
      </c>
      <c r="E19" t="s">
        <v>90</v>
      </c>
      <c r="F19">
        <v>2015</v>
      </c>
      <c r="G19">
        <v>2.8239999999999998</v>
      </c>
      <c r="H19">
        <v>35229</v>
      </c>
      <c r="I19">
        <v>4521</v>
      </c>
      <c r="J19">
        <v>9585</v>
      </c>
      <c r="K19">
        <v>8695</v>
      </c>
      <c r="L19">
        <v>12428</v>
      </c>
      <c r="M19">
        <v>0.43740000000000001</v>
      </c>
      <c r="N19">
        <v>0.2412</v>
      </c>
      <c r="O19">
        <v>0.30199999999999999</v>
      </c>
      <c r="P19">
        <v>2E-3</v>
      </c>
      <c r="Q19">
        <v>1.7399999999999999E-2</v>
      </c>
      <c r="R19">
        <v>35229</v>
      </c>
      <c r="S19">
        <v>35229</v>
      </c>
      <c r="T19">
        <v>23872</v>
      </c>
      <c r="U19">
        <v>11357</v>
      </c>
      <c r="V19">
        <v>0.67759999999999998</v>
      </c>
      <c r="W19">
        <v>24650</v>
      </c>
      <c r="X19">
        <v>3991</v>
      </c>
      <c r="Y19">
        <v>0</v>
      </c>
      <c r="Z19">
        <v>600</v>
      </c>
      <c r="AA19">
        <v>0</v>
      </c>
      <c r="AB19">
        <v>0.69969999999999999</v>
      </c>
      <c r="AC19">
        <v>0.1133</v>
      </c>
      <c r="AD19">
        <v>0</v>
      </c>
      <c r="AE19">
        <v>1.7000000000000001E-2</v>
      </c>
      <c r="AF19">
        <v>0</v>
      </c>
      <c r="AG19">
        <v>35229</v>
      </c>
      <c r="AH19">
        <v>5.5169320730080331</v>
      </c>
      <c r="AI19">
        <v>1</v>
      </c>
      <c r="AJ19">
        <v>120</v>
      </c>
      <c r="AK19">
        <v>600</v>
      </c>
      <c r="AL19">
        <v>1.7031422975389593E-2</v>
      </c>
      <c r="AM19">
        <v>19311.297707002752</v>
      </c>
      <c r="AN19">
        <v>0.33813347897553198</v>
      </c>
      <c r="AO19">
        <v>1.9009999999999999E-3</v>
      </c>
      <c r="AP19">
        <v>680317706.91999996</v>
      </c>
      <c r="AQ19">
        <v>2011979733.51</v>
      </c>
    </row>
    <row r="20" spans="1:43" x14ac:dyDescent="0.35">
      <c r="A20">
        <v>19</v>
      </c>
      <c r="B20" t="s">
        <v>48</v>
      </c>
      <c r="C20" t="s">
        <v>88</v>
      </c>
      <c r="D20">
        <v>1</v>
      </c>
      <c r="E20" t="s">
        <v>88</v>
      </c>
      <c r="F20">
        <v>2015</v>
      </c>
      <c r="G20">
        <v>2.7740999999999998</v>
      </c>
      <c r="H20">
        <v>10975</v>
      </c>
      <c r="I20">
        <v>1457</v>
      </c>
      <c r="J20">
        <v>2633</v>
      </c>
      <c r="K20">
        <v>3817</v>
      </c>
      <c r="L20">
        <v>3068</v>
      </c>
      <c r="M20">
        <v>0.28360000000000002</v>
      </c>
      <c r="N20">
        <v>9.3200000000000005E-2</v>
      </c>
      <c r="O20">
        <v>0.58530000000000004</v>
      </c>
      <c r="P20">
        <v>4.4999999999999997E-3</v>
      </c>
      <c r="Q20">
        <v>3.3300000000000003E-2</v>
      </c>
      <c r="R20">
        <v>10975</v>
      </c>
      <c r="S20">
        <v>10975</v>
      </c>
      <c r="T20">
        <v>9510</v>
      </c>
      <c r="U20">
        <v>1465</v>
      </c>
      <c r="V20">
        <v>0.86650000000000005</v>
      </c>
      <c r="W20">
        <v>6606</v>
      </c>
      <c r="X20">
        <v>1838</v>
      </c>
      <c r="Y20">
        <v>0</v>
      </c>
      <c r="Z20">
        <v>213</v>
      </c>
      <c r="AA20">
        <v>0</v>
      </c>
      <c r="AB20">
        <v>0.60189999999999999</v>
      </c>
      <c r="AC20">
        <v>0.16750000000000001</v>
      </c>
      <c r="AD20">
        <v>0</v>
      </c>
      <c r="AE20">
        <v>1.9400000000000001E-2</v>
      </c>
      <c r="AF20">
        <v>0</v>
      </c>
      <c r="AG20">
        <v>10975</v>
      </c>
      <c r="AH20">
        <v>6.0666970387243735</v>
      </c>
      <c r="AI20">
        <v>1</v>
      </c>
      <c r="AJ20">
        <v>120</v>
      </c>
      <c r="AK20">
        <v>213</v>
      </c>
      <c r="AL20">
        <v>1.9407744874715263E-2</v>
      </c>
      <c r="AM20">
        <v>13802.929272892939</v>
      </c>
      <c r="AN20">
        <v>0.2658494981654636</v>
      </c>
      <c r="AO20">
        <v>0</v>
      </c>
      <c r="AP20">
        <v>151487148.77000001</v>
      </c>
      <c r="AQ20">
        <v>569822963.04999995</v>
      </c>
    </row>
    <row r="21" spans="1:43" x14ac:dyDescent="0.35">
      <c r="A21">
        <v>20</v>
      </c>
      <c r="B21" t="s">
        <v>40</v>
      </c>
      <c r="C21" t="s">
        <v>92</v>
      </c>
      <c r="D21">
        <v>1</v>
      </c>
      <c r="E21" t="s">
        <v>92</v>
      </c>
      <c r="F21">
        <v>2015</v>
      </c>
      <c r="G21">
        <v>2.6448999999999998</v>
      </c>
      <c r="H21">
        <v>7856</v>
      </c>
      <c r="I21">
        <v>1320</v>
      </c>
      <c r="J21">
        <v>2444</v>
      </c>
      <c r="K21">
        <v>1798</v>
      </c>
      <c r="L21">
        <v>2294</v>
      </c>
      <c r="M21">
        <v>0.20019999999999999</v>
      </c>
      <c r="N21">
        <v>0.20380000000000001</v>
      </c>
      <c r="O21">
        <v>0.56140000000000001</v>
      </c>
      <c r="P21">
        <v>1.1599999999999999E-2</v>
      </c>
      <c r="Q21">
        <v>2.3E-2</v>
      </c>
      <c r="R21">
        <v>7856</v>
      </c>
      <c r="S21">
        <v>7856</v>
      </c>
      <c r="T21">
        <v>5880</v>
      </c>
      <c r="U21">
        <v>1976</v>
      </c>
      <c r="V21">
        <v>0.74850000000000005</v>
      </c>
      <c r="W21">
        <v>4478</v>
      </c>
      <c r="X21">
        <v>1846</v>
      </c>
      <c r="Y21">
        <v>0</v>
      </c>
      <c r="Z21">
        <v>189</v>
      </c>
      <c r="AA21">
        <v>0</v>
      </c>
      <c r="AB21">
        <v>0.56999999999999995</v>
      </c>
      <c r="AC21">
        <v>0.23499999999999999</v>
      </c>
      <c r="AD21">
        <v>0</v>
      </c>
      <c r="AE21">
        <v>2.41E-2</v>
      </c>
      <c r="AF21">
        <v>0</v>
      </c>
      <c r="AG21">
        <v>7856</v>
      </c>
      <c r="AH21">
        <v>4.0196028513238291</v>
      </c>
      <c r="AI21">
        <v>1</v>
      </c>
      <c r="AJ21">
        <v>120</v>
      </c>
      <c r="AK21">
        <v>189</v>
      </c>
      <c r="AL21">
        <v>2.4058044806517312E-2</v>
      </c>
      <c r="AM21">
        <v>18785.745650458251</v>
      </c>
      <c r="AN21">
        <v>0.4597810150729319</v>
      </c>
      <c r="AO21">
        <v>3.3859E-2</v>
      </c>
      <c r="AP21">
        <v>147580817.83000001</v>
      </c>
      <c r="AQ21">
        <v>320980669.04000002</v>
      </c>
    </row>
    <row r="22" spans="1:43" x14ac:dyDescent="0.35">
      <c r="A22">
        <v>21</v>
      </c>
      <c r="B22" t="s">
        <v>44</v>
      </c>
      <c r="C22" t="s">
        <v>89</v>
      </c>
      <c r="D22">
        <v>1</v>
      </c>
      <c r="E22" t="s">
        <v>89</v>
      </c>
      <c r="F22">
        <v>2015</v>
      </c>
      <c r="G22">
        <v>2.5971000000000002</v>
      </c>
      <c r="H22">
        <v>6081</v>
      </c>
      <c r="I22">
        <v>1117</v>
      </c>
      <c r="J22">
        <v>1720</v>
      </c>
      <c r="K22">
        <v>1740</v>
      </c>
      <c r="L22">
        <v>1504</v>
      </c>
      <c r="M22">
        <v>0.1714</v>
      </c>
      <c r="N22">
        <v>0.10150000000000001</v>
      </c>
      <c r="O22">
        <v>0.70609999999999995</v>
      </c>
      <c r="P22">
        <v>9.9000000000000008E-3</v>
      </c>
      <c r="Q22">
        <v>1.12E-2</v>
      </c>
      <c r="R22">
        <v>6081</v>
      </c>
      <c r="S22">
        <v>6081</v>
      </c>
      <c r="T22">
        <v>5796</v>
      </c>
      <c r="U22">
        <v>285</v>
      </c>
      <c r="V22">
        <v>0.95309999999999995</v>
      </c>
      <c r="W22">
        <v>2400</v>
      </c>
      <c r="X22">
        <v>1553</v>
      </c>
      <c r="Y22">
        <v>0</v>
      </c>
      <c r="Z22">
        <v>253</v>
      </c>
      <c r="AA22">
        <v>0</v>
      </c>
      <c r="AB22">
        <v>0.3947</v>
      </c>
      <c r="AC22">
        <v>0.25540000000000002</v>
      </c>
      <c r="AD22">
        <v>0</v>
      </c>
      <c r="AE22">
        <v>4.1599999999999998E-2</v>
      </c>
      <c r="AF22">
        <v>0</v>
      </c>
      <c r="AG22">
        <v>6081</v>
      </c>
      <c r="AH22">
        <v>5.5268870251603355</v>
      </c>
      <c r="AI22">
        <v>1</v>
      </c>
      <c r="AJ22">
        <v>96</v>
      </c>
      <c r="AK22">
        <v>253</v>
      </c>
      <c r="AL22">
        <v>4.1604999177766812E-2</v>
      </c>
      <c r="AM22">
        <v>14763.155877322808</v>
      </c>
      <c r="AN22">
        <v>0.2916953345775064</v>
      </c>
      <c r="AO22">
        <v>0</v>
      </c>
      <c r="AP22">
        <v>89774750.890000001</v>
      </c>
      <c r="AQ22">
        <v>307768895.31</v>
      </c>
    </row>
    <row r="23" spans="1:43" x14ac:dyDescent="0.35">
      <c r="A23">
        <v>22</v>
      </c>
      <c r="B23" t="s">
        <v>55</v>
      </c>
      <c r="C23" t="s">
        <v>88</v>
      </c>
      <c r="D23">
        <v>1</v>
      </c>
      <c r="E23" t="s">
        <v>88</v>
      </c>
      <c r="F23">
        <v>2015</v>
      </c>
      <c r="G23">
        <v>2.6541999999999999</v>
      </c>
      <c r="H23">
        <v>8369</v>
      </c>
      <c r="I23">
        <v>1483</v>
      </c>
      <c r="J23">
        <v>2251</v>
      </c>
      <c r="K23">
        <v>2312</v>
      </c>
      <c r="L23">
        <v>2323</v>
      </c>
      <c r="M23">
        <v>0.25369999999999998</v>
      </c>
      <c r="N23">
        <v>6.5100000000000005E-2</v>
      </c>
      <c r="O23">
        <v>0.6804</v>
      </c>
      <c r="P23">
        <v>8.0000000000000004E-4</v>
      </c>
      <c r="Q23">
        <v>0</v>
      </c>
      <c r="R23">
        <v>8369</v>
      </c>
      <c r="S23">
        <v>8369</v>
      </c>
      <c r="T23">
        <v>7861</v>
      </c>
      <c r="U23">
        <v>508</v>
      </c>
      <c r="V23">
        <v>0.93930000000000002</v>
      </c>
      <c r="W23">
        <v>3879</v>
      </c>
      <c r="X23">
        <v>1907</v>
      </c>
      <c r="Y23">
        <v>0</v>
      </c>
      <c r="Z23">
        <v>289</v>
      </c>
      <c r="AA23">
        <v>0</v>
      </c>
      <c r="AB23">
        <v>0.46350000000000002</v>
      </c>
      <c r="AC23">
        <v>0.22789999999999999</v>
      </c>
      <c r="AD23">
        <v>0</v>
      </c>
      <c r="AE23">
        <v>3.4500000000000003E-2</v>
      </c>
      <c r="AF23">
        <v>0</v>
      </c>
      <c r="AG23">
        <v>8369</v>
      </c>
      <c r="AH23">
        <v>4.9707252957342574</v>
      </c>
      <c r="AI23">
        <v>1</v>
      </c>
      <c r="AJ23">
        <v>107</v>
      </c>
      <c r="AK23">
        <v>289</v>
      </c>
      <c r="AL23">
        <v>3.4532202174692314E-2</v>
      </c>
      <c r="AM23">
        <v>15186.960199545943</v>
      </c>
      <c r="AN23">
        <v>0.36449217184252153</v>
      </c>
      <c r="AO23">
        <v>0</v>
      </c>
      <c r="AP23">
        <v>127099669.91</v>
      </c>
      <c r="AQ23">
        <v>348703428.30000001</v>
      </c>
    </row>
    <row r="24" spans="1:43" x14ac:dyDescent="0.35">
      <c r="A24">
        <v>23</v>
      </c>
      <c r="B24" t="s">
        <v>59</v>
      </c>
      <c r="C24" t="s">
        <v>89</v>
      </c>
      <c r="D24">
        <v>1</v>
      </c>
      <c r="E24" t="s">
        <v>89</v>
      </c>
      <c r="F24">
        <v>2015</v>
      </c>
      <c r="G24">
        <v>2.7818000000000001</v>
      </c>
      <c r="H24">
        <v>26288</v>
      </c>
      <c r="I24">
        <v>4059</v>
      </c>
      <c r="J24">
        <v>6987</v>
      </c>
      <c r="K24">
        <v>5873</v>
      </c>
      <c r="L24">
        <v>9369</v>
      </c>
      <c r="M24">
        <v>0.29330000000000001</v>
      </c>
      <c r="N24">
        <v>0.28710000000000002</v>
      </c>
      <c r="O24">
        <v>0.38519999999999999</v>
      </c>
      <c r="P24">
        <v>1.52E-2</v>
      </c>
      <c r="Q24">
        <v>1.9300000000000001E-2</v>
      </c>
      <c r="R24">
        <v>26288</v>
      </c>
      <c r="S24">
        <v>26288</v>
      </c>
      <c r="T24">
        <v>20434</v>
      </c>
      <c r="U24">
        <v>5854</v>
      </c>
      <c r="V24">
        <v>0.77729999999999999</v>
      </c>
      <c r="W24">
        <v>18425</v>
      </c>
      <c r="X24">
        <v>2941</v>
      </c>
      <c r="Y24">
        <v>0</v>
      </c>
      <c r="Z24">
        <v>668</v>
      </c>
      <c r="AA24">
        <v>0</v>
      </c>
      <c r="AB24">
        <v>0.70089999999999997</v>
      </c>
      <c r="AC24">
        <v>0.1119</v>
      </c>
      <c r="AD24">
        <v>0</v>
      </c>
      <c r="AE24">
        <v>2.5399999999999999E-2</v>
      </c>
      <c r="AF24">
        <v>0</v>
      </c>
      <c r="AG24">
        <v>26288</v>
      </c>
      <c r="AH24">
        <v>5.2032105903834447</v>
      </c>
      <c r="AI24">
        <v>1</v>
      </c>
      <c r="AJ24">
        <v>120</v>
      </c>
      <c r="AK24">
        <v>668</v>
      </c>
      <c r="AL24">
        <v>2.5410833840535607E-2</v>
      </c>
      <c r="AM24">
        <v>12745.938833688375</v>
      </c>
      <c r="AN24">
        <v>0.22455022330570798</v>
      </c>
      <c r="AO24">
        <v>0</v>
      </c>
      <c r="AP24">
        <v>335065240.06</v>
      </c>
      <c r="AQ24">
        <v>1492161687.1600001</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B6B18-5EC6-49E7-913F-40FA79273ABF}">
  <dimension ref="A1:V28"/>
  <sheetViews>
    <sheetView workbookViewId="0">
      <selection activeCell="C2" sqref="C2"/>
    </sheetView>
  </sheetViews>
  <sheetFormatPr defaultRowHeight="21" x14ac:dyDescent="0.35"/>
  <cols>
    <col min="1" max="1" width="49" bestFit="1" customWidth="1"/>
    <col min="2" max="2" width="24.7265625" bestFit="1" customWidth="1"/>
    <col min="3" max="3" width="32.1796875" bestFit="1" customWidth="1"/>
    <col min="4" max="4" width="16.36328125" bestFit="1" customWidth="1"/>
    <col min="5" max="5" width="21.1796875" bestFit="1" customWidth="1"/>
    <col min="6" max="6" width="27.90625" bestFit="1" customWidth="1"/>
    <col min="7" max="7" width="22.6328125" bestFit="1" customWidth="1"/>
    <col min="8" max="8" width="25.54296875" bestFit="1" customWidth="1"/>
    <col min="9" max="9" width="16.08984375" bestFit="1" customWidth="1"/>
    <col min="10" max="10" width="18.08984375" bestFit="1" customWidth="1"/>
    <col min="12" max="12" width="49" bestFit="1" customWidth="1"/>
    <col min="13" max="13" width="32.1796875" bestFit="1" customWidth="1"/>
    <col min="15" max="15" width="49" bestFit="1" customWidth="1"/>
    <col min="16" max="16" width="16.36328125" bestFit="1" customWidth="1"/>
    <col min="18" max="18" width="49" bestFit="1" customWidth="1"/>
    <col min="19" max="19" width="21.1796875" bestFit="1" customWidth="1"/>
    <col min="21" max="21" width="49" bestFit="1" customWidth="1"/>
    <col min="22" max="22" width="27.90625" bestFit="1" customWidth="1"/>
  </cols>
  <sheetData>
    <row r="1" spans="1:22" x14ac:dyDescent="0.35">
      <c r="A1" s="8" t="s">
        <v>2</v>
      </c>
      <c r="B1" t="s">
        <v>84</v>
      </c>
    </row>
    <row r="2" spans="1:22" x14ac:dyDescent="0.35">
      <c r="A2" s="8" t="s">
        <v>85</v>
      </c>
      <c r="B2" t="s">
        <v>84</v>
      </c>
    </row>
    <row r="4" spans="1:22" x14ac:dyDescent="0.35">
      <c r="A4" s="8" t="s">
        <v>73</v>
      </c>
      <c r="B4" t="s">
        <v>75</v>
      </c>
      <c r="C4" t="s">
        <v>76</v>
      </c>
      <c r="D4" t="s">
        <v>77</v>
      </c>
      <c r="E4" t="s">
        <v>78</v>
      </c>
      <c r="F4" t="s">
        <v>79</v>
      </c>
      <c r="G4" t="s">
        <v>80</v>
      </c>
      <c r="H4" t="s">
        <v>81</v>
      </c>
      <c r="I4" t="s">
        <v>82</v>
      </c>
      <c r="J4" t="s">
        <v>83</v>
      </c>
      <c r="L4" s="26" t="s">
        <v>103</v>
      </c>
      <c r="M4" s="26" t="s">
        <v>107</v>
      </c>
      <c r="O4" s="26" t="s">
        <v>103</v>
      </c>
      <c r="P4" s="26" t="s">
        <v>105</v>
      </c>
      <c r="R4" s="26" t="s">
        <v>103</v>
      </c>
      <c r="S4" s="26" t="s">
        <v>106</v>
      </c>
      <c r="U4" s="26" t="s">
        <v>103</v>
      </c>
      <c r="V4" s="26" t="s">
        <v>104</v>
      </c>
    </row>
    <row r="5" spans="1:22" x14ac:dyDescent="0.35">
      <c r="A5" s="9" t="s">
        <v>50</v>
      </c>
      <c r="B5" s="10">
        <v>2.7101000000000002</v>
      </c>
      <c r="C5" s="11">
        <v>0.96609999999999996</v>
      </c>
      <c r="D5" s="12">
        <v>6.3327868852459019</v>
      </c>
      <c r="E5" s="13">
        <v>4.5245901639344263E-2</v>
      </c>
      <c r="F5" s="11">
        <v>0.18709237408207111</v>
      </c>
      <c r="G5" s="13">
        <v>0</v>
      </c>
      <c r="H5" s="14">
        <v>12200</v>
      </c>
      <c r="I5" s="15">
        <v>141552928.94999999</v>
      </c>
      <c r="J5" s="15">
        <v>756593793.00999999</v>
      </c>
      <c r="L5" t="s">
        <v>50</v>
      </c>
      <c r="M5">
        <f>IFERROR(GETPIVOTDATA("Unplanned_Admission_Rate",$A$4,"Facility_Name",L5),"")</f>
        <v>0.96609999999999996</v>
      </c>
      <c r="O5" t="s">
        <v>50</v>
      </c>
      <c r="P5">
        <f>IFERROR(GETPIVOTDATA("Avg_LOS",$A$4,"Facility_Name",O5),"")</f>
        <v>6.3327868852459019</v>
      </c>
      <c r="R5" t="s">
        <v>50</v>
      </c>
      <c r="S5">
        <f>IFERROR(GETPIVOTDATA("Mortality_Rate",$A$4,"Facility_Name",R5),"")</f>
        <v>4.5245901639344263E-2</v>
      </c>
      <c r="U5" t="s">
        <v>50</v>
      </c>
      <c r="V5">
        <f>IFERROR(GETPIVOTDATA("Margin_Pressure_Ratio",$A$4,"Facility_Name",U5),"")</f>
        <v>0.18709237408207111</v>
      </c>
    </row>
    <row r="6" spans="1:22" x14ac:dyDescent="0.35">
      <c r="A6" s="9" t="s">
        <v>62</v>
      </c>
      <c r="B6" s="10">
        <v>2.4981</v>
      </c>
      <c r="C6" s="11">
        <v>0.82340000000000002</v>
      </c>
      <c r="D6" s="12">
        <v>6.8229813664596275</v>
      </c>
      <c r="E6" s="13">
        <v>1.203416149068323E-2</v>
      </c>
      <c r="F6" s="11">
        <v>0.21242109410044391</v>
      </c>
      <c r="G6" s="13">
        <v>0</v>
      </c>
      <c r="H6" s="14">
        <v>2576</v>
      </c>
      <c r="I6" s="15">
        <v>20900577.629999999</v>
      </c>
      <c r="J6" s="15">
        <v>98392194.609999999</v>
      </c>
      <c r="L6" t="s">
        <v>62</v>
      </c>
      <c r="M6">
        <f>IFERROR(GETPIVOTDATA("Unplanned_Admission_Rate",$A$4,"Facility_Name",L6),"")</f>
        <v>0.82340000000000002</v>
      </c>
      <c r="O6" t="s">
        <v>62</v>
      </c>
      <c r="P6">
        <f>IFERROR(GETPIVOTDATA("Avg_LOS",$A$4,"Facility_Name",O6),"")</f>
        <v>6.8229813664596275</v>
      </c>
      <c r="R6" t="s">
        <v>62</v>
      </c>
      <c r="S6">
        <f>IFERROR(GETPIVOTDATA("Mortality_Rate",$A$4,"Facility_Name",R6),"")</f>
        <v>1.203416149068323E-2</v>
      </c>
      <c r="U6" t="s">
        <v>62</v>
      </c>
      <c r="V6">
        <f>IFERROR(GETPIVOTDATA("Margin_Pressure_Ratio",$A$4,"Facility_Name",U6),"")</f>
        <v>0.21242109410044391</v>
      </c>
    </row>
    <row r="7" spans="1:22" x14ac:dyDescent="0.35">
      <c r="A7" s="9" t="s">
        <v>49</v>
      </c>
      <c r="B7" s="10">
        <v>2.6362999999999999</v>
      </c>
      <c r="C7" s="11">
        <v>0.90559999999999996</v>
      </c>
      <c r="D7" s="12">
        <v>5.0306469920544838</v>
      </c>
      <c r="E7" s="13">
        <v>1.9782714447867684E-2</v>
      </c>
      <c r="F7" s="11">
        <v>0.31280802760563037</v>
      </c>
      <c r="G7" s="13">
        <v>0</v>
      </c>
      <c r="H7" s="14">
        <v>6167</v>
      </c>
      <c r="I7" s="15">
        <v>106950616.87</v>
      </c>
      <c r="J7" s="15">
        <v>341904962.25</v>
      </c>
      <c r="L7" t="s">
        <v>49</v>
      </c>
      <c r="M7">
        <f>IFERROR(GETPIVOTDATA("Unplanned_Admission_Rate",$A$4,"Facility_Name",L7),"")</f>
        <v>0.90559999999999996</v>
      </c>
      <c r="O7" t="s">
        <v>49</v>
      </c>
      <c r="P7">
        <f>IFERROR(GETPIVOTDATA("Avg_LOS",$A$4,"Facility_Name",O7),"")</f>
        <v>5.0306469920544838</v>
      </c>
      <c r="R7" t="s">
        <v>49</v>
      </c>
      <c r="S7">
        <f>IFERROR(GETPIVOTDATA("Mortality_Rate",$A$4,"Facility_Name",R7),"")</f>
        <v>1.9782714447867684E-2</v>
      </c>
      <c r="U7" t="s">
        <v>49</v>
      </c>
      <c r="V7">
        <f>IFERROR(GETPIVOTDATA("Margin_Pressure_Ratio",$A$4,"Facility_Name",U7),"")</f>
        <v>0.31280802760563037</v>
      </c>
    </row>
    <row r="8" spans="1:22" x14ac:dyDescent="0.35">
      <c r="A8" s="9" t="s">
        <v>41</v>
      </c>
      <c r="B8" s="10">
        <v>2.9232</v>
      </c>
      <c r="C8" s="11">
        <v>0.74919999999999998</v>
      </c>
      <c r="D8" s="12">
        <v>7.0670655696833711</v>
      </c>
      <c r="E8" s="13">
        <v>3.6898529045125902E-2</v>
      </c>
      <c r="F8" s="11">
        <v>0.31078361424882556</v>
      </c>
      <c r="G8" s="13">
        <v>0</v>
      </c>
      <c r="H8" s="14">
        <v>4011</v>
      </c>
      <c r="I8" s="15">
        <v>61750437.509999998</v>
      </c>
      <c r="J8" s="15">
        <v>198692706.69</v>
      </c>
      <c r="L8" t="s">
        <v>41</v>
      </c>
      <c r="M8">
        <f>IFERROR(GETPIVOTDATA("Unplanned_Admission_Rate",$A$4,"Facility_Name",L8),"")</f>
        <v>0.74919999999999998</v>
      </c>
      <c r="O8" t="s">
        <v>41</v>
      </c>
      <c r="P8">
        <f>IFERROR(GETPIVOTDATA("Avg_LOS",$A$4,"Facility_Name",O8),"")</f>
        <v>7.0670655696833711</v>
      </c>
      <c r="R8" t="s">
        <v>41</v>
      </c>
      <c r="S8">
        <f>IFERROR(GETPIVOTDATA("Mortality_Rate",$A$4,"Facility_Name",R8),"")</f>
        <v>3.6898529045125902E-2</v>
      </c>
      <c r="U8" t="s">
        <v>41</v>
      </c>
      <c r="V8">
        <f>IFERROR(GETPIVOTDATA("Margin_Pressure_Ratio",$A$4,"Facility_Name",U8),"")</f>
        <v>0.31078361424882556</v>
      </c>
    </row>
    <row r="9" spans="1:22" x14ac:dyDescent="0.35">
      <c r="A9" s="9" t="s">
        <v>59</v>
      </c>
      <c r="B9" s="10">
        <v>2.7818000000000001</v>
      </c>
      <c r="C9" s="11">
        <v>0.77729999999999999</v>
      </c>
      <c r="D9" s="12">
        <v>5.2032105903834447</v>
      </c>
      <c r="E9" s="13">
        <v>2.5410833840535607E-2</v>
      </c>
      <c r="F9" s="11">
        <v>0.22455022330570798</v>
      </c>
      <c r="G9" s="13">
        <v>0</v>
      </c>
      <c r="H9" s="14">
        <v>26288</v>
      </c>
      <c r="I9" s="15">
        <v>335065240.06</v>
      </c>
      <c r="J9" s="15">
        <v>1492161687.1600001</v>
      </c>
      <c r="L9" t="s">
        <v>59</v>
      </c>
      <c r="M9">
        <f>IFERROR(GETPIVOTDATA("Unplanned_Admission_Rate",$A$4,"Facility_Name",L9),"")</f>
        <v>0.77729999999999999</v>
      </c>
      <c r="O9" t="s">
        <v>59</v>
      </c>
      <c r="P9">
        <f>IFERROR(GETPIVOTDATA("Avg_LOS",$A$4,"Facility_Name",O9),"")</f>
        <v>5.2032105903834447</v>
      </c>
      <c r="R9" t="s">
        <v>59</v>
      </c>
      <c r="S9">
        <f>IFERROR(GETPIVOTDATA("Mortality_Rate",$A$4,"Facility_Name",R9),"")</f>
        <v>2.5410833840535607E-2</v>
      </c>
      <c r="U9" t="s">
        <v>59</v>
      </c>
      <c r="V9">
        <f>IFERROR(GETPIVOTDATA("Margin_Pressure_Ratio",$A$4,"Facility_Name",U9),"")</f>
        <v>0.22455022330570798</v>
      </c>
    </row>
    <row r="10" spans="1:22" x14ac:dyDescent="0.35">
      <c r="A10" s="9" t="s">
        <v>58</v>
      </c>
      <c r="B10" s="10">
        <v>2.7660999999999998</v>
      </c>
      <c r="C10" s="11">
        <v>0.72799999999999998</v>
      </c>
      <c r="D10" s="12">
        <v>4.7236026750107367</v>
      </c>
      <c r="E10" s="13">
        <v>1.6626786919442912E-2</v>
      </c>
      <c r="F10" s="11">
        <v>0.30144506100929491</v>
      </c>
      <c r="G10" s="13">
        <v>0</v>
      </c>
      <c r="H10" s="14">
        <v>16299</v>
      </c>
      <c r="I10" s="15">
        <v>201105087.84</v>
      </c>
      <c r="J10" s="15">
        <v>667136781.63</v>
      </c>
      <c r="L10" t="s">
        <v>58</v>
      </c>
      <c r="M10">
        <f>IFERROR(GETPIVOTDATA("Unplanned_Admission_Rate",$A$4,"Facility_Name",L10),"")</f>
        <v>0.72799999999999998</v>
      </c>
      <c r="O10" t="s">
        <v>58</v>
      </c>
      <c r="P10">
        <f>IFERROR(GETPIVOTDATA("Avg_LOS",$A$4,"Facility_Name",O10),"")</f>
        <v>4.7236026750107367</v>
      </c>
      <c r="R10" t="s">
        <v>58</v>
      </c>
      <c r="S10">
        <f>IFERROR(GETPIVOTDATA("Mortality_Rate",$A$4,"Facility_Name",R10),"")</f>
        <v>1.6626786919442912E-2</v>
      </c>
      <c r="U10" t="s">
        <v>58</v>
      </c>
      <c r="V10">
        <f>IFERROR(GETPIVOTDATA("Margin_Pressure_Ratio",$A$4,"Facility_Name",U10),"")</f>
        <v>0.30144506100929491</v>
      </c>
    </row>
    <row r="11" spans="1:22" x14ac:dyDescent="0.35">
      <c r="A11" s="9" t="s">
        <v>48</v>
      </c>
      <c r="B11" s="10">
        <v>2.7740999999999998</v>
      </c>
      <c r="C11" s="11">
        <v>0.86650000000000005</v>
      </c>
      <c r="D11" s="12">
        <v>6.0666970387243735</v>
      </c>
      <c r="E11" s="13">
        <v>1.9407744874715263E-2</v>
      </c>
      <c r="F11" s="11">
        <v>0.2658494981654636</v>
      </c>
      <c r="G11" s="13">
        <v>0</v>
      </c>
      <c r="H11" s="14">
        <v>10975</v>
      </c>
      <c r="I11" s="15">
        <v>151487148.77000001</v>
      </c>
      <c r="J11" s="15">
        <v>569822963.04999995</v>
      </c>
      <c r="L11" t="s">
        <v>48</v>
      </c>
      <c r="M11">
        <f>IFERROR(GETPIVOTDATA("Unplanned_Admission_Rate",$A$4,"Facility_Name",L11),"")</f>
        <v>0.86650000000000005</v>
      </c>
      <c r="O11" t="s">
        <v>48</v>
      </c>
      <c r="P11">
        <f>IFERROR(GETPIVOTDATA("Avg_LOS",$A$4,"Facility_Name",O11),"")</f>
        <v>6.0666970387243735</v>
      </c>
      <c r="R11" t="s">
        <v>48</v>
      </c>
      <c r="S11">
        <f>IFERROR(GETPIVOTDATA("Mortality_Rate",$A$4,"Facility_Name",R11),"")</f>
        <v>1.9407744874715263E-2</v>
      </c>
      <c r="U11" t="s">
        <v>48</v>
      </c>
      <c r="V11">
        <f>IFERROR(GETPIVOTDATA("Margin_Pressure_Ratio",$A$4,"Facility_Name",U11),"")</f>
        <v>0.2658494981654636</v>
      </c>
    </row>
    <row r="12" spans="1:22" x14ac:dyDescent="0.35">
      <c r="A12" s="9" t="s">
        <v>53</v>
      </c>
      <c r="B12" s="10">
        <v>2.6446999999999998</v>
      </c>
      <c r="C12" s="11">
        <v>0.89839999999999998</v>
      </c>
      <c r="D12" s="12">
        <v>4.9303726006774555</v>
      </c>
      <c r="E12" s="13">
        <v>1.7312758750470454E-2</v>
      </c>
      <c r="F12" s="11">
        <v>0.31424282590327901</v>
      </c>
      <c r="G12" s="13">
        <v>0</v>
      </c>
      <c r="H12" s="14">
        <v>2657</v>
      </c>
      <c r="I12" s="15">
        <v>45683611.670000002</v>
      </c>
      <c r="J12" s="15">
        <v>145376784.78</v>
      </c>
      <c r="L12" t="s">
        <v>53</v>
      </c>
      <c r="M12">
        <f>IFERROR(GETPIVOTDATA("Unplanned_Admission_Rate",$A$4,"Facility_Name",L12),"")</f>
        <v>0.89839999999999998</v>
      </c>
      <c r="O12" t="s">
        <v>53</v>
      </c>
      <c r="P12">
        <f>IFERROR(GETPIVOTDATA("Avg_LOS",$A$4,"Facility_Name",O12),"")</f>
        <v>4.9303726006774555</v>
      </c>
      <c r="R12" t="s">
        <v>53</v>
      </c>
      <c r="S12">
        <f>IFERROR(GETPIVOTDATA("Mortality_Rate",$A$4,"Facility_Name",R12),"")</f>
        <v>1.7312758750470454E-2</v>
      </c>
      <c r="U12" t="s">
        <v>53</v>
      </c>
      <c r="V12">
        <f>IFERROR(GETPIVOTDATA("Margin_Pressure_Ratio",$A$4,"Facility_Name",U12),"")</f>
        <v>0.31424282590327901</v>
      </c>
    </row>
    <row r="13" spans="1:22" x14ac:dyDescent="0.35">
      <c r="A13" s="9" t="s">
        <v>42</v>
      </c>
      <c r="B13" s="10">
        <v>2.8782999999999999</v>
      </c>
      <c r="C13" s="11">
        <v>0.7298</v>
      </c>
      <c r="D13" s="12">
        <v>6.2629403306973401</v>
      </c>
      <c r="E13" s="13">
        <v>2.6060388209920921E-2</v>
      </c>
      <c r="F13" s="11">
        <v>0.25584418041749163</v>
      </c>
      <c r="G13" s="13">
        <v>0</v>
      </c>
      <c r="H13" s="14">
        <v>11128</v>
      </c>
      <c r="I13" s="15">
        <v>141587810.84</v>
      </c>
      <c r="J13" s="15">
        <v>553414232.87</v>
      </c>
      <c r="L13" t="s">
        <v>42</v>
      </c>
      <c r="M13">
        <f>IFERROR(GETPIVOTDATA("Unplanned_Admission_Rate",$A$4,"Facility_Name",L13),"")</f>
        <v>0.7298</v>
      </c>
      <c r="O13" t="s">
        <v>42</v>
      </c>
      <c r="P13">
        <f>IFERROR(GETPIVOTDATA("Avg_LOS",$A$4,"Facility_Name",O13),"")</f>
        <v>6.2629403306973401</v>
      </c>
      <c r="R13" t="s">
        <v>42</v>
      </c>
      <c r="S13">
        <f>IFERROR(GETPIVOTDATA("Mortality_Rate",$A$4,"Facility_Name",R13),"")</f>
        <v>2.6060388209920921E-2</v>
      </c>
      <c r="U13" t="s">
        <v>42</v>
      </c>
      <c r="V13">
        <f>IFERROR(GETPIVOTDATA("Margin_Pressure_Ratio",$A$4,"Facility_Name",U13),"")</f>
        <v>0.25584418041749163</v>
      </c>
    </row>
    <row r="14" spans="1:22" x14ac:dyDescent="0.35">
      <c r="A14" s="9" t="s">
        <v>54</v>
      </c>
      <c r="B14" s="10">
        <v>2.6633</v>
      </c>
      <c r="C14" s="11">
        <v>0.82040000000000002</v>
      </c>
      <c r="D14" s="12">
        <v>5.9261765930862138</v>
      </c>
      <c r="E14" s="13">
        <v>2.0616409829237816E-2</v>
      </c>
      <c r="F14" s="11">
        <v>0.41951106394291104</v>
      </c>
      <c r="G14" s="13">
        <v>3.1288999999999997E-2</v>
      </c>
      <c r="H14" s="14">
        <v>19208</v>
      </c>
      <c r="I14" s="15">
        <v>268921061.44</v>
      </c>
      <c r="J14" s="15">
        <v>641034491.23000002</v>
      </c>
      <c r="L14" t="s">
        <v>54</v>
      </c>
      <c r="M14">
        <f>IFERROR(GETPIVOTDATA("Unplanned_Admission_Rate",$A$4,"Facility_Name",L14),"")</f>
        <v>0.82040000000000002</v>
      </c>
      <c r="O14" t="s">
        <v>54</v>
      </c>
      <c r="P14">
        <f>IFERROR(GETPIVOTDATA("Avg_LOS",$A$4,"Facility_Name",O14),"")</f>
        <v>5.9261765930862138</v>
      </c>
      <c r="R14" t="s">
        <v>54</v>
      </c>
      <c r="S14">
        <f>IFERROR(GETPIVOTDATA("Mortality_Rate",$A$4,"Facility_Name",R14),"")</f>
        <v>2.0616409829237816E-2</v>
      </c>
      <c r="U14" t="s">
        <v>54</v>
      </c>
      <c r="V14">
        <f>IFERROR(GETPIVOTDATA("Margin_Pressure_Ratio",$A$4,"Facility_Name",U14),"")</f>
        <v>0.41951106394291104</v>
      </c>
    </row>
    <row r="15" spans="1:22" x14ac:dyDescent="0.35">
      <c r="A15" s="9" t="s">
        <v>56</v>
      </c>
      <c r="B15" s="10">
        <v>2.8290000000000002</v>
      </c>
      <c r="C15" s="11">
        <v>0.6754</v>
      </c>
      <c r="D15" s="12">
        <v>5.4342480698220879</v>
      </c>
      <c r="E15" s="13">
        <v>2.014098690835851E-2</v>
      </c>
      <c r="F15" s="11">
        <v>0.21363968431737174</v>
      </c>
      <c r="G15" s="13">
        <v>0</v>
      </c>
      <c r="H15" s="14">
        <v>47664</v>
      </c>
      <c r="I15" s="15">
        <v>767484854.82000005</v>
      </c>
      <c r="J15" s="15">
        <v>3592426459.8699999</v>
      </c>
      <c r="L15" t="s">
        <v>56</v>
      </c>
      <c r="M15">
        <f>IFERROR(GETPIVOTDATA("Unplanned_Admission_Rate",$A$4,"Facility_Name",L15),"")</f>
        <v>0.6754</v>
      </c>
      <c r="O15" t="s">
        <v>56</v>
      </c>
      <c r="P15">
        <f>IFERROR(GETPIVOTDATA("Avg_LOS",$A$4,"Facility_Name",O15),"")</f>
        <v>5.4342480698220879</v>
      </c>
      <c r="R15" t="s">
        <v>56</v>
      </c>
      <c r="S15">
        <f>IFERROR(GETPIVOTDATA("Mortality_Rate",$A$4,"Facility_Name",R15),"")</f>
        <v>2.014098690835851E-2</v>
      </c>
      <c r="U15" t="s">
        <v>56</v>
      </c>
      <c r="V15">
        <f>IFERROR(GETPIVOTDATA("Margin_Pressure_Ratio",$A$4,"Facility_Name",U15),"")</f>
        <v>0.21363968431737174</v>
      </c>
    </row>
    <row r="16" spans="1:22" x14ac:dyDescent="0.35">
      <c r="A16" s="9" t="s">
        <v>40</v>
      </c>
      <c r="B16" s="10">
        <v>2.6448999999999998</v>
      </c>
      <c r="C16" s="11">
        <v>0.74850000000000005</v>
      </c>
      <c r="D16" s="12">
        <v>4.0196028513238291</v>
      </c>
      <c r="E16" s="13">
        <v>2.4058044806517312E-2</v>
      </c>
      <c r="F16" s="11">
        <v>0.4597810150729319</v>
      </c>
      <c r="G16" s="13">
        <v>3.3859E-2</v>
      </c>
      <c r="H16" s="14">
        <v>7856</v>
      </c>
      <c r="I16" s="15">
        <v>147580817.83000001</v>
      </c>
      <c r="J16" s="15">
        <v>320980669.04000002</v>
      </c>
      <c r="L16" t="s">
        <v>40</v>
      </c>
      <c r="M16">
        <f>IFERROR(GETPIVOTDATA("Unplanned_Admission_Rate",$A$4,"Facility_Name",L16),"")</f>
        <v>0.74850000000000005</v>
      </c>
      <c r="O16" t="s">
        <v>40</v>
      </c>
      <c r="P16">
        <f>IFERROR(GETPIVOTDATA("Avg_LOS",$A$4,"Facility_Name",O16),"")</f>
        <v>4.0196028513238291</v>
      </c>
      <c r="R16" t="s">
        <v>40</v>
      </c>
      <c r="S16">
        <f>IFERROR(GETPIVOTDATA("Mortality_Rate",$A$4,"Facility_Name",R16),"")</f>
        <v>2.4058044806517312E-2</v>
      </c>
      <c r="U16" t="s">
        <v>40</v>
      </c>
      <c r="V16">
        <f>IFERROR(GETPIVOTDATA("Margin_Pressure_Ratio",$A$4,"Facility_Name",U16),"")</f>
        <v>0.4597810150729319</v>
      </c>
    </row>
    <row r="17" spans="1:22" x14ac:dyDescent="0.35">
      <c r="A17" s="9" t="s">
        <v>55</v>
      </c>
      <c r="B17" s="10">
        <v>2.6541999999999999</v>
      </c>
      <c r="C17" s="11">
        <v>0.93930000000000002</v>
      </c>
      <c r="D17" s="12">
        <v>4.9707252957342574</v>
      </c>
      <c r="E17" s="13">
        <v>3.4532202174692314E-2</v>
      </c>
      <c r="F17" s="11">
        <v>0.36449217184252153</v>
      </c>
      <c r="G17" s="13">
        <v>0</v>
      </c>
      <c r="H17" s="14">
        <v>8369</v>
      </c>
      <c r="I17" s="15">
        <v>127099669.91</v>
      </c>
      <c r="J17" s="15">
        <v>348703428.30000001</v>
      </c>
      <c r="L17" t="s">
        <v>55</v>
      </c>
      <c r="M17">
        <f>IFERROR(GETPIVOTDATA("Unplanned_Admission_Rate",$A$4,"Facility_Name",L17),"")</f>
        <v>0.93930000000000002</v>
      </c>
      <c r="O17" t="s">
        <v>55</v>
      </c>
      <c r="P17">
        <f>IFERROR(GETPIVOTDATA("Avg_LOS",$A$4,"Facility_Name",O17),"")</f>
        <v>4.9707252957342574</v>
      </c>
      <c r="R17" t="s">
        <v>55</v>
      </c>
      <c r="S17">
        <f>IFERROR(GETPIVOTDATA("Mortality_Rate",$A$4,"Facility_Name",R17),"")</f>
        <v>3.4532202174692314E-2</v>
      </c>
      <c r="U17" t="s">
        <v>55</v>
      </c>
      <c r="V17">
        <f>IFERROR(GETPIVOTDATA("Margin_Pressure_Ratio",$A$4,"Facility_Name",U17),"")</f>
        <v>0.36449217184252153</v>
      </c>
    </row>
    <row r="18" spans="1:22" x14ac:dyDescent="0.35">
      <c r="A18" s="9" t="s">
        <v>60</v>
      </c>
      <c r="B18" s="10">
        <v>2.7898000000000001</v>
      </c>
      <c r="C18" s="11">
        <v>0.79300000000000004</v>
      </c>
      <c r="D18" s="12">
        <v>5.1842780499183574</v>
      </c>
      <c r="E18" s="13">
        <v>2.7338465127128529E-2</v>
      </c>
      <c r="F18" s="11">
        <v>0.24968765267676848</v>
      </c>
      <c r="G18" s="13">
        <v>8.1639999999999994E-3</v>
      </c>
      <c r="H18" s="14">
        <v>21435</v>
      </c>
      <c r="I18" s="15">
        <v>232097771.63</v>
      </c>
      <c r="J18" s="15">
        <v>929552459.40999997</v>
      </c>
      <c r="L18" t="s">
        <v>60</v>
      </c>
      <c r="M18">
        <f>IFERROR(GETPIVOTDATA("Unplanned_Admission_Rate",$A$4,"Facility_Name",L18),"")</f>
        <v>0.79300000000000004</v>
      </c>
      <c r="O18" t="s">
        <v>60</v>
      </c>
      <c r="P18">
        <f>IFERROR(GETPIVOTDATA("Avg_LOS",$A$4,"Facility_Name",O18),"")</f>
        <v>5.1842780499183574</v>
      </c>
      <c r="R18" t="s">
        <v>60</v>
      </c>
      <c r="S18">
        <f>IFERROR(GETPIVOTDATA("Mortality_Rate",$A$4,"Facility_Name",R18),"")</f>
        <v>2.7338465127128529E-2</v>
      </c>
      <c r="U18" t="s">
        <v>60</v>
      </c>
      <c r="V18">
        <f>IFERROR(GETPIVOTDATA("Margin_Pressure_Ratio",$A$4,"Facility_Name",U18),"")</f>
        <v>0.24968765267676848</v>
      </c>
    </row>
    <row r="19" spans="1:22" x14ac:dyDescent="0.35">
      <c r="A19" s="9" t="s">
        <v>61</v>
      </c>
      <c r="B19" s="10">
        <v>2.8801999999999999</v>
      </c>
      <c r="C19" s="11">
        <v>0.71220000000000006</v>
      </c>
      <c r="D19" s="12">
        <v>3.5001840264998161</v>
      </c>
      <c r="E19" s="13">
        <v>2.0610967979389033E-2</v>
      </c>
      <c r="F19" s="11">
        <v>0.37859168578224378</v>
      </c>
      <c r="G19" s="13">
        <v>2.0240000000000002E-3</v>
      </c>
      <c r="H19" s="14">
        <v>5434</v>
      </c>
      <c r="I19" s="15">
        <v>60855214.799999997</v>
      </c>
      <c r="J19" s="15">
        <v>160741022.81</v>
      </c>
      <c r="L19" t="s">
        <v>61</v>
      </c>
      <c r="M19">
        <f>IFERROR(GETPIVOTDATA("Unplanned_Admission_Rate",$A$4,"Facility_Name",L19),"")</f>
        <v>0.71220000000000006</v>
      </c>
      <c r="O19" t="s">
        <v>61</v>
      </c>
      <c r="P19">
        <f>IFERROR(GETPIVOTDATA("Avg_LOS",$A$4,"Facility_Name",O19),"")</f>
        <v>3.5001840264998161</v>
      </c>
      <c r="R19" t="s">
        <v>61</v>
      </c>
      <c r="S19">
        <f>IFERROR(GETPIVOTDATA("Mortality_Rate",$A$4,"Facility_Name",R19),"")</f>
        <v>2.0610967979389033E-2</v>
      </c>
      <c r="U19" t="s">
        <v>61</v>
      </c>
      <c r="V19">
        <f>IFERROR(GETPIVOTDATA("Margin_Pressure_Ratio",$A$4,"Facility_Name",U19),"")</f>
        <v>0.37859168578224378</v>
      </c>
    </row>
    <row r="20" spans="1:22" x14ac:dyDescent="0.35">
      <c r="A20" s="9" t="s">
        <v>47</v>
      </c>
      <c r="B20" s="10">
        <v>2.8866999999999998</v>
      </c>
      <c r="C20" s="11">
        <v>0.64929999999999999</v>
      </c>
      <c r="D20" s="12">
        <v>4.751915860683896</v>
      </c>
      <c r="E20" s="13">
        <v>1.5115480154325881E-2</v>
      </c>
      <c r="F20" s="11">
        <v>0.25723352806513944</v>
      </c>
      <c r="G20" s="13">
        <v>0</v>
      </c>
      <c r="H20" s="14">
        <v>18921</v>
      </c>
      <c r="I20" s="15">
        <v>230653244.25999999</v>
      </c>
      <c r="J20" s="15">
        <v>896668665.22000003</v>
      </c>
      <c r="L20" t="s">
        <v>47</v>
      </c>
      <c r="M20">
        <f>IFERROR(GETPIVOTDATA("Unplanned_Admission_Rate",$A$4,"Facility_Name",L20),"")</f>
        <v>0.64929999999999999</v>
      </c>
      <c r="O20" t="s">
        <v>47</v>
      </c>
      <c r="P20">
        <f>IFERROR(GETPIVOTDATA("Avg_LOS",$A$4,"Facility_Name",O20),"")</f>
        <v>4.751915860683896</v>
      </c>
      <c r="R20" t="s">
        <v>47</v>
      </c>
      <c r="S20">
        <f>IFERROR(GETPIVOTDATA("Mortality_Rate",$A$4,"Facility_Name",R20),"")</f>
        <v>1.5115480154325881E-2</v>
      </c>
      <c r="U20" t="s">
        <v>47</v>
      </c>
      <c r="V20">
        <f>IFERROR(GETPIVOTDATA("Margin_Pressure_Ratio",$A$4,"Facility_Name",U20),"")</f>
        <v>0.25723352806513944</v>
      </c>
    </row>
    <row r="21" spans="1:22" x14ac:dyDescent="0.35">
      <c r="A21" s="9" t="s">
        <v>51</v>
      </c>
      <c r="B21" s="10">
        <v>2.8365999999999998</v>
      </c>
      <c r="C21" s="11">
        <v>0.82969999999999999</v>
      </c>
      <c r="D21" s="12">
        <v>5.761459644076937</v>
      </c>
      <c r="E21" s="13">
        <v>2.8042423152975015E-2</v>
      </c>
      <c r="F21" s="11">
        <v>0.2064817304171192</v>
      </c>
      <c r="G21" s="13">
        <v>0</v>
      </c>
      <c r="H21" s="14">
        <v>11126</v>
      </c>
      <c r="I21" s="15">
        <v>124373754.29000001</v>
      </c>
      <c r="J21" s="15">
        <v>602347500.86000001</v>
      </c>
      <c r="L21" t="s">
        <v>51</v>
      </c>
      <c r="M21">
        <f>IFERROR(GETPIVOTDATA("Unplanned_Admission_Rate",$A$4,"Facility_Name",L21),"")</f>
        <v>0.82969999999999999</v>
      </c>
      <c r="O21" t="s">
        <v>51</v>
      </c>
      <c r="P21">
        <f>IFERROR(GETPIVOTDATA("Avg_LOS",$A$4,"Facility_Name",O21),"")</f>
        <v>5.761459644076937</v>
      </c>
      <c r="R21" t="s">
        <v>51</v>
      </c>
      <c r="S21">
        <f>IFERROR(GETPIVOTDATA("Mortality_Rate",$A$4,"Facility_Name",R21),"")</f>
        <v>2.8042423152975015E-2</v>
      </c>
      <c r="U21" t="s">
        <v>51</v>
      </c>
      <c r="V21">
        <f>IFERROR(GETPIVOTDATA("Margin_Pressure_Ratio",$A$4,"Facility_Name",U21),"")</f>
        <v>0.2064817304171192</v>
      </c>
    </row>
    <row r="22" spans="1:22" x14ac:dyDescent="0.35">
      <c r="A22" s="9" t="s">
        <v>46</v>
      </c>
      <c r="B22" s="10">
        <v>2.7254</v>
      </c>
      <c r="C22" s="11">
        <v>0.46039999999999998</v>
      </c>
      <c r="D22" s="12">
        <v>6.0489208633093527</v>
      </c>
      <c r="E22" s="13">
        <v>6.7446043165467623E-3</v>
      </c>
      <c r="F22" s="11">
        <v>0.21463008911266399</v>
      </c>
      <c r="G22" s="13">
        <v>0</v>
      </c>
      <c r="H22" s="14">
        <v>11120</v>
      </c>
      <c r="I22" s="15">
        <v>113579282.39</v>
      </c>
      <c r="J22" s="15">
        <v>529186205.25</v>
      </c>
      <c r="L22" t="s">
        <v>46</v>
      </c>
      <c r="M22">
        <f>IFERROR(GETPIVOTDATA("Unplanned_Admission_Rate",$A$4,"Facility_Name",L22),"")</f>
        <v>0.46039999999999998</v>
      </c>
      <c r="O22" t="s">
        <v>46</v>
      </c>
      <c r="P22">
        <f>IFERROR(GETPIVOTDATA("Avg_LOS",$A$4,"Facility_Name",O22),"")</f>
        <v>6.0489208633093527</v>
      </c>
      <c r="R22" t="s">
        <v>46</v>
      </c>
      <c r="S22">
        <f>IFERROR(GETPIVOTDATA("Mortality_Rate",$A$4,"Facility_Name",R22),"")</f>
        <v>6.7446043165467623E-3</v>
      </c>
      <c r="U22" t="s">
        <v>46</v>
      </c>
      <c r="V22">
        <f>IFERROR(GETPIVOTDATA("Margin_Pressure_Ratio",$A$4,"Facility_Name",U22),"")</f>
        <v>0.21463008911266399</v>
      </c>
    </row>
    <row r="23" spans="1:22" x14ac:dyDescent="0.35">
      <c r="A23" s="9" t="s">
        <v>45</v>
      </c>
      <c r="B23" s="10">
        <v>2.7517</v>
      </c>
      <c r="C23" s="11">
        <v>0.79279999999999995</v>
      </c>
      <c r="D23" s="12">
        <v>6.4319723537693587</v>
      </c>
      <c r="E23" s="13">
        <v>2.8542173300908743E-2</v>
      </c>
      <c r="F23" s="11">
        <v>0.19627799634239979</v>
      </c>
      <c r="G23" s="13">
        <v>0</v>
      </c>
      <c r="H23" s="14">
        <v>15626</v>
      </c>
      <c r="I23" s="15">
        <v>301040406.89999998</v>
      </c>
      <c r="J23" s="15">
        <v>1533745058.0799999</v>
      </c>
      <c r="L23" t="s">
        <v>45</v>
      </c>
      <c r="M23">
        <f>IFERROR(GETPIVOTDATA("Unplanned_Admission_Rate",$A$4,"Facility_Name",L23),"")</f>
        <v>0.79279999999999995</v>
      </c>
      <c r="O23" t="s">
        <v>45</v>
      </c>
      <c r="P23">
        <f>IFERROR(GETPIVOTDATA("Avg_LOS",$A$4,"Facility_Name",O23),"")</f>
        <v>6.4319723537693587</v>
      </c>
      <c r="R23" t="s">
        <v>45</v>
      </c>
      <c r="S23">
        <f>IFERROR(GETPIVOTDATA("Mortality_Rate",$A$4,"Facility_Name",R23),"")</f>
        <v>2.8542173300908743E-2</v>
      </c>
      <c r="U23" t="s">
        <v>45</v>
      </c>
      <c r="V23">
        <f>IFERROR(GETPIVOTDATA("Margin_Pressure_Ratio",$A$4,"Facility_Name",U23),"")</f>
        <v>0.19627799634239979</v>
      </c>
    </row>
    <row r="24" spans="1:22" x14ac:dyDescent="0.35">
      <c r="A24" s="9" t="s">
        <v>44</v>
      </c>
      <c r="B24" s="10">
        <v>2.5971000000000002</v>
      </c>
      <c r="C24" s="11">
        <v>0.95309999999999995</v>
      </c>
      <c r="D24" s="12">
        <v>5.5268870251603355</v>
      </c>
      <c r="E24" s="13">
        <v>4.1604999177766812E-2</v>
      </c>
      <c r="F24" s="11">
        <v>0.2916953345775064</v>
      </c>
      <c r="G24" s="13">
        <v>0</v>
      </c>
      <c r="H24" s="14">
        <v>6081</v>
      </c>
      <c r="I24" s="15">
        <v>89774750.890000001</v>
      </c>
      <c r="J24" s="15">
        <v>307768895.31</v>
      </c>
      <c r="L24" t="s">
        <v>44</v>
      </c>
      <c r="M24">
        <f>IFERROR(GETPIVOTDATA("Unplanned_Admission_Rate",$A$4,"Facility_Name",L24),"")</f>
        <v>0.95309999999999995</v>
      </c>
      <c r="O24" t="s">
        <v>44</v>
      </c>
      <c r="P24">
        <f>IFERROR(GETPIVOTDATA("Avg_LOS",$A$4,"Facility_Name",O24),"")</f>
        <v>5.5268870251603355</v>
      </c>
      <c r="R24" t="s">
        <v>44</v>
      </c>
      <c r="S24">
        <f>IFERROR(GETPIVOTDATA("Mortality_Rate",$A$4,"Facility_Name",R24),"")</f>
        <v>4.1604999177766812E-2</v>
      </c>
      <c r="U24" t="s">
        <v>44</v>
      </c>
      <c r="V24">
        <f>IFERROR(GETPIVOTDATA("Margin_Pressure_Ratio",$A$4,"Facility_Name",U24),"")</f>
        <v>0.2916953345775064</v>
      </c>
    </row>
    <row r="25" spans="1:22" x14ac:dyDescent="0.35">
      <c r="A25" s="9" t="s">
        <v>57</v>
      </c>
      <c r="B25" s="10">
        <v>2.3487</v>
      </c>
      <c r="C25" s="11">
        <v>0.64329999999999998</v>
      </c>
      <c r="D25" s="12">
        <v>5.1416755602988262</v>
      </c>
      <c r="E25" s="13">
        <v>2.2411953041622197E-2</v>
      </c>
      <c r="F25" s="11">
        <v>0.22822397663370023</v>
      </c>
      <c r="G25" s="13">
        <v>0</v>
      </c>
      <c r="H25" s="14">
        <v>3748</v>
      </c>
      <c r="I25" s="15">
        <v>58557341.469999999</v>
      </c>
      <c r="J25" s="15">
        <v>256578394.31999999</v>
      </c>
      <c r="L25" t="s">
        <v>57</v>
      </c>
      <c r="M25">
        <f>IFERROR(GETPIVOTDATA("Unplanned_Admission_Rate",$A$4,"Facility_Name",L25),"")</f>
        <v>0.64329999999999998</v>
      </c>
      <c r="O25" t="s">
        <v>57</v>
      </c>
      <c r="P25">
        <f>IFERROR(GETPIVOTDATA("Avg_LOS",$A$4,"Facility_Name",O25),"")</f>
        <v>5.1416755602988262</v>
      </c>
      <c r="R25" t="s">
        <v>57</v>
      </c>
      <c r="S25">
        <f>IFERROR(GETPIVOTDATA("Mortality_Rate",$A$4,"Facility_Name",R25),"")</f>
        <v>2.2411953041622197E-2</v>
      </c>
      <c r="U25" t="s">
        <v>57</v>
      </c>
      <c r="V25">
        <f>IFERROR(GETPIVOTDATA("Margin_Pressure_Ratio",$A$4,"Facility_Name",U25),"")</f>
        <v>0.22822397663370023</v>
      </c>
    </row>
    <row r="26" spans="1:22" x14ac:dyDescent="0.35">
      <c r="A26" s="9" t="s">
        <v>52</v>
      </c>
      <c r="B26" s="10">
        <v>2.8239999999999998</v>
      </c>
      <c r="C26" s="11">
        <v>0.67759999999999998</v>
      </c>
      <c r="D26" s="12">
        <v>5.5169320730080331</v>
      </c>
      <c r="E26" s="13">
        <v>1.7031422975389593E-2</v>
      </c>
      <c r="F26" s="11">
        <v>0.33813347897553198</v>
      </c>
      <c r="G26" s="13">
        <v>1.9009999999999999E-3</v>
      </c>
      <c r="H26" s="14">
        <v>35229</v>
      </c>
      <c r="I26" s="15">
        <v>680317706.91999996</v>
      </c>
      <c r="J26" s="15">
        <v>2011979733.51</v>
      </c>
      <c r="L26" t="s">
        <v>52</v>
      </c>
      <c r="M26">
        <f>IFERROR(GETPIVOTDATA("Unplanned_Admission_Rate",$A$4,"Facility_Name",L26),"")</f>
        <v>0.67759999999999998</v>
      </c>
      <c r="O26" t="s">
        <v>52</v>
      </c>
      <c r="P26">
        <f>IFERROR(GETPIVOTDATA("Avg_LOS",$A$4,"Facility_Name",O26),"")</f>
        <v>5.5169320730080331</v>
      </c>
      <c r="R26" t="s">
        <v>52</v>
      </c>
      <c r="S26">
        <f>IFERROR(GETPIVOTDATA("Mortality_Rate",$A$4,"Facility_Name",R26),"")</f>
        <v>1.7031422975389593E-2</v>
      </c>
      <c r="U26" t="s">
        <v>52</v>
      </c>
      <c r="V26">
        <f>IFERROR(GETPIVOTDATA("Margin_Pressure_Ratio",$A$4,"Facility_Name",U26),"")</f>
        <v>0.33813347897553198</v>
      </c>
    </row>
    <row r="27" spans="1:22" x14ac:dyDescent="0.35">
      <c r="A27" s="9" t="s">
        <v>43</v>
      </c>
      <c r="B27" s="10">
        <v>2.8626999999999998</v>
      </c>
      <c r="C27" s="11">
        <v>0.62050000000000005</v>
      </c>
      <c r="D27" s="12">
        <v>4.8065633859282384</v>
      </c>
      <c r="E27" s="13">
        <v>1.4948025543369318E-2</v>
      </c>
      <c r="F27" s="11">
        <v>0.23318862855944167</v>
      </c>
      <c r="G27" s="13">
        <v>0</v>
      </c>
      <c r="H27" s="14">
        <v>34921</v>
      </c>
      <c r="I27" s="15">
        <v>515417982.63999999</v>
      </c>
      <c r="J27" s="15">
        <v>2210304961.3699999</v>
      </c>
      <c r="L27" t="s">
        <v>43</v>
      </c>
      <c r="M27">
        <f>IFERROR(GETPIVOTDATA("Unplanned_Admission_Rate",$A$4,"Facility_Name",L27),"")</f>
        <v>0.62050000000000005</v>
      </c>
      <c r="O27" t="s">
        <v>43</v>
      </c>
      <c r="P27">
        <f>IFERROR(GETPIVOTDATA("Avg_LOS",$A$4,"Facility_Name",O27),"")</f>
        <v>4.8065633859282384</v>
      </c>
      <c r="R27" t="s">
        <v>43</v>
      </c>
      <c r="S27">
        <f>IFERROR(GETPIVOTDATA("Mortality_Rate",$A$4,"Facility_Name",R27),"")</f>
        <v>1.4948025543369318E-2</v>
      </c>
      <c r="U27" t="s">
        <v>43</v>
      </c>
      <c r="V27">
        <f>IFERROR(GETPIVOTDATA("Margin_Pressure_Ratio",$A$4,"Facility_Name",U27),"")</f>
        <v>0.23318862855944167</v>
      </c>
    </row>
    <row r="28" spans="1:22" x14ac:dyDescent="0.35">
      <c r="A28" s="9" t="s">
        <v>74</v>
      </c>
      <c r="B28" s="10">
        <v>2.7350869565217386</v>
      </c>
      <c r="C28" s="11">
        <v>0.77216521739130428</v>
      </c>
      <c r="D28" s="12">
        <v>5.4548628565894024</v>
      </c>
      <c r="E28" s="13">
        <v>2.3500781639405832E-2</v>
      </c>
      <c r="F28" s="11">
        <v>0.27985238848506344</v>
      </c>
      <c r="G28" s="13">
        <v>3.3581304347826088E-3</v>
      </c>
      <c r="H28" s="14">
        <v>339039</v>
      </c>
      <c r="I28" s="15">
        <v>4923837320.3299999</v>
      </c>
      <c r="J28" s="15">
        <v>19165514050.630001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BEFE7-0D67-404B-AEE9-61A7688F6293}">
  <dimension ref="A1:N19"/>
  <sheetViews>
    <sheetView showGridLines="0" tabSelected="1" topLeftCell="A6" workbookViewId="0">
      <selection activeCell="S20" sqref="S20"/>
    </sheetView>
  </sheetViews>
  <sheetFormatPr defaultRowHeight="21" x14ac:dyDescent="0.35"/>
  <cols>
    <col min="1" max="14" width="7.90625" customWidth="1"/>
  </cols>
  <sheetData>
    <row r="1" spans="1:14" ht="36" customHeight="1" x14ac:dyDescent="0.35">
      <c r="A1" s="16" t="s">
        <v>93</v>
      </c>
    </row>
    <row r="2" spans="1:14" ht="21.95" customHeight="1" x14ac:dyDescent="0.35">
      <c r="A2" s="17" t="s">
        <v>94</v>
      </c>
    </row>
    <row r="3" spans="1:14" ht="8.1" customHeight="1" x14ac:dyDescent="0.35"/>
    <row r="10" spans="1:14" ht="18" customHeight="1" x14ac:dyDescent="0.35"/>
    <row r="11" spans="1:14" ht="18" customHeight="1" x14ac:dyDescent="0.35"/>
    <row r="12" spans="1:14" ht="18" customHeight="1" x14ac:dyDescent="0.35"/>
    <row r="13" spans="1:14" ht="18" customHeight="1" x14ac:dyDescent="0.35"/>
    <row r="14" spans="1:14" ht="30" customHeight="1" x14ac:dyDescent="0.35">
      <c r="A14" s="16" t="s">
        <v>95</v>
      </c>
      <c r="B14" s="24"/>
      <c r="C14" s="24"/>
      <c r="D14" s="24"/>
      <c r="E14" s="24"/>
      <c r="F14" s="24"/>
      <c r="G14" s="24"/>
      <c r="H14" s="24"/>
      <c r="I14" s="24"/>
      <c r="J14" s="24"/>
      <c r="K14" s="24"/>
      <c r="L14" s="24"/>
      <c r="M14" s="24"/>
      <c r="N14" s="24"/>
    </row>
    <row r="15" spans="1:14" ht="26.1" customHeight="1" x14ac:dyDescent="0.35">
      <c r="A15" s="25" t="s">
        <v>96</v>
      </c>
      <c r="B15" s="25"/>
      <c r="C15" s="25" t="s">
        <v>97</v>
      </c>
      <c r="D15" s="25"/>
      <c r="E15" s="25" t="s">
        <v>98</v>
      </c>
      <c r="F15" s="25"/>
      <c r="G15" s="25" t="s">
        <v>99</v>
      </c>
      <c r="H15" s="25"/>
      <c r="I15" s="25" t="s">
        <v>100</v>
      </c>
      <c r="J15" s="25"/>
      <c r="K15" s="25" t="s">
        <v>101</v>
      </c>
      <c r="L15" s="25"/>
      <c r="M15" s="25" t="s">
        <v>102</v>
      </c>
      <c r="N15" s="25"/>
    </row>
    <row r="16" spans="1:14" ht="39.950000000000003" customHeight="1" x14ac:dyDescent="0.35">
      <c r="A16" s="18">
        <f>GETPIVOTDATA("Sum of Encounter_Count_Total",'02_Pivots'!$A$4)</f>
        <v>339039</v>
      </c>
      <c r="B16" s="18"/>
      <c r="C16" s="19">
        <f>GETPIVOTDATA("Average of Severity_Mix_Index",'02_Pivots'!$A$4)</f>
        <v>2.7350869565217386</v>
      </c>
      <c r="D16" s="19"/>
      <c r="E16" s="20">
        <f>GETPIVOTDATA("Average of Unplanned_Admission_Rate",'02_Pivots'!$A$4)</f>
        <v>0.77216521739130428</v>
      </c>
      <c r="F16" s="20"/>
      <c r="G16" s="21">
        <f>GETPIVOTDATA("Average of Avg_LOS",'02_Pivots'!$A$4)</f>
        <v>5.4548628565894024</v>
      </c>
      <c r="H16" s="21"/>
      <c r="I16" s="22">
        <f>GETPIVOTDATA("Average of Mortality_Rate",'02_Pivots'!$A$4)</f>
        <v>2.3500781639405832E-2</v>
      </c>
      <c r="J16" s="22"/>
      <c r="K16" s="20">
        <f>GETPIVOTDATA("Average of Margin_Pressure_Ratio",'02_Pivots'!$A$4)</f>
        <v>0.27985238848506344</v>
      </c>
      <c r="L16" s="20"/>
      <c r="M16" s="23">
        <f>GETPIVOTDATA("Sum of Total_Costs",'02_Pivots'!$A$4)</f>
        <v>4923837320.3299999</v>
      </c>
      <c r="N16" s="23"/>
    </row>
    <row r="17" spans="1:1" ht="24" customHeight="1" x14ac:dyDescent="0.35">
      <c r="A17" s="27" t="s">
        <v>108</v>
      </c>
    </row>
    <row r="18" spans="1:1" ht="24" customHeight="1" x14ac:dyDescent="0.35">
      <c r="A18" s="27" t="s">
        <v>109</v>
      </c>
    </row>
    <row r="19" spans="1:1" ht="24" customHeight="1" x14ac:dyDescent="0.35">
      <c r="A19" s="27" t="s">
        <v>110</v>
      </c>
    </row>
  </sheetData>
  <mergeCells count="14">
    <mergeCell ref="M15:N15"/>
    <mergeCell ref="A16:B16"/>
    <mergeCell ref="C16:D16"/>
    <mergeCell ref="E16:F16"/>
    <mergeCell ref="G16:H16"/>
    <mergeCell ref="I16:J16"/>
    <mergeCell ref="K16:L16"/>
    <mergeCell ref="M16:N16"/>
    <mergeCell ref="A15:B15"/>
    <mergeCell ref="C15:D15"/>
    <mergeCell ref="E15:F15"/>
    <mergeCell ref="G15:H15"/>
    <mergeCell ref="I15:J15"/>
    <mergeCell ref="K15:L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5193DC-990D-432D-B547-03501689CF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00_ReadMe</vt:lpstr>
      <vt:lpstr>01_Data</vt:lpstr>
      <vt:lpstr>02_Pivots</vt:lpstr>
      <vt:lpstr>03_Dashboard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Jean-Yves TRAN</dc:creator>
  <cp:lastModifiedBy>Jean-Yves TRAN</cp:lastModifiedBy>
  <dcterms:created xsi:type="dcterms:W3CDTF">2026-02-12T06:38:54Z</dcterms:created>
  <dcterms:modified xsi:type="dcterms:W3CDTF">2026-02-12T09:41:52Z</dcterms:modified>
</cp:coreProperties>
</file>